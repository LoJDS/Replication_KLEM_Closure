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chartsheets/sheet1.xml" ContentType="application/vnd.openxmlformats-officedocument.spreadsheetml.chart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chartsheets/sheet2.xml" ContentType="application/vnd.openxmlformats-officedocument.spreadsheetml.chartsheet+xml"/>
  <Override PartName="/xl/chartsheets/sheet3.xml" ContentType="application/vnd.openxmlformats-officedocument.spreadsheetml.chart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2.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defaultThemeVersion="124226"/>
  <mc:AlternateContent xmlns:mc="http://schemas.openxmlformats.org/markup-compatibility/2006">
    <mc:Choice Requires="x15">
      <x15ac:absPath xmlns:x15ac="http://schemas.microsoft.com/office/spreadsheetml/2010/11/ac" url="C:\Users\louis\OneDrive\Documents\GitHub\Replication_KLEM_Closure\Sensitivity_Analysis\"/>
    </mc:Choice>
  </mc:AlternateContent>
  <xr:revisionPtr revIDLastSave="0" documentId="13_ncr:1_{027E0E57-7D76-4BE3-97C4-9C2DFB479060}" xr6:coauthVersionLast="47" xr6:coauthVersionMax="47" xr10:uidLastSave="{00000000-0000-0000-0000-000000000000}"/>
  <bookViews>
    <workbookView xWindow="-110" yWindow="-110" windowWidth="19420" windowHeight="11500" tabRatio="887" firstSheet="8" activeTab="17" xr2:uid="{00000000-000D-0000-FFFF-FFFF00000000}"/>
  </bookViews>
  <sheets>
    <sheet name="Calibration" sheetId="1" r:id="rId1"/>
    <sheet name="Model" sheetId="2" r:id="rId2"/>
    <sheet name="Results" sheetId="3" r:id="rId3"/>
    <sheet name="GraphU" sheetId="34" r:id="rId4"/>
    <sheet name="NeoClassical" sheetId="11" r:id="rId5"/>
    <sheet name="Johansen" sheetId="12" r:id="rId6"/>
    <sheet name="Kaldorian" sheetId="22" r:id="rId7"/>
    <sheet name="Keynes-M" sheetId="18" r:id="rId8"/>
    <sheet name="Keynesian" sheetId="24" r:id="rId9"/>
    <sheet name="Keynes-K" sheetId="21" r:id="rId10"/>
    <sheet name="Neo-K1" sheetId="38" r:id="rId11"/>
    <sheet name="Neo-K2" sheetId="35" r:id="rId12"/>
    <sheet name="NC heteroS" sheetId="32" r:id="rId13"/>
    <sheet name="Keynes-I" sheetId="36" r:id="rId14"/>
    <sheet name="Diagnosis Indicators" sheetId="23" r:id="rId15"/>
    <sheet name="GraphPi" sheetId="37" r:id="rId16"/>
    <sheet name="G Tax" sheetId="7" r:id="rId17"/>
    <sheet name="Utility_Export" sheetId="39" r:id="rId18"/>
  </sheets>
  <definedNames>
    <definedName name="AGGREGATES" localSheetId="0">Calibration!$C$55:$C$59</definedName>
    <definedName name="AGGREGATES" localSheetId="1">Model!$C$55:$C$60</definedName>
    <definedName name="aKL">Calibration!$C$82:$D$82</definedName>
    <definedName name="aKLE">Calibration!$C$87:$D$87</definedName>
    <definedName name="alpha" localSheetId="0">Calibration!$C$70:$D$71</definedName>
    <definedName name="alpha" localSheetId="1">Model!$C$70:$D$71</definedName>
    <definedName name="alphaEY" localSheetId="0">Calibration!$C$71:$D$71</definedName>
    <definedName name="alphaEY" localSheetId="1">Model!$C$71:$D$71</definedName>
    <definedName name="alphaMY" localSheetId="0">Calibration!$C$70:$D$70</definedName>
    <definedName name="alphaMY" localSheetId="1">Model!$C$70:$D$70</definedName>
    <definedName name="aS">Calibration!$C$77:$D$77</definedName>
    <definedName name="aU">Calibration!$C$104</definedName>
    <definedName name="aX">Calibration!$C$97:$D$97</definedName>
    <definedName name="aY">Calibration!$C$92:$D$92</definedName>
    <definedName name="B" localSheetId="0">Calibration!$C$59</definedName>
    <definedName name="B" localSheetId="1">Model!$C$59</definedName>
    <definedName name="bKL">Calibration!$C$83:$D$83</definedName>
    <definedName name="bKLE">Calibration!$C$88:$D$88</definedName>
    <definedName name="bS">Calibration!$C$78:$D$78</definedName>
    <definedName name="bU">Calibration!$C$105</definedName>
    <definedName name="bX">Calibration!$C$98:$D$98</definedName>
    <definedName name="bY">Calibration!$C$93:$D$93</definedName>
    <definedName name="CE" localSheetId="0">Calibration!$D$41</definedName>
    <definedName name="CE" localSheetId="1">Model!$D$41</definedName>
    <definedName name="Consumption" localSheetId="0">Calibration!$C$41:$D$41</definedName>
    <definedName name="Consumption" localSheetId="1">Model!$C$41:$D$41</definedName>
    <definedName name="CPI" localSheetId="1">Model!$C$60</definedName>
    <definedName name="CQ" localSheetId="0">Calibration!$C$41</definedName>
    <definedName name="CQ" localSheetId="1">Model!$C$41</definedName>
    <definedName name="D" localSheetId="0">Calibration!$C$40:$D$40</definedName>
    <definedName name="D" localSheetId="1">Model!$C$40:$D$40</definedName>
    <definedName name="DE" localSheetId="0">Calibration!$D$40</definedName>
    <definedName name="DE" localSheetId="1">Model!$D$40</definedName>
    <definedName name="epsilonE">Calibration!$D$109</definedName>
    <definedName name="ERROR1">Model!$K$21:$L$21</definedName>
    <definedName name="ERROR10">Model!$K$37:$L$37</definedName>
    <definedName name="ERROR11">Model!$K$23:$L$23</definedName>
    <definedName name="ERROR12">Model!$K$34:$L$34</definedName>
    <definedName name="ERROR2">Model!$K$59</definedName>
    <definedName name="ERROR3">Model!$K$55</definedName>
    <definedName name="ERROR4">Model!$K$39:$L$39</definedName>
    <definedName name="ERROR5">Model!$K$41</definedName>
    <definedName name="ERROR6">Model!$K$56</definedName>
    <definedName name="ERROR7">Model!$K$57</definedName>
    <definedName name="ERROR8">Model!$K$58</definedName>
    <definedName name="ERROR9">Model!$L$58</definedName>
    <definedName name="FACTORS" localSheetId="0">Calibration!$C$70:$D$73</definedName>
    <definedName name="FACTORS" localSheetId="1">Model!$C$70:$D$73</definedName>
    <definedName name="G" localSheetId="0">Calibration!$C$42:$D$42</definedName>
    <definedName name="G" localSheetId="1">Model!$C$42:$D$42</definedName>
    <definedName name="GDP" localSheetId="0">Calibration!$C$57</definedName>
    <definedName name="GDP" localSheetId="1">Model!$C$57</definedName>
    <definedName name="I" localSheetId="0">Calibration!$C$43:$D$43</definedName>
    <definedName name="I" localSheetId="1">Model!$C$43:$D$43</definedName>
    <definedName name="K" localSheetId="0">Calibration!$C$46:$D$46</definedName>
    <definedName name="K" localSheetId="1">Model!$C$46:$D$46</definedName>
    <definedName name="kappa" localSheetId="0">Calibration!$C$73:$D$73</definedName>
    <definedName name="kappa" localSheetId="1">Model!$C$73:$D$73</definedName>
    <definedName name="KL" localSheetId="0">Calibration!$C$47:$D$47</definedName>
    <definedName name="KL" localSheetId="1">Model!$C$47:$D$47</definedName>
    <definedName name="KL_E" localSheetId="0">Calibration!$D$47</definedName>
    <definedName name="KL_E" localSheetId="1">Model!$D$47</definedName>
    <definedName name="KL_Q" localSheetId="0">Calibration!$C$47</definedName>
    <definedName name="KL_Q" localSheetId="1">Model!$C$47</definedName>
    <definedName name="KLE" localSheetId="0">Calibration!$C$48:$D$48</definedName>
    <definedName name="KLE" localSheetId="1">Model!$C$48:$D$48</definedName>
    <definedName name="KLQ" localSheetId="1">Model!$C$47</definedName>
    <definedName name="Labour" localSheetId="0">Calibration!$C$45:$D$45</definedName>
    <definedName name="Labour" localSheetId="1">Model!$C$45:$D$45</definedName>
    <definedName name="Labour_E" localSheetId="0">Calibration!$D$45</definedName>
    <definedName name="Labour_E" localSheetId="1">Model!$D$45</definedName>
    <definedName name="Labour_Q" localSheetId="0">Calibration!$C$45</definedName>
    <definedName name="Labour_Q" localSheetId="1">Model!$C$45</definedName>
    <definedName name="LabourQ" localSheetId="1">Model!$C$45</definedName>
    <definedName name="lambda" localSheetId="0">Calibration!$C$72:$D$72</definedName>
    <definedName name="lambda" localSheetId="1">Model!$C$72:$D$72</definedName>
    <definedName name="M" localSheetId="0">Calibration!$C$38:$D$38</definedName>
    <definedName name="M" localSheetId="1">Model!$C$38:$D$38</definedName>
    <definedName name="MAXERROR">Model!$L$17</definedName>
    <definedName name="omegaG" localSheetId="0">Calibration!$C$62</definedName>
    <definedName name="omegaG" localSheetId="1">Model!$C$62</definedName>
    <definedName name="omegaI" localSheetId="0">Calibration!$C$63</definedName>
    <definedName name="omegaI" localSheetId="1">Model!$C$63</definedName>
    <definedName name="pC" localSheetId="0">Calibration!$C$27:$D$27</definedName>
    <definedName name="pC" localSheetId="1">Model!$C$27:$D$27</definedName>
    <definedName name="pCE" localSheetId="0">Calibration!$D$27</definedName>
    <definedName name="pCE" localSheetId="1">Model!$D$27</definedName>
    <definedName name="pCQ" localSheetId="0">Calibration!$C$27</definedName>
    <definedName name="pCQ" localSheetId="1">Model!$C$27</definedName>
    <definedName name="pD" localSheetId="0">Calibration!$C$24:$D$24</definedName>
    <definedName name="pD" localSheetId="1">Model!$C$24:$D$24</definedName>
    <definedName name="pEY" localSheetId="0">Calibration!$C$26:$D$26</definedName>
    <definedName name="pEY" localSheetId="1">Model!$C$26:$D$26</definedName>
    <definedName name="pG" localSheetId="0">Calibration!$C$28:$D$28</definedName>
    <definedName name="pG" localSheetId="1">Model!$C$28:$D$28</definedName>
    <definedName name="pI" localSheetId="0">Calibration!$C$29:$D$29</definedName>
    <definedName name="pI" localSheetId="1">Model!$C$29:$D$29</definedName>
    <definedName name="pIC" localSheetId="0">Calibration!$C$25:$D$26</definedName>
    <definedName name="pIC" localSheetId="1">Model!$C$25:$D$26</definedName>
    <definedName name="pK" localSheetId="0">Calibration!$C$33:$D$33</definedName>
    <definedName name="pK" localSheetId="1">Model!$C$33:$D$33</definedName>
    <definedName name="pKL" localSheetId="0">Calibration!$C$34:$D$34</definedName>
    <definedName name="pKL" localSheetId="1">Model!$C$34:$D$34</definedName>
    <definedName name="pKLE" localSheetId="0">Calibration!$C$35:$D$35</definedName>
    <definedName name="pKLE" localSheetId="1">Model!$C$35:$D$35</definedName>
    <definedName name="pL" localSheetId="0">Calibration!$C$32:$D$32</definedName>
    <definedName name="pL" localSheetId="1">Model!$C$32:$D$32</definedName>
    <definedName name="pMY" localSheetId="0">Calibration!$C$25:$D$25</definedName>
    <definedName name="pMY" localSheetId="1">Model!$C$25:$D$25</definedName>
    <definedName name="pQ" localSheetId="0">Calibration!$C$23:$D$23</definedName>
    <definedName name="pQ" localSheetId="1">Model!$C$23:$D$23</definedName>
    <definedName name="PRICES" localSheetId="0">Calibration!$C$21:$D$35</definedName>
    <definedName name="PRICES" localSheetId="1">Model!$C$21:$D$35</definedName>
    <definedName name="pS" localSheetId="0">Calibration!$C$23:$D$23</definedName>
    <definedName name="pS" localSheetId="1">Model!$C$23:$D$23</definedName>
    <definedName name="pW" localSheetId="0">Calibration!$C$22:$D$22</definedName>
    <definedName name="pW" localSheetId="1">Model!$C$22:$D$22</definedName>
    <definedName name="pX" localSheetId="0">Calibration!$C$30:$D$30</definedName>
    <definedName name="pX" localSheetId="1">Model!$C$30:$D$30</definedName>
    <definedName name="pY" localSheetId="0">Calibration!$C$21:$D$21</definedName>
    <definedName name="pY" localSheetId="1">Model!$C$21:$D$21</definedName>
    <definedName name="Revenue" localSheetId="0">Calibration!$C$58</definedName>
    <definedName name="Revenue" localSheetId="1">Model!$C$58</definedName>
    <definedName name="rhoKL">Calibration!$C$85:$D$85</definedName>
    <definedName name="rhoKLE">Calibration!$C$90:$D$90</definedName>
    <definedName name="rhoS">Calibration!$C$80:$D$80</definedName>
    <definedName name="rhoU">Calibration!$C$107</definedName>
    <definedName name="rhoX">Calibration!$C$100:$D$100</definedName>
    <definedName name="rhoY">Calibration!$C$95:$D$95</definedName>
    <definedName name="S" localSheetId="0">Calibration!$C$39:$D$39</definedName>
    <definedName name="S" localSheetId="1">Model!$C$39:$D$39</definedName>
    <definedName name="sD" localSheetId="0">Calibration!$C$64</definedName>
    <definedName name="sD" localSheetId="1">Model!$C$64</definedName>
    <definedName name="SE" localSheetId="0">Calibration!$D$39</definedName>
    <definedName name="SE" localSheetId="1">Model!$D$39</definedName>
    <definedName name="sG" localSheetId="0">Calibration!$C$67</definedName>
    <definedName name="sG" localSheetId="1">Model!$C$67</definedName>
    <definedName name="sigmaKL">Calibration!$C$84:$D$84</definedName>
    <definedName name="sigmaKLE">Calibration!$C$89:$D$89</definedName>
    <definedName name="sigmaS">Calibration!$C$79:$D$79</definedName>
    <definedName name="sigmaU">Calibration!$C$106</definedName>
    <definedName name="sigmaw">Calibration!$C$102</definedName>
    <definedName name="sigmaX">Calibration!$C$99:$D$99</definedName>
    <definedName name="sigmaY">Calibration!$C$94:$D$94</definedName>
    <definedName name="sK" localSheetId="0">Calibration!$C$65</definedName>
    <definedName name="sK" localSheetId="1">Model!$C$65</definedName>
    <definedName name="sL" localSheetId="0">Calibration!$C$66</definedName>
    <definedName name="sL" localSheetId="1">Model!$C$66</definedName>
    <definedName name="solver_adj" localSheetId="0" hidden="1">Calibration!$C$66</definedName>
    <definedName name="solver_adj" localSheetId="1" hidden="1">Model!$C$80:$D$89</definedName>
    <definedName name="solver_cvg" localSheetId="0" hidden="1">0.0001</definedName>
    <definedName name="solver_cvg" localSheetId="1" hidden="1">1E-99</definedName>
    <definedName name="solver_drv" localSheetId="0" hidden="1">1</definedName>
    <definedName name="solver_drv" localSheetId="1" hidden="1">2</definedName>
    <definedName name="solver_eng" localSheetId="0" hidden="1">1</definedName>
    <definedName name="solver_eng" localSheetId="1" hidden="1">1</definedName>
    <definedName name="solver_est" localSheetId="0" hidden="1">1</definedName>
    <definedName name="solver_est" localSheetId="1" hidden="1">2</definedName>
    <definedName name="solver_itr" localSheetId="0" hidden="1">2147483647</definedName>
    <definedName name="solver_itr" localSheetId="1" hidden="1">1000</definedName>
    <definedName name="solver_lhs1" localSheetId="0" hidden="1">Calibration!$K$53:$L$53</definedName>
    <definedName name="solver_lhs1" localSheetId="1" hidden="1">Model!$K$21:$L$21</definedName>
    <definedName name="solver_lhs10" localSheetId="1" hidden="1">Model!$K$37:$L$37</definedName>
    <definedName name="solver_lhs11" localSheetId="1" hidden="1">Model!$K$23:$L$23</definedName>
    <definedName name="solver_lhs12" localSheetId="1" hidden="1">Model!$K$34:$L$34</definedName>
    <definedName name="solver_lhs2" localSheetId="0" hidden="1">Calibration!$K$53:$L$53</definedName>
    <definedName name="solver_lhs2" localSheetId="1" hidden="1">Model!$K$59</definedName>
    <definedName name="solver_lhs3" localSheetId="0" hidden="1">Calibration!$K$53:$L$53</definedName>
    <definedName name="solver_lhs3" localSheetId="1" hidden="1">Model!$K$55</definedName>
    <definedName name="solver_lhs4" localSheetId="0" hidden="1">Calibration!$K$53:$L$53</definedName>
    <definedName name="solver_lhs4" localSheetId="1" hidden="1">Model!$K$39:$L$39</definedName>
    <definedName name="solver_lhs5" localSheetId="0" hidden="1">Calibration!$K$53:$L$53</definedName>
    <definedName name="solver_lhs5" localSheetId="1" hidden="1">Model!$K$41</definedName>
    <definedName name="solver_lhs6" localSheetId="1" hidden="1">Model!$K$56</definedName>
    <definedName name="solver_lhs7" localSheetId="1" hidden="1">Model!$K$57</definedName>
    <definedName name="solver_lhs8" localSheetId="1" hidden="1">Model!$K$58</definedName>
    <definedName name="solver_lhs9" localSheetId="1" hidden="1">Model!$L$58</definedName>
    <definedName name="solver_lin" localSheetId="1" hidden="1">2</definedName>
    <definedName name="solver_mip" localSheetId="0" hidden="1">2147483647</definedName>
    <definedName name="solver_mip" localSheetId="1" hidden="1">2147483647</definedName>
    <definedName name="solver_mni" localSheetId="0" hidden="1">30</definedName>
    <definedName name="solver_mni" localSheetId="1" hidden="1">30</definedName>
    <definedName name="solver_mrt" localSheetId="0" hidden="1">0.075</definedName>
    <definedName name="solver_mrt" localSheetId="1" hidden="1">0.075</definedName>
    <definedName name="solver_msl" localSheetId="0" hidden="1">2</definedName>
    <definedName name="solver_msl" localSheetId="1" hidden="1">2</definedName>
    <definedName name="solver_neg" localSheetId="0" hidden="1">2</definedName>
    <definedName name="solver_neg" localSheetId="1" hidden="1">1</definedName>
    <definedName name="solver_nod" localSheetId="0" hidden="1">2147483647</definedName>
    <definedName name="solver_nod" localSheetId="1" hidden="1">2147483647</definedName>
    <definedName name="solver_num" localSheetId="0" hidden="1">0</definedName>
    <definedName name="solver_num" localSheetId="1" hidden="1">12</definedName>
    <definedName name="solver_nwt" localSheetId="0" hidden="1">1</definedName>
    <definedName name="solver_nwt" localSheetId="1" hidden="1">1</definedName>
    <definedName name="solver_opt" localSheetId="0" hidden="1">Calibration!$K$65</definedName>
    <definedName name="solver_opt" localSheetId="1" hidden="1">Model!$K$41</definedName>
    <definedName name="solver_pre" localSheetId="0" hidden="1">0.000000000001</definedName>
    <definedName name="solver_pre" localSheetId="1" hidden="1">0.000001</definedName>
    <definedName name="solver_rbv" localSheetId="0" hidden="1">1</definedName>
    <definedName name="solver_rbv" localSheetId="1" hidden="1">1</definedName>
    <definedName name="solver_rel1" localSheetId="0" hidden="1">2</definedName>
    <definedName name="solver_rel1" localSheetId="1" hidden="1">2</definedName>
    <definedName name="solver_rel10" localSheetId="1" hidden="1">2</definedName>
    <definedName name="solver_rel11" localSheetId="1" hidden="1">2</definedName>
    <definedName name="solver_rel12" localSheetId="1" hidden="1">2</definedName>
    <definedName name="solver_rel2" localSheetId="0" hidden="1">2</definedName>
    <definedName name="solver_rel2" localSheetId="1" hidden="1">2</definedName>
    <definedName name="solver_rel3" localSheetId="0" hidden="1">2</definedName>
    <definedName name="solver_rel3" localSheetId="1" hidden="1">2</definedName>
    <definedName name="solver_rel4" localSheetId="0" hidden="1">2</definedName>
    <definedName name="solver_rel4" localSheetId="1" hidden="1">2</definedName>
    <definedName name="solver_rel5" localSheetId="0" hidden="1">2</definedName>
    <definedName name="solver_rel5" localSheetId="1" hidden="1">2</definedName>
    <definedName name="solver_rel6" localSheetId="1" hidden="1">2</definedName>
    <definedName name="solver_rel7" localSheetId="1" hidden="1">2</definedName>
    <definedName name="solver_rel8" localSheetId="1" hidden="1">2</definedName>
    <definedName name="solver_rel9" localSheetId="1" hidden="1">2</definedName>
    <definedName name="solver_rhs1" localSheetId="0" hidden="1">0</definedName>
    <definedName name="solver_rhs1" localSheetId="1" hidden="1">0</definedName>
    <definedName name="solver_rhs10" localSheetId="1" hidden="1">0</definedName>
    <definedName name="solver_rhs11" localSheetId="1" hidden="1">0</definedName>
    <definedName name="solver_rhs12" localSheetId="1" hidden="1">0</definedName>
    <definedName name="solver_rhs2" localSheetId="0" hidden="1">0</definedName>
    <definedName name="solver_rhs2" localSheetId="1" hidden="1">0</definedName>
    <definedName name="solver_rhs3" localSheetId="0" hidden="1">0</definedName>
    <definedName name="solver_rhs3" localSheetId="1" hidden="1">0</definedName>
    <definedName name="solver_rhs4" localSheetId="0" hidden="1">0</definedName>
    <definedName name="solver_rhs4" localSheetId="1" hidden="1">0</definedName>
    <definedName name="solver_rhs5" localSheetId="0" hidden="1">0</definedName>
    <definedName name="solver_rhs5" localSheetId="1" hidden="1">0</definedName>
    <definedName name="solver_rhs6" localSheetId="1" hidden="1">0</definedName>
    <definedName name="solver_rhs7" localSheetId="1" hidden="1">0</definedName>
    <definedName name="solver_rhs8" localSheetId="1" hidden="1">0</definedName>
    <definedName name="solver_rhs9" localSheetId="1" hidden="1">0</definedName>
    <definedName name="solver_rlx" localSheetId="0" hidden="1">2</definedName>
    <definedName name="solver_rlx" localSheetId="1" hidden="1">2</definedName>
    <definedName name="solver_rsd" localSheetId="0" hidden="1">0</definedName>
    <definedName name="solver_rsd" localSheetId="1" hidden="1">0</definedName>
    <definedName name="solver_scl" localSheetId="0" hidden="1">1</definedName>
    <definedName name="solver_scl" localSheetId="1" hidden="1">1</definedName>
    <definedName name="solver_sho" localSheetId="0" hidden="1">2</definedName>
    <definedName name="solver_sho" localSheetId="1" hidden="1">2</definedName>
    <definedName name="solver_ssz" localSheetId="0" hidden="1">100</definedName>
    <definedName name="solver_ssz" localSheetId="1" hidden="1">100</definedName>
    <definedName name="solver_tim" localSheetId="0" hidden="1">2147483647</definedName>
    <definedName name="solver_tim" localSheetId="1" hidden="1">1000</definedName>
    <definedName name="solver_tol" localSheetId="0" hidden="1">0.01</definedName>
    <definedName name="solver_tol" localSheetId="1" hidden="1">0.01</definedName>
    <definedName name="solver_typ" localSheetId="0" hidden="1">3</definedName>
    <definedName name="solver_typ" localSheetId="1" hidden="1">3</definedName>
    <definedName name="solver_val" localSheetId="0" hidden="1">0</definedName>
    <definedName name="solver_val" localSheetId="1" hidden="1">0</definedName>
    <definedName name="solver_ver" localSheetId="0" hidden="1">3</definedName>
    <definedName name="solver_ver" localSheetId="1" hidden="1">3</definedName>
    <definedName name="T" localSheetId="0">Calibration!$C$55</definedName>
    <definedName name="T">Model!$C$55</definedName>
    <definedName name="Target">Model!$I$41</definedName>
    <definedName name="tauL" localSheetId="0">Calibration!$C$50:$D$50</definedName>
    <definedName name="tauL" localSheetId="1">Model!$C$50:$D$50</definedName>
    <definedName name="tauTS" localSheetId="0">Calibration!$C$52:$D$52</definedName>
    <definedName name="tauTS" localSheetId="1">Model!$C$52:$D$52</definedName>
    <definedName name="tauTS2" localSheetId="1">Model!$D$52</definedName>
    <definedName name="tauTVA" localSheetId="0">Calibration!$C$52:$D$52</definedName>
    <definedName name="tauTVA" localSheetId="1">Model!$C$52:$D$52</definedName>
    <definedName name="tauY" localSheetId="0">Calibration!$C$51:$D$51</definedName>
    <definedName name="tauY" localSheetId="1">Model!$C$51:$D$51</definedName>
    <definedName name="tEXC" localSheetId="0">Calibration!$C$53:$D$53</definedName>
    <definedName name="tEXC" localSheetId="1">Model!$C$53:$D$53</definedName>
    <definedName name="tEXC1" localSheetId="0">Calibration!$C$53</definedName>
    <definedName name="tEXC1" localSheetId="1">Model!$C$53</definedName>
    <definedName name="tEXC2" localSheetId="0">Calibration!$D$53</definedName>
    <definedName name="tEXC2" localSheetId="1">Model!$D$53</definedName>
    <definedName name="U" localSheetId="0">Calibration!$C$56</definedName>
    <definedName name="U" localSheetId="1">Model!$C$56</definedName>
    <definedName name="VARIABLES" localSheetId="0">Calibration!$C$114:$D$123</definedName>
    <definedName name="VARIABLES" localSheetId="1">Model!$C$80:$D$89</definedName>
    <definedName name="VOLUMES" localSheetId="0">Calibration!$C$37:$D$48</definedName>
    <definedName name="VOLUMES" localSheetId="1">Model!$C$37:$D$48</definedName>
    <definedName name="w" localSheetId="0">Calibration!$C$31:$D$31</definedName>
    <definedName name="w" localSheetId="1">Model!$C$31:$D$31</definedName>
    <definedName name="wE" localSheetId="1">Model!$D$31</definedName>
    <definedName name="wQ" localSheetId="1">Model!$C$31</definedName>
    <definedName name="X" localSheetId="0">Calibration!$C$44:$D$44</definedName>
    <definedName name="X" localSheetId="1">Model!$C$44:$D$44</definedName>
    <definedName name="XE" localSheetId="0">Calibration!$D$44</definedName>
    <definedName name="XE" localSheetId="1">Model!$D$44</definedName>
    <definedName name="Y" localSheetId="0">Calibration!$C$37:$D$37</definedName>
    <definedName name="Y" localSheetId="1">Model!$C$37:$D$37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5" i="39" l="1"/>
  <c r="J7" i="39"/>
  <c r="K7" i="39"/>
  <c r="L7" i="39"/>
  <c r="M7" i="39"/>
  <c r="N7" i="39"/>
  <c r="O7" i="39"/>
  <c r="P7" i="39"/>
  <c r="Q7" i="39"/>
  <c r="R7" i="39"/>
  <c r="X4" i="23"/>
  <c r="AV82" i="35"/>
  <c r="AP81" i="35"/>
  <c r="AN81" i="35"/>
  <c r="AH81" i="35"/>
  <c r="AF81" i="35"/>
  <c r="AD81" i="35"/>
  <c r="AB81" i="35"/>
  <c r="Z81" i="35"/>
  <c r="T81" i="35"/>
  <c r="R81" i="35"/>
  <c r="J81" i="35"/>
  <c r="H81" i="35"/>
  <c r="B81" i="35"/>
  <c r="AV80" i="35"/>
  <c r="AT80" i="35"/>
  <c r="AJ80" i="35"/>
  <c r="AH80" i="35"/>
  <c r="Z80" i="35"/>
  <c r="X80" i="35"/>
  <c r="R80" i="35"/>
  <c r="P80" i="35"/>
  <c r="N80" i="35"/>
  <c r="L80" i="35"/>
  <c r="D80" i="35"/>
  <c r="B80" i="35"/>
  <c r="AV79" i="35" a="1"/>
  <c r="AV79" i="35" s="1"/>
  <c r="AT79" i="35" a="1"/>
  <c r="AT79" i="35" s="1"/>
  <c r="AR79" i="35"/>
  <c r="AR79" i="35" a="1"/>
  <c r="AP79" i="35" a="1"/>
  <c r="AP79" i="35" s="1"/>
  <c r="AN79" i="35" a="1"/>
  <c r="AN79" i="35" s="1"/>
  <c r="AL79" i="35" a="1"/>
  <c r="AL79" i="35" s="1"/>
  <c r="AJ79" i="35" a="1"/>
  <c r="AJ79" i="35" s="1"/>
  <c r="AH79" i="35" a="1"/>
  <c r="AH79" i="35" s="1"/>
  <c r="AF79" i="35" a="1"/>
  <c r="AF79" i="35" s="1"/>
  <c r="AD79" i="35" a="1"/>
  <c r="AD79" i="35" s="1"/>
  <c r="AB79" i="35"/>
  <c r="AB79" i="35" a="1"/>
  <c r="Z79" i="35" a="1"/>
  <c r="Z79" i="35" s="1"/>
  <c r="X79" i="35" a="1"/>
  <c r="X79" i="35" s="1"/>
  <c r="V79" i="35" a="1"/>
  <c r="V79" i="35" s="1"/>
  <c r="T79" i="35" a="1"/>
  <c r="T79" i="35" s="1"/>
  <c r="R79" i="35" a="1"/>
  <c r="R79" i="35" s="1"/>
  <c r="P79" i="35" a="1"/>
  <c r="P79" i="35" s="1"/>
  <c r="N79" i="35" a="1"/>
  <c r="N79" i="35" s="1"/>
  <c r="L79" i="35"/>
  <c r="L79" i="35" a="1"/>
  <c r="J79" i="35" a="1"/>
  <c r="J79" i="35" s="1"/>
  <c r="H79" i="35" a="1"/>
  <c r="H79" i="35" s="1"/>
  <c r="F79" i="35" a="1"/>
  <c r="F79" i="35" s="1"/>
  <c r="D79" i="35" a="1"/>
  <c r="D79" i="35" s="1"/>
  <c r="B79" i="35" a="1"/>
  <c r="B79" i="35" s="1"/>
  <c r="AV78" i="35" a="1"/>
  <c r="AV78" i="35" s="1"/>
  <c r="AT78" i="35" a="1"/>
  <c r="AT78" i="35" s="1"/>
  <c r="AR78" i="35"/>
  <c r="AR78" i="35" a="1"/>
  <c r="AP78" i="35" a="1"/>
  <c r="AP78" i="35" s="1"/>
  <c r="AN78" i="35" a="1"/>
  <c r="AN78" i="35" s="1"/>
  <c r="AL78" i="35" a="1"/>
  <c r="AL78" i="35" s="1"/>
  <c r="AJ78" i="35" a="1"/>
  <c r="AJ78" i="35" s="1"/>
  <c r="AH78" i="35" a="1"/>
  <c r="AH78" i="35" s="1"/>
  <c r="AF78" i="35" a="1"/>
  <c r="AF78" i="35" s="1"/>
  <c r="AD78" i="35" a="1"/>
  <c r="AD78" i="35" s="1"/>
  <c r="AB78" i="35"/>
  <c r="AB78" i="35" a="1"/>
  <c r="Z78" i="35" a="1"/>
  <c r="Z78" i="35" s="1"/>
  <c r="X78" i="35" a="1"/>
  <c r="X78" i="35" s="1"/>
  <c r="V78" i="35" a="1"/>
  <c r="V78" i="35" s="1"/>
  <c r="T78" i="35" a="1"/>
  <c r="T78" i="35" s="1"/>
  <c r="R78" i="35" a="1"/>
  <c r="R78" i="35" s="1"/>
  <c r="P78" i="35" a="1"/>
  <c r="P78" i="35" s="1"/>
  <c r="N78" i="35" a="1"/>
  <c r="N78" i="35" s="1"/>
  <c r="L78" i="35"/>
  <c r="L78" i="35" a="1"/>
  <c r="J78" i="35" a="1"/>
  <c r="J78" i="35" s="1"/>
  <c r="H78" i="35" a="1"/>
  <c r="H78" i="35" s="1"/>
  <c r="F78" i="35" a="1"/>
  <c r="F78" i="35" s="1"/>
  <c r="D78" i="35" a="1"/>
  <c r="D78" i="35" s="1"/>
  <c r="B78" i="35" a="1"/>
  <c r="B78" i="35" s="1"/>
  <c r="AV77" i="35" a="1"/>
  <c r="AV77" i="35" s="1"/>
  <c r="AT77" i="35" a="1"/>
  <c r="AT77" i="35" s="1"/>
  <c r="AR77" i="35"/>
  <c r="AR77" i="35" a="1"/>
  <c r="AP77" i="35" a="1"/>
  <c r="AP77" i="35" s="1"/>
  <c r="AN77" i="35" a="1"/>
  <c r="AN77" i="35" s="1"/>
  <c r="AL77" i="35"/>
  <c r="AL77" i="35" a="1"/>
  <c r="AJ77" i="35" a="1"/>
  <c r="AJ77" i="35" s="1"/>
  <c r="AH77" i="35" a="1"/>
  <c r="AH77" i="35" s="1"/>
  <c r="AF77" i="35" a="1"/>
  <c r="AF77" i="35" s="1"/>
  <c r="AD77" i="35" a="1"/>
  <c r="AD77" i="35" s="1"/>
  <c r="AB77" i="35"/>
  <c r="AB77" i="35" a="1"/>
  <c r="Z77" i="35" a="1"/>
  <c r="Z77" i="35" s="1"/>
  <c r="X77" i="35" a="1"/>
  <c r="X77" i="35" s="1"/>
  <c r="V77" i="35" a="1"/>
  <c r="V77" i="35" s="1"/>
  <c r="T77" i="35" a="1"/>
  <c r="T77" i="35" s="1"/>
  <c r="R77" i="35" a="1"/>
  <c r="R77" i="35" s="1"/>
  <c r="P77" i="35" a="1"/>
  <c r="P77" i="35" s="1"/>
  <c r="N77" i="35" a="1"/>
  <c r="N77" i="35" s="1"/>
  <c r="L77" i="35"/>
  <c r="L77" i="35" a="1"/>
  <c r="J77" i="35" a="1"/>
  <c r="J77" i="35" s="1"/>
  <c r="H77" i="35" a="1"/>
  <c r="H77" i="35" s="1"/>
  <c r="F77" i="35" a="1"/>
  <c r="F77" i="35" s="1"/>
  <c r="D77" i="35" a="1"/>
  <c r="D77" i="35" s="1"/>
  <c r="B77" i="35" a="1"/>
  <c r="B77" i="35" s="1"/>
  <c r="AV76" i="35" a="1"/>
  <c r="AV76" i="35" s="1"/>
  <c r="AT76" i="35" a="1"/>
  <c r="AT76" i="35" s="1"/>
  <c r="AR76" i="35"/>
  <c r="AR76" i="35" a="1"/>
  <c r="AP76" i="35" a="1"/>
  <c r="AP76" i="35" s="1"/>
  <c r="AN76" i="35" a="1"/>
  <c r="AN76" i="35" s="1"/>
  <c r="AL76" i="35" a="1"/>
  <c r="AL76" i="35" s="1"/>
  <c r="AJ76" i="35" a="1"/>
  <c r="AJ76" i="35" s="1"/>
  <c r="AH76" i="35" a="1"/>
  <c r="AH76" i="35" s="1"/>
  <c r="AF76" i="35" a="1"/>
  <c r="AF76" i="35" s="1"/>
  <c r="AD76" i="35" a="1"/>
  <c r="AD76" i="35" s="1"/>
  <c r="AB76" i="35"/>
  <c r="AB76" i="35" a="1"/>
  <c r="Z76" i="35" a="1"/>
  <c r="Z76" i="35" s="1"/>
  <c r="X76" i="35" a="1"/>
  <c r="X76" i="35" s="1"/>
  <c r="V76" i="35" a="1"/>
  <c r="V76" i="35" s="1"/>
  <c r="T76" i="35" a="1"/>
  <c r="T76" i="35" s="1"/>
  <c r="R76" i="35" a="1"/>
  <c r="R76" i="35" s="1"/>
  <c r="P76" i="35" a="1"/>
  <c r="P76" i="35" s="1"/>
  <c r="N76" i="35" a="1"/>
  <c r="N76" i="35" s="1"/>
  <c r="L76" i="35"/>
  <c r="L76" i="35" a="1"/>
  <c r="J76" i="35" a="1"/>
  <c r="J76" i="35" s="1"/>
  <c r="H76" i="35" a="1"/>
  <c r="H76" i="35" s="1"/>
  <c r="F76" i="35" a="1"/>
  <c r="F76" i="35" s="1"/>
  <c r="D76" i="35" a="1"/>
  <c r="D76" i="35" s="1"/>
  <c r="B76" i="35" a="1"/>
  <c r="B76" i="35" s="1"/>
  <c r="AV75" i="35" a="1"/>
  <c r="AV75" i="35" s="1"/>
  <c r="AT75" i="35" a="1"/>
  <c r="AT75" i="35" s="1"/>
  <c r="AR75" i="35"/>
  <c r="AR75" i="35" a="1"/>
  <c r="AP75" i="35" a="1"/>
  <c r="AP75" i="35" s="1"/>
  <c r="AN75" i="35" a="1"/>
  <c r="AN75" i="35" s="1"/>
  <c r="AL75" i="35" a="1"/>
  <c r="AL75" i="35" s="1"/>
  <c r="AJ75" i="35" a="1"/>
  <c r="AJ75" i="35" s="1"/>
  <c r="AH75" i="35" a="1"/>
  <c r="AH75" i="35" s="1"/>
  <c r="AF75" i="35" a="1"/>
  <c r="AF75" i="35" s="1"/>
  <c r="AD75" i="35" a="1"/>
  <c r="AD75" i="35" s="1"/>
  <c r="AB75" i="35"/>
  <c r="AB75" i="35" a="1"/>
  <c r="Z75" i="35" a="1"/>
  <c r="Z75" i="35" s="1"/>
  <c r="X75" i="35" a="1"/>
  <c r="X75" i="35" s="1"/>
  <c r="V75" i="35" a="1"/>
  <c r="V75" i="35" s="1"/>
  <c r="T75" i="35" a="1"/>
  <c r="T75" i="35" s="1"/>
  <c r="R75" i="35" a="1"/>
  <c r="R75" i="35" s="1"/>
  <c r="P75" i="35" a="1"/>
  <c r="P75" i="35" s="1"/>
  <c r="N75" i="35" a="1"/>
  <c r="N75" i="35" s="1"/>
  <c r="L75" i="35"/>
  <c r="L75" i="35" a="1"/>
  <c r="J75" i="35" a="1"/>
  <c r="J75" i="35" s="1"/>
  <c r="H75" i="35" a="1"/>
  <c r="H75" i="35" s="1"/>
  <c r="F75" i="35"/>
  <c r="F75" i="35" a="1"/>
  <c r="D75" i="35" a="1"/>
  <c r="D75" i="35" s="1"/>
  <c r="B75" i="35" a="1"/>
  <c r="B75" i="35" s="1"/>
  <c r="AV74" i="35" a="1"/>
  <c r="AV74" i="35" s="1"/>
  <c r="AT74" i="35" a="1"/>
  <c r="AT74" i="35" s="1"/>
  <c r="AR74" i="35"/>
  <c r="AR74" i="35" a="1"/>
  <c r="AP74" i="35" a="1"/>
  <c r="AP74" i="35" s="1"/>
  <c r="AN74" i="35" a="1"/>
  <c r="AN74" i="35" s="1"/>
  <c r="AL74" i="35" a="1"/>
  <c r="AL74" i="35" s="1"/>
  <c r="AJ74" i="35" a="1"/>
  <c r="AJ74" i="35" s="1"/>
  <c r="AH74" i="35" a="1"/>
  <c r="AH74" i="35" s="1"/>
  <c r="AF74" i="35" a="1"/>
  <c r="AF74" i="35" s="1"/>
  <c r="AD74" i="35" a="1"/>
  <c r="AD74" i="35" s="1"/>
  <c r="AB74" i="35"/>
  <c r="AB74" i="35" a="1"/>
  <c r="Z74" i="35" a="1"/>
  <c r="Z74" i="35" s="1"/>
  <c r="X74" i="35" a="1"/>
  <c r="X74" i="35" s="1"/>
  <c r="V74" i="35" a="1"/>
  <c r="V74" i="35" s="1"/>
  <c r="T74" i="35" a="1"/>
  <c r="T74" i="35" s="1"/>
  <c r="R74" i="35" a="1"/>
  <c r="R74" i="35" s="1"/>
  <c r="P74" i="35" a="1"/>
  <c r="P74" i="35" s="1"/>
  <c r="N74" i="35" a="1"/>
  <c r="N74" i="35" s="1"/>
  <c r="L74" i="35"/>
  <c r="L74" i="35" a="1"/>
  <c r="J74" i="35" a="1"/>
  <c r="J74" i="35" s="1"/>
  <c r="H74" i="35" a="1"/>
  <c r="H74" i="35" s="1"/>
  <c r="F74" i="35" a="1"/>
  <c r="F74" i="35" s="1"/>
  <c r="D74" i="35" a="1"/>
  <c r="D74" i="35" s="1"/>
  <c r="B74" i="35" a="1"/>
  <c r="B74" i="35" s="1"/>
  <c r="AV73" i="35" a="1"/>
  <c r="AV73" i="35" s="1"/>
  <c r="AT73" i="35" a="1"/>
  <c r="AT73" i="35" s="1"/>
  <c r="AR73" i="35"/>
  <c r="AR73" i="35" a="1"/>
  <c r="AP73" i="35" a="1"/>
  <c r="AP73" i="35" s="1"/>
  <c r="AN73" i="35" a="1"/>
  <c r="AN73" i="35" s="1"/>
  <c r="AL73" i="35" a="1"/>
  <c r="AL73" i="35" s="1"/>
  <c r="AJ73" i="35" a="1"/>
  <c r="AJ73" i="35" s="1"/>
  <c r="AH73" i="35" a="1"/>
  <c r="AH73" i="35" s="1"/>
  <c r="AF73" i="35" a="1"/>
  <c r="AF73" i="35" s="1"/>
  <c r="AD73" i="35" a="1"/>
  <c r="AD73" i="35" s="1"/>
  <c r="AB73" i="35"/>
  <c r="AB73" i="35" a="1"/>
  <c r="Z73" i="35" a="1"/>
  <c r="Z73" i="35" s="1"/>
  <c r="X73" i="35" a="1"/>
  <c r="X73" i="35" s="1"/>
  <c r="V73" i="35" a="1"/>
  <c r="V73" i="35" s="1"/>
  <c r="T73" i="35" a="1"/>
  <c r="T73" i="35" s="1"/>
  <c r="R73" i="35" a="1"/>
  <c r="R73" i="35" s="1"/>
  <c r="P73" i="35" a="1"/>
  <c r="P73" i="35" s="1"/>
  <c r="N73" i="35" a="1"/>
  <c r="N73" i="35" s="1"/>
  <c r="L73" i="35"/>
  <c r="L73" i="35" a="1"/>
  <c r="J73" i="35" a="1"/>
  <c r="J73" i="35" s="1"/>
  <c r="H73" i="35" a="1"/>
  <c r="H73" i="35" s="1"/>
  <c r="F73" i="35" a="1"/>
  <c r="F73" i="35" s="1"/>
  <c r="D73" i="35" a="1"/>
  <c r="D73" i="35" s="1"/>
  <c r="B73" i="35" a="1"/>
  <c r="B73" i="35" s="1"/>
  <c r="AV72" i="35"/>
  <c r="AT72" i="35"/>
  <c r="AR72" i="35"/>
  <c r="AP72" i="35"/>
  <c r="AN72" i="35"/>
  <c r="AL72" i="35"/>
  <c r="AJ72" i="35"/>
  <c r="AH72" i="35"/>
  <c r="AF72" i="35"/>
  <c r="AD72" i="35"/>
  <c r="AB72" i="35"/>
  <c r="Z72" i="35"/>
  <c r="X72" i="35"/>
  <c r="V72" i="35"/>
  <c r="T72" i="35"/>
  <c r="R72" i="35"/>
  <c r="P72" i="35"/>
  <c r="N72" i="35"/>
  <c r="L72" i="35"/>
  <c r="J72" i="35"/>
  <c r="H72" i="35"/>
  <c r="F72" i="35"/>
  <c r="D72" i="35"/>
  <c r="B72" i="35"/>
  <c r="AV71" i="35"/>
  <c r="AT71" i="35"/>
  <c r="AR71" i="35"/>
  <c r="AP71" i="35"/>
  <c r="AN71" i="35"/>
  <c r="AL71" i="35"/>
  <c r="AJ71" i="35"/>
  <c r="AH71" i="35"/>
  <c r="AF71" i="35"/>
  <c r="AD71" i="35"/>
  <c r="AB71" i="35"/>
  <c r="Z71" i="35"/>
  <c r="X71" i="35"/>
  <c r="V71" i="35"/>
  <c r="T71" i="35"/>
  <c r="R71" i="35"/>
  <c r="P71" i="35"/>
  <c r="N71" i="35"/>
  <c r="L71" i="35"/>
  <c r="J71" i="35"/>
  <c r="H71" i="35"/>
  <c r="F71" i="35"/>
  <c r="D71" i="35"/>
  <c r="B71" i="35"/>
  <c r="AV70" i="35"/>
  <c r="AT70" i="35"/>
  <c r="AR70" i="35"/>
  <c r="AP70" i="35"/>
  <c r="AN70" i="35"/>
  <c r="AL70" i="35"/>
  <c r="AJ70" i="35"/>
  <c r="AH70" i="35"/>
  <c r="AF70" i="35"/>
  <c r="AD70" i="35"/>
  <c r="AB70" i="35"/>
  <c r="Z70" i="35"/>
  <c r="X70" i="35"/>
  <c r="V70" i="35"/>
  <c r="T70" i="35"/>
  <c r="R70" i="35"/>
  <c r="P70" i="35"/>
  <c r="N70" i="35"/>
  <c r="L70" i="35"/>
  <c r="J70" i="35"/>
  <c r="H70" i="35"/>
  <c r="F70" i="35"/>
  <c r="D70" i="35"/>
  <c r="B70" i="35"/>
  <c r="AR69" i="35"/>
  <c r="AP69" i="35"/>
  <c r="L69" i="35"/>
  <c r="J69" i="35"/>
  <c r="B69" i="35"/>
  <c r="AV67" i="35" a="1"/>
  <c r="AV67" i="35" s="1"/>
  <c r="AT67" i="35"/>
  <c r="AT67" i="35" a="1"/>
  <c r="AR67" i="35" a="1"/>
  <c r="AR67" i="35" s="1"/>
  <c r="AP67" i="35" a="1"/>
  <c r="AP67" i="35" s="1"/>
  <c r="AN67" i="35" a="1"/>
  <c r="AN67" i="35" s="1"/>
  <c r="AL67" i="35" a="1"/>
  <c r="AL67" i="35" s="1"/>
  <c r="AJ67" i="35"/>
  <c r="AJ67" i="35" a="1"/>
  <c r="AH67" i="35" a="1"/>
  <c r="AH67" i="35" s="1"/>
  <c r="AF67" i="35" a="1"/>
  <c r="AF67" i="35" s="1"/>
  <c r="AD67" i="35" a="1"/>
  <c r="AD67" i="35" s="1"/>
  <c r="AB67" i="35" a="1"/>
  <c r="AB67" i="35" s="1"/>
  <c r="Z67" i="35" a="1"/>
  <c r="Z67" i="35" s="1"/>
  <c r="X67" i="35" a="1"/>
  <c r="X67" i="35" s="1"/>
  <c r="V67" i="35" a="1"/>
  <c r="V67" i="35" s="1"/>
  <c r="T67" i="35"/>
  <c r="T67" i="35" a="1"/>
  <c r="R67" i="35" a="1"/>
  <c r="R67" i="35" s="1"/>
  <c r="P67" i="35" a="1"/>
  <c r="P67" i="35" s="1"/>
  <c r="N67" i="35" a="1"/>
  <c r="N67" i="35" s="1"/>
  <c r="L67" i="35" a="1"/>
  <c r="L67" i="35" s="1"/>
  <c r="J67" i="35" a="1"/>
  <c r="J67" i="35" s="1"/>
  <c r="H67" i="35" a="1"/>
  <c r="H67" i="35" s="1"/>
  <c r="F67" i="35" a="1"/>
  <c r="F67" i="35" s="1"/>
  <c r="D67" i="35"/>
  <c r="D67" i="35" a="1"/>
  <c r="B67" i="35" a="1"/>
  <c r="B67" i="35" s="1"/>
  <c r="AV66" i="35" a="1"/>
  <c r="AV66" i="35" s="1"/>
  <c r="AT66" i="35" a="1"/>
  <c r="AT66" i="35" s="1"/>
  <c r="AT68" i="35" s="1"/>
  <c r="AR66" i="35" a="1"/>
  <c r="AR66" i="35" s="1"/>
  <c r="AP66" i="35" a="1"/>
  <c r="AP66" i="35" s="1"/>
  <c r="AN66" i="35" a="1"/>
  <c r="AN66" i="35" s="1"/>
  <c r="AL66" i="35" a="1"/>
  <c r="AL66" i="35" s="1"/>
  <c r="AJ66" i="35"/>
  <c r="AJ68" i="35" s="1"/>
  <c r="AJ66" i="35" a="1"/>
  <c r="AH66" i="35" a="1"/>
  <c r="AH66" i="35" s="1"/>
  <c r="AH68" i="35" s="1"/>
  <c r="AF66" i="35" a="1"/>
  <c r="AF66" i="35" s="1"/>
  <c r="AF68" i="35" s="1"/>
  <c r="AD66" i="35" a="1"/>
  <c r="AD66" i="35" s="1"/>
  <c r="AD68" i="35" s="1"/>
  <c r="AB66" i="35" a="1"/>
  <c r="AB66" i="35" s="1"/>
  <c r="AB68" i="35" s="1"/>
  <c r="Z66" i="35" a="1"/>
  <c r="Z66" i="35" s="1"/>
  <c r="Z68" i="35" s="1"/>
  <c r="X66" i="35" a="1"/>
  <c r="X66" i="35" s="1"/>
  <c r="V66" i="35" a="1"/>
  <c r="V66" i="35" s="1"/>
  <c r="T66" i="35"/>
  <c r="T68" i="35" s="1"/>
  <c r="T66" i="35" a="1"/>
  <c r="R66" i="35" a="1"/>
  <c r="R66" i="35" s="1"/>
  <c r="P66" i="35" a="1"/>
  <c r="P66" i="35" s="1"/>
  <c r="N66" i="35" a="1"/>
  <c r="N66" i="35" s="1"/>
  <c r="L66" i="35" a="1"/>
  <c r="L66" i="35" s="1"/>
  <c r="J66" i="35" a="1"/>
  <c r="J66" i="35" s="1"/>
  <c r="H66" i="35" a="1"/>
  <c r="H66" i="35" s="1"/>
  <c r="H68" i="35" s="1"/>
  <c r="F66" i="35" a="1"/>
  <c r="F66" i="35" s="1"/>
  <c r="F68" i="35" s="1"/>
  <c r="D66" i="35"/>
  <c r="D68" i="35" s="1"/>
  <c r="D66" i="35" a="1"/>
  <c r="B66" i="35" a="1"/>
  <c r="B66" i="35" s="1"/>
  <c r="B68" i="35" s="1"/>
  <c r="AV65" i="35" a="1"/>
  <c r="AV65" i="35" s="1"/>
  <c r="AV69" i="35" s="1"/>
  <c r="AT65" i="35" a="1"/>
  <c r="AT65" i="35" s="1"/>
  <c r="AT69" i="35" s="1"/>
  <c r="AR65" i="35" a="1"/>
  <c r="AR65" i="35" s="1"/>
  <c r="AP65" i="35" a="1"/>
  <c r="AP65" i="35" s="1"/>
  <c r="AN65" i="35" a="1"/>
  <c r="AN65" i="35" s="1"/>
  <c r="AN69" i="35" s="1"/>
  <c r="AL65" i="35" a="1"/>
  <c r="AL65" i="35" s="1"/>
  <c r="AL69" i="35" s="1"/>
  <c r="AJ65" i="35"/>
  <c r="AJ69" i="35" s="1"/>
  <c r="AJ65" i="35" a="1"/>
  <c r="AH65" i="35" a="1"/>
  <c r="AH65" i="35" s="1"/>
  <c r="AH69" i="35" s="1"/>
  <c r="AF65" i="35" a="1"/>
  <c r="AF65" i="35" s="1"/>
  <c r="AF69" i="35" s="1"/>
  <c r="AD65" i="35" a="1"/>
  <c r="AD65" i="35" s="1"/>
  <c r="AD69" i="35" s="1"/>
  <c r="AB65" i="35" a="1"/>
  <c r="AB65" i="35" s="1"/>
  <c r="AB69" i="35" s="1"/>
  <c r="Z65" i="35" a="1"/>
  <c r="Z65" i="35" s="1"/>
  <c r="Z69" i="35" s="1"/>
  <c r="X65" i="35" a="1"/>
  <c r="X65" i="35" s="1"/>
  <c r="X69" i="35" s="1"/>
  <c r="V65" i="35" a="1"/>
  <c r="V65" i="35" s="1"/>
  <c r="V69" i="35" s="1"/>
  <c r="T65" i="35"/>
  <c r="T69" i="35" s="1"/>
  <c r="T65" i="35" a="1"/>
  <c r="R65" i="35" a="1"/>
  <c r="R65" i="35" s="1"/>
  <c r="R69" i="35" s="1"/>
  <c r="P65" i="35" a="1"/>
  <c r="P65" i="35" s="1"/>
  <c r="P69" i="35" s="1"/>
  <c r="N65" i="35"/>
  <c r="N69" i="35" s="1"/>
  <c r="N65" i="35" a="1"/>
  <c r="L65" i="35" a="1"/>
  <c r="L65" i="35" s="1"/>
  <c r="J65" i="35" a="1"/>
  <c r="J65" i="35" s="1"/>
  <c r="H65" i="35" a="1"/>
  <c r="H65" i="35" s="1"/>
  <c r="H69" i="35" s="1"/>
  <c r="F65" i="35" a="1"/>
  <c r="F65" i="35" s="1"/>
  <c r="F69" i="35" s="1"/>
  <c r="D65" i="35"/>
  <c r="D69" i="35" s="1"/>
  <c r="D65" i="35" a="1"/>
  <c r="B65" i="35"/>
  <c r="AV62" i="35"/>
  <c r="AT62" i="35"/>
  <c r="AR62" i="35"/>
  <c r="AP62" i="35"/>
  <c r="AN62" i="35"/>
  <c r="AL62" i="35"/>
  <c r="AJ62" i="35"/>
  <c r="AH62" i="35"/>
  <c r="AF62" i="35"/>
  <c r="AD62" i="35"/>
  <c r="AB62" i="35"/>
  <c r="Z62" i="35"/>
  <c r="X62" i="35"/>
  <c r="V62" i="35"/>
  <c r="T62" i="35"/>
  <c r="R62" i="35"/>
  <c r="P62" i="35"/>
  <c r="N62" i="35"/>
  <c r="L62" i="35"/>
  <c r="J62" i="35"/>
  <c r="H62" i="35"/>
  <c r="F62" i="35"/>
  <c r="D62" i="35"/>
  <c r="B62" i="35"/>
  <c r="AV60" i="35"/>
  <c r="AT60" i="35"/>
  <c r="AR60" i="35"/>
  <c r="AP60" i="35"/>
  <c r="AN60" i="35"/>
  <c r="AL60" i="35"/>
  <c r="AJ60" i="35"/>
  <c r="AH60" i="35"/>
  <c r="AF60" i="35"/>
  <c r="AD60" i="35"/>
  <c r="AB60" i="35"/>
  <c r="Z60" i="35"/>
  <c r="X60" i="35"/>
  <c r="V60" i="35"/>
  <c r="T60" i="35"/>
  <c r="R60" i="35"/>
  <c r="P60" i="35"/>
  <c r="N60" i="35"/>
  <c r="L60" i="35"/>
  <c r="J60" i="35"/>
  <c r="H60" i="35"/>
  <c r="F60" i="35"/>
  <c r="D60" i="35"/>
  <c r="B60" i="35"/>
  <c r="AV59" i="35"/>
  <c r="AT59" i="35"/>
  <c r="AR59" i="35"/>
  <c r="AP59" i="35"/>
  <c r="AN59" i="35"/>
  <c r="AL59" i="35"/>
  <c r="AJ59" i="35"/>
  <c r="AH59" i="35"/>
  <c r="AF59" i="35"/>
  <c r="AD59" i="35"/>
  <c r="AB59" i="35"/>
  <c r="Z59" i="35"/>
  <c r="X59" i="35"/>
  <c r="V59" i="35"/>
  <c r="T59" i="35"/>
  <c r="R59" i="35"/>
  <c r="P59" i="35"/>
  <c r="N59" i="35"/>
  <c r="L59" i="35"/>
  <c r="J59" i="35"/>
  <c r="H59" i="35"/>
  <c r="F59" i="35"/>
  <c r="D59" i="35"/>
  <c r="B59" i="35"/>
  <c r="AV58" i="35"/>
  <c r="AV58" i="35" a="1"/>
  <c r="AT58" i="35"/>
  <c r="AT58" i="35" a="1"/>
  <c r="AR58" i="35" a="1"/>
  <c r="AR58" i="35" s="1"/>
  <c r="AP58" i="35"/>
  <c r="AP58" i="35" a="1"/>
  <c r="AN58" i="35" a="1"/>
  <c r="AN58" i="35" s="1"/>
  <c r="AL58" i="35" a="1"/>
  <c r="AL58" i="35" s="1"/>
  <c r="AJ58" i="35"/>
  <c r="AJ58" i="35" a="1"/>
  <c r="AH58" i="35" a="1"/>
  <c r="AH58" i="35" s="1"/>
  <c r="AF58" i="35"/>
  <c r="AF58" i="35" a="1"/>
  <c r="AD58" i="35" a="1"/>
  <c r="AD58" i="35" s="1"/>
  <c r="AB58" i="35" a="1"/>
  <c r="AB58" i="35" s="1"/>
  <c r="Z58" i="35" a="1"/>
  <c r="Z58" i="35" s="1"/>
  <c r="X58" i="35" a="1"/>
  <c r="X58" i="35" s="1"/>
  <c r="V58" i="35" a="1"/>
  <c r="V58" i="35" s="1"/>
  <c r="T58" i="35"/>
  <c r="T58" i="35" a="1"/>
  <c r="R58" i="35" a="1"/>
  <c r="R58" i="35" s="1"/>
  <c r="P58" i="35"/>
  <c r="P58" i="35" a="1"/>
  <c r="N58" i="35" a="1"/>
  <c r="N58" i="35" s="1"/>
  <c r="L58" i="35" a="1"/>
  <c r="L58" i="35" s="1"/>
  <c r="J58" i="35" a="1"/>
  <c r="J58" i="35" s="1"/>
  <c r="H58" i="35" a="1"/>
  <c r="H58" i="35" s="1"/>
  <c r="F58" i="35" a="1"/>
  <c r="F58" i="35" s="1"/>
  <c r="D58" i="35"/>
  <c r="D58" i="35" a="1"/>
  <c r="B58" i="35" a="1"/>
  <c r="B58" i="35" s="1"/>
  <c r="AV57" i="35"/>
  <c r="AV57" i="35" a="1"/>
  <c r="AT57" i="35" a="1"/>
  <c r="AT57" i="35" s="1"/>
  <c r="AR57" i="35" a="1"/>
  <c r="AR57" i="35" s="1"/>
  <c r="AP57" i="35" a="1"/>
  <c r="AP57" i="35" s="1"/>
  <c r="AN57" i="35" a="1"/>
  <c r="AN57" i="35" s="1"/>
  <c r="AL57" i="35" a="1"/>
  <c r="AL57" i="35" s="1"/>
  <c r="AJ57" i="35"/>
  <c r="AJ57" i="35" a="1"/>
  <c r="AH57" i="35" a="1"/>
  <c r="AH57" i="35" s="1"/>
  <c r="AF57" i="35"/>
  <c r="AF57" i="35" a="1"/>
  <c r="AD57" i="35" a="1"/>
  <c r="AD57" i="35" s="1"/>
  <c r="AB57" i="35" a="1"/>
  <c r="AB57" i="35" s="1"/>
  <c r="Z57" i="35" a="1"/>
  <c r="Z57" i="35" s="1"/>
  <c r="X57" i="35" a="1"/>
  <c r="X57" i="35" s="1"/>
  <c r="V57" i="35" a="1"/>
  <c r="V57" i="35" s="1"/>
  <c r="T57" i="35"/>
  <c r="T57" i="35" a="1"/>
  <c r="R57" i="35" a="1"/>
  <c r="R57" i="35" s="1"/>
  <c r="P57" i="35"/>
  <c r="P57" i="35" a="1"/>
  <c r="N57" i="35" a="1"/>
  <c r="N57" i="35" s="1"/>
  <c r="L57" i="35" a="1"/>
  <c r="L57" i="35" s="1"/>
  <c r="J57" i="35" a="1"/>
  <c r="J57" i="35" s="1"/>
  <c r="H57" i="35" a="1"/>
  <c r="H57" i="35" s="1"/>
  <c r="F57" i="35"/>
  <c r="F57" i="35" a="1"/>
  <c r="D57" i="35"/>
  <c r="D57" i="35" a="1"/>
  <c r="B57" i="35" a="1"/>
  <c r="B57" i="35" s="1"/>
  <c r="AV56" i="35"/>
  <c r="AT56" i="35"/>
  <c r="AR56" i="35"/>
  <c r="AP56" i="35"/>
  <c r="AN56" i="35"/>
  <c r="AL56" i="35"/>
  <c r="AJ56" i="35"/>
  <c r="AH56" i="35"/>
  <c r="AF56" i="35"/>
  <c r="AD56" i="35"/>
  <c r="AB56" i="35"/>
  <c r="Z56" i="35"/>
  <c r="X56" i="35"/>
  <c r="V56" i="35"/>
  <c r="T56" i="35"/>
  <c r="R56" i="35"/>
  <c r="P56" i="35"/>
  <c r="N56" i="35"/>
  <c r="L56" i="35"/>
  <c r="J56" i="35"/>
  <c r="H56" i="35"/>
  <c r="F56" i="35"/>
  <c r="D56" i="35"/>
  <c r="B56" i="35"/>
  <c r="AV55" i="35"/>
  <c r="AT55" i="35"/>
  <c r="AR55" i="35"/>
  <c r="AR80" i="35" s="1"/>
  <c r="AP55" i="35"/>
  <c r="AP80" i="35" s="1"/>
  <c r="AN55" i="35"/>
  <c r="AN80" i="35" s="1"/>
  <c r="AL55" i="35"/>
  <c r="AL80" i="35" s="1"/>
  <c r="AJ55" i="35"/>
  <c r="AH55" i="35"/>
  <c r="AF55" i="35"/>
  <c r="AF80" i="35" s="1"/>
  <c r="AD55" i="35"/>
  <c r="AD80" i="35" s="1"/>
  <c r="AB55" i="35"/>
  <c r="AB80" i="35" s="1"/>
  <c r="Z55" i="35"/>
  <c r="X55" i="35"/>
  <c r="V55" i="35"/>
  <c r="V80" i="35" s="1"/>
  <c r="T55" i="35"/>
  <c r="T80" i="35" s="1"/>
  <c r="R55" i="35"/>
  <c r="P55" i="35"/>
  <c r="N55" i="35"/>
  <c r="L55" i="35"/>
  <c r="J55" i="35"/>
  <c r="J80" i="35" s="1"/>
  <c r="H55" i="35"/>
  <c r="H80" i="35" s="1"/>
  <c r="F55" i="35"/>
  <c r="F80" i="35" s="1"/>
  <c r="D55" i="35"/>
  <c r="B55" i="35"/>
  <c r="AV53" i="35"/>
  <c r="AV83" i="35" s="1"/>
  <c r="AV53" i="35" a="1"/>
  <c r="AT53" i="35" a="1"/>
  <c r="AT53" i="35" s="1"/>
  <c r="AT83" i="35" s="1"/>
  <c r="AR53" i="35" a="1"/>
  <c r="AR53" i="35" s="1"/>
  <c r="AR83" i="35" s="1"/>
  <c r="AP53" i="35" a="1"/>
  <c r="AP53" i="35" s="1"/>
  <c r="AP83" i="35" s="1"/>
  <c r="AN53" i="35" a="1"/>
  <c r="AN53" i="35" s="1"/>
  <c r="AN83" i="35" s="1"/>
  <c r="AL53" i="35" a="1"/>
  <c r="AL53" i="35" s="1"/>
  <c r="AL83" i="35" s="1"/>
  <c r="AJ53" i="35"/>
  <c r="AJ83" i="35" s="1"/>
  <c r="AJ53" i="35" a="1"/>
  <c r="AH53" i="35" a="1"/>
  <c r="AH53" i="35" s="1"/>
  <c r="AH83" i="35" s="1"/>
  <c r="AF53" i="35"/>
  <c r="AF83" i="35" s="1"/>
  <c r="AF53" i="35" a="1"/>
  <c r="AD53" i="35" a="1"/>
  <c r="AD53" i="35" s="1"/>
  <c r="AD83" i="35" s="1"/>
  <c r="AB53" i="35" a="1"/>
  <c r="AB53" i="35" s="1"/>
  <c r="AB83" i="35" s="1"/>
  <c r="Z53" i="35" a="1"/>
  <c r="Z53" i="35" s="1"/>
  <c r="Z83" i="35" s="1"/>
  <c r="X53" i="35" a="1"/>
  <c r="X53" i="35" s="1"/>
  <c r="X83" i="35" s="1"/>
  <c r="V53" i="35" a="1"/>
  <c r="V53" i="35" s="1"/>
  <c r="V83" i="35" s="1"/>
  <c r="T53" i="35"/>
  <c r="T83" i="35" s="1"/>
  <c r="T53" i="35" a="1"/>
  <c r="R53" i="35" a="1"/>
  <c r="R53" i="35" s="1"/>
  <c r="R83" i="35" s="1"/>
  <c r="P53" i="35"/>
  <c r="P83" i="35" s="1"/>
  <c r="P53" i="35" a="1"/>
  <c r="N53" i="35" a="1"/>
  <c r="N53" i="35" s="1"/>
  <c r="N83" i="35" s="1"/>
  <c r="L53" i="35" a="1"/>
  <c r="L53" i="35" s="1"/>
  <c r="L83" i="35" s="1"/>
  <c r="J53" i="35" a="1"/>
  <c r="J53" i="35" s="1"/>
  <c r="J83" i="35" s="1"/>
  <c r="H53" i="35" a="1"/>
  <c r="H53" i="35" s="1"/>
  <c r="H83" i="35" s="1"/>
  <c r="F53" i="35"/>
  <c r="F83" i="35" s="1"/>
  <c r="F53" i="35" a="1"/>
  <c r="D53" i="35"/>
  <c r="D83" i="35" s="1"/>
  <c r="D53" i="35" a="1"/>
  <c r="B53" i="35" a="1"/>
  <c r="B53" i="35" s="1"/>
  <c r="B83" i="35" s="1"/>
  <c r="AV52" i="35"/>
  <c r="AV52" i="35" a="1"/>
  <c r="AT52" i="35" a="1"/>
  <c r="AT52" i="35" s="1"/>
  <c r="AT82" i="35" s="1"/>
  <c r="AR52" i="35" a="1"/>
  <c r="AR52" i="35" s="1"/>
  <c r="AR82" i="35" s="1"/>
  <c r="AP52" i="35" a="1"/>
  <c r="AP52" i="35" s="1"/>
  <c r="AP82" i="35" s="1"/>
  <c r="AN52" i="35" a="1"/>
  <c r="AN52" i="35" s="1"/>
  <c r="AN82" i="35" s="1"/>
  <c r="AL52" i="35"/>
  <c r="AL82" i="35" s="1"/>
  <c r="AL52" i="35" a="1"/>
  <c r="AJ52" i="35"/>
  <c r="AJ82" i="35" s="1"/>
  <c r="AJ52" i="35" a="1"/>
  <c r="AH52" i="35" a="1"/>
  <c r="AH52" i="35" s="1"/>
  <c r="AH82" i="35" s="1"/>
  <c r="AF52" i="35"/>
  <c r="AF82" i="35" s="1"/>
  <c r="AF52" i="35" a="1"/>
  <c r="AD52" i="35" a="1"/>
  <c r="AD52" i="35" s="1"/>
  <c r="AD82" i="35" s="1"/>
  <c r="AB52" i="35" a="1"/>
  <c r="AB52" i="35" s="1"/>
  <c r="AB82" i="35" s="1"/>
  <c r="Z52" i="35" a="1"/>
  <c r="Z52" i="35" s="1"/>
  <c r="Z82" i="35" s="1"/>
  <c r="X52" i="35" a="1"/>
  <c r="X52" i="35" s="1"/>
  <c r="X82" i="35" s="1"/>
  <c r="V52" i="35" a="1"/>
  <c r="V52" i="35" s="1"/>
  <c r="V82" i="35" s="1"/>
  <c r="T52" i="35"/>
  <c r="T82" i="35" s="1"/>
  <c r="T52" i="35" a="1"/>
  <c r="R52" i="35" a="1"/>
  <c r="R52" i="35" s="1"/>
  <c r="R82" i="35" s="1"/>
  <c r="P52" i="35"/>
  <c r="P82" i="35" s="1"/>
  <c r="P52" i="35" a="1"/>
  <c r="N52" i="35" a="1"/>
  <c r="N52" i="35" s="1"/>
  <c r="N82" i="35" s="1"/>
  <c r="L52" i="35" a="1"/>
  <c r="L52" i="35" s="1"/>
  <c r="L82" i="35" s="1"/>
  <c r="J52" i="35" a="1"/>
  <c r="J52" i="35" s="1"/>
  <c r="J82" i="35" s="1"/>
  <c r="H52" i="35" a="1"/>
  <c r="H52" i="35" s="1"/>
  <c r="H82" i="35" s="1"/>
  <c r="F52" i="35"/>
  <c r="F82" i="35" s="1"/>
  <c r="F52" i="35" a="1"/>
  <c r="D52" i="35"/>
  <c r="D82" i="35" s="1"/>
  <c r="D52" i="35" a="1"/>
  <c r="B52" i="35" a="1"/>
  <c r="B52" i="35" s="1"/>
  <c r="B82" i="35" s="1"/>
  <c r="AV51" i="35"/>
  <c r="AV81" i="35" s="1"/>
  <c r="AT51" i="35"/>
  <c r="AT81" i="35" s="1"/>
  <c r="AR51" i="35"/>
  <c r="AR81" i="35" s="1"/>
  <c r="AP51" i="35"/>
  <c r="AN51" i="35"/>
  <c r="AL51" i="35"/>
  <c r="AL81" i="35" s="1"/>
  <c r="AJ51" i="35"/>
  <c r="AJ81" i="35" s="1"/>
  <c r="AH51" i="35"/>
  <c r="AF51" i="35"/>
  <c r="AD51" i="35"/>
  <c r="AB51" i="35"/>
  <c r="Z51" i="35"/>
  <c r="X51" i="35"/>
  <c r="X81" i="35" s="1"/>
  <c r="V51" i="35"/>
  <c r="V81" i="35" s="1"/>
  <c r="T51" i="35"/>
  <c r="R51" i="35"/>
  <c r="P51" i="35"/>
  <c r="P81" i="35" s="1"/>
  <c r="N51" i="35"/>
  <c r="N81" i="35" s="1"/>
  <c r="L51" i="35"/>
  <c r="L81" i="35" s="1"/>
  <c r="J51" i="35"/>
  <c r="H51" i="35"/>
  <c r="F51" i="35"/>
  <c r="F81" i="35" s="1"/>
  <c r="D51" i="35"/>
  <c r="D81" i="35" s="1"/>
  <c r="B51" i="35"/>
  <c r="AV49" i="35"/>
  <c r="AT49" i="35"/>
  <c r="AR49" i="35"/>
  <c r="AP49" i="35"/>
  <c r="AN49" i="35"/>
  <c r="AL49" i="35"/>
  <c r="AJ49" i="35"/>
  <c r="AH49" i="35"/>
  <c r="AF49" i="35"/>
  <c r="AD49" i="35"/>
  <c r="AB49" i="35"/>
  <c r="Z49" i="35"/>
  <c r="X49" i="35"/>
  <c r="V49" i="35"/>
  <c r="T49" i="35"/>
  <c r="R49" i="35"/>
  <c r="P49" i="35"/>
  <c r="N49" i="35"/>
  <c r="L49" i="35"/>
  <c r="J49" i="35"/>
  <c r="H49" i="35"/>
  <c r="F49" i="35"/>
  <c r="D49" i="35"/>
  <c r="B49" i="35"/>
  <c r="AV48" i="35"/>
  <c r="AT48" i="35"/>
  <c r="AR48" i="35"/>
  <c r="AP48" i="35"/>
  <c r="AN48" i="35"/>
  <c r="AL48" i="35"/>
  <c r="AJ48" i="35"/>
  <c r="AH48" i="35"/>
  <c r="AF48" i="35"/>
  <c r="AD48" i="35"/>
  <c r="AB48" i="35"/>
  <c r="Z48" i="35"/>
  <c r="X48" i="35"/>
  <c r="V48" i="35"/>
  <c r="T48" i="35"/>
  <c r="R48" i="35"/>
  <c r="P48" i="35"/>
  <c r="N48" i="35"/>
  <c r="L48" i="35"/>
  <c r="J48" i="35"/>
  <c r="H48" i="35"/>
  <c r="F48" i="35"/>
  <c r="D48" i="35"/>
  <c r="B48" i="35"/>
  <c r="AV46" i="35"/>
  <c r="AT46" i="35"/>
  <c r="AR46" i="35"/>
  <c r="AP46" i="35"/>
  <c r="AN46" i="35"/>
  <c r="AL46" i="35"/>
  <c r="AJ46" i="35"/>
  <c r="AH46" i="35"/>
  <c r="AF46" i="35"/>
  <c r="AD46" i="35"/>
  <c r="AB46" i="35"/>
  <c r="Z46" i="35"/>
  <c r="X46" i="35"/>
  <c r="V46" i="35"/>
  <c r="T46" i="35"/>
  <c r="R46" i="35"/>
  <c r="P46" i="35"/>
  <c r="N46" i="35"/>
  <c r="L46" i="35"/>
  <c r="J46" i="35"/>
  <c r="H46" i="35"/>
  <c r="F46" i="35"/>
  <c r="D46" i="35"/>
  <c r="B46" i="35"/>
  <c r="AV45" i="35"/>
  <c r="AT45" i="35"/>
  <c r="AR45" i="35"/>
  <c r="AP45" i="35"/>
  <c r="AN45" i="35"/>
  <c r="AL45" i="35"/>
  <c r="AJ45" i="35"/>
  <c r="AH45" i="35"/>
  <c r="AF45" i="35"/>
  <c r="AD45" i="35"/>
  <c r="AB45" i="35"/>
  <c r="Z45" i="35"/>
  <c r="X45" i="35"/>
  <c r="V45" i="35"/>
  <c r="T45" i="35"/>
  <c r="R45" i="35"/>
  <c r="P45" i="35"/>
  <c r="N45" i="35"/>
  <c r="L45" i="35"/>
  <c r="J45" i="35"/>
  <c r="H45" i="35"/>
  <c r="F45" i="35"/>
  <c r="D45" i="35"/>
  <c r="B45" i="35"/>
  <c r="AV44" i="35"/>
  <c r="AT44" i="35"/>
  <c r="AR44" i="35"/>
  <c r="AP44" i="35"/>
  <c r="AN44" i="35"/>
  <c r="AL44" i="35"/>
  <c r="AJ44" i="35"/>
  <c r="AH44" i="35"/>
  <c r="AF44" i="35"/>
  <c r="AD44" i="35"/>
  <c r="AB44" i="35"/>
  <c r="Z44" i="35"/>
  <c r="X44" i="35"/>
  <c r="V44" i="35"/>
  <c r="T44" i="35"/>
  <c r="R44" i="35"/>
  <c r="P44" i="35"/>
  <c r="N44" i="35"/>
  <c r="L44" i="35"/>
  <c r="J44" i="35"/>
  <c r="H44" i="35"/>
  <c r="F44" i="35"/>
  <c r="D44" i="35"/>
  <c r="B44" i="35"/>
  <c r="AV43" i="35"/>
  <c r="AV43" i="35" a="1"/>
  <c r="AT43" i="35" a="1"/>
  <c r="AT43" i="35" s="1"/>
  <c r="AR43" i="35" a="1"/>
  <c r="AR43" i="35" s="1"/>
  <c r="AP43" i="35"/>
  <c r="AP43" i="35" a="1"/>
  <c r="AN43" i="35" a="1"/>
  <c r="AN43" i="35" s="1"/>
  <c r="AL43" i="35" a="1"/>
  <c r="AL43" i="35" s="1"/>
  <c r="AJ43" i="35"/>
  <c r="AJ43" i="35" a="1"/>
  <c r="AH43" i="35" a="1"/>
  <c r="AH43" i="35" s="1"/>
  <c r="AF43" i="35"/>
  <c r="AF43" i="35" a="1"/>
  <c r="AD43" i="35" a="1"/>
  <c r="AD43" i="35" s="1"/>
  <c r="AB43" i="35" a="1"/>
  <c r="AB43" i="35" s="1"/>
  <c r="Z43" i="35"/>
  <c r="Z43" i="35" a="1"/>
  <c r="X43" i="35" a="1"/>
  <c r="X43" i="35" s="1"/>
  <c r="V43" i="35" a="1"/>
  <c r="V43" i="35" s="1"/>
  <c r="T43" i="35"/>
  <c r="T43" i="35" a="1"/>
  <c r="R43" i="35" a="1"/>
  <c r="R43" i="35" s="1"/>
  <c r="P43" i="35"/>
  <c r="P43" i="35" a="1"/>
  <c r="N43" i="35" a="1"/>
  <c r="N43" i="35" s="1"/>
  <c r="L43" i="35" a="1"/>
  <c r="L43" i="35" s="1"/>
  <c r="J43" i="35" a="1"/>
  <c r="J43" i="35" s="1"/>
  <c r="H43" i="35" a="1"/>
  <c r="H43" i="35" s="1"/>
  <c r="F43" i="35"/>
  <c r="F43" i="35" a="1"/>
  <c r="D43" i="35"/>
  <c r="D43" i="35" a="1"/>
  <c r="B43" i="35"/>
  <c r="AV42" i="35"/>
  <c r="AT42" i="35"/>
  <c r="AR42" i="35"/>
  <c r="AP42" i="35"/>
  <c r="AN42" i="35"/>
  <c r="AL42" i="35"/>
  <c r="AJ42" i="35"/>
  <c r="AH42" i="35"/>
  <c r="AF42" i="35"/>
  <c r="AD42" i="35"/>
  <c r="AB42" i="35"/>
  <c r="Z42" i="35"/>
  <c r="X42" i="35"/>
  <c r="V42" i="35"/>
  <c r="T42" i="35"/>
  <c r="R42" i="35"/>
  <c r="P42" i="35"/>
  <c r="N42" i="35"/>
  <c r="L42" i="35"/>
  <c r="J42" i="35"/>
  <c r="H42" i="35"/>
  <c r="F42" i="35"/>
  <c r="D42" i="35"/>
  <c r="B42" i="35"/>
  <c r="K58" i="2" a="1"/>
  <c r="K57" i="2" a="1"/>
  <c r="K56" i="2" a="1"/>
  <c r="K55" i="2" a="1"/>
  <c r="AP81" i="38"/>
  <c r="AN81" i="38"/>
  <c r="AF81" i="38"/>
  <c r="AD81" i="38"/>
  <c r="AB81" i="38"/>
  <c r="Z81" i="38"/>
  <c r="R81" i="38"/>
  <c r="J81" i="38"/>
  <c r="H81" i="38"/>
  <c r="AV80" i="38"/>
  <c r="AT80" i="38"/>
  <c r="AR80" i="38"/>
  <c r="AP80" i="38"/>
  <c r="AH80" i="38"/>
  <c r="Z80" i="38"/>
  <c r="X80" i="38"/>
  <c r="P80" i="38"/>
  <c r="N80" i="38"/>
  <c r="L80" i="38"/>
  <c r="J80" i="38"/>
  <c r="B80" i="38"/>
  <c r="AV79" i="38" a="1"/>
  <c r="AV79" i="38" s="1"/>
  <c r="AT79" i="38" a="1"/>
  <c r="AT79" i="38" s="1"/>
  <c r="AR79" i="38"/>
  <c r="AR79" i="38" a="1"/>
  <c r="AP79" i="38" a="1"/>
  <c r="AP79" i="38" s="1"/>
  <c r="AN79" i="38" a="1"/>
  <c r="AN79" i="38" s="1"/>
  <c r="AL79" i="38" a="1"/>
  <c r="AL79" i="38" s="1"/>
  <c r="AJ79" i="38" a="1"/>
  <c r="AJ79" i="38" s="1"/>
  <c r="AH79" i="38" a="1"/>
  <c r="AH79" i="38" s="1"/>
  <c r="AF79" i="38" a="1"/>
  <c r="AF79" i="38" s="1"/>
  <c r="AD79" i="38" a="1"/>
  <c r="AD79" i="38" s="1"/>
  <c r="AB79" i="38"/>
  <c r="AB79" i="38" a="1"/>
  <c r="Z79" i="38" a="1"/>
  <c r="Z79" i="38" s="1"/>
  <c r="X79" i="38" a="1"/>
  <c r="X79" i="38" s="1"/>
  <c r="V79" i="38" a="1"/>
  <c r="V79" i="38" s="1"/>
  <c r="T79" i="38" a="1"/>
  <c r="T79" i="38" s="1"/>
  <c r="R79" i="38" a="1"/>
  <c r="R79" i="38" s="1"/>
  <c r="P79" i="38" a="1"/>
  <c r="P79" i="38" s="1"/>
  <c r="N79" i="38" a="1"/>
  <c r="N79" i="38" s="1"/>
  <c r="L79" i="38"/>
  <c r="L79" i="38" a="1"/>
  <c r="J79" i="38" a="1"/>
  <c r="J79" i="38" s="1"/>
  <c r="H79" i="38" a="1"/>
  <c r="H79" i="38" s="1"/>
  <c r="F79" i="38" a="1"/>
  <c r="F79" i="38" s="1"/>
  <c r="D79" i="38" a="1"/>
  <c r="D79" i="38" s="1"/>
  <c r="B79" i="38" a="1"/>
  <c r="B79" i="38" s="1"/>
  <c r="AV78" i="38" a="1"/>
  <c r="AV78" i="38" s="1"/>
  <c r="AT78" i="38" a="1"/>
  <c r="AT78" i="38" s="1"/>
  <c r="AR78" i="38"/>
  <c r="AR78" i="38" a="1"/>
  <c r="AP78" i="38" a="1"/>
  <c r="AP78" i="38" s="1"/>
  <c r="AN78" i="38" a="1"/>
  <c r="AN78" i="38" s="1"/>
  <c r="AL78" i="38" a="1"/>
  <c r="AL78" i="38" s="1"/>
  <c r="AJ78" i="38" a="1"/>
  <c r="AJ78" i="38" s="1"/>
  <c r="AH78" i="38" a="1"/>
  <c r="AH78" i="38" s="1"/>
  <c r="AF78" i="38" a="1"/>
  <c r="AF78" i="38" s="1"/>
  <c r="AD78" i="38" a="1"/>
  <c r="AD78" i="38" s="1"/>
  <c r="AB78" i="38"/>
  <c r="AB78" i="38" a="1"/>
  <c r="Z78" i="38" a="1"/>
  <c r="Z78" i="38" s="1"/>
  <c r="X78" i="38" a="1"/>
  <c r="X78" i="38" s="1"/>
  <c r="V78" i="38" a="1"/>
  <c r="V78" i="38" s="1"/>
  <c r="T78" i="38" a="1"/>
  <c r="T78" i="38" s="1"/>
  <c r="R78" i="38" a="1"/>
  <c r="R78" i="38" s="1"/>
  <c r="P78" i="38" a="1"/>
  <c r="P78" i="38" s="1"/>
  <c r="N78" i="38" a="1"/>
  <c r="N78" i="38" s="1"/>
  <c r="L78" i="38"/>
  <c r="L78" i="38" a="1"/>
  <c r="J78" i="38" a="1"/>
  <c r="J78" i="38" s="1"/>
  <c r="H78" i="38" a="1"/>
  <c r="H78" i="38" s="1"/>
  <c r="F78" i="38" a="1"/>
  <c r="F78" i="38" s="1"/>
  <c r="D78" i="38" a="1"/>
  <c r="D78" i="38" s="1"/>
  <c r="B78" i="38" a="1"/>
  <c r="B78" i="38" s="1"/>
  <c r="AV77" i="38" a="1"/>
  <c r="AV77" i="38" s="1"/>
  <c r="AT77" i="38" a="1"/>
  <c r="AT77" i="38" s="1"/>
  <c r="AR77" i="38"/>
  <c r="AR77" i="38" a="1"/>
  <c r="AP77" i="38" a="1"/>
  <c r="AP77" i="38" s="1"/>
  <c r="AN77" i="38" a="1"/>
  <c r="AN77" i="38" s="1"/>
  <c r="AL77" i="38" a="1"/>
  <c r="AL77" i="38" s="1"/>
  <c r="AJ77" i="38" a="1"/>
  <c r="AJ77" i="38" s="1"/>
  <c r="AH77" i="38" a="1"/>
  <c r="AH77" i="38" s="1"/>
  <c r="AF77" i="38" a="1"/>
  <c r="AF77" i="38" s="1"/>
  <c r="AD77" i="38" a="1"/>
  <c r="AD77" i="38" s="1"/>
  <c r="AB77" i="38"/>
  <c r="AB77" i="38" a="1"/>
  <c r="Z77" i="38" a="1"/>
  <c r="Z77" i="38" s="1"/>
  <c r="X77" i="38" a="1"/>
  <c r="X77" i="38" s="1"/>
  <c r="V77" i="38" a="1"/>
  <c r="V77" i="38" s="1"/>
  <c r="T77" i="38" a="1"/>
  <c r="T77" i="38" s="1"/>
  <c r="R77" i="38" a="1"/>
  <c r="R77" i="38" s="1"/>
  <c r="P77" i="38" a="1"/>
  <c r="P77" i="38" s="1"/>
  <c r="N77" i="38" a="1"/>
  <c r="N77" i="38" s="1"/>
  <c r="L77" i="38"/>
  <c r="L77" i="38" a="1"/>
  <c r="J77" i="38" a="1"/>
  <c r="J77" i="38" s="1"/>
  <c r="H77" i="38" a="1"/>
  <c r="H77" i="38" s="1"/>
  <c r="F77" i="38" a="1"/>
  <c r="F77" i="38" s="1"/>
  <c r="D77" i="38" a="1"/>
  <c r="D77" i="38" s="1"/>
  <c r="B77" i="38" a="1"/>
  <c r="B77" i="38" s="1"/>
  <c r="AV76" i="38" a="1"/>
  <c r="AV76" i="38" s="1"/>
  <c r="AT76" i="38" a="1"/>
  <c r="AT76" i="38" s="1"/>
  <c r="AR76" i="38"/>
  <c r="AR76" i="38" a="1"/>
  <c r="AP76" i="38" a="1"/>
  <c r="AP76" i="38" s="1"/>
  <c r="AN76" i="38" a="1"/>
  <c r="AN76" i="38" s="1"/>
  <c r="AL76" i="38" a="1"/>
  <c r="AL76" i="38" s="1"/>
  <c r="AJ76" i="38" a="1"/>
  <c r="AJ76" i="38" s="1"/>
  <c r="AH76" i="38" a="1"/>
  <c r="AH76" i="38" s="1"/>
  <c r="AF76" i="38" a="1"/>
  <c r="AF76" i="38" s="1"/>
  <c r="AD76" i="38" a="1"/>
  <c r="AD76" i="38" s="1"/>
  <c r="AB76" i="38"/>
  <c r="AB76" i="38" a="1"/>
  <c r="Z76" i="38" a="1"/>
  <c r="Z76" i="38" s="1"/>
  <c r="X76" i="38" a="1"/>
  <c r="X76" i="38" s="1"/>
  <c r="V76" i="38" a="1"/>
  <c r="V76" i="38" s="1"/>
  <c r="T76" i="38" a="1"/>
  <c r="T76" i="38" s="1"/>
  <c r="R76" i="38" a="1"/>
  <c r="R76" i="38" s="1"/>
  <c r="P76" i="38" a="1"/>
  <c r="P76" i="38" s="1"/>
  <c r="N76" i="38" a="1"/>
  <c r="N76" i="38" s="1"/>
  <c r="L76" i="38"/>
  <c r="L76" i="38" a="1"/>
  <c r="J76" i="38" a="1"/>
  <c r="J76" i="38" s="1"/>
  <c r="H76" i="38" a="1"/>
  <c r="H76" i="38" s="1"/>
  <c r="F76" i="38" a="1"/>
  <c r="F76" i="38" s="1"/>
  <c r="D76" i="38" a="1"/>
  <c r="D76" i="38" s="1"/>
  <c r="B76" i="38" a="1"/>
  <c r="B76" i="38" s="1"/>
  <c r="AV75" i="38" a="1"/>
  <c r="AV75" i="38" s="1"/>
  <c r="AT75" i="38" a="1"/>
  <c r="AT75" i="38" s="1"/>
  <c r="AR75" i="38"/>
  <c r="AR75" i="38" a="1"/>
  <c r="AP75" i="38" a="1"/>
  <c r="AP75" i="38" s="1"/>
  <c r="AN75" i="38" a="1"/>
  <c r="AN75" i="38" s="1"/>
  <c r="AL75" i="38" a="1"/>
  <c r="AL75" i="38" s="1"/>
  <c r="AJ75" i="38" a="1"/>
  <c r="AJ75" i="38" s="1"/>
  <c r="AH75" i="38" a="1"/>
  <c r="AH75" i="38" s="1"/>
  <c r="AF75" i="38" a="1"/>
  <c r="AF75" i="38" s="1"/>
  <c r="AD75" i="38" a="1"/>
  <c r="AD75" i="38" s="1"/>
  <c r="AB75" i="38"/>
  <c r="AB75" i="38" a="1"/>
  <c r="Z75" i="38" a="1"/>
  <c r="Z75" i="38" s="1"/>
  <c r="X75" i="38" a="1"/>
  <c r="X75" i="38" s="1"/>
  <c r="V75" i="38" a="1"/>
  <c r="V75" i="38" s="1"/>
  <c r="T75" i="38" a="1"/>
  <c r="T75" i="38" s="1"/>
  <c r="R75" i="38" a="1"/>
  <c r="R75" i="38" s="1"/>
  <c r="P75" i="38" a="1"/>
  <c r="P75" i="38" s="1"/>
  <c r="N75" i="38" a="1"/>
  <c r="N75" i="38" s="1"/>
  <c r="L75" i="38"/>
  <c r="L75" i="38" a="1"/>
  <c r="J75" i="38" a="1"/>
  <c r="J75" i="38" s="1"/>
  <c r="H75" i="38" a="1"/>
  <c r="H75" i="38" s="1"/>
  <c r="F75" i="38" a="1"/>
  <c r="F75" i="38" s="1"/>
  <c r="D75" i="38" a="1"/>
  <c r="D75" i="38" s="1"/>
  <c r="B75" i="38" a="1"/>
  <c r="B75" i="38" s="1"/>
  <c r="AV74" i="38" a="1"/>
  <c r="AV74" i="38" s="1"/>
  <c r="AT74" i="38" a="1"/>
  <c r="AT74" i="38" s="1"/>
  <c r="AR74" i="38"/>
  <c r="AR74" i="38" a="1"/>
  <c r="AP74" i="38" a="1"/>
  <c r="AP74" i="38" s="1"/>
  <c r="AN74" i="38" a="1"/>
  <c r="AN74" i="38" s="1"/>
  <c r="AL74" i="38" a="1"/>
  <c r="AL74" i="38" s="1"/>
  <c r="AJ74" i="38" a="1"/>
  <c r="AJ74" i="38" s="1"/>
  <c r="AH74" i="38" a="1"/>
  <c r="AH74" i="38" s="1"/>
  <c r="AF74" i="38" a="1"/>
  <c r="AF74" i="38" s="1"/>
  <c r="AD74" i="38" a="1"/>
  <c r="AD74" i="38" s="1"/>
  <c r="AB74" i="38"/>
  <c r="AB74" i="38" a="1"/>
  <c r="Z74" i="38" a="1"/>
  <c r="Z74" i="38" s="1"/>
  <c r="X74" i="38" a="1"/>
  <c r="X74" i="38" s="1"/>
  <c r="V74" i="38" a="1"/>
  <c r="V74" i="38" s="1"/>
  <c r="T74" i="38" a="1"/>
  <c r="T74" i="38" s="1"/>
  <c r="R74" i="38" a="1"/>
  <c r="R74" i="38" s="1"/>
  <c r="P74" i="38" a="1"/>
  <c r="P74" i="38" s="1"/>
  <c r="N74" i="38" a="1"/>
  <c r="N74" i="38" s="1"/>
  <c r="L74" i="38"/>
  <c r="L74" i="38" a="1"/>
  <c r="J74" i="38" a="1"/>
  <c r="J74" i="38" s="1"/>
  <c r="H74" i="38" a="1"/>
  <c r="H74" i="38" s="1"/>
  <c r="F74" i="38" a="1"/>
  <c r="F74" i="38" s="1"/>
  <c r="D74" i="38" a="1"/>
  <c r="D74" i="38" s="1"/>
  <c r="B74" i="38" a="1"/>
  <c r="B74" i="38" s="1"/>
  <c r="AV73" i="38" a="1"/>
  <c r="AV73" i="38" s="1"/>
  <c r="AT73" i="38" a="1"/>
  <c r="AT73" i="38" s="1"/>
  <c r="AR73" i="38"/>
  <c r="AR73" i="38" a="1"/>
  <c r="AP73" i="38" a="1"/>
  <c r="AP73" i="38" s="1"/>
  <c r="AN73" i="38" a="1"/>
  <c r="AN73" i="38" s="1"/>
  <c r="AL73" i="38" a="1"/>
  <c r="AL73" i="38" s="1"/>
  <c r="AJ73" i="38" a="1"/>
  <c r="AJ73" i="38" s="1"/>
  <c r="AH73" i="38" a="1"/>
  <c r="AH73" i="38" s="1"/>
  <c r="AF73" i="38" a="1"/>
  <c r="AF73" i="38" s="1"/>
  <c r="AD73" i="38" a="1"/>
  <c r="AD73" i="38" s="1"/>
  <c r="AB73" i="38"/>
  <c r="AB73" i="38" a="1"/>
  <c r="Z73" i="38" a="1"/>
  <c r="Z73" i="38" s="1"/>
  <c r="X73" i="38" a="1"/>
  <c r="X73" i="38" s="1"/>
  <c r="V73" i="38" a="1"/>
  <c r="V73" i="38" s="1"/>
  <c r="T73" i="38" a="1"/>
  <c r="T73" i="38" s="1"/>
  <c r="R73" i="38" a="1"/>
  <c r="R73" i="38" s="1"/>
  <c r="P73" i="38" a="1"/>
  <c r="P73" i="38" s="1"/>
  <c r="N73" i="38" a="1"/>
  <c r="N73" i="38" s="1"/>
  <c r="L73" i="38"/>
  <c r="L73" i="38" a="1"/>
  <c r="J73" i="38" a="1"/>
  <c r="J73" i="38" s="1"/>
  <c r="H73" i="38" a="1"/>
  <c r="H73" i="38" s="1"/>
  <c r="F73" i="38" a="1"/>
  <c r="F73" i="38" s="1"/>
  <c r="D73" i="38" a="1"/>
  <c r="D73" i="38" s="1"/>
  <c r="B73" i="38" a="1"/>
  <c r="B73" i="38" s="1"/>
  <c r="AV72" i="38"/>
  <c r="AT72" i="38"/>
  <c r="AR72" i="38"/>
  <c r="AP72" i="38"/>
  <c r="AN72" i="38"/>
  <c r="AL72" i="38"/>
  <c r="AJ72" i="38"/>
  <c r="AH72" i="38"/>
  <c r="AF72" i="38"/>
  <c r="AD72" i="38"/>
  <c r="AB72" i="38"/>
  <c r="Z72" i="38"/>
  <c r="X72" i="38"/>
  <c r="V72" i="38"/>
  <c r="T72" i="38"/>
  <c r="R72" i="38"/>
  <c r="P72" i="38"/>
  <c r="N72" i="38"/>
  <c r="L72" i="38"/>
  <c r="J72" i="38"/>
  <c r="H72" i="38"/>
  <c r="F72" i="38"/>
  <c r="D72" i="38"/>
  <c r="B72" i="38"/>
  <c r="AV71" i="38"/>
  <c r="AT71" i="38"/>
  <c r="AR71" i="38"/>
  <c r="AP71" i="38"/>
  <c r="AN71" i="38"/>
  <c r="AL71" i="38"/>
  <c r="AJ71" i="38"/>
  <c r="AH71" i="38"/>
  <c r="AF71" i="38"/>
  <c r="AD71" i="38"/>
  <c r="AB71" i="38"/>
  <c r="Z71" i="38"/>
  <c r="X71" i="38"/>
  <c r="V71" i="38"/>
  <c r="T71" i="38"/>
  <c r="R71" i="38"/>
  <c r="P71" i="38"/>
  <c r="N71" i="38"/>
  <c r="L71" i="38"/>
  <c r="J71" i="38"/>
  <c r="H71" i="38"/>
  <c r="F71" i="38"/>
  <c r="D71" i="38"/>
  <c r="B71" i="38"/>
  <c r="AV70" i="38"/>
  <c r="AT70" i="38"/>
  <c r="AR70" i="38"/>
  <c r="AP70" i="38"/>
  <c r="AN70" i="38"/>
  <c r="AL70" i="38"/>
  <c r="AJ70" i="38"/>
  <c r="AH70" i="38"/>
  <c r="AF70" i="38"/>
  <c r="AD70" i="38"/>
  <c r="AB70" i="38"/>
  <c r="Z70" i="38"/>
  <c r="X70" i="38"/>
  <c r="V70" i="38"/>
  <c r="T70" i="38"/>
  <c r="R70" i="38"/>
  <c r="P70" i="38"/>
  <c r="N70" i="38"/>
  <c r="L70" i="38"/>
  <c r="J70" i="38"/>
  <c r="H70" i="38"/>
  <c r="F70" i="38"/>
  <c r="D70" i="38"/>
  <c r="B70" i="38"/>
  <c r="B69" i="38"/>
  <c r="Z68" i="38"/>
  <c r="AV67" i="38" a="1"/>
  <c r="AV67" i="38" s="1"/>
  <c r="AT67" i="38" a="1"/>
  <c r="AT67" i="38" s="1"/>
  <c r="AR67" i="38" a="1"/>
  <c r="AR67" i="38" s="1"/>
  <c r="AP67" i="38" a="1"/>
  <c r="AP67" i="38" s="1"/>
  <c r="AN67" i="38" a="1"/>
  <c r="AN67" i="38" s="1"/>
  <c r="AL67" i="38" a="1"/>
  <c r="AL67" i="38" s="1"/>
  <c r="AJ67" i="38"/>
  <c r="AJ67" i="38" a="1"/>
  <c r="AH67" i="38" a="1"/>
  <c r="AH67" i="38" s="1"/>
  <c r="AF67" i="38" a="1"/>
  <c r="AF67" i="38" s="1"/>
  <c r="AD67" i="38" a="1"/>
  <c r="AD67" i="38" s="1"/>
  <c r="AB67" i="38" a="1"/>
  <c r="AB67" i="38" s="1"/>
  <c r="Z67" i="38" a="1"/>
  <c r="Z67" i="38" s="1"/>
  <c r="X67" i="38" a="1"/>
  <c r="X67" i="38" s="1"/>
  <c r="V67" i="38" a="1"/>
  <c r="V67" i="38" s="1"/>
  <c r="T67" i="38"/>
  <c r="T67" i="38" a="1"/>
  <c r="R67" i="38" a="1"/>
  <c r="R67" i="38" s="1"/>
  <c r="P67" i="38" a="1"/>
  <c r="P67" i="38" s="1"/>
  <c r="N67" i="38" a="1"/>
  <c r="N67" i="38" s="1"/>
  <c r="L67" i="38" a="1"/>
  <c r="L67" i="38" s="1"/>
  <c r="J67" i="38" a="1"/>
  <c r="J67" i="38" s="1"/>
  <c r="H67" i="38" a="1"/>
  <c r="H67" i="38" s="1"/>
  <c r="F67" i="38" a="1"/>
  <c r="F67" i="38" s="1"/>
  <c r="D67" i="38"/>
  <c r="D67" i="38" a="1"/>
  <c r="B67" i="38" a="1"/>
  <c r="B67" i="38" s="1"/>
  <c r="AV66" i="38" a="1"/>
  <c r="AV66" i="38" s="1"/>
  <c r="AV68" i="38" s="1"/>
  <c r="AT66" i="38" a="1"/>
  <c r="AT66" i="38" s="1"/>
  <c r="AT68" i="38" s="1"/>
  <c r="AR66" i="38" a="1"/>
  <c r="AR66" i="38" s="1"/>
  <c r="AR68" i="38" s="1"/>
  <c r="AP66" i="38" a="1"/>
  <c r="AP66" i="38" s="1"/>
  <c r="AN66" i="38" a="1"/>
  <c r="AN66" i="38" s="1"/>
  <c r="AN68" i="38" s="1"/>
  <c r="AL66" i="38" a="1"/>
  <c r="AL66" i="38" s="1"/>
  <c r="AL68" i="38" s="1"/>
  <c r="AJ66" i="38"/>
  <c r="AJ68" i="38" s="1"/>
  <c r="AJ66" i="38" a="1"/>
  <c r="AH66" i="38" a="1"/>
  <c r="AH66" i="38" s="1"/>
  <c r="AH68" i="38" s="1"/>
  <c r="AF66" i="38" a="1"/>
  <c r="AF66" i="38" s="1"/>
  <c r="AD66" i="38" a="1"/>
  <c r="AD66" i="38" s="1"/>
  <c r="AD68" i="38" s="1"/>
  <c r="AB66" i="38" a="1"/>
  <c r="AB66" i="38" s="1"/>
  <c r="Z66" i="38" a="1"/>
  <c r="Z66" i="38" s="1"/>
  <c r="X66" i="38" a="1"/>
  <c r="X66" i="38" s="1"/>
  <c r="X68" i="38" s="1"/>
  <c r="V66" i="38" a="1"/>
  <c r="V66" i="38" s="1"/>
  <c r="T66" i="38"/>
  <c r="T68" i="38" s="1"/>
  <c r="T66" i="38" a="1"/>
  <c r="R66" i="38" a="1"/>
  <c r="R66" i="38" s="1"/>
  <c r="R68" i="38" s="1"/>
  <c r="P66" i="38" a="1"/>
  <c r="P66" i="38" s="1"/>
  <c r="P68" i="38" s="1"/>
  <c r="N66" i="38" a="1"/>
  <c r="N66" i="38" s="1"/>
  <c r="L66" i="38" a="1"/>
  <c r="L66" i="38" s="1"/>
  <c r="L68" i="38" s="1"/>
  <c r="J66" i="38" a="1"/>
  <c r="J66" i="38" s="1"/>
  <c r="J68" i="38" s="1"/>
  <c r="H66" i="38" a="1"/>
  <c r="H66" i="38" s="1"/>
  <c r="F66" i="38" a="1"/>
  <c r="F66" i="38" s="1"/>
  <c r="F68" i="38" s="1"/>
  <c r="D66" i="38"/>
  <c r="D68" i="38" s="1"/>
  <c r="D66" i="38" a="1"/>
  <c r="B66" i="38" a="1"/>
  <c r="B66" i="38" s="1"/>
  <c r="B68" i="38" s="1"/>
  <c r="AV65" i="38" a="1"/>
  <c r="AV65" i="38" s="1"/>
  <c r="AV69" i="38" s="1"/>
  <c r="AT65" i="38" a="1"/>
  <c r="AT65" i="38" s="1"/>
  <c r="AT69" i="38" s="1"/>
  <c r="AR65" i="38" a="1"/>
  <c r="AR65" i="38" s="1"/>
  <c r="AR69" i="38" s="1"/>
  <c r="AP65" i="38" a="1"/>
  <c r="AP65" i="38" s="1"/>
  <c r="AP69" i="38" s="1"/>
  <c r="AN65" i="38" a="1"/>
  <c r="AN65" i="38" s="1"/>
  <c r="AN69" i="38" s="1"/>
  <c r="AL65" i="38" a="1"/>
  <c r="AL65" i="38" s="1"/>
  <c r="AL69" i="38" s="1"/>
  <c r="AJ65" i="38"/>
  <c r="AJ69" i="38" s="1"/>
  <c r="AJ65" i="38" a="1"/>
  <c r="AH65" i="38" a="1"/>
  <c r="AH65" i="38" s="1"/>
  <c r="AH69" i="38" s="1"/>
  <c r="AF65" i="38" a="1"/>
  <c r="AF65" i="38" s="1"/>
  <c r="AF69" i="38" s="1"/>
  <c r="AD65" i="38" a="1"/>
  <c r="AD65" i="38" s="1"/>
  <c r="AD69" i="38" s="1"/>
  <c r="AB65" i="38" a="1"/>
  <c r="AB65" i="38" s="1"/>
  <c r="AB69" i="38" s="1"/>
  <c r="Z65" i="38" a="1"/>
  <c r="Z65" i="38" s="1"/>
  <c r="Z69" i="38" s="1"/>
  <c r="X65" i="38" a="1"/>
  <c r="X65" i="38" s="1"/>
  <c r="X69" i="38" s="1"/>
  <c r="V65" i="38" a="1"/>
  <c r="V65" i="38" s="1"/>
  <c r="V69" i="38" s="1"/>
  <c r="T65" i="38"/>
  <c r="T69" i="38" s="1"/>
  <c r="T65" i="38" a="1"/>
  <c r="R65" i="38" a="1"/>
  <c r="R65" i="38" s="1"/>
  <c r="R69" i="38" s="1"/>
  <c r="P65" i="38" a="1"/>
  <c r="P65" i="38" s="1"/>
  <c r="P69" i="38" s="1"/>
  <c r="N65" i="38" a="1"/>
  <c r="N65" i="38" s="1"/>
  <c r="N69" i="38" s="1"/>
  <c r="L65" i="38" a="1"/>
  <c r="L65" i="38" s="1"/>
  <c r="L69" i="38" s="1"/>
  <c r="J65" i="38" a="1"/>
  <c r="J65" i="38" s="1"/>
  <c r="J69" i="38" s="1"/>
  <c r="H65" i="38" a="1"/>
  <c r="H65" i="38" s="1"/>
  <c r="H69" i="38" s="1"/>
  <c r="F65" i="38" a="1"/>
  <c r="F65" i="38" s="1"/>
  <c r="F69" i="38" s="1"/>
  <c r="D65" i="38"/>
  <c r="D69" i="38" s="1"/>
  <c r="D65" i="38" a="1"/>
  <c r="B65" i="38"/>
  <c r="AV62" i="38"/>
  <c r="AT62" i="38"/>
  <c r="AR62" i="38"/>
  <c r="AP62" i="38"/>
  <c r="AN62" i="38"/>
  <c r="AL62" i="38"/>
  <c r="AJ62" i="38"/>
  <c r="AH62" i="38"/>
  <c r="AF62" i="38"/>
  <c r="AD62" i="38"/>
  <c r="AB62" i="38"/>
  <c r="Z62" i="38"/>
  <c r="X62" i="38"/>
  <c r="V62" i="38"/>
  <c r="T62" i="38"/>
  <c r="R62" i="38"/>
  <c r="P62" i="38"/>
  <c r="N62" i="38"/>
  <c r="L62" i="38"/>
  <c r="J62" i="38"/>
  <c r="H62" i="38"/>
  <c r="F62" i="38"/>
  <c r="D62" i="38"/>
  <c r="B62" i="38"/>
  <c r="AV60" i="38"/>
  <c r="AT60" i="38"/>
  <c r="AR60" i="38"/>
  <c r="AP60" i="38"/>
  <c r="AN60" i="38"/>
  <c r="AL60" i="38"/>
  <c r="AJ60" i="38"/>
  <c r="AH60" i="38"/>
  <c r="AF60" i="38"/>
  <c r="AD60" i="38"/>
  <c r="AB60" i="38"/>
  <c r="Z60" i="38"/>
  <c r="X60" i="38"/>
  <c r="V60" i="38"/>
  <c r="T60" i="38"/>
  <c r="R60" i="38"/>
  <c r="P60" i="38"/>
  <c r="N60" i="38"/>
  <c r="L60" i="38"/>
  <c r="J60" i="38"/>
  <c r="H60" i="38"/>
  <c r="F60" i="38"/>
  <c r="D60" i="38"/>
  <c r="B60" i="38"/>
  <c r="AV59" i="38"/>
  <c r="AT59" i="38"/>
  <c r="AR59" i="38"/>
  <c r="AP59" i="38"/>
  <c r="AN59" i="38"/>
  <c r="AL59" i="38"/>
  <c r="AJ59" i="38"/>
  <c r="AH59" i="38"/>
  <c r="AF59" i="38"/>
  <c r="AD59" i="38"/>
  <c r="AB59" i="38"/>
  <c r="Z59" i="38"/>
  <c r="X59" i="38"/>
  <c r="V59" i="38"/>
  <c r="T59" i="38"/>
  <c r="R59" i="38"/>
  <c r="P59" i="38"/>
  <c r="N59" i="38"/>
  <c r="L59" i="38"/>
  <c r="J59" i="38"/>
  <c r="H59" i="38"/>
  <c r="F59" i="38"/>
  <c r="D59" i="38"/>
  <c r="B59" i="38"/>
  <c r="AV58" i="38"/>
  <c r="AV58" i="38" a="1"/>
  <c r="AT58" i="38" a="1"/>
  <c r="AT58" i="38" s="1"/>
  <c r="AR58" i="38" a="1"/>
  <c r="AR58" i="38" s="1"/>
  <c r="AP58" i="38"/>
  <c r="AP58" i="38" a="1"/>
  <c r="AN58" i="38" a="1"/>
  <c r="AN58" i="38" s="1"/>
  <c r="AL58" i="38" a="1"/>
  <c r="AL58" i="38" s="1"/>
  <c r="AJ58" i="38"/>
  <c r="AJ58" i="38" a="1"/>
  <c r="AH58" i="38"/>
  <c r="AH58" i="38" a="1"/>
  <c r="AF58" i="38"/>
  <c r="AF58" i="38" a="1"/>
  <c r="AD58" i="38" a="1"/>
  <c r="AD58" i="38" s="1"/>
  <c r="AB58" i="38" a="1"/>
  <c r="AB58" i="38" s="1"/>
  <c r="Z58" i="38"/>
  <c r="Z58" i="38" a="1"/>
  <c r="X58" i="38" a="1"/>
  <c r="X58" i="38" s="1"/>
  <c r="V58" i="38" a="1"/>
  <c r="V58" i="38" s="1"/>
  <c r="T58" i="38"/>
  <c r="T58" i="38" a="1"/>
  <c r="R58" i="38"/>
  <c r="R58" i="38" a="1"/>
  <c r="P58" i="38"/>
  <c r="P58" i="38" a="1"/>
  <c r="N58" i="38" a="1"/>
  <c r="N58" i="38" s="1"/>
  <c r="L58" i="38" a="1"/>
  <c r="L58" i="38" s="1"/>
  <c r="J58" i="38" a="1"/>
  <c r="J58" i="38" s="1"/>
  <c r="H58" i="38" a="1"/>
  <c r="H58" i="38" s="1"/>
  <c r="F58" i="38" a="1"/>
  <c r="F58" i="38" s="1"/>
  <c r="D58" i="38"/>
  <c r="D58" i="38" a="1"/>
  <c r="B58" i="38" a="1"/>
  <c r="B58" i="38" s="1"/>
  <c r="AV57" i="38"/>
  <c r="AV57" i="38" a="1"/>
  <c r="AT57" i="38" a="1"/>
  <c r="AT57" i="38" s="1"/>
  <c r="AR57" i="38" a="1"/>
  <c r="AR57" i="38" s="1"/>
  <c r="AP57" i="38" a="1"/>
  <c r="AP57" i="38" s="1"/>
  <c r="AN57" i="38" a="1"/>
  <c r="AN57" i="38" s="1"/>
  <c r="AL57" i="38" a="1"/>
  <c r="AL57" i="38" s="1"/>
  <c r="AJ57" i="38"/>
  <c r="AJ57" i="38" a="1"/>
  <c r="AH57" i="38" a="1"/>
  <c r="AH57" i="38" s="1"/>
  <c r="AF57" i="38"/>
  <c r="AF57" i="38" a="1"/>
  <c r="AD57" i="38" a="1"/>
  <c r="AD57" i="38" s="1"/>
  <c r="AB57" i="38" a="1"/>
  <c r="AB57" i="38" s="1"/>
  <c r="Z57" i="38" a="1"/>
  <c r="Z57" i="38" s="1"/>
  <c r="X57" i="38" a="1"/>
  <c r="X57" i="38" s="1"/>
  <c r="V57" i="38" a="1"/>
  <c r="V57" i="38" s="1"/>
  <c r="T57" i="38"/>
  <c r="T57" i="38" a="1"/>
  <c r="R57" i="38" a="1"/>
  <c r="R57" i="38" s="1"/>
  <c r="P57" i="38"/>
  <c r="P57" i="38" a="1"/>
  <c r="N57" i="38" a="1"/>
  <c r="N57" i="38" s="1"/>
  <c r="L57" i="38" a="1"/>
  <c r="L57" i="38" s="1"/>
  <c r="J57" i="38" a="1"/>
  <c r="J57" i="38" s="1"/>
  <c r="H57" i="38" a="1"/>
  <c r="H57" i="38" s="1"/>
  <c r="F57" i="38" a="1"/>
  <c r="F57" i="38" s="1"/>
  <c r="D57" i="38"/>
  <c r="D57" i="38" a="1"/>
  <c r="B57" i="38" a="1"/>
  <c r="B57" i="38" s="1"/>
  <c r="AV56" i="38"/>
  <c r="AT56" i="38"/>
  <c r="AR56" i="38"/>
  <c r="AP56" i="38"/>
  <c r="AN56" i="38"/>
  <c r="AL56" i="38"/>
  <c r="AJ56" i="38"/>
  <c r="AH56" i="38"/>
  <c r="AF56" i="38"/>
  <c r="AD56" i="38"/>
  <c r="AB56" i="38"/>
  <c r="Z56" i="38"/>
  <c r="X56" i="38"/>
  <c r="V56" i="38"/>
  <c r="T56" i="38"/>
  <c r="R56" i="38"/>
  <c r="P56" i="38"/>
  <c r="N56" i="38"/>
  <c r="L56" i="38"/>
  <c r="J56" i="38"/>
  <c r="H56" i="38"/>
  <c r="F56" i="38"/>
  <c r="D56" i="38"/>
  <c r="B56" i="38"/>
  <c r="AV55" i="38"/>
  <c r="AT55" i="38"/>
  <c r="AR55" i="38"/>
  <c r="AP55" i="38"/>
  <c r="AN55" i="38"/>
  <c r="AN80" i="38" s="1"/>
  <c r="AL55" i="38"/>
  <c r="AL80" i="38" s="1"/>
  <c r="AJ55" i="38"/>
  <c r="AJ80" i="38" s="1"/>
  <c r="AH55" i="38"/>
  <c r="AF55" i="38"/>
  <c r="AF80" i="38" s="1"/>
  <c r="AD55" i="38"/>
  <c r="AD80" i="38" s="1"/>
  <c r="AB55" i="38"/>
  <c r="AB80" i="38" s="1"/>
  <c r="Z55" i="38"/>
  <c r="X55" i="38"/>
  <c r="V55" i="38"/>
  <c r="V80" i="38" s="1"/>
  <c r="T55" i="38"/>
  <c r="T80" i="38" s="1"/>
  <c r="R55" i="38"/>
  <c r="R80" i="38" s="1"/>
  <c r="P55" i="38"/>
  <c r="N55" i="38"/>
  <c r="L55" i="38"/>
  <c r="J55" i="38"/>
  <c r="H55" i="38"/>
  <c r="H80" i="38" s="1"/>
  <c r="F55" i="38"/>
  <c r="F80" i="38" s="1"/>
  <c r="D55" i="38"/>
  <c r="D80" i="38" s="1"/>
  <c r="B55" i="38"/>
  <c r="AV53" i="38" a="1"/>
  <c r="AT53" i="38" a="1"/>
  <c r="AR53" i="38" a="1"/>
  <c r="AP53" i="38" a="1"/>
  <c r="AN53" i="38" a="1"/>
  <c r="AL53" i="38" a="1"/>
  <c r="AJ53" i="38" a="1"/>
  <c r="AH53" i="38" a="1"/>
  <c r="AF53" i="38" a="1"/>
  <c r="AD53" i="38" a="1"/>
  <c r="AB53" i="38" a="1"/>
  <c r="Z53" i="38" a="1"/>
  <c r="X53" i="38" a="1"/>
  <c r="V53" i="38" a="1"/>
  <c r="T53" i="38" a="1"/>
  <c r="R53" i="38" a="1"/>
  <c r="P53" i="38" a="1"/>
  <c r="N53" i="38" a="1"/>
  <c r="L53" i="38" a="1"/>
  <c r="J53" i="38" a="1"/>
  <c r="H53" i="38" a="1"/>
  <c r="F53" i="38" a="1"/>
  <c r="D53" i="38" a="1"/>
  <c r="B53" i="38" a="1"/>
  <c r="AV52" i="38" a="1"/>
  <c r="AT52" i="38" a="1"/>
  <c r="AR52" i="38" a="1"/>
  <c r="AP52" i="38" a="1"/>
  <c r="AN52" i="38" a="1"/>
  <c r="AL52" i="38" a="1"/>
  <c r="AJ52" i="38" a="1"/>
  <c r="AH52" i="38" a="1"/>
  <c r="AF52" i="38" a="1"/>
  <c r="AD52" i="38" a="1"/>
  <c r="AB52" i="38" a="1"/>
  <c r="Z52" i="38" a="1"/>
  <c r="X52" i="38" a="1"/>
  <c r="V52" i="38" a="1"/>
  <c r="T52" i="38" a="1"/>
  <c r="R52" i="38" a="1"/>
  <c r="P52" i="38" a="1"/>
  <c r="N52" i="38" a="1"/>
  <c r="L52" i="38" a="1"/>
  <c r="J52" i="38" a="1"/>
  <c r="H52" i="38" a="1"/>
  <c r="F52" i="38" a="1"/>
  <c r="D52" i="38" a="1"/>
  <c r="B52" i="38" a="1"/>
  <c r="AV51" i="38"/>
  <c r="AV81" i="38" s="1"/>
  <c r="AT51" i="38"/>
  <c r="AT81" i="38" s="1"/>
  <c r="AR51" i="38"/>
  <c r="AR81" i="38" s="1"/>
  <c r="AP51" i="38"/>
  <c r="AN51" i="38"/>
  <c r="AL51" i="38"/>
  <c r="AL81" i="38" s="1"/>
  <c r="AJ51" i="38"/>
  <c r="AJ81" i="38" s="1"/>
  <c r="AH51" i="38"/>
  <c r="AH81" i="38" s="1"/>
  <c r="AF51" i="38"/>
  <c r="AD51" i="38"/>
  <c r="AB51" i="38"/>
  <c r="Z51" i="38"/>
  <c r="X51" i="38"/>
  <c r="X81" i="38" s="1"/>
  <c r="V51" i="38"/>
  <c r="V81" i="38" s="1"/>
  <c r="T51" i="38"/>
  <c r="T81" i="38" s="1"/>
  <c r="R51" i="38"/>
  <c r="P51" i="38"/>
  <c r="P81" i="38" s="1"/>
  <c r="N51" i="38"/>
  <c r="N81" i="38" s="1"/>
  <c r="L51" i="38"/>
  <c r="L81" i="38" s="1"/>
  <c r="J51" i="38"/>
  <c r="H51" i="38"/>
  <c r="F51" i="38"/>
  <c r="F81" i="38" s="1"/>
  <c r="D51" i="38"/>
  <c r="D81" i="38" s="1"/>
  <c r="B51" i="38"/>
  <c r="B81" i="38" s="1"/>
  <c r="AV49" i="38"/>
  <c r="AT49" i="38"/>
  <c r="AR49" i="38"/>
  <c r="AP49" i="38"/>
  <c r="AN49" i="38"/>
  <c r="AL49" i="38"/>
  <c r="AJ49" i="38"/>
  <c r="AH49" i="38"/>
  <c r="AF49" i="38"/>
  <c r="AD49" i="38"/>
  <c r="AB49" i="38"/>
  <c r="Z49" i="38"/>
  <c r="X49" i="38"/>
  <c r="V49" i="38"/>
  <c r="T49" i="38"/>
  <c r="R49" i="38"/>
  <c r="P49" i="38"/>
  <c r="N49" i="38"/>
  <c r="L49" i="38"/>
  <c r="J49" i="38"/>
  <c r="H49" i="38"/>
  <c r="F49" i="38"/>
  <c r="D49" i="38"/>
  <c r="B49" i="38"/>
  <c r="AV48" i="38"/>
  <c r="AT48" i="38"/>
  <c r="AR48" i="38"/>
  <c r="AP48" i="38"/>
  <c r="AN48" i="38"/>
  <c r="AL48" i="38"/>
  <c r="AJ48" i="38"/>
  <c r="AH48" i="38"/>
  <c r="AF48" i="38"/>
  <c r="AD48" i="38"/>
  <c r="AB48" i="38"/>
  <c r="Z48" i="38"/>
  <c r="X48" i="38"/>
  <c r="V48" i="38"/>
  <c r="T48" i="38"/>
  <c r="R48" i="38"/>
  <c r="P48" i="38"/>
  <c r="N48" i="38"/>
  <c r="L48" i="38"/>
  <c r="J48" i="38"/>
  <c r="H48" i="38"/>
  <c r="F48" i="38"/>
  <c r="D48" i="38"/>
  <c r="B48" i="38"/>
  <c r="AV46" i="38"/>
  <c r="AT46" i="38"/>
  <c r="AR46" i="38"/>
  <c r="AP46" i="38"/>
  <c r="AN46" i="38"/>
  <c r="AL46" i="38"/>
  <c r="AJ46" i="38"/>
  <c r="AH46" i="38"/>
  <c r="AF46" i="38"/>
  <c r="AD46" i="38"/>
  <c r="AB46" i="38"/>
  <c r="Z46" i="38"/>
  <c r="X46" i="38"/>
  <c r="V46" i="38"/>
  <c r="T46" i="38"/>
  <c r="R46" i="38"/>
  <c r="P46" i="38"/>
  <c r="N46" i="38"/>
  <c r="L46" i="38"/>
  <c r="J46" i="38"/>
  <c r="H46" i="38"/>
  <c r="F46" i="38"/>
  <c r="D46" i="38"/>
  <c r="B46" i="38"/>
  <c r="AV45" i="38"/>
  <c r="AT45" i="38"/>
  <c r="AR45" i="38"/>
  <c r="AP45" i="38"/>
  <c r="AN45" i="38"/>
  <c r="AL45" i="38"/>
  <c r="AJ45" i="38"/>
  <c r="AH45" i="38"/>
  <c r="AF45" i="38"/>
  <c r="AD45" i="38"/>
  <c r="AB45" i="38"/>
  <c r="Z45" i="38"/>
  <c r="X45" i="38"/>
  <c r="V45" i="38"/>
  <c r="T45" i="38"/>
  <c r="R45" i="38"/>
  <c r="P45" i="38"/>
  <c r="N45" i="38"/>
  <c r="L45" i="38"/>
  <c r="J45" i="38"/>
  <c r="H45" i="38"/>
  <c r="F45" i="38"/>
  <c r="D45" i="38"/>
  <c r="B45" i="38"/>
  <c r="AV44" i="38"/>
  <c r="AT44" i="38"/>
  <c r="AR44" i="38"/>
  <c r="AP44" i="38"/>
  <c r="AN44" i="38"/>
  <c r="AL44" i="38"/>
  <c r="AJ44" i="38"/>
  <c r="AH44" i="38"/>
  <c r="AF44" i="38"/>
  <c r="AD44" i="38"/>
  <c r="AB44" i="38"/>
  <c r="Z44" i="38"/>
  <c r="X44" i="38"/>
  <c r="V44" i="38"/>
  <c r="T44" i="38"/>
  <c r="R44" i="38"/>
  <c r="P44" i="38"/>
  <c r="N44" i="38"/>
  <c r="L44" i="38"/>
  <c r="J44" i="38"/>
  <c r="H44" i="38"/>
  <c r="F44" i="38"/>
  <c r="D44" i="38"/>
  <c r="B44" i="38"/>
  <c r="AV43" i="38"/>
  <c r="AV43" i="38" a="1"/>
  <c r="AT43" i="38" a="1"/>
  <c r="AT43" i="38" s="1"/>
  <c r="AR43" i="38" a="1"/>
  <c r="AR43" i="38" s="1"/>
  <c r="AP43" i="38" a="1"/>
  <c r="AP43" i="38" s="1"/>
  <c r="AN43" i="38" a="1"/>
  <c r="AN43" i="38" s="1"/>
  <c r="AL43" i="38" a="1"/>
  <c r="AL43" i="38" s="1"/>
  <c r="AJ43" i="38"/>
  <c r="AJ43" i="38" a="1"/>
  <c r="AH43" i="38" a="1"/>
  <c r="AH43" i="38" s="1"/>
  <c r="AF43" i="38"/>
  <c r="AF43" i="38" a="1"/>
  <c r="AD43" i="38" a="1"/>
  <c r="AD43" i="38" s="1"/>
  <c r="AB43" i="38" a="1"/>
  <c r="AB43" i="38" s="1"/>
  <c r="Z43" i="38" a="1"/>
  <c r="Z43" i="38" s="1"/>
  <c r="X43" i="38" a="1"/>
  <c r="X43" i="38" s="1"/>
  <c r="V43" i="38" a="1"/>
  <c r="V43" i="38" s="1"/>
  <c r="T43" i="38"/>
  <c r="T43" i="38" a="1"/>
  <c r="R43" i="38" a="1"/>
  <c r="R43" i="38" s="1"/>
  <c r="P43" i="38"/>
  <c r="P43" i="38" a="1"/>
  <c r="N43" i="38" a="1"/>
  <c r="N43" i="38" s="1"/>
  <c r="L43" i="38" a="1"/>
  <c r="L43" i="38" s="1"/>
  <c r="J43" i="38" a="1"/>
  <c r="J43" i="38" s="1"/>
  <c r="H43" i="38" a="1"/>
  <c r="H43" i="38" s="1"/>
  <c r="F43" i="38" a="1"/>
  <c r="F43" i="38" s="1"/>
  <c r="D43" i="38"/>
  <c r="D43" i="38" a="1"/>
  <c r="B43" i="38"/>
  <c r="AV42" i="38"/>
  <c r="AT42" i="38"/>
  <c r="AR42" i="38"/>
  <c r="AP42" i="38"/>
  <c r="AN42" i="38"/>
  <c r="AL42" i="38"/>
  <c r="AJ42" i="38"/>
  <c r="AH42" i="38"/>
  <c r="AF42" i="38"/>
  <c r="AD42" i="38"/>
  <c r="AB42" i="38"/>
  <c r="Z42" i="38"/>
  <c r="X42" i="38"/>
  <c r="V42" i="38"/>
  <c r="T42" i="38"/>
  <c r="R42" i="38"/>
  <c r="P42" i="38"/>
  <c r="N42" i="38"/>
  <c r="L42" i="38"/>
  <c r="J42" i="38"/>
  <c r="H42" i="38"/>
  <c r="F42" i="38"/>
  <c r="D42" i="38"/>
  <c r="B42" i="38"/>
  <c r="AD81" i="21"/>
  <c r="AB81" i="21"/>
  <c r="Z81" i="21"/>
  <c r="R81" i="21"/>
  <c r="AT80" i="21"/>
  <c r="AR80" i="21"/>
  <c r="AP80" i="21"/>
  <c r="AH80" i="21"/>
  <c r="N80" i="21"/>
  <c r="L80" i="21"/>
  <c r="J80" i="21"/>
  <c r="B80" i="21"/>
  <c r="AV79" i="21"/>
  <c r="AV79" i="21" a="1"/>
  <c r="AT79" i="21" a="1"/>
  <c r="AT79" i="21" s="1"/>
  <c r="AR79" i="21" a="1"/>
  <c r="AR79" i="21" s="1"/>
  <c r="AP79" i="21" a="1"/>
  <c r="AP79" i="21" s="1"/>
  <c r="AN79" i="21" a="1"/>
  <c r="AN79" i="21" s="1"/>
  <c r="AL79" i="21" a="1"/>
  <c r="AL79" i="21" s="1"/>
  <c r="AJ79" i="21" a="1"/>
  <c r="AJ79" i="21" s="1"/>
  <c r="AH79" i="21" a="1"/>
  <c r="AH79" i="21" s="1"/>
  <c r="AF79" i="21"/>
  <c r="AF79" i="21" a="1"/>
  <c r="AD79" i="21" a="1"/>
  <c r="AD79" i="21" s="1"/>
  <c r="AB79" i="21" a="1"/>
  <c r="AB79" i="21" s="1"/>
  <c r="Z79" i="21" a="1"/>
  <c r="Z79" i="21" s="1"/>
  <c r="X79" i="21" a="1"/>
  <c r="X79" i="21" s="1"/>
  <c r="V79" i="21" a="1"/>
  <c r="V79" i="21" s="1"/>
  <c r="T79" i="21" a="1"/>
  <c r="T79" i="21" s="1"/>
  <c r="R79" i="21" a="1"/>
  <c r="R79" i="21" s="1"/>
  <c r="P79" i="21"/>
  <c r="P79" i="21" a="1"/>
  <c r="N79" i="21" a="1"/>
  <c r="N79" i="21" s="1"/>
  <c r="L79" i="21" a="1"/>
  <c r="L79" i="21" s="1"/>
  <c r="J79" i="21" a="1"/>
  <c r="J79" i="21" s="1"/>
  <c r="H79" i="21" a="1"/>
  <c r="H79" i="21" s="1"/>
  <c r="F79" i="21" a="1"/>
  <c r="F79" i="21" s="1"/>
  <c r="D79" i="21" a="1"/>
  <c r="D79" i="21" s="1"/>
  <c r="B79" i="21" a="1"/>
  <c r="B79" i="21" s="1"/>
  <c r="AV78" i="21"/>
  <c r="AV78" i="21" a="1"/>
  <c r="AT78" i="21" a="1"/>
  <c r="AT78" i="21" s="1"/>
  <c r="AR78" i="21" a="1"/>
  <c r="AR78" i="21" s="1"/>
  <c r="AP78" i="21" a="1"/>
  <c r="AP78" i="21" s="1"/>
  <c r="AN78" i="21" a="1"/>
  <c r="AN78" i="21" s="1"/>
  <c r="AL78" i="21" a="1"/>
  <c r="AL78" i="21" s="1"/>
  <c r="AJ78" i="21" a="1"/>
  <c r="AJ78" i="21" s="1"/>
  <c r="AH78" i="21" a="1"/>
  <c r="AH78" i="21" s="1"/>
  <c r="AF78" i="21"/>
  <c r="AF78" i="21" a="1"/>
  <c r="AD78" i="21" a="1"/>
  <c r="AD78" i="21" s="1"/>
  <c r="AB78" i="21" a="1"/>
  <c r="AB78" i="21" s="1"/>
  <c r="Z78" i="21" a="1"/>
  <c r="Z78" i="21" s="1"/>
  <c r="X78" i="21" a="1"/>
  <c r="X78" i="21" s="1"/>
  <c r="V78" i="21" a="1"/>
  <c r="V78" i="21" s="1"/>
  <c r="T78" i="21" a="1"/>
  <c r="T78" i="21" s="1"/>
  <c r="R78" i="21" a="1"/>
  <c r="R78" i="21" s="1"/>
  <c r="P78" i="21"/>
  <c r="P78" i="21" a="1"/>
  <c r="N78" i="21" a="1"/>
  <c r="N78" i="21" s="1"/>
  <c r="L78" i="21" a="1"/>
  <c r="L78" i="21" s="1"/>
  <c r="J78" i="21" a="1"/>
  <c r="J78" i="21" s="1"/>
  <c r="H78" i="21" a="1"/>
  <c r="H78" i="21" s="1"/>
  <c r="F78" i="21" a="1"/>
  <c r="F78" i="21" s="1"/>
  <c r="D78" i="21" a="1"/>
  <c r="D78" i="21" s="1"/>
  <c r="B78" i="21" a="1"/>
  <c r="B78" i="21" s="1"/>
  <c r="AV77" i="21"/>
  <c r="AV77" i="21" a="1"/>
  <c r="AT77" i="21" a="1"/>
  <c r="AT77" i="21" s="1"/>
  <c r="AR77" i="21" a="1"/>
  <c r="AR77" i="21" s="1"/>
  <c r="AP77" i="21" a="1"/>
  <c r="AP77" i="21" s="1"/>
  <c r="AN77" i="21" a="1"/>
  <c r="AN77" i="21" s="1"/>
  <c r="AL77" i="21" a="1"/>
  <c r="AL77" i="21" s="1"/>
  <c r="AJ77" i="21" a="1"/>
  <c r="AJ77" i="21" s="1"/>
  <c r="AH77" i="21" a="1"/>
  <c r="AH77" i="21" s="1"/>
  <c r="AF77" i="21"/>
  <c r="AF77" i="21" a="1"/>
  <c r="AD77" i="21" a="1"/>
  <c r="AD77" i="21" s="1"/>
  <c r="AB77" i="21" a="1"/>
  <c r="AB77" i="21" s="1"/>
  <c r="Z77" i="21" a="1"/>
  <c r="Z77" i="21" s="1"/>
  <c r="X77" i="21" a="1"/>
  <c r="X77" i="21" s="1"/>
  <c r="V77" i="21" a="1"/>
  <c r="V77" i="21" s="1"/>
  <c r="T77" i="21" a="1"/>
  <c r="T77" i="21" s="1"/>
  <c r="R77" i="21" a="1"/>
  <c r="R77" i="21" s="1"/>
  <c r="P77" i="21"/>
  <c r="P77" i="21" a="1"/>
  <c r="N77" i="21" a="1"/>
  <c r="N77" i="21" s="1"/>
  <c r="L77" i="21" a="1"/>
  <c r="L77" i="21" s="1"/>
  <c r="J77" i="21" a="1"/>
  <c r="J77" i="21" s="1"/>
  <c r="H77" i="21" a="1"/>
  <c r="H77" i="21" s="1"/>
  <c r="F77" i="21" a="1"/>
  <c r="F77" i="21" s="1"/>
  <c r="D77" i="21" a="1"/>
  <c r="D77" i="21" s="1"/>
  <c r="B77" i="21" a="1"/>
  <c r="B77" i="21" s="1"/>
  <c r="AV76" i="21"/>
  <c r="AV76" i="21" a="1"/>
  <c r="AT76" i="21" a="1"/>
  <c r="AT76" i="21" s="1"/>
  <c r="AR76" i="21" a="1"/>
  <c r="AR76" i="21" s="1"/>
  <c r="AP76" i="21" a="1"/>
  <c r="AP76" i="21" s="1"/>
  <c r="AN76" i="21" a="1"/>
  <c r="AN76" i="21" s="1"/>
  <c r="AL76" i="21" a="1"/>
  <c r="AL76" i="21" s="1"/>
  <c r="AJ76" i="21" a="1"/>
  <c r="AJ76" i="21" s="1"/>
  <c r="AH76" i="21" a="1"/>
  <c r="AH76" i="21" s="1"/>
  <c r="AF76" i="21"/>
  <c r="AF76" i="21" a="1"/>
  <c r="AD76" i="21" a="1"/>
  <c r="AD76" i="21" s="1"/>
  <c r="AB76" i="21" a="1"/>
  <c r="AB76" i="21" s="1"/>
  <c r="Z76" i="21" a="1"/>
  <c r="Z76" i="21" s="1"/>
  <c r="X76" i="21" a="1"/>
  <c r="X76" i="21" s="1"/>
  <c r="V76" i="21" a="1"/>
  <c r="V76" i="21" s="1"/>
  <c r="T76" i="21" a="1"/>
  <c r="T76" i="21" s="1"/>
  <c r="R76" i="21" a="1"/>
  <c r="R76" i="21" s="1"/>
  <c r="P76" i="21"/>
  <c r="P76" i="21" a="1"/>
  <c r="N76" i="21" a="1"/>
  <c r="N76" i="21" s="1"/>
  <c r="L76" i="21" a="1"/>
  <c r="L76" i="21" s="1"/>
  <c r="J76" i="21" a="1"/>
  <c r="J76" i="21" s="1"/>
  <c r="H76" i="21" a="1"/>
  <c r="H76" i="21" s="1"/>
  <c r="F76" i="21" a="1"/>
  <c r="F76" i="21" s="1"/>
  <c r="D76" i="21" a="1"/>
  <c r="D76" i="21" s="1"/>
  <c r="B76" i="21" a="1"/>
  <c r="B76" i="21" s="1"/>
  <c r="AV75" i="21"/>
  <c r="AV75" i="21" a="1"/>
  <c r="AT75" i="21" a="1"/>
  <c r="AT75" i="21" s="1"/>
  <c r="AR75" i="21" a="1"/>
  <c r="AR75" i="21" s="1"/>
  <c r="AP75" i="21" a="1"/>
  <c r="AP75" i="21" s="1"/>
  <c r="AN75" i="21" a="1"/>
  <c r="AN75" i="21" s="1"/>
  <c r="AL75" i="21" a="1"/>
  <c r="AL75" i="21" s="1"/>
  <c r="AJ75" i="21" a="1"/>
  <c r="AJ75" i="21" s="1"/>
  <c r="AH75" i="21" a="1"/>
  <c r="AH75" i="21" s="1"/>
  <c r="AF75" i="21"/>
  <c r="AF75" i="21" a="1"/>
  <c r="AD75" i="21" a="1"/>
  <c r="AD75" i="21" s="1"/>
  <c r="AB75" i="21" a="1"/>
  <c r="AB75" i="21" s="1"/>
  <c r="Z75" i="21" a="1"/>
  <c r="Z75" i="21" s="1"/>
  <c r="X75" i="21" a="1"/>
  <c r="X75" i="21" s="1"/>
  <c r="V75" i="21" a="1"/>
  <c r="V75" i="21" s="1"/>
  <c r="T75" i="21" a="1"/>
  <c r="T75" i="21" s="1"/>
  <c r="R75" i="21" a="1"/>
  <c r="R75" i="21" s="1"/>
  <c r="P75" i="21"/>
  <c r="P75" i="21" a="1"/>
  <c r="N75" i="21" a="1"/>
  <c r="N75" i="21" s="1"/>
  <c r="L75" i="21" a="1"/>
  <c r="L75" i="21" s="1"/>
  <c r="J75" i="21" a="1"/>
  <c r="J75" i="21" s="1"/>
  <c r="H75" i="21" a="1"/>
  <c r="H75" i="21" s="1"/>
  <c r="F75" i="21" a="1"/>
  <c r="F75" i="21" s="1"/>
  <c r="D75" i="21" a="1"/>
  <c r="D75" i="21" s="1"/>
  <c r="B75" i="21" a="1"/>
  <c r="B75" i="21" s="1"/>
  <c r="AV74" i="21"/>
  <c r="AV74" i="21" a="1"/>
  <c r="AT74" i="21" a="1"/>
  <c r="AT74" i="21" s="1"/>
  <c r="AR74" i="21" a="1"/>
  <c r="AR74" i="21" s="1"/>
  <c r="AP74" i="21" a="1"/>
  <c r="AP74" i="21" s="1"/>
  <c r="AN74" i="21" a="1"/>
  <c r="AN74" i="21" s="1"/>
  <c r="AL74" i="21" a="1"/>
  <c r="AL74" i="21" s="1"/>
  <c r="AJ74" i="21" a="1"/>
  <c r="AJ74" i="21" s="1"/>
  <c r="AH74" i="21" a="1"/>
  <c r="AH74" i="21" s="1"/>
  <c r="AF74" i="21"/>
  <c r="AF74" i="21" a="1"/>
  <c r="AD74" i="21" a="1"/>
  <c r="AD74" i="21" s="1"/>
  <c r="AB74" i="21" a="1"/>
  <c r="AB74" i="21" s="1"/>
  <c r="Z74" i="21" a="1"/>
  <c r="Z74" i="21" s="1"/>
  <c r="X74" i="21" a="1"/>
  <c r="X74" i="21" s="1"/>
  <c r="V74" i="21" a="1"/>
  <c r="V74" i="21" s="1"/>
  <c r="T74" i="21" a="1"/>
  <c r="T74" i="21" s="1"/>
  <c r="R74" i="21" a="1"/>
  <c r="R74" i="21" s="1"/>
  <c r="P74" i="21"/>
  <c r="P74" i="21" a="1"/>
  <c r="N74" i="21" a="1"/>
  <c r="N74" i="21" s="1"/>
  <c r="L74" i="21" a="1"/>
  <c r="L74" i="21" s="1"/>
  <c r="J74" i="21" a="1"/>
  <c r="J74" i="21" s="1"/>
  <c r="H74" i="21" a="1"/>
  <c r="H74" i="21" s="1"/>
  <c r="F74" i="21" a="1"/>
  <c r="F74" i="21" s="1"/>
  <c r="D74" i="21" a="1"/>
  <c r="D74" i="21" s="1"/>
  <c r="B74" i="21" a="1"/>
  <c r="B74" i="21" s="1"/>
  <c r="AV73" i="21"/>
  <c r="AV73" i="21" a="1"/>
  <c r="AT73" i="21" a="1"/>
  <c r="AT73" i="21" s="1"/>
  <c r="AR73" i="21" a="1"/>
  <c r="AR73" i="21" s="1"/>
  <c r="AP73" i="21" a="1"/>
  <c r="AP73" i="21" s="1"/>
  <c r="AN73" i="21" a="1"/>
  <c r="AN73" i="21" s="1"/>
  <c r="AL73" i="21" a="1"/>
  <c r="AL73" i="21" s="1"/>
  <c r="AJ73" i="21" a="1"/>
  <c r="AJ73" i="21" s="1"/>
  <c r="AH73" i="21" a="1"/>
  <c r="AH73" i="21" s="1"/>
  <c r="AF73" i="21"/>
  <c r="AF73" i="21" a="1"/>
  <c r="AD73" i="21" a="1"/>
  <c r="AD73" i="21" s="1"/>
  <c r="AB73" i="21" a="1"/>
  <c r="AB73" i="21" s="1"/>
  <c r="Z73" i="21" a="1"/>
  <c r="Z73" i="21" s="1"/>
  <c r="X73" i="21" a="1"/>
  <c r="X73" i="21" s="1"/>
  <c r="V73" i="21" a="1"/>
  <c r="V73" i="21" s="1"/>
  <c r="T73" i="21" a="1"/>
  <c r="T73" i="21" s="1"/>
  <c r="R73" i="21" a="1"/>
  <c r="R73" i="21" s="1"/>
  <c r="P73" i="21"/>
  <c r="P73" i="21" a="1"/>
  <c r="N73" i="21" a="1"/>
  <c r="N73" i="21" s="1"/>
  <c r="L73" i="21" a="1"/>
  <c r="L73" i="21" s="1"/>
  <c r="J73" i="21" a="1"/>
  <c r="J73" i="21" s="1"/>
  <c r="H73" i="21" a="1"/>
  <c r="H73" i="21" s="1"/>
  <c r="F73" i="21" a="1"/>
  <c r="F73" i="21" s="1"/>
  <c r="D73" i="21" a="1"/>
  <c r="D73" i="21" s="1"/>
  <c r="B73" i="21" a="1"/>
  <c r="B73" i="21" s="1"/>
  <c r="AV72" i="21"/>
  <c r="AT72" i="21"/>
  <c r="AR72" i="21"/>
  <c r="AP72" i="21"/>
  <c r="AN72" i="21"/>
  <c r="AL72" i="21"/>
  <c r="AJ72" i="21"/>
  <c r="AH72" i="21"/>
  <c r="AF72" i="21"/>
  <c r="AD72" i="21"/>
  <c r="AB72" i="21"/>
  <c r="Z72" i="21"/>
  <c r="X72" i="21"/>
  <c r="V72" i="21"/>
  <c r="T72" i="21"/>
  <c r="R72" i="21"/>
  <c r="P72" i="21"/>
  <c r="N72" i="21"/>
  <c r="L72" i="21"/>
  <c r="J72" i="21"/>
  <c r="H72" i="21"/>
  <c r="F72" i="21"/>
  <c r="D72" i="21"/>
  <c r="B72" i="21"/>
  <c r="AV71" i="21"/>
  <c r="AT71" i="21"/>
  <c r="AR71" i="21"/>
  <c r="AP71" i="21"/>
  <c r="AN71" i="21"/>
  <c r="AL71" i="21"/>
  <c r="AJ71" i="21"/>
  <c r="AH71" i="21"/>
  <c r="AF71" i="21"/>
  <c r="AD71" i="21"/>
  <c r="AB71" i="21"/>
  <c r="Z71" i="21"/>
  <c r="X71" i="21"/>
  <c r="V71" i="21"/>
  <c r="T71" i="21"/>
  <c r="R71" i="21"/>
  <c r="P71" i="21"/>
  <c r="N71" i="21"/>
  <c r="L71" i="21"/>
  <c r="J71" i="21"/>
  <c r="H71" i="21"/>
  <c r="F71" i="21"/>
  <c r="D71" i="21"/>
  <c r="B71" i="21"/>
  <c r="AV70" i="21"/>
  <c r="AT70" i="21"/>
  <c r="AR70" i="21"/>
  <c r="AP70" i="21"/>
  <c r="AN70" i="21"/>
  <c r="AL70" i="21"/>
  <c r="AJ70" i="21"/>
  <c r="AH70" i="21"/>
  <c r="AF70" i="21"/>
  <c r="AD70" i="21"/>
  <c r="AB70" i="21"/>
  <c r="Z70" i="21"/>
  <c r="X70" i="21"/>
  <c r="V70" i="21"/>
  <c r="T70" i="21"/>
  <c r="R70" i="21"/>
  <c r="P70" i="21"/>
  <c r="N70" i="21"/>
  <c r="L70" i="21"/>
  <c r="J70" i="21"/>
  <c r="H70" i="21"/>
  <c r="F70" i="21"/>
  <c r="D70" i="21"/>
  <c r="B70" i="21"/>
  <c r="B69" i="21"/>
  <c r="AV67" i="21" a="1"/>
  <c r="AV67" i="21" s="1"/>
  <c r="AT67" i="21" a="1"/>
  <c r="AT67" i="21" s="1"/>
  <c r="AR67" i="21" a="1"/>
  <c r="AR67" i="21" s="1"/>
  <c r="AP67" i="21" a="1"/>
  <c r="AP67" i="21" s="1"/>
  <c r="AN67" i="21"/>
  <c r="AN67" i="21" a="1"/>
  <c r="AL67" i="21" a="1"/>
  <c r="AL67" i="21" s="1"/>
  <c r="AJ67" i="21" a="1"/>
  <c r="AJ67" i="21" s="1"/>
  <c r="AH67" i="21" a="1"/>
  <c r="AH67" i="21" s="1"/>
  <c r="AF67" i="21" a="1"/>
  <c r="AF67" i="21" s="1"/>
  <c r="AD67" i="21" a="1"/>
  <c r="AD67" i="21" s="1"/>
  <c r="AB67" i="21" a="1"/>
  <c r="AB67" i="21" s="1"/>
  <c r="Z67" i="21" a="1"/>
  <c r="Z67" i="21" s="1"/>
  <c r="X67" i="21"/>
  <c r="X67" i="21" a="1"/>
  <c r="V67" i="21" a="1"/>
  <c r="V67" i="21" s="1"/>
  <c r="T67" i="21" a="1"/>
  <c r="T67" i="21" s="1"/>
  <c r="R67" i="21" a="1"/>
  <c r="R67" i="21" s="1"/>
  <c r="P67" i="21" a="1"/>
  <c r="P67" i="21" s="1"/>
  <c r="N67" i="21" a="1"/>
  <c r="N67" i="21" s="1"/>
  <c r="L67" i="21" a="1"/>
  <c r="L67" i="21" s="1"/>
  <c r="J67" i="21" a="1"/>
  <c r="J67" i="21" s="1"/>
  <c r="H67" i="21"/>
  <c r="H67" i="21" a="1"/>
  <c r="F67" i="21" a="1"/>
  <c r="F67" i="21" s="1"/>
  <c r="D67" i="21" a="1"/>
  <c r="D67" i="21" s="1"/>
  <c r="B67" i="21" a="1"/>
  <c r="B67" i="21" s="1"/>
  <c r="AV66" i="21" a="1"/>
  <c r="AV66" i="21" s="1"/>
  <c r="AV68" i="21" s="1"/>
  <c r="AT66" i="21" a="1"/>
  <c r="AT66" i="21" s="1"/>
  <c r="AT68" i="21" s="1"/>
  <c r="AR66" i="21" a="1"/>
  <c r="AR66" i="21" s="1"/>
  <c r="AR68" i="21" s="1"/>
  <c r="AP66" i="21" a="1"/>
  <c r="AP66" i="21" s="1"/>
  <c r="AN66" i="21"/>
  <c r="AN68" i="21" s="1"/>
  <c r="AN66" i="21" a="1"/>
  <c r="AL66" i="21" a="1"/>
  <c r="AL66" i="21" s="1"/>
  <c r="AJ66" i="21" a="1"/>
  <c r="AJ66" i="21" s="1"/>
  <c r="AH66" i="21" a="1"/>
  <c r="AH66" i="21" s="1"/>
  <c r="AF66" i="21" a="1"/>
  <c r="AF66" i="21" s="1"/>
  <c r="AD66" i="21" a="1"/>
  <c r="AD66" i="21" s="1"/>
  <c r="AB66" i="21" a="1"/>
  <c r="AB66" i="21" s="1"/>
  <c r="AB68" i="21" s="1"/>
  <c r="Z66" i="21" a="1"/>
  <c r="Z66" i="21" s="1"/>
  <c r="Z68" i="21" s="1"/>
  <c r="X66" i="21"/>
  <c r="X68" i="21" s="1"/>
  <c r="X66" i="21" a="1"/>
  <c r="V66" i="21" a="1"/>
  <c r="V66" i="21" s="1"/>
  <c r="V68" i="21" s="1"/>
  <c r="T66" i="21" a="1"/>
  <c r="T66" i="21" s="1"/>
  <c r="T68" i="21" s="1"/>
  <c r="R66" i="21" a="1"/>
  <c r="R66" i="21" s="1"/>
  <c r="R68" i="21" s="1"/>
  <c r="P66" i="21" a="1"/>
  <c r="P66" i="21" s="1"/>
  <c r="P68" i="21" s="1"/>
  <c r="N66" i="21" a="1"/>
  <c r="N66" i="21" s="1"/>
  <c r="L66" i="21" a="1"/>
  <c r="L66" i="21" s="1"/>
  <c r="J66" i="21" a="1"/>
  <c r="J66" i="21" s="1"/>
  <c r="H66" i="21"/>
  <c r="H68" i="21" s="1"/>
  <c r="H66" i="21" a="1"/>
  <c r="F66" i="21" a="1"/>
  <c r="F66" i="21" s="1"/>
  <c r="D66" i="21" a="1"/>
  <c r="D66" i="21" s="1"/>
  <c r="B66" i="21" a="1"/>
  <c r="B66" i="21" s="1"/>
  <c r="AV65" i="21" a="1"/>
  <c r="AV65" i="21" s="1"/>
  <c r="AV69" i="21" s="1"/>
  <c r="AT65" i="21" a="1"/>
  <c r="AT65" i="21" s="1"/>
  <c r="AT69" i="21" s="1"/>
  <c r="AR65" i="21" a="1"/>
  <c r="AR65" i="21" s="1"/>
  <c r="AR69" i="21" s="1"/>
  <c r="AP65" i="21" a="1"/>
  <c r="AP65" i="21" s="1"/>
  <c r="AP69" i="21" s="1"/>
  <c r="AN65" i="21"/>
  <c r="AN69" i="21" s="1"/>
  <c r="AN65" i="21" a="1"/>
  <c r="AL65" i="21" a="1"/>
  <c r="AL65" i="21" s="1"/>
  <c r="AL69" i="21" s="1"/>
  <c r="AJ65" i="21" a="1"/>
  <c r="AJ65" i="21" s="1"/>
  <c r="AJ69" i="21" s="1"/>
  <c r="AH65" i="21" a="1"/>
  <c r="AH65" i="21" s="1"/>
  <c r="AH69" i="21" s="1"/>
  <c r="AF65" i="21" a="1"/>
  <c r="AF65" i="21" s="1"/>
  <c r="AF69" i="21" s="1"/>
  <c r="AD65" i="21" a="1"/>
  <c r="AD65" i="21" s="1"/>
  <c r="AD69" i="21" s="1"/>
  <c r="AB65" i="21" a="1"/>
  <c r="AB65" i="21" s="1"/>
  <c r="AB69" i="21" s="1"/>
  <c r="Z65" i="21" a="1"/>
  <c r="Z65" i="21" s="1"/>
  <c r="Z69" i="21" s="1"/>
  <c r="X65" i="21"/>
  <c r="X69" i="21" s="1"/>
  <c r="X65" i="21" a="1"/>
  <c r="V65" i="21" a="1"/>
  <c r="V65" i="21" s="1"/>
  <c r="V69" i="21" s="1"/>
  <c r="T65" i="21" a="1"/>
  <c r="T65" i="21" s="1"/>
  <c r="T69" i="21" s="1"/>
  <c r="R65" i="21" a="1"/>
  <c r="R65" i="21" s="1"/>
  <c r="R69" i="21" s="1"/>
  <c r="P65" i="21" a="1"/>
  <c r="P65" i="21" s="1"/>
  <c r="P69" i="21" s="1"/>
  <c r="N65" i="21" a="1"/>
  <c r="N65" i="21" s="1"/>
  <c r="N69" i="21" s="1"/>
  <c r="L65" i="21" a="1"/>
  <c r="L65" i="21" s="1"/>
  <c r="L69" i="21" s="1"/>
  <c r="J65" i="21" a="1"/>
  <c r="J65" i="21" s="1"/>
  <c r="J69" i="21" s="1"/>
  <c r="H65" i="21"/>
  <c r="H69" i="21" s="1"/>
  <c r="H65" i="21" a="1"/>
  <c r="F65" i="21" a="1"/>
  <c r="F65" i="21" s="1"/>
  <c r="F69" i="21" s="1"/>
  <c r="D65" i="21" a="1"/>
  <c r="D65" i="21" s="1"/>
  <c r="D69" i="21" s="1"/>
  <c r="B65" i="21"/>
  <c r="AV62" i="21"/>
  <c r="AT62" i="21"/>
  <c r="AR62" i="21"/>
  <c r="AP62" i="21"/>
  <c r="AN62" i="21"/>
  <c r="AL62" i="21"/>
  <c r="AJ62" i="21"/>
  <c r="AH62" i="21"/>
  <c r="AF62" i="21"/>
  <c r="AD62" i="21"/>
  <c r="AB62" i="21"/>
  <c r="Z62" i="21"/>
  <c r="X62" i="21"/>
  <c r="V62" i="21"/>
  <c r="T62" i="21"/>
  <c r="R62" i="21"/>
  <c r="P62" i="21"/>
  <c r="N62" i="21"/>
  <c r="L62" i="21"/>
  <c r="J62" i="21"/>
  <c r="H62" i="21"/>
  <c r="F62" i="21"/>
  <c r="D62" i="21"/>
  <c r="B62" i="21"/>
  <c r="AV60" i="21"/>
  <c r="AT60" i="21"/>
  <c r="AR60" i="21"/>
  <c r="AP60" i="21"/>
  <c r="AN60" i="21"/>
  <c r="AL60" i="21"/>
  <c r="AJ60" i="21"/>
  <c r="AH60" i="21"/>
  <c r="AF60" i="21"/>
  <c r="AD60" i="21"/>
  <c r="AB60" i="21"/>
  <c r="Z60" i="21"/>
  <c r="X60" i="21"/>
  <c r="V60" i="21"/>
  <c r="T60" i="21"/>
  <c r="R60" i="21"/>
  <c r="P60" i="21"/>
  <c r="N60" i="21"/>
  <c r="L60" i="21"/>
  <c r="J60" i="21"/>
  <c r="H60" i="21"/>
  <c r="F60" i="21"/>
  <c r="D60" i="21"/>
  <c r="B60" i="21"/>
  <c r="AV59" i="21"/>
  <c r="AT59" i="21"/>
  <c r="AR59" i="21"/>
  <c r="AP59" i="21"/>
  <c r="AN59" i="21"/>
  <c r="AL59" i="21"/>
  <c r="AJ59" i="21"/>
  <c r="AH59" i="21"/>
  <c r="AF59" i="21"/>
  <c r="AD59" i="21"/>
  <c r="AB59" i="21"/>
  <c r="Z59" i="21"/>
  <c r="X59" i="21"/>
  <c r="V59" i="21"/>
  <c r="T59" i="21"/>
  <c r="R59" i="21"/>
  <c r="P59" i="21"/>
  <c r="N59" i="21"/>
  <c r="L59" i="21"/>
  <c r="J59" i="21"/>
  <c r="H59" i="21"/>
  <c r="F59" i="21"/>
  <c r="D59" i="21"/>
  <c r="B59" i="21"/>
  <c r="AV58" i="21"/>
  <c r="AV58" i="21" a="1"/>
  <c r="AT58" i="21"/>
  <c r="AT58" i="21" a="1"/>
  <c r="AR58" i="21"/>
  <c r="AR58" i="21" a="1"/>
  <c r="AP58" i="21"/>
  <c r="AP58" i="21" a="1"/>
  <c r="AN58" i="21" a="1"/>
  <c r="AN58" i="21" s="1"/>
  <c r="AL58" i="21" a="1"/>
  <c r="AL58" i="21" s="1"/>
  <c r="AJ58" i="21"/>
  <c r="AJ58" i="21" a="1"/>
  <c r="AH58" i="21" a="1"/>
  <c r="AH58" i="21" s="1"/>
  <c r="AF58" i="21"/>
  <c r="AF58" i="21" a="1"/>
  <c r="AD58" i="21"/>
  <c r="AD58" i="21" a="1"/>
  <c r="AB58" i="21"/>
  <c r="AB58" i="21" a="1"/>
  <c r="Z58" i="21"/>
  <c r="Z58" i="21" a="1"/>
  <c r="X58" i="21" a="1"/>
  <c r="X58" i="21" s="1"/>
  <c r="V58" i="21" a="1"/>
  <c r="V58" i="21" s="1"/>
  <c r="T58" i="21"/>
  <c r="T58" i="21" a="1"/>
  <c r="R58" i="21" a="1"/>
  <c r="R58" i="21" s="1"/>
  <c r="P58" i="21"/>
  <c r="P58" i="21" a="1"/>
  <c r="N58" i="21"/>
  <c r="N58" i="21" a="1"/>
  <c r="L58" i="21" a="1"/>
  <c r="L58" i="21" s="1"/>
  <c r="J58" i="21"/>
  <c r="J58" i="21" a="1"/>
  <c r="H58" i="21" a="1"/>
  <c r="H58" i="21" s="1"/>
  <c r="F58" i="21" a="1"/>
  <c r="F58" i="21" s="1"/>
  <c r="D58" i="21"/>
  <c r="D58" i="21" a="1"/>
  <c r="B58" i="21" a="1"/>
  <c r="B58" i="21" s="1"/>
  <c r="AV57" i="21"/>
  <c r="AV57" i="21" a="1"/>
  <c r="AT57" i="21" a="1"/>
  <c r="AT57" i="21" s="1"/>
  <c r="AR57" i="21" a="1"/>
  <c r="AR57" i="21" s="1"/>
  <c r="AP57" i="21"/>
  <c r="AP57" i="21" a="1"/>
  <c r="AN57" i="21" a="1"/>
  <c r="AN57" i="21" s="1"/>
  <c r="AL57" i="21" a="1"/>
  <c r="AL57" i="21" s="1"/>
  <c r="AJ57" i="21"/>
  <c r="AJ57" i="21" a="1"/>
  <c r="AH57" i="21" a="1"/>
  <c r="AH57" i="21" s="1"/>
  <c r="AF57" i="21"/>
  <c r="AF57" i="21" a="1"/>
  <c r="AD57" i="21" a="1"/>
  <c r="AD57" i="21" s="1"/>
  <c r="AB57" i="21" a="1"/>
  <c r="AB57" i="21" s="1"/>
  <c r="Z57" i="21"/>
  <c r="Z57" i="21" a="1"/>
  <c r="X57" i="21" a="1"/>
  <c r="X57" i="21" s="1"/>
  <c r="V57" i="21" a="1"/>
  <c r="V57" i="21" s="1"/>
  <c r="T57" i="21"/>
  <c r="T57" i="21" a="1"/>
  <c r="R57" i="21" a="1"/>
  <c r="R57" i="21" s="1"/>
  <c r="P57" i="21"/>
  <c r="P57" i="21" a="1"/>
  <c r="N57" i="21" a="1"/>
  <c r="N57" i="21" s="1"/>
  <c r="L57" i="21" a="1"/>
  <c r="L57" i="21" s="1"/>
  <c r="J57" i="21"/>
  <c r="J57" i="21" a="1"/>
  <c r="H57" i="21" a="1"/>
  <c r="H57" i="21" s="1"/>
  <c r="F57" i="21" a="1"/>
  <c r="F57" i="21" s="1"/>
  <c r="D57" i="21"/>
  <c r="D57" i="21" a="1"/>
  <c r="B57" i="21" a="1"/>
  <c r="B57" i="21" s="1"/>
  <c r="AV56" i="21"/>
  <c r="AT56" i="21"/>
  <c r="AR56" i="21"/>
  <c r="AP56" i="21"/>
  <c r="AN56" i="21"/>
  <c r="AL56" i="21"/>
  <c r="AJ56" i="21"/>
  <c r="AH56" i="21"/>
  <c r="AF56" i="21"/>
  <c r="AD56" i="21"/>
  <c r="AB56" i="21"/>
  <c r="Z56" i="21"/>
  <c r="X56" i="21"/>
  <c r="V56" i="21"/>
  <c r="T56" i="21"/>
  <c r="R56" i="21"/>
  <c r="P56" i="21"/>
  <c r="N56" i="21"/>
  <c r="L56" i="21"/>
  <c r="J56" i="21"/>
  <c r="H56" i="21"/>
  <c r="F56" i="21"/>
  <c r="D56" i="21"/>
  <c r="B56" i="21"/>
  <c r="AV55" i="21"/>
  <c r="AV80" i="21" s="1"/>
  <c r="AT55" i="21"/>
  <c r="AR55" i="21"/>
  <c r="AP55" i="21"/>
  <c r="AN55" i="21"/>
  <c r="AN80" i="21" s="1"/>
  <c r="AL55" i="21"/>
  <c r="AL80" i="21" s="1"/>
  <c r="AJ55" i="21"/>
  <c r="AJ80" i="21" s="1"/>
  <c r="AH55" i="21"/>
  <c r="AF55" i="21"/>
  <c r="AF80" i="21" s="1"/>
  <c r="AD55" i="21"/>
  <c r="AD80" i="21" s="1"/>
  <c r="AB55" i="21"/>
  <c r="AB80" i="21" s="1"/>
  <c r="Z55" i="21"/>
  <c r="Z80" i="21" s="1"/>
  <c r="X55" i="21"/>
  <c r="X80" i="21" s="1"/>
  <c r="V55" i="21"/>
  <c r="V80" i="21" s="1"/>
  <c r="T55" i="21"/>
  <c r="T80" i="21" s="1"/>
  <c r="R55" i="21"/>
  <c r="R80" i="21" s="1"/>
  <c r="P55" i="21"/>
  <c r="P80" i="21" s="1"/>
  <c r="N55" i="21"/>
  <c r="L55" i="21"/>
  <c r="J55" i="21"/>
  <c r="H55" i="21"/>
  <c r="H80" i="21" s="1"/>
  <c r="F55" i="21"/>
  <c r="F80" i="21" s="1"/>
  <c r="D55" i="21"/>
  <c r="D80" i="21" s="1"/>
  <c r="B55" i="21"/>
  <c r="AV53" i="21" a="1"/>
  <c r="AT53" i="21" a="1"/>
  <c r="AR53" i="21" a="1"/>
  <c r="AP53" i="21" a="1"/>
  <c r="AN53" i="21" a="1"/>
  <c r="AL53" i="21" a="1"/>
  <c r="AJ53" i="21" a="1"/>
  <c r="AH53" i="21" a="1"/>
  <c r="AF53" i="21" a="1"/>
  <c r="AD53" i="21" a="1"/>
  <c r="AB53" i="21" a="1"/>
  <c r="Z53" i="21" a="1"/>
  <c r="X53" i="21" a="1"/>
  <c r="V53" i="21" a="1"/>
  <c r="T53" i="21" a="1"/>
  <c r="R53" i="21" a="1"/>
  <c r="P53" i="21" a="1"/>
  <c r="N53" i="21" a="1"/>
  <c r="L53" i="21" a="1"/>
  <c r="J53" i="21" a="1"/>
  <c r="H53" i="21" a="1"/>
  <c r="F53" i="21" a="1"/>
  <c r="D53" i="21" a="1"/>
  <c r="B53" i="21" a="1"/>
  <c r="AV52" i="21" a="1"/>
  <c r="AT52" i="21" a="1"/>
  <c r="AR52" i="21" a="1"/>
  <c r="AP52" i="21" a="1"/>
  <c r="AN52" i="21" a="1"/>
  <c r="AL52" i="21" a="1"/>
  <c r="AJ52" i="21" a="1"/>
  <c r="AH52" i="21" a="1"/>
  <c r="AF52" i="21" a="1"/>
  <c r="AD52" i="21" a="1"/>
  <c r="AB52" i="21" a="1"/>
  <c r="Z52" i="21" a="1"/>
  <c r="X52" i="21" a="1"/>
  <c r="V52" i="21" a="1"/>
  <c r="T52" i="21" a="1"/>
  <c r="R52" i="21" a="1"/>
  <c r="P52" i="21" a="1"/>
  <c r="N52" i="21" a="1"/>
  <c r="L52" i="21" a="1"/>
  <c r="J52" i="21" a="1"/>
  <c r="H52" i="21" a="1"/>
  <c r="F52" i="21" a="1"/>
  <c r="D52" i="21" a="1"/>
  <c r="B52" i="21" a="1"/>
  <c r="AV51" i="21"/>
  <c r="AV81" i="21" s="1"/>
  <c r="AT51" i="21"/>
  <c r="AT81" i="21" s="1"/>
  <c r="AR51" i="21"/>
  <c r="AR81" i="21" s="1"/>
  <c r="AP51" i="21"/>
  <c r="AP81" i="21" s="1"/>
  <c r="AN51" i="21"/>
  <c r="AN81" i="21" s="1"/>
  <c r="AL51" i="21"/>
  <c r="AL81" i="21" s="1"/>
  <c r="AJ51" i="21"/>
  <c r="AJ81" i="21" s="1"/>
  <c r="AH51" i="21"/>
  <c r="AH81" i="21" s="1"/>
  <c r="AF51" i="21"/>
  <c r="AF81" i="21" s="1"/>
  <c r="AD51" i="21"/>
  <c r="AB51" i="21"/>
  <c r="Z51" i="21"/>
  <c r="X51" i="21"/>
  <c r="X81" i="21" s="1"/>
  <c r="V51" i="21"/>
  <c r="V81" i="21" s="1"/>
  <c r="T51" i="21"/>
  <c r="T81" i="21" s="1"/>
  <c r="R51" i="21"/>
  <c r="P51" i="21"/>
  <c r="P81" i="21" s="1"/>
  <c r="N51" i="21"/>
  <c r="N81" i="21" s="1"/>
  <c r="L51" i="21"/>
  <c r="L81" i="21" s="1"/>
  <c r="J51" i="21"/>
  <c r="J81" i="21" s="1"/>
  <c r="H51" i="21"/>
  <c r="H81" i="21" s="1"/>
  <c r="F51" i="21"/>
  <c r="F81" i="21" s="1"/>
  <c r="D51" i="21"/>
  <c r="D81" i="21" s="1"/>
  <c r="B51" i="21"/>
  <c r="B81" i="21" s="1"/>
  <c r="AV49" i="21"/>
  <c r="AT49" i="21"/>
  <c r="AR49" i="21"/>
  <c r="AP49" i="21"/>
  <c r="AN49" i="21"/>
  <c r="AL49" i="21"/>
  <c r="AJ49" i="21"/>
  <c r="AH49" i="21"/>
  <c r="AF49" i="21"/>
  <c r="AD49" i="21"/>
  <c r="AB49" i="21"/>
  <c r="Z49" i="21"/>
  <c r="X49" i="21"/>
  <c r="V49" i="21"/>
  <c r="T49" i="21"/>
  <c r="R49" i="21"/>
  <c r="P49" i="21"/>
  <c r="N49" i="21"/>
  <c r="L49" i="21"/>
  <c r="J49" i="21"/>
  <c r="H49" i="21"/>
  <c r="F49" i="21"/>
  <c r="D49" i="21"/>
  <c r="B49" i="21"/>
  <c r="AV48" i="21"/>
  <c r="AT48" i="21"/>
  <c r="AR48" i="21"/>
  <c r="AP48" i="21"/>
  <c r="AN48" i="21"/>
  <c r="AL48" i="21"/>
  <c r="AJ48" i="21"/>
  <c r="AH48" i="21"/>
  <c r="AF48" i="21"/>
  <c r="AD48" i="21"/>
  <c r="AB48" i="21"/>
  <c r="Z48" i="21"/>
  <c r="X48" i="21"/>
  <c r="V48" i="21"/>
  <c r="T48" i="21"/>
  <c r="R48" i="21"/>
  <c r="P48" i="21"/>
  <c r="N48" i="21"/>
  <c r="L48" i="21"/>
  <c r="J48" i="21"/>
  <c r="H48" i="21"/>
  <c r="F48" i="21"/>
  <c r="D48" i="21"/>
  <c r="B48" i="21"/>
  <c r="AV46" i="21"/>
  <c r="AT46" i="21"/>
  <c r="AR46" i="21"/>
  <c r="AP46" i="21"/>
  <c r="AN46" i="21"/>
  <c r="AL46" i="21"/>
  <c r="AJ46" i="21"/>
  <c r="AH46" i="21"/>
  <c r="AF46" i="21"/>
  <c r="AD46" i="21"/>
  <c r="AB46" i="21"/>
  <c r="Z46" i="21"/>
  <c r="X46" i="21"/>
  <c r="V46" i="21"/>
  <c r="T46" i="21"/>
  <c r="R46" i="21"/>
  <c r="P46" i="21"/>
  <c r="N46" i="21"/>
  <c r="L46" i="21"/>
  <c r="J46" i="21"/>
  <c r="H46" i="21"/>
  <c r="F46" i="21"/>
  <c r="D46" i="21"/>
  <c r="B46" i="21"/>
  <c r="AV45" i="21"/>
  <c r="AT45" i="21"/>
  <c r="AR45" i="21"/>
  <c r="AP45" i="21"/>
  <c r="AN45" i="21"/>
  <c r="AL45" i="21"/>
  <c r="AJ45" i="21"/>
  <c r="AH45" i="21"/>
  <c r="AF45" i="21"/>
  <c r="AD45" i="21"/>
  <c r="AB45" i="21"/>
  <c r="Z45" i="21"/>
  <c r="X45" i="21"/>
  <c r="V45" i="21"/>
  <c r="T45" i="21"/>
  <c r="R45" i="21"/>
  <c r="P45" i="21"/>
  <c r="N45" i="21"/>
  <c r="L45" i="21"/>
  <c r="J45" i="21"/>
  <c r="H45" i="21"/>
  <c r="F45" i="21"/>
  <c r="D45" i="21"/>
  <c r="B45" i="21"/>
  <c r="AV44" i="21"/>
  <c r="AT44" i="21"/>
  <c r="AR44" i="21"/>
  <c r="AP44" i="21"/>
  <c r="AN44" i="21"/>
  <c r="AL44" i="21"/>
  <c r="AJ44" i="21"/>
  <c r="AH44" i="21"/>
  <c r="AF44" i="21"/>
  <c r="AD44" i="21"/>
  <c r="AB44" i="21"/>
  <c r="Z44" i="21"/>
  <c r="X44" i="21"/>
  <c r="V44" i="21"/>
  <c r="T44" i="21"/>
  <c r="R44" i="21"/>
  <c r="P44" i="21"/>
  <c r="N44" i="21"/>
  <c r="L44" i="21"/>
  <c r="J44" i="21"/>
  <c r="H44" i="21"/>
  <c r="F44" i="21"/>
  <c r="D44" i="21"/>
  <c r="B44" i="21"/>
  <c r="AV43" i="21"/>
  <c r="AV43" i="21" a="1"/>
  <c r="AT43" i="21" a="1"/>
  <c r="AT43" i="21" s="1"/>
  <c r="AR43" i="21" a="1"/>
  <c r="AR43" i="21" s="1"/>
  <c r="AP43" i="21" a="1"/>
  <c r="AP43" i="21" s="1"/>
  <c r="AN43" i="21" a="1"/>
  <c r="AN43" i="21" s="1"/>
  <c r="AL43" i="21" a="1"/>
  <c r="AL43" i="21" s="1"/>
  <c r="AJ43" i="21"/>
  <c r="AJ43" i="21" a="1"/>
  <c r="AH43" i="21" a="1"/>
  <c r="AH43" i="21" s="1"/>
  <c r="AF43" i="21"/>
  <c r="AF43" i="21" a="1"/>
  <c r="AD43" i="21" a="1"/>
  <c r="AD43" i="21" s="1"/>
  <c r="AB43" i="21" a="1"/>
  <c r="AB43" i="21" s="1"/>
  <c r="Z43" i="21" a="1"/>
  <c r="Z43" i="21" s="1"/>
  <c r="X43" i="21" a="1"/>
  <c r="X43" i="21" s="1"/>
  <c r="V43" i="21" a="1"/>
  <c r="V43" i="21" s="1"/>
  <c r="T43" i="21"/>
  <c r="T43" i="21" a="1"/>
  <c r="R43" i="21" a="1"/>
  <c r="R43" i="21" s="1"/>
  <c r="P43" i="21"/>
  <c r="P43" i="21" a="1"/>
  <c r="N43" i="21" a="1"/>
  <c r="N43" i="21" s="1"/>
  <c r="L43" i="21" a="1"/>
  <c r="L43" i="21" s="1"/>
  <c r="J43" i="21" a="1"/>
  <c r="J43" i="21" s="1"/>
  <c r="H43" i="21" a="1"/>
  <c r="H43" i="21" s="1"/>
  <c r="F43" i="21" a="1"/>
  <c r="F43" i="21" s="1"/>
  <c r="D43" i="21"/>
  <c r="D43" i="21" a="1"/>
  <c r="B43" i="21"/>
  <c r="AV42" i="21"/>
  <c r="AT42" i="21"/>
  <c r="AR42" i="21"/>
  <c r="AP42" i="21"/>
  <c r="AN42" i="21"/>
  <c r="AL42" i="21"/>
  <c r="AJ42" i="21"/>
  <c r="AH42" i="21"/>
  <c r="AF42" i="21"/>
  <c r="AD42" i="21"/>
  <c r="AB42" i="21"/>
  <c r="Z42" i="21"/>
  <c r="X42" i="21"/>
  <c r="V42" i="21"/>
  <c r="T42" i="21"/>
  <c r="R42" i="21"/>
  <c r="P42" i="21"/>
  <c r="N42" i="21"/>
  <c r="L42" i="21"/>
  <c r="J42" i="21"/>
  <c r="H42" i="21"/>
  <c r="F42" i="21"/>
  <c r="D42" i="21"/>
  <c r="B42" i="21"/>
  <c r="AR81" i="24"/>
  <c r="AP81" i="24"/>
  <c r="AN81" i="24"/>
  <c r="AF81" i="24"/>
  <c r="AD81" i="24"/>
  <c r="AB81" i="24"/>
  <c r="Z81" i="24"/>
  <c r="R81" i="24"/>
  <c r="L81" i="24"/>
  <c r="J81" i="24"/>
  <c r="H81" i="24"/>
  <c r="AV80" i="24"/>
  <c r="AT80" i="24"/>
  <c r="AR80" i="24"/>
  <c r="AP80" i="24"/>
  <c r="AH80" i="24"/>
  <c r="AB80" i="24"/>
  <c r="Z80" i="24"/>
  <c r="X80" i="24"/>
  <c r="P80" i="24"/>
  <c r="N80" i="24"/>
  <c r="L80" i="24"/>
  <c r="J80" i="24"/>
  <c r="B80" i="24"/>
  <c r="AV79" i="24" a="1"/>
  <c r="AV79" i="24" s="1"/>
  <c r="AT79" i="24" a="1"/>
  <c r="AT79" i="24" s="1"/>
  <c r="AR79" i="24"/>
  <c r="AR79" i="24" a="1"/>
  <c r="AP79" i="24" a="1"/>
  <c r="AP79" i="24" s="1"/>
  <c r="AN79" i="24" a="1"/>
  <c r="AN79" i="24" s="1"/>
  <c r="AL79" i="24" a="1"/>
  <c r="AL79" i="24" s="1"/>
  <c r="AJ79" i="24" a="1"/>
  <c r="AJ79" i="24" s="1"/>
  <c r="AH79" i="24" a="1"/>
  <c r="AH79" i="24" s="1"/>
  <c r="AF79" i="24" a="1"/>
  <c r="AF79" i="24" s="1"/>
  <c r="AD79" i="24" a="1"/>
  <c r="AD79" i="24" s="1"/>
  <c r="AB79" i="24"/>
  <c r="AB79" i="24" a="1"/>
  <c r="Z79" i="24" a="1"/>
  <c r="Z79" i="24" s="1"/>
  <c r="X79" i="24" a="1"/>
  <c r="X79" i="24" s="1"/>
  <c r="V79" i="24" a="1"/>
  <c r="V79" i="24" s="1"/>
  <c r="T79" i="24" a="1"/>
  <c r="T79" i="24" s="1"/>
  <c r="R79" i="24" a="1"/>
  <c r="R79" i="24" s="1"/>
  <c r="P79" i="24" a="1"/>
  <c r="P79" i="24" s="1"/>
  <c r="N79" i="24" a="1"/>
  <c r="N79" i="24" s="1"/>
  <c r="L79" i="24"/>
  <c r="L79" i="24" a="1"/>
  <c r="J79" i="24" a="1"/>
  <c r="J79" i="24" s="1"/>
  <c r="H79" i="24" a="1"/>
  <c r="H79" i="24" s="1"/>
  <c r="F79" i="24" a="1"/>
  <c r="F79" i="24" s="1"/>
  <c r="D79" i="24" a="1"/>
  <c r="D79" i="24" s="1"/>
  <c r="B79" i="24" a="1"/>
  <c r="B79" i="24" s="1"/>
  <c r="AV78" i="24" a="1"/>
  <c r="AV78" i="24" s="1"/>
  <c r="AT78" i="24" a="1"/>
  <c r="AT78" i="24" s="1"/>
  <c r="AR78" i="24"/>
  <c r="AR78" i="24" a="1"/>
  <c r="AP78" i="24" a="1"/>
  <c r="AP78" i="24" s="1"/>
  <c r="AN78" i="24" a="1"/>
  <c r="AN78" i="24" s="1"/>
  <c r="AL78" i="24" a="1"/>
  <c r="AL78" i="24" s="1"/>
  <c r="AJ78" i="24" a="1"/>
  <c r="AJ78" i="24" s="1"/>
  <c r="AH78" i="24" a="1"/>
  <c r="AH78" i="24" s="1"/>
  <c r="AF78" i="24" a="1"/>
  <c r="AF78" i="24" s="1"/>
  <c r="AD78" i="24" a="1"/>
  <c r="AD78" i="24" s="1"/>
  <c r="AB78" i="24"/>
  <c r="AB78" i="24" a="1"/>
  <c r="Z78" i="24" a="1"/>
  <c r="Z78" i="24" s="1"/>
  <c r="X78" i="24" a="1"/>
  <c r="X78" i="24" s="1"/>
  <c r="V78" i="24" a="1"/>
  <c r="V78" i="24" s="1"/>
  <c r="T78" i="24" a="1"/>
  <c r="T78" i="24" s="1"/>
  <c r="R78" i="24" a="1"/>
  <c r="R78" i="24" s="1"/>
  <c r="P78" i="24" a="1"/>
  <c r="P78" i="24" s="1"/>
  <c r="N78" i="24" a="1"/>
  <c r="N78" i="24" s="1"/>
  <c r="L78" i="24"/>
  <c r="L78" i="24" a="1"/>
  <c r="J78" i="24" a="1"/>
  <c r="J78" i="24" s="1"/>
  <c r="H78" i="24" a="1"/>
  <c r="H78" i="24" s="1"/>
  <c r="F78" i="24" a="1"/>
  <c r="F78" i="24" s="1"/>
  <c r="D78" i="24" a="1"/>
  <c r="D78" i="24" s="1"/>
  <c r="B78" i="24" a="1"/>
  <c r="B78" i="24" s="1"/>
  <c r="AV77" i="24" a="1"/>
  <c r="AV77" i="24" s="1"/>
  <c r="AT77" i="24" a="1"/>
  <c r="AT77" i="24" s="1"/>
  <c r="AR77" i="24"/>
  <c r="AR77" i="24" a="1"/>
  <c r="AP77" i="24" a="1"/>
  <c r="AP77" i="24" s="1"/>
  <c r="AN77" i="24" a="1"/>
  <c r="AN77" i="24" s="1"/>
  <c r="AL77" i="24" a="1"/>
  <c r="AL77" i="24" s="1"/>
  <c r="AJ77" i="24" a="1"/>
  <c r="AJ77" i="24" s="1"/>
  <c r="AH77" i="24" a="1"/>
  <c r="AH77" i="24" s="1"/>
  <c r="AF77" i="24" a="1"/>
  <c r="AF77" i="24" s="1"/>
  <c r="AD77" i="24" a="1"/>
  <c r="AD77" i="24" s="1"/>
  <c r="AB77" i="24"/>
  <c r="AB77" i="24" a="1"/>
  <c r="Z77" i="24" a="1"/>
  <c r="Z77" i="24" s="1"/>
  <c r="X77" i="24" a="1"/>
  <c r="X77" i="24" s="1"/>
  <c r="V77" i="24" a="1"/>
  <c r="V77" i="24" s="1"/>
  <c r="T77" i="24" a="1"/>
  <c r="T77" i="24" s="1"/>
  <c r="R77" i="24" a="1"/>
  <c r="R77" i="24" s="1"/>
  <c r="P77" i="24" a="1"/>
  <c r="P77" i="24" s="1"/>
  <c r="N77" i="24" a="1"/>
  <c r="N77" i="24" s="1"/>
  <c r="L77" i="24"/>
  <c r="L77" i="24" a="1"/>
  <c r="J77" i="24" a="1"/>
  <c r="J77" i="24" s="1"/>
  <c r="H77" i="24" a="1"/>
  <c r="H77" i="24" s="1"/>
  <c r="F77" i="24" a="1"/>
  <c r="F77" i="24" s="1"/>
  <c r="D77" i="24" a="1"/>
  <c r="D77" i="24" s="1"/>
  <c r="B77" i="24" a="1"/>
  <c r="B77" i="24" s="1"/>
  <c r="AV76" i="24" a="1"/>
  <c r="AV76" i="24" s="1"/>
  <c r="AT76" i="24" a="1"/>
  <c r="AT76" i="24" s="1"/>
  <c r="AR76" i="24"/>
  <c r="AR76" i="24" a="1"/>
  <c r="AP76" i="24" a="1"/>
  <c r="AP76" i="24" s="1"/>
  <c r="AN76" i="24" a="1"/>
  <c r="AN76" i="24" s="1"/>
  <c r="AL76" i="24" a="1"/>
  <c r="AL76" i="24" s="1"/>
  <c r="AJ76" i="24" a="1"/>
  <c r="AJ76" i="24" s="1"/>
  <c r="AH76" i="24" a="1"/>
  <c r="AH76" i="24" s="1"/>
  <c r="AF76" i="24" a="1"/>
  <c r="AF76" i="24" s="1"/>
  <c r="AD76" i="24" a="1"/>
  <c r="AD76" i="24" s="1"/>
  <c r="AB76" i="24"/>
  <c r="AB76" i="24" a="1"/>
  <c r="Z76" i="24" a="1"/>
  <c r="Z76" i="24" s="1"/>
  <c r="X76" i="24" a="1"/>
  <c r="X76" i="24" s="1"/>
  <c r="V76" i="24" a="1"/>
  <c r="V76" i="24" s="1"/>
  <c r="T76" i="24" a="1"/>
  <c r="T76" i="24" s="1"/>
  <c r="R76" i="24" a="1"/>
  <c r="R76" i="24" s="1"/>
  <c r="P76" i="24" a="1"/>
  <c r="P76" i="24" s="1"/>
  <c r="N76" i="24" a="1"/>
  <c r="N76" i="24" s="1"/>
  <c r="L76" i="24"/>
  <c r="L76" i="24" a="1"/>
  <c r="J76" i="24" a="1"/>
  <c r="J76" i="24" s="1"/>
  <c r="H76" i="24" a="1"/>
  <c r="H76" i="24" s="1"/>
  <c r="F76" i="24" a="1"/>
  <c r="F76" i="24" s="1"/>
  <c r="D76" i="24" a="1"/>
  <c r="D76" i="24" s="1"/>
  <c r="B76" i="24" a="1"/>
  <c r="B76" i="24" s="1"/>
  <c r="AV75" i="24" a="1"/>
  <c r="AV75" i="24" s="1"/>
  <c r="AT75" i="24" a="1"/>
  <c r="AT75" i="24" s="1"/>
  <c r="AR75" i="24"/>
  <c r="AR75" i="24" a="1"/>
  <c r="AP75" i="24" a="1"/>
  <c r="AP75" i="24" s="1"/>
  <c r="AN75" i="24" a="1"/>
  <c r="AN75" i="24" s="1"/>
  <c r="AL75" i="24" a="1"/>
  <c r="AL75" i="24" s="1"/>
  <c r="AJ75" i="24" a="1"/>
  <c r="AJ75" i="24" s="1"/>
  <c r="AH75" i="24" a="1"/>
  <c r="AH75" i="24" s="1"/>
  <c r="AF75" i="24" a="1"/>
  <c r="AF75" i="24" s="1"/>
  <c r="AD75" i="24" a="1"/>
  <c r="AD75" i="24" s="1"/>
  <c r="AB75" i="24"/>
  <c r="AB75" i="24" a="1"/>
  <c r="Z75" i="24" a="1"/>
  <c r="Z75" i="24" s="1"/>
  <c r="X75" i="24" a="1"/>
  <c r="X75" i="24" s="1"/>
  <c r="V75" i="24" a="1"/>
  <c r="V75" i="24" s="1"/>
  <c r="T75" i="24" a="1"/>
  <c r="T75" i="24" s="1"/>
  <c r="R75" i="24" a="1"/>
  <c r="R75" i="24" s="1"/>
  <c r="P75" i="24" a="1"/>
  <c r="P75" i="24" s="1"/>
  <c r="N75" i="24" a="1"/>
  <c r="N75" i="24" s="1"/>
  <c r="L75" i="24"/>
  <c r="L75" i="24" a="1"/>
  <c r="J75" i="24" a="1"/>
  <c r="J75" i="24" s="1"/>
  <c r="H75" i="24" a="1"/>
  <c r="H75" i="24" s="1"/>
  <c r="F75" i="24" a="1"/>
  <c r="F75" i="24" s="1"/>
  <c r="D75" i="24" a="1"/>
  <c r="D75" i="24" s="1"/>
  <c r="B75" i="24" a="1"/>
  <c r="B75" i="24" s="1"/>
  <c r="AV74" i="24" a="1"/>
  <c r="AV74" i="24" s="1"/>
  <c r="AT74" i="24" a="1"/>
  <c r="AT74" i="24" s="1"/>
  <c r="AR74" i="24"/>
  <c r="AR74" i="24" a="1"/>
  <c r="AP74" i="24" a="1"/>
  <c r="AP74" i="24" s="1"/>
  <c r="AN74" i="24" a="1"/>
  <c r="AN74" i="24" s="1"/>
  <c r="AL74" i="24" a="1"/>
  <c r="AL74" i="24" s="1"/>
  <c r="AJ74" i="24" a="1"/>
  <c r="AJ74" i="24" s="1"/>
  <c r="AH74" i="24" a="1"/>
  <c r="AH74" i="24" s="1"/>
  <c r="AF74" i="24" a="1"/>
  <c r="AF74" i="24" s="1"/>
  <c r="AD74" i="24" a="1"/>
  <c r="AD74" i="24" s="1"/>
  <c r="AB74" i="24"/>
  <c r="AB74" i="24" a="1"/>
  <c r="Z74" i="24" a="1"/>
  <c r="Z74" i="24" s="1"/>
  <c r="X74" i="24" a="1"/>
  <c r="X74" i="24" s="1"/>
  <c r="V74" i="24" a="1"/>
  <c r="V74" i="24" s="1"/>
  <c r="T74" i="24" a="1"/>
  <c r="T74" i="24" s="1"/>
  <c r="R74" i="24" a="1"/>
  <c r="R74" i="24" s="1"/>
  <c r="P74" i="24" a="1"/>
  <c r="P74" i="24" s="1"/>
  <c r="N74" i="24" a="1"/>
  <c r="N74" i="24" s="1"/>
  <c r="L74" i="24"/>
  <c r="L74" i="24" a="1"/>
  <c r="J74" i="24" a="1"/>
  <c r="J74" i="24" s="1"/>
  <c r="H74" i="24" a="1"/>
  <c r="H74" i="24" s="1"/>
  <c r="F74" i="24" a="1"/>
  <c r="F74" i="24" s="1"/>
  <c r="D74" i="24" a="1"/>
  <c r="D74" i="24" s="1"/>
  <c r="B74" i="24" a="1"/>
  <c r="B74" i="24" s="1"/>
  <c r="AV73" i="24" a="1"/>
  <c r="AV73" i="24" s="1"/>
  <c r="AT73" i="24" a="1"/>
  <c r="AT73" i="24" s="1"/>
  <c r="AR73" i="24"/>
  <c r="AR73" i="24" a="1"/>
  <c r="AP73" i="24" a="1"/>
  <c r="AP73" i="24" s="1"/>
  <c r="AN73" i="24" a="1"/>
  <c r="AN73" i="24" s="1"/>
  <c r="AL73" i="24" a="1"/>
  <c r="AL73" i="24" s="1"/>
  <c r="AJ73" i="24" a="1"/>
  <c r="AJ73" i="24" s="1"/>
  <c r="AH73" i="24" a="1"/>
  <c r="AH73" i="24" s="1"/>
  <c r="AF73" i="24" a="1"/>
  <c r="AF73" i="24" s="1"/>
  <c r="AD73" i="24" a="1"/>
  <c r="AD73" i="24" s="1"/>
  <c r="AB73" i="24"/>
  <c r="AB73" i="24" a="1"/>
  <c r="Z73" i="24" a="1"/>
  <c r="Z73" i="24" s="1"/>
  <c r="X73" i="24" a="1"/>
  <c r="X73" i="24" s="1"/>
  <c r="V73" i="24" a="1"/>
  <c r="V73" i="24" s="1"/>
  <c r="T73" i="24" a="1"/>
  <c r="T73" i="24" s="1"/>
  <c r="R73" i="24" a="1"/>
  <c r="R73" i="24" s="1"/>
  <c r="P73" i="24" a="1"/>
  <c r="P73" i="24" s="1"/>
  <c r="N73" i="24" a="1"/>
  <c r="N73" i="24" s="1"/>
  <c r="L73" i="24"/>
  <c r="L73" i="24" a="1"/>
  <c r="J73" i="24" a="1"/>
  <c r="J73" i="24" s="1"/>
  <c r="H73" i="24" a="1"/>
  <c r="H73" i="24" s="1"/>
  <c r="F73" i="24" a="1"/>
  <c r="F73" i="24" s="1"/>
  <c r="D73" i="24" a="1"/>
  <c r="D73" i="24" s="1"/>
  <c r="B73" i="24" a="1"/>
  <c r="B73" i="24" s="1"/>
  <c r="AV72" i="24"/>
  <c r="AT72" i="24"/>
  <c r="AR72" i="24"/>
  <c r="AP72" i="24"/>
  <c r="AN72" i="24"/>
  <c r="AL72" i="24"/>
  <c r="AJ72" i="24"/>
  <c r="AH72" i="24"/>
  <c r="AF72" i="24"/>
  <c r="AD72" i="24"/>
  <c r="AB72" i="24"/>
  <c r="Z72" i="24"/>
  <c r="X72" i="24"/>
  <c r="V72" i="24"/>
  <c r="T72" i="24"/>
  <c r="R72" i="24"/>
  <c r="P72" i="24"/>
  <c r="N72" i="24"/>
  <c r="L72" i="24"/>
  <c r="J72" i="24"/>
  <c r="H72" i="24"/>
  <c r="F72" i="24"/>
  <c r="D72" i="24"/>
  <c r="B72" i="24"/>
  <c r="AV71" i="24"/>
  <c r="AT71" i="24"/>
  <c r="AR71" i="24"/>
  <c r="AP71" i="24"/>
  <c r="AN71" i="24"/>
  <c r="AL71" i="24"/>
  <c r="AJ71" i="24"/>
  <c r="AH71" i="24"/>
  <c r="AF71" i="24"/>
  <c r="AD71" i="24"/>
  <c r="AB71" i="24"/>
  <c r="Z71" i="24"/>
  <c r="X71" i="24"/>
  <c r="V71" i="24"/>
  <c r="T71" i="24"/>
  <c r="R71" i="24"/>
  <c r="P71" i="24"/>
  <c r="N71" i="24"/>
  <c r="L71" i="24"/>
  <c r="J71" i="24"/>
  <c r="H71" i="24"/>
  <c r="F71" i="24"/>
  <c r="D71" i="24"/>
  <c r="B71" i="24"/>
  <c r="AV70" i="24"/>
  <c r="AT70" i="24"/>
  <c r="AR70" i="24"/>
  <c r="AP70" i="24"/>
  <c r="AN70" i="24"/>
  <c r="AL70" i="24"/>
  <c r="AJ70" i="24"/>
  <c r="AH70" i="24"/>
  <c r="AF70" i="24"/>
  <c r="AD70" i="24"/>
  <c r="AB70" i="24"/>
  <c r="Z70" i="24"/>
  <c r="X70" i="24"/>
  <c r="V70" i="24"/>
  <c r="T70" i="24"/>
  <c r="R70" i="24"/>
  <c r="P70" i="24"/>
  <c r="N70" i="24"/>
  <c r="L70" i="24"/>
  <c r="J70" i="24"/>
  <c r="H70" i="24"/>
  <c r="F70" i="24"/>
  <c r="D70" i="24"/>
  <c r="B70" i="24"/>
  <c r="B69" i="24"/>
  <c r="AV67" i="24" a="1"/>
  <c r="AV67" i="24" s="1"/>
  <c r="AT67" i="24" a="1"/>
  <c r="AT67" i="24" s="1"/>
  <c r="AR67" i="24" a="1"/>
  <c r="AR67" i="24" s="1"/>
  <c r="AP67" i="24" a="1"/>
  <c r="AP67" i="24" s="1"/>
  <c r="AN67" i="24" a="1"/>
  <c r="AN67" i="24" s="1"/>
  <c r="AL67" i="24" a="1"/>
  <c r="AL67" i="24" s="1"/>
  <c r="AJ67" i="24"/>
  <c r="AJ67" i="24" a="1"/>
  <c r="AH67" i="24" a="1"/>
  <c r="AH67" i="24" s="1"/>
  <c r="AF67" i="24" a="1"/>
  <c r="AF67" i="24" s="1"/>
  <c r="AD67" i="24" a="1"/>
  <c r="AD67" i="24" s="1"/>
  <c r="AB67" i="24" a="1"/>
  <c r="AB67" i="24" s="1"/>
  <c r="Z67" i="24" a="1"/>
  <c r="Z67" i="24" s="1"/>
  <c r="X67" i="24" a="1"/>
  <c r="X67" i="24" s="1"/>
  <c r="V67" i="24" a="1"/>
  <c r="V67" i="24" s="1"/>
  <c r="T67" i="24"/>
  <c r="T67" i="24" a="1"/>
  <c r="R67" i="24" a="1"/>
  <c r="R67" i="24" s="1"/>
  <c r="P67" i="24" a="1"/>
  <c r="P67" i="24" s="1"/>
  <c r="N67" i="24" a="1"/>
  <c r="N67" i="24" s="1"/>
  <c r="L67" i="24" a="1"/>
  <c r="L67" i="24" s="1"/>
  <c r="J67" i="24" a="1"/>
  <c r="J67" i="24" s="1"/>
  <c r="H67" i="24" a="1"/>
  <c r="H67" i="24" s="1"/>
  <c r="F67" i="24" a="1"/>
  <c r="F67" i="24" s="1"/>
  <c r="D67" i="24"/>
  <c r="D67" i="24" a="1"/>
  <c r="B67" i="24" a="1"/>
  <c r="B67" i="24" s="1"/>
  <c r="AV66" i="24" a="1"/>
  <c r="AV66" i="24" s="1"/>
  <c r="AV68" i="24" s="1"/>
  <c r="AT66" i="24" a="1"/>
  <c r="AT66" i="24" s="1"/>
  <c r="AT68" i="24" s="1"/>
  <c r="AR66" i="24" a="1"/>
  <c r="AR66" i="24" s="1"/>
  <c r="AR68" i="24" s="1"/>
  <c r="AP66" i="24" a="1"/>
  <c r="AP66" i="24" s="1"/>
  <c r="AP68" i="24" s="1"/>
  <c r="AN66" i="24" a="1"/>
  <c r="AN66" i="24" s="1"/>
  <c r="AL66" i="24" a="1"/>
  <c r="AL66" i="24" s="1"/>
  <c r="AL68" i="24" s="1"/>
  <c r="AJ66" i="24"/>
  <c r="AJ68" i="24" s="1"/>
  <c r="AJ66" i="24" a="1"/>
  <c r="AH66" i="24" a="1"/>
  <c r="AH66" i="24" s="1"/>
  <c r="AF66" i="24" a="1"/>
  <c r="AF66" i="24" s="1"/>
  <c r="AF68" i="24" s="1"/>
  <c r="AD66" i="24" a="1"/>
  <c r="AD66" i="24" s="1"/>
  <c r="AB66" i="24" a="1"/>
  <c r="AB66" i="24" s="1"/>
  <c r="Z66" i="24" a="1"/>
  <c r="Z66" i="24" s="1"/>
  <c r="X66" i="24" a="1"/>
  <c r="X66" i="24" s="1"/>
  <c r="V66" i="24" a="1"/>
  <c r="V66" i="24" s="1"/>
  <c r="V68" i="24" s="1"/>
  <c r="T66" i="24"/>
  <c r="T68" i="24" s="1"/>
  <c r="T66" i="24" a="1"/>
  <c r="R66" i="24" a="1"/>
  <c r="R66" i="24" s="1"/>
  <c r="R68" i="24" s="1"/>
  <c r="P66" i="24" a="1"/>
  <c r="P66" i="24" s="1"/>
  <c r="P68" i="24" s="1"/>
  <c r="N66" i="24" a="1"/>
  <c r="N66" i="24" s="1"/>
  <c r="N68" i="24" s="1"/>
  <c r="L66" i="24" a="1"/>
  <c r="L66" i="24" s="1"/>
  <c r="J66" i="24" a="1"/>
  <c r="J66" i="24" s="1"/>
  <c r="J68" i="24" s="1"/>
  <c r="H66" i="24" a="1"/>
  <c r="H66" i="24" s="1"/>
  <c r="H68" i="24" s="1"/>
  <c r="F66" i="24" a="1"/>
  <c r="F66" i="24" s="1"/>
  <c r="D66" i="24"/>
  <c r="D68" i="24" s="1"/>
  <c r="D66" i="24" a="1"/>
  <c r="B66" i="24" a="1"/>
  <c r="B66" i="24" s="1"/>
  <c r="AV65" i="24" a="1"/>
  <c r="AV65" i="24" s="1"/>
  <c r="AV69" i="24" s="1"/>
  <c r="AT65" i="24" a="1"/>
  <c r="AT65" i="24" s="1"/>
  <c r="AT69" i="24" s="1"/>
  <c r="AR65" i="24" a="1"/>
  <c r="AR65" i="24" s="1"/>
  <c r="AR69" i="24" s="1"/>
  <c r="AP65" i="24" a="1"/>
  <c r="AP65" i="24" s="1"/>
  <c r="AP69" i="24" s="1"/>
  <c r="AN65" i="24" a="1"/>
  <c r="AN65" i="24" s="1"/>
  <c r="AN69" i="24" s="1"/>
  <c r="AL65" i="24" a="1"/>
  <c r="AL65" i="24" s="1"/>
  <c r="AL69" i="24" s="1"/>
  <c r="AJ65" i="24"/>
  <c r="AJ69" i="24" s="1"/>
  <c r="AJ65" i="24" a="1"/>
  <c r="AH65" i="24" a="1"/>
  <c r="AH65" i="24" s="1"/>
  <c r="AH69" i="24" s="1"/>
  <c r="AF65" i="24" a="1"/>
  <c r="AF65" i="24" s="1"/>
  <c r="AF69" i="24" s="1"/>
  <c r="AD65" i="24" a="1"/>
  <c r="AD65" i="24" s="1"/>
  <c r="AD69" i="24" s="1"/>
  <c r="AB65" i="24" a="1"/>
  <c r="AB65" i="24" s="1"/>
  <c r="AB69" i="24" s="1"/>
  <c r="Z65" i="24" a="1"/>
  <c r="Z65" i="24" s="1"/>
  <c r="Z69" i="24" s="1"/>
  <c r="X65" i="24" a="1"/>
  <c r="X65" i="24" s="1"/>
  <c r="X69" i="24" s="1"/>
  <c r="V65" i="24" a="1"/>
  <c r="V65" i="24" s="1"/>
  <c r="V69" i="24" s="1"/>
  <c r="T65" i="24"/>
  <c r="T69" i="24" s="1"/>
  <c r="T65" i="24" a="1"/>
  <c r="R65" i="24" a="1"/>
  <c r="R65" i="24" s="1"/>
  <c r="R69" i="24" s="1"/>
  <c r="P65" i="24" a="1"/>
  <c r="P65" i="24" s="1"/>
  <c r="P69" i="24" s="1"/>
  <c r="N65" i="24" a="1"/>
  <c r="N65" i="24" s="1"/>
  <c r="N69" i="24" s="1"/>
  <c r="L65" i="24" a="1"/>
  <c r="L65" i="24" s="1"/>
  <c r="L69" i="24" s="1"/>
  <c r="J65" i="24" a="1"/>
  <c r="J65" i="24" s="1"/>
  <c r="J69" i="24" s="1"/>
  <c r="H65" i="24" a="1"/>
  <c r="H65" i="24" s="1"/>
  <c r="H69" i="24" s="1"/>
  <c r="F65" i="24" a="1"/>
  <c r="F65" i="24" s="1"/>
  <c r="F69" i="24" s="1"/>
  <c r="D65" i="24"/>
  <c r="D69" i="24" s="1"/>
  <c r="D65" i="24" a="1"/>
  <c r="B65" i="24"/>
  <c r="AV62" i="24"/>
  <c r="AT62" i="24"/>
  <c r="AR62" i="24"/>
  <c r="AP62" i="24"/>
  <c r="AN62" i="24"/>
  <c r="AL62" i="24"/>
  <c r="AJ62" i="24"/>
  <c r="AH62" i="24"/>
  <c r="AF62" i="24"/>
  <c r="AD62" i="24"/>
  <c r="AB62" i="24"/>
  <c r="Z62" i="24"/>
  <c r="X62" i="24"/>
  <c r="V62" i="24"/>
  <c r="T62" i="24"/>
  <c r="R62" i="24"/>
  <c r="P62" i="24"/>
  <c r="N62" i="24"/>
  <c r="L62" i="24"/>
  <c r="J62" i="24"/>
  <c r="H62" i="24"/>
  <c r="F62" i="24"/>
  <c r="D62" i="24"/>
  <c r="B62" i="24"/>
  <c r="AV60" i="24"/>
  <c r="AT60" i="24"/>
  <c r="AR60" i="24"/>
  <c r="AP60" i="24"/>
  <c r="AN60" i="24"/>
  <c r="AL60" i="24"/>
  <c r="AJ60" i="24"/>
  <c r="AH60" i="24"/>
  <c r="AF60" i="24"/>
  <c r="AD60" i="24"/>
  <c r="AB60" i="24"/>
  <c r="Z60" i="24"/>
  <c r="X60" i="24"/>
  <c r="V60" i="24"/>
  <c r="T60" i="24"/>
  <c r="R60" i="24"/>
  <c r="P60" i="24"/>
  <c r="N60" i="24"/>
  <c r="L60" i="24"/>
  <c r="J60" i="24"/>
  <c r="H60" i="24"/>
  <c r="F60" i="24"/>
  <c r="D60" i="24"/>
  <c r="B60" i="24"/>
  <c r="AV59" i="24"/>
  <c r="AT59" i="24"/>
  <c r="AR59" i="24"/>
  <c r="AP59" i="24"/>
  <c r="AN59" i="24"/>
  <c r="AL59" i="24"/>
  <c r="AJ59" i="24"/>
  <c r="AH59" i="24"/>
  <c r="AF59" i="24"/>
  <c r="AD59" i="24"/>
  <c r="AB59" i="24"/>
  <c r="Z59" i="24"/>
  <c r="X59" i="24"/>
  <c r="V59" i="24"/>
  <c r="T59" i="24"/>
  <c r="R59" i="24"/>
  <c r="P59" i="24"/>
  <c r="N59" i="24"/>
  <c r="L59" i="24"/>
  <c r="J59" i="24"/>
  <c r="H59" i="24"/>
  <c r="F59" i="24"/>
  <c r="D59" i="24"/>
  <c r="B59" i="24"/>
  <c r="AV58" i="24"/>
  <c r="AV58" i="24" a="1"/>
  <c r="AT58" i="24" a="1"/>
  <c r="AT58" i="24" s="1"/>
  <c r="AR58" i="24" a="1"/>
  <c r="AR58" i="24" s="1"/>
  <c r="AP58" i="24"/>
  <c r="AP58" i="24" a="1"/>
  <c r="AN58" i="24" a="1"/>
  <c r="AN58" i="24" s="1"/>
  <c r="AL58" i="24" a="1"/>
  <c r="AL58" i="24" s="1"/>
  <c r="AJ58" i="24"/>
  <c r="AJ58" i="24" a="1"/>
  <c r="AH58" i="24"/>
  <c r="AH58" i="24" a="1"/>
  <c r="AF58" i="24"/>
  <c r="AF58" i="24" a="1"/>
  <c r="AD58" i="24" a="1"/>
  <c r="AD58" i="24" s="1"/>
  <c r="AB58" i="24" a="1"/>
  <c r="AB58" i="24" s="1"/>
  <c r="Z58" i="24" a="1"/>
  <c r="Z58" i="24" s="1"/>
  <c r="X58" i="24" a="1"/>
  <c r="X58" i="24" s="1"/>
  <c r="V58" i="24" a="1"/>
  <c r="V58" i="24" s="1"/>
  <c r="T58" i="24"/>
  <c r="T58" i="24" a="1"/>
  <c r="R58" i="24"/>
  <c r="R58" i="24" a="1"/>
  <c r="P58" i="24"/>
  <c r="P58" i="24" a="1"/>
  <c r="N58" i="24" a="1"/>
  <c r="N58" i="24" s="1"/>
  <c r="L58" i="24" a="1"/>
  <c r="L58" i="24" s="1"/>
  <c r="J58" i="24" a="1"/>
  <c r="J58" i="24" s="1"/>
  <c r="H58" i="24" a="1"/>
  <c r="H58" i="24" s="1"/>
  <c r="F58" i="24" a="1"/>
  <c r="F58" i="24" s="1"/>
  <c r="D58" i="24"/>
  <c r="D58" i="24" a="1"/>
  <c r="B58" i="24"/>
  <c r="B58" i="24" a="1"/>
  <c r="AV57" i="24"/>
  <c r="AV57" i="24" a="1"/>
  <c r="AT57" i="24" a="1"/>
  <c r="AT57" i="24" s="1"/>
  <c r="AR57" i="24" a="1"/>
  <c r="AR57" i="24" s="1"/>
  <c r="AP57" i="24" a="1"/>
  <c r="AP57" i="24" s="1"/>
  <c r="AN57" i="24" a="1"/>
  <c r="AN57" i="24" s="1"/>
  <c r="AL57" i="24" a="1"/>
  <c r="AL57" i="24" s="1"/>
  <c r="AJ57" i="24"/>
  <c r="AJ57" i="24" a="1"/>
  <c r="AH57" i="24"/>
  <c r="AH57" i="24" a="1"/>
  <c r="AF57" i="24"/>
  <c r="AF57" i="24" a="1"/>
  <c r="AD57" i="24" a="1"/>
  <c r="AD57" i="24" s="1"/>
  <c r="AB57" i="24" a="1"/>
  <c r="AB57" i="24" s="1"/>
  <c r="Z57" i="24" a="1"/>
  <c r="Z57" i="24" s="1"/>
  <c r="X57" i="24" a="1"/>
  <c r="X57" i="24" s="1"/>
  <c r="V57" i="24" a="1"/>
  <c r="V57" i="24" s="1"/>
  <c r="T57" i="24"/>
  <c r="T57" i="24" a="1"/>
  <c r="R57" i="24"/>
  <c r="R57" i="24" a="1"/>
  <c r="P57" i="24"/>
  <c r="P57" i="24" a="1"/>
  <c r="N57" i="24" a="1"/>
  <c r="N57" i="24" s="1"/>
  <c r="L57" i="24" a="1"/>
  <c r="L57" i="24" s="1"/>
  <c r="J57" i="24" a="1"/>
  <c r="J57" i="24" s="1"/>
  <c r="H57" i="24" a="1"/>
  <c r="H57" i="24" s="1"/>
  <c r="F57" i="24" a="1"/>
  <c r="F57" i="24" s="1"/>
  <c r="D57" i="24"/>
  <c r="D57" i="24" a="1"/>
  <c r="B57" i="24" a="1"/>
  <c r="B57" i="24" s="1"/>
  <c r="AV56" i="24"/>
  <c r="AT56" i="24"/>
  <c r="AR56" i="24"/>
  <c r="AP56" i="24"/>
  <c r="AN56" i="24"/>
  <c r="AL56" i="24"/>
  <c r="AJ56" i="24"/>
  <c r="AH56" i="24"/>
  <c r="AF56" i="24"/>
  <c r="AD56" i="24"/>
  <c r="AB56" i="24"/>
  <c r="Z56" i="24"/>
  <c r="X56" i="24"/>
  <c r="V56" i="24"/>
  <c r="T56" i="24"/>
  <c r="R56" i="24"/>
  <c r="P56" i="24"/>
  <c r="N56" i="24"/>
  <c r="L56" i="24"/>
  <c r="J56" i="24"/>
  <c r="H56" i="24"/>
  <c r="F56" i="24"/>
  <c r="D56" i="24"/>
  <c r="B56" i="24"/>
  <c r="AV55" i="24"/>
  <c r="AT55" i="24"/>
  <c r="AR55" i="24"/>
  <c r="AP55" i="24"/>
  <c r="AN55" i="24"/>
  <c r="AN80" i="24" s="1"/>
  <c r="AL55" i="24"/>
  <c r="AL80" i="24" s="1"/>
  <c r="AJ55" i="24"/>
  <c r="AJ80" i="24" s="1"/>
  <c r="AH55" i="24"/>
  <c r="AF55" i="24"/>
  <c r="AF80" i="24" s="1"/>
  <c r="AD55" i="24"/>
  <c r="AD80" i="24" s="1"/>
  <c r="AB55" i="24"/>
  <c r="Z55" i="24"/>
  <c r="X55" i="24"/>
  <c r="V55" i="24"/>
  <c r="V80" i="24" s="1"/>
  <c r="T55" i="24"/>
  <c r="T80" i="24" s="1"/>
  <c r="R55" i="24"/>
  <c r="R80" i="24" s="1"/>
  <c r="P55" i="24"/>
  <c r="N55" i="24"/>
  <c r="L55" i="24"/>
  <c r="J55" i="24"/>
  <c r="H55" i="24"/>
  <c r="H80" i="24" s="1"/>
  <c r="F55" i="24"/>
  <c r="F80" i="24" s="1"/>
  <c r="D55" i="24"/>
  <c r="D80" i="24" s="1"/>
  <c r="B55" i="24"/>
  <c r="AV53" i="24" a="1"/>
  <c r="AT53" i="24" a="1"/>
  <c r="AR53" i="24" a="1"/>
  <c r="AP53" i="24" a="1"/>
  <c r="AN53" i="24" a="1"/>
  <c r="AL53" i="24" a="1"/>
  <c r="AJ53" i="24" a="1"/>
  <c r="AH53" i="24" a="1"/>
  <c r="AF53" i="24" a="1"/>
  <c r="AD53" i="24" a="1"/>
  <c r="AB53" i="24" a="1"/>
  <c r="Z53" i="24" a="1"/>
  <c r="X53" i="24" a="1"/>
  <c r="V53" i="24" a="1"/>
  <c r="T53" i="24" a="1"/>
  <c r="R53" i="24" a="1"/>
  <c r="P53" i="24" a="1"/>
  <c r="N53" i="24" a="1"/>
  <c r="L53" i="24" a="1"/>
  <c r="J53" i="24" a="1"/>
  <c r="H53" i="24" a="1"/>
  <c r="F53" i="24" a="1"/>
  <c r="D53" i="24" a="1"/>
  <c r="B53" i="24" a="1"/>
  <c r="AV52" i="24" a="1"/>
  <c r="AT52" i="24" a="1"/>
  <c r="AR52" i="24" a="1"/>
  <c r="AP52" i="24" a="1"/>
  <c r="AN52" i="24" a="1"/>
  <c r="AL52" i="24" a="1"/>
  <c r="AJ52" i="24" a="1"/>
  <c r="AH52" i="24" a="1"/>
  <c r="AF52" i="24" a="1"/>
  <c r="AD52" i="24" a="1"/>
  <c r="AB52" i="24" a="1"/>
  <c r="Z52" i="24" a="1"/>
  <c r="X52" i="24" a="1"/>
  <c r="V52" i="24" a="1"/>
  <c r="T52" i="24" a="1"/>
  <c r="R52" i="24" a="1"/>
  <c r="P52" i="24" a="1"/>
  <c r="N52" i="24" a="1"/>
  <c r="L52" i="24" a="1"/>
  <c r="J52" i="24" a="1"/>
  <c r="H52" i="24" a="1"/>
  <c r="F52" i="24" a="1"/>
  <c r="D52" i="24" a="1"/>
  <c r="B52" i="24" a="1"/>
  <c r="AV51" i="24"/>
  <c r="AV81" i="24" s="1"/>
  <c r="AT51" i="24"/>
  <c r="AT81" i="24" s="1"/>
  <c r="AR51" i="24"/>
  <c r="AP51" i="24"/>
  <c r="AN51" i="24"/>
  <c r="AL51" i="24"/>
  <c r="AL81" i="24" s="1"/>
  <c r="AJ51" i="24"/>
  <c r="AJ81" i="24" s="1"/>
  <c r="AH51" i="24"/>
  <c r="AH81" i="24" s="1"/>
  <c r="AF51" i="24"/>
  <c r="AD51" i="24"/>
  <c r="AB51" i="24"/>
  <c r="Z51" i="24"/>
  <c r="X51" i="24"/>
  <c r="X81" i="24" s="1"/>
  <c r="V51" i="24"/>
  <c r="V81" i="24" s="1"/>
  <c r="T51" i="24"/>
  <c r="T81" i="24" s="1"/>
  <c r="R51" i="24"/>
  <c r="P51" i="24"/>
  <c r="P81" i="24" s="1"/>
  <c r="N51" i="24"/>
  <c r="N81" i="24" s="1"/>
  <c r="L51" i="24"/>
  <c r="J51" i="24"/>
  <c r="H51" i="24"/>
  <c r="F51" i="24"/>
  <c r="F81" i="24" s="1"/>
  <c r="D51" i="24"/>
  <c r="D81" i="24" s="1"/>
  <c r="B51" i="24"/>
  <c r="B81" i="24" s="1"/>
  <c r="AV49" i="24"/>
  <c r="AT49" i="24"/>
  <c r="AR49" i="24"/>
  <c r="AP49" i="24"/>
  <c r="AN49" i="24"/>
  <c r="AL49" i="24"/>
  <c r="AJ49" i="24"/>
  <c r="AH49" i="24"/>
  <c r="AF49" i="24"/>
  <c r="AD49" i="24"/>
  <c r="AB49" i="24"/>
  <c r="Z49" i="24"/>
  <c r="X49" i="24"/>
  <c r="V49" i="24"/>
  <c r="T49" i="24"/>
  <c r="R49" i="24"/>
  <c r="P49" i="24"/>
  <c r="N49" i="24"/>
  <c r="L49" i="24"/>
  <c r="J49" i="24"/>
  <c r="H49" i="24"/>
  <c r="F49" i="24"/>
  <c r="D49" i="24"/>
  <c r="B49" i="24"/>
  <c r="AV48" i="24"/>
  <c r="AT48" i="24"/>
  <c r="AR48" i="24"/>
  <c r="AP48" i="24"/>
  <c r="AN48" i="24"/>
  <c r="AL48" i="24"/>
  <c r="AJ48" i="24"/>
  <c r="AH48" i="24"/>
  <c r="AF48" i="24"/>
  <c r="AD48" i="24"/>
  <c r="AB48" i="24"/>
  <c r="Z48" i="24"/>
  <c r="X48" i="24"/>
  <c r="V48" i="24"/>
  <c r="T48" i="24"/>
  <c r="R48" i="24"/>
  <c r="P48" i="24"/>
  <c r="N48" i="24"/>
  <c r="L48" i="24"/>
  <c r="J48" i="24"/>
  <c r="H48" i="24"/>
  <c r="F48" i="24"/>
  <c r="D48" i="24"/>
  <c r="B48" i="24"/>
  <c r="AV46" i="24"/>
  <c r="AT46" i="24"/>
  <c r="AR46" i="24"/>
  <c r="AP46" i="24"/>
  <c r="AN46" i="24"/>
  <c r="AL46" i="24"/>
  <c r="AJ46" i="24"/>
  <c r="AH46" i="24"/>
  <c r="AF46" i="24"/>
  <c r="AD46" i="24"/>
  <c r="AB46" i="24"/>
  <c r="Z46" i="24"/>
  <c r="X46" i="24"/>
  <c r="V46" i="24"/>
  <c r="T46" i="24"/>
  <c r="R46" i="24"/>
  <c r="P46" i="24"/>
  <c r="N46" i="24"/>
  <c r="L46" i="24"/>
  <c r="J46" i="24"/>
  <c r="H46" i="24"/>
  <c r="F46" i="24"/>
  <c r="D46" i="24"/>
  <c r="B46" i="24"/>
  <c r="AV45" i="24"/>
  <c r="AT45" i="24"/>
  <c r="AR45" i="24"/>
  <c r="AP45" i="24"/>
  <c r="AN45" i="24"/>
  <c r="AL45" i="24"/>
  <c r="AJ45" i="24"/>
  <c r="AH45" i="24"/>
  <c r="AF45" i="24"/>
  <c r="AD45" i="24"/>
  <c r="AB45" i="24"/>
  <c r="Z45" i="24"/>
  <c r="X45" i="24"/>
  <c r="V45" i="24"/>
  <c r="T45" i="24"/>
  <c r="R45" i="24"/>
  <c r="P45" i="24"/>
  <c r="N45" i="24"/>
  <c r="L45" i="24"/>
  <c r="J45" i="24"/>
  <c r="H45" i="24"/>
  <c r="F45" i="24"/>
  <c r="D45" i="24"/>
  <c r="B45" i="24"/>
  <c r="AV44" i="24"/>
  <c r="AT44" i="24"/>
  <c r="AR44" i="24"/>
  <c r="AP44" i="24"/>
  <c r="AN44" i="24"/>
  <c r="AL44" i="24"/>
  <c r="AJ44" i="24"/>
  <c r="AH44" i="24"/>
  <c r="AF44" i="24"/>
  <c r="AD44" i="24"/>
  <c r="AB44" i="24"/>
  <c r="Z44" i="24"/>
  <c r="X44" i="24"/>
  <c r="V44" i="24"/>
  <c r="T44" i="24"/>
  <c r="R44" i="24"/>
  <c r="P44" i="24"/>
  <c r="N44" i="24"/>
  <c r="L44" i="24"/>
  <c r="J44" i="24"/>
  <c r="H44" i="24"/>
  <c r="F44" i="24"/>
  <c r="D44" i="24"/>
  <c r="B44" i="24"/>
  <c r="AV43" i="24"/>
  <c r="AV43" i="24" a="1"/>
  <c r="AT43" i="24" a="1"/>
  <c r="AT43" i="24" s="1"/>
  <c r="AR43" i="24" a="1"/>
  <c r="AR43" i="24" s="1"/>
  <c r="AP43" i="24" a="1"/>
  <c r="AP43" i="24" s="1"/>
  <c r="AN43" i="24" a="1"/>
  <c r="AN43" i="24" s="1"/>
  <c r="AL43" i="24" a="1"/>
  <c r="AL43" i="24" s="1"/>
  <c r="AJ43" i="24"/>
  <c r="AJ43" i="24" a="1"/>
  <c r="AH43" i="24" a="1"/>
  <c r="AH43" i="24" s="1"/>
  <c r="AF43" i="24"/>
  <c r="AF43" i="24" a="1"/>
  <c r="AD43" i="24" a="1"/>
  <c r="AD43" i="24" s="1"/>
  <c r="AB43" i="24" a="1"/>
  <c r="AB43" i="24" s="1"/>
  <c r="Z43" i="24" a="1"/>
  <c r="Z43" i="24" s="1"/>
  <c r="X43" i="24" a="1"/>
  <c r="X43" i="24" s="1"/>
  <c r="V43" i="24" a="1"/>
  <c r="V43" i="24" s="1"/>
  <c r="T43" i="24"/>
  <c r="T43" i="24" a="1"/>
  <c r="R43" i="24" a="1"/>
  <c r="R43" i="24" s="1"/>
  <c r="P43" i="24"/>
  <c r="P43" i="24" a="1"/>
  <c r="N43" i="24" a="1"/>
  <c r="N43" i="24" s="1"/>
  <c r="L43" i="24" a="1"/>
  <c r="L43" i="24" s="1"/>
  <c r="J43" i="24" a="1"/>
  <c r="J43" i="24" s="1"/>
  <c r="H43" i="24" a="1"/>
  <c r="H43" i="24" s="1"/>
  <c r="F43" i="24" a="1"/>
  <c r="F43" i="24" s="1"/>
  <c r="D43" i="24"/>
  <c r="D43" i="24" a="1"/>
  <c r="B43" i="24"/>
  <c r="AV42" i="24"/>
  <c r="AT42" i="24"/>
  <c r="AR42" i="24"/>
  <c r="AP42" i="24"/>
  <c r="AN42" i="24"/>
  <c r="AL42" i="24"/>
  <c r="AJ42" i="24"/>
  <c r="AH42" i="24"/>
  <c r="AF42" i="24"/>
  <c r="AD42" i="24"/>
  <c r="AB42" i="24"/>
  <c r="Z42" i="24"/>
  <c r="X42" i="24"/>
  <c r="V42" i="24"/>
  <c r="T42" i="24"/>
  <c r="R42" i="24"/>
  <c r="P42" i="24"/>
  <c r="N42" i="24"/>
  <c r="L42" i="24"/>
  <c r="J42" i="24"/>
  <c r="H42" i="24"/>
  <c r="F42" i="24"/>
  <c r="D42" i="24"/>
  <c r="B42" i="24"/>
  <c r="AF81" i="18"/>
  <c r="AD81" i="18"/>
  <c r="AB81" i="18"/>
  <c r="Z81" i="18"/>
  <c r="T81" i="18"/>
  <c r="R81" i="18"/>
  <c r="AV80" i="18"/>
  <c r="AT80" i="18"/>
  <c r="AR80" i="18"/>
  <c r="AJ80" i="18"/>
  <c r="AH80" i="18"/>
  <c r="P80" i="18"/>
  <c r="N80" i="18"/>
  <c r="L80" i="18"/>
  <c r="D80" i="18"/>
  <c r="B80" i="18"/>
  <c r="AV79" i="18"/>
  <c r="AV79" i="18" a="1"/>
  <c r="AT79" i="18" a="1"/>
  <c r="AT79" i="18" s="1"/>
  <c r="AR79" i="18" a="1"/>
  <c r="AR79" i="18" s="1"/>
  <c r="AP79" i="18"/>
  <c r="AP79" i="18" a="1"/>
  <c r="AN79" i="18" a="1"/>
  <c r="AN79" i="18" s="1"/>
  <c r="AL79" i="18" a="1"/>
  <c r="AL79" i="18" s="1"/>
  <c r="AJ79" i="18" a="1"/>
  <c r="AJ79" i="18" s="1"/>
  <c r="AH79" i="18" a="1"/>
  <c r="AH79" i="18" s="1"/>
  <c r="AF79" i="18"/>
  <c r="AF79" i="18" a="1"/>
  <c r="AD79" i="18" a="1"/>
  <c r="AD79" i="18" s="1"/>
  <c r="AB79" i="18" a="1"/>
  <c r="AB79" i="18" s="1"/>
  <c r="Z79" i="18"/>
  <c r="Z79" i="18" a="1"/>
  <c r="X79" i="18" a="1"/>
  <c r="X79" i="18" s="1"/>
  <c r="V79" i="18" a="1"/>
  <c r="V79" i="18" s="1"/>
  <c r="T79" i="18" a="1"/>
  <c r="T79" i="18" s="1"/>
  <c r="R79" i="18" a="1"/>
  <c r="R79" i="18" s="1"/>
  <c r="P79" i="18"/>
  <c r="P79" i="18" a="1"/>
  <c r="N79" i="18" a="1"/>
  <c r="N79" i="18" s="1"/>
  <c r="L79" i="18" a="1"/>
  <c r="L79" i="18" s="1"/>
  <c r="J79" i="18"/>
  <c r="J79" i="18" a="1"/>
  <c r="H79" i="18" a="1"/>
  <c r="H79" i="18" s="1"/>
  <c r="F79" i="18" a="1"/>
  <c r="F79" i="18" s="1"/>
  <c r="D79" i="18" a="1"/>
  <c r="D79" i="18" s="1"/>
  <c r="B79" i="18" a="1"/>
  <c r="B79" i="18" s="1"/>
  <c r="AV78" i="18"/>
  <c r="AV78" i="18" a="1"/>
  <c r="AT78" i="18" a="1"/>
  <c r="AT78" i="18" s="1"/>
  <c r="AR78" i="18" a="1"/>
  <c r="AR78" i="18" s="1"/>
  <c r="AP78" i="18"/>
  <c r="AP78" i="18" a="1"/>
  <c r="AN78" i="18" a="1"/>
  <c r="AN78" i="18" s="1"/>
  <c r="AL78" i="18" a="1"/>
  <c r="AL78" i="18" s="1"/>
  <c r="AJ78" i="18" a="1"/>
  <c r="AJ78" i="18" s="1"/>
  <c r="AH78" i="18" a="1"/>
  <c r="AH78" i="18" s="1"/>
  <c r="AF78" i="18"/>
  <c r="AF78" i="18" a="1"/>
  <c r="AD78" i="18" a="1"/>
  <c r="AD78" i="18" s="1"/>
  <c r="AB78" i="18" a="1"/>
  <c r="AB78" i="18" s="1"/>
  <c r="Z78" i="18" a="1"/>
  <c r="Z78" i="18" s="1"/>
  <c r="X78" i="18" a="1"/>
  <c r="X78" i="18" s="1"/>
  <c r="V78" i="18" a="1"/>
  <c r="V78" i="18" s="1"/>
  <c r="T78" i="18" a="1"/>
  <c r="T78" i="18" s="1"/>
  <c r="R78" i="18" a="1"/>
  <c r="R78" i="18" s="1"/>
  <c r="P78" i="18"/>
  <c r="P78" i="18" a="1"/>
  <c r="N78" i="18" a="1"/>
  <c r="N78" i="18" s="1"/>
  <c r="L78" i="18" a="1"/>
  <c r="L78" i="18" s="1"/>
  <c r="J78" i="18" a="1"/>
  <c r="J78" i="18" s="1"/>
  <c r="H78" i="18" a="1"/>
  <c r="H78" i="18" s="1"/>
  <c r="F78" i="18" a="1"/>
  <c r="F78" i="18" s="1"/>
  <c r="D78" i="18" a="1"/>
  <c r="D78" i="18" s="1"/>
  <c r="B78" i="18" a="1"/>
  <c r="B78" i="18" s="1"/>
  <c r="AV77" i="18"/>
  <c r="AV77" i="18" a="1"/>
  <c r="AT77" i="18" a="1"/>
  <c r="AT77" i="18" s="1"/>
  <c r="AR77" i="18" a="1"/>
  <c r="AR77" i="18" s="1"/>
  <c r="AP77" i="18" a="1"/>
  <c r="AP77" i="18" s="1"/>
  <c r="AN77" i="18" a="1"/>
  <c r="AN77" i="18" s="1"/>
  <c r="AL77" i="18" a="1"/>
  <c r="AL77" i="18" s="1"/>
  <c r="AJ77" i="18" a="1"/>
  <c r="AJ77" i="18" s="1"/>
  <c r="AH77" i="18" a="1"/>
  <c r="AH77" i="18" s="1"/>
  <c r="AF77" i="18"/>
  <c r="AF77" i="18" a="1"/>
  <c r="AD77" i="18" a="1"/>
  <c r="AD77" i="18" s="1"/>
  <c r="AB77" i="18" a="1"/>
  <c r="AB77" i="18" s="1"/>
  <c r="Z77" i="18" a="1"/>
  <c r="Z77" i="18" s="1"/>
  <c r="X77" i="18" a="1"/>
  <c r="X77" i="18" s="1"/>
  <c r="V77" i="18" a="1"/>
  <c r="V77" i="18" s="1"/>
  <c r="T77" i="18" a="1"/>
  <c r="T77" i="18" s="1"/>
  <c r="R77" i="18" a="1"/>
  <c r="R77" i="18" s="1"/>
  <c r="P77" i="18"/>
  <c r="P77" i="18" a="1"/>
  <c r="N77" i="18" a="1"/>
  <c r="N77" i="18" s="1"/>
  <c r="L77" i="18" a="1"/>
  <c r="L77" i="18" s="1"/>
  <c r="J77" i="18" a="1"/>
  <c r="J77" i="18" s="1"/>
  <c r="H77" i="18" a="1"/>
  <c r="H77" i="18" s="1"/>
  <c r="F77" i="18" a="1"/>
  <c r="F77" i="18" s="1"/>
  <c r="D77" i="18" a="1"/>
  <c r="D77" i="18" s="1"/>
  <c r="B77" i="18" a="1"/>
  <c r="B77" i="18" s="1"/>
  <c r="AV76" i="18"/>
  <c r="AV76" i="18" a="1"/>
  <c r="AT76" i="18" a="1"/>
  <c r="AT76" i="18" s="1"/>
  <c r="AR76" i="18" a="1"/>
  <c r="AR76" i="18" s="1"/>
  <c r="AP76" i="18" a="1"/>
  <c r="AP76" i="18" s="1"/>
  <c r="AN76" i="18" a="1"/>
  <c r="AN76" i="18" s="1"/>
  <c r="AL76" i="18" a="1"/>
  <c r="AL76" i="18" s="1"/>
  <c r="AJ76" i="18" a="1"/>
  <c r="AJ76" i="18" s="1"/>
  <c r="AH76" i="18" a="1"/>
  <c r="AH76" i="18" s="1"/>
  <c r="AF76" i="18"/>
  <c r="AF76" i="18" a="1"/>
  <c r="AD76" i="18" a="1"/>
  <c r="AD76" i="18" s="1"/>
  <c r="AB76" i="18" a="1"/>
  <c r="AB76" i="18" s="1"/>
  <c r="Z76" i="18" a="1"/>
  <c r="Z76" i="18" s="1"/>
  <c r="X76" i="18" a="1"/>
  <c r="X76" i="18" s="1"/>
  <c r="V76" i="18" a="1"/>
  <c r="V76" i="18" s="1"/>
  <c r="T76" i="18" a="1"/>
  <c r="T76" i="18" s="1"/>
  <c r="R76" i="18" a="1"/>
  <c r="R76" i="18" s="1"/>
  <c r="P76" i="18"/>
  <c r="P76" i="18" a="1"/>
  <c r="N76" i="18" a="1"/>
  <c r="N76" i="18" s="1"/>
  <c r="L76" i="18" a="1"/>
  <c r="L76" i="18" s="1"/>
  <c r="J76" i="18" a="1"/>
  <c r="J76" i="18" s="1"/>
  <c r="H76" i="18" a="1"/>
  <c r="H76" i="18" s="1"/>
  <c r="F76" i="18" a="1"/>
  <c r="F76" i="18" s="1"/>
  <c r="D76" i="18" a="1"/>
  <c r="D76" i="18" s="1"/>
  <c r="B76" i="18" a="1"/>
  <c r="B76" i="18" s="1"/>
  <c r="AV75" i="18"/>
  <c r="AV75" i="18" a="1"/>
  <c r="AT75" i="18" a="1"/>
  <c r="AT75" i="18" s="1"/>
  <c r="AR75" i="18" a="1"/>
  <c r="AR75" i="18" s="1"/>
  <c r="AP75" i="18" a="1"/>
  <c r="AP75" i="18" s="1"/>
  <c r="AN75" i="18" a="1"/>
  <c r="AN75" i="18" s="1"/>
  <c r="AL75" i="18" a="1"/>
  <c r="AL75" i="18" s="1"/>
  <c r="AJ75" i="18" a="1"/>
  <c r="AJ75" i="18" s="1"/>
  <c r="AH75" i="18" a="1"/>
  <c r="AH75" i="18" s="1"/>
  <c r="AF75" i="18"/>
  <c r="AF75" i="18" a="1"/>
  <c r="AD75" i="18" a="1"/>
  <c r="AD75" i="18" s="1"/>
  <c r="AB75" i="18" a="1"/>
  <c r="AB75" i="18" s="1"/>
  <c r="Z75" i="18" a="1"/>
  <c r="Z75" i="18" s="1"/>
  <c r="X75" i="18" a="1"/>
  <c r="X75" i="18" s="1"/>
  <c r="V75" i="18" a="1"/>
  <c r="V75" i="18" s="1"/>
  <c r="T75" i="18" a="1"/>
  <c r="T75" i="18" s="1"/>
  <c r="R75" i="18" a="1"/>
  <c r="R75" i="18" s="1"/>
  <c r="P75" i="18"/>
  <c r="P75" i="18" a="1"/>
  <c r="N75" i="18" a="1"/>
  <c r="N75" i="18" s="1"/>
  <c r="L75" i="18" a="1"/>
  <c r="L75" i="18" s="1"/>
  <c r="J75" i="18" a="1"/>
  <c r="J75" i="18" s="1"/>
  <c r="H75" i="18" a="1"/>
  <c r="H75" i="18" s="1"/>
  <c r="F75" i="18" a="1"/>
  <c r="F75" i="18" s="1"/>
  <c r="D75" i="18" a="1"/>
  <c r="D75" i="18" s="1"/>
  <c r="B75" i="18" a="1"/>
  <c r="B75" i="18" s="1"/>
  <c r="AV74" i="18" a="1"/>
  <c r="AV74" i="18" s="1"/>
  <c r="AT74" i="18" a="1"/>
  <c r="AT74" i="18" s="1"/>
  <c r="AR74" i="18" a="1"/>
  <c r="AR74" i="18" s="1"/>
  <c r="AP74" i="18" a="1"/>
  <c r="AP74" i="18" s="1"/>
  <c r="AN74" i="18" a="1"/>
  <c r="AN74" i="18" s="1"/>
  <c r="AL74" i="18" a="1"/>
  <c r="AL74" i="18" s="1"/>
  <c r="AJ74" i="18" a="1"/>
  <c r="AJ74" i="18" s="1"/>
  <c r="AH74" i="18" a="1"/>
  <c r="AH74" i="18" s="1"/>
  <c r="AF74" i="18" a="1"/>
  <c r="AF74" i="18" s="1"/>
  <c r="AD74" i="18" a="1"/>
  <c r="AD74" i="18" s="1"/>
  <c r="AB74" i="18" a="1"/>
  <c r="AB74" i="18" s="1"/>
  <c r="Z74" i="18" a="1"/>
  <c r="Z74" i="18" s="1"/>
  <c r="X74" i="18" a="1"/>
  <c r="X74" i="18" s="1"/>
  <c r="V74" i="18" a="1"/>
  <c r="V74" i="18" s="1"/>
  <c r="T74" i="18" a="1"/>
  <c r="T74" i="18" s="1"/>
  <c r="R74" i="18" a="1"/>
  <c r="R74" i="18" s="1"/>
  <c r="P74" i="18" a="1"/>
  <c r="P74" i="18" s="1"/>
  <c r="N74" i="18" a="1"/>
  <c r="N74" i="18" s="1"/>
  <c r="L74" i="18" a="1"/>
  <c r="L74" i="18" s="1"/>
  <c r="J74" i="18" a="1"/>
  <c r="J74" i="18" s="1"/>
  <c r="H74" i="18" a="1"/>
  <c r="H74" i="18" s="1"/>
  <c r="F74" i="18" a="1"/>
  <c r="F74" i="18" s="1"/>
  <c r="D74" i="18" a="1"/>
  <c r="D74" i="18" s="1"/>
  <c r="B74" i="18" a="1"/>
  <c r="B74" i="18" s="1"/>
  <c r="AV73" i="18" a="1"/>
  <c r="AV73" i="18" s="1"/>
  <c r="AT73" i="18" a="1"/>
  <c r="AT73" i="18" s="1"/>
  <c r="AR73" i="18" a="1"/>
  <c r="AR73" i="18" s="1"/>
  <c r="AP73" i="18" a="1"/>
  <c r="AP73" i="18" s="1"/>
  <c r="AN73" i="18" a="1"/>
  <c r="AN73" i="18" s="1"/>
  <c r="AL73" i="18" a="1"/>
  <c r="AL73" i="18" s="1"/>
  <c r="AJ73" i="18" a="1"/>
  <c r="AJ73" i="18" s="1"/>
  <c r="AH73" i="18" a="1"/>
  <c r="AH73" i="18" s="1"/>
  <c r="AF73" i="18" a="1"/>
  <c r="AF73" i="18" s="1"/>
  <c r="AD73" i="18" a="1"/>
  <c r="AD73" i="18" s="1"/>
  <c r="AB73" i="18" a="1"/>
  <c r="AB73" i="18" s="1"/>
  <c r="Z73" i="18" a="1"/>
  <c r="Z73" i="18" s="1"/>
  <c r="X73" i="18" a="1"/>
  <c r="X73" i="18" s="1"/>
  <c r="V73" i="18" a="1"/>
  <c r="V73" i="18" s="1"/>
  <c r="T73" i="18" a="1"/>
  <c r="T73" i="18" s="1"/>
  <c r="R73" i="18" a="1"/>
  <c r="R73" i="18" s="1"/>
  <c r="P73" i="18" a="1"/>
  <c r="P73" i="18" s="1"/>
  <c r="N73" i="18" a="1"/>
  <c r="N73" i="18" s="1"/>
  <c r="L73" i="18" a="1"/>
  <c r="L73" i="18" s="1"/>
  <c r="J73" i="18" a="1"/>
  <c r="J73" i="18" s="1"/>
  <c r="H73" i="18" a="1"/>
  <c r="H73" i="18" s="1"/>
  <c r="F73" i="18" a="1"/>
  <c r="F73" i="18" s="1"/>
  <c r="D73" i="18" a="1"/>
  <c r="D73" i="18" s="1"/>
  <c r="B73" i="18" a="1"/>
  <c r="B73" i="18" s="1"/>
  <c r="AV72" i="18"/>
  <c r="AT72" i="18"/>
  <c r="AR72" i="18"/>
  <c r="AP72" i="18"/>
  <c r="AN72" i="18"/>
  <c r="AL72" i="18"/>
  <c r="AJ72" i="18"/>
  <c r="AH72" i="18"/>
  <c r="AF72" i="18"/>
  <c r="AD72" i="18"/>
  <c r="AB72" i="18"/>
  <c r="Z72" i="18"/>
  <c r="X72" i="18"/>
  <c r="V72" i="18"/>
  <c r="T72" i="18"/>
  <c r="R72" i="18"/>
  <c r="P72" i="18"/>
  <c r="N72" i="18"/>
  <c r="L72" i="18"/>
  <c r="J72" i="18"/>
  <c r="H72" i="18"/>
  <c r="F72" i="18"/>
  <c r="D72" i="18"/>
  <c r="B72" i="18"/>
  <c r="AV71" i="18"/>
  <c r="AT71" i="18"/>
  <c r="AR71" i="18"/>
  <c r="AP71" i="18"/>
  <c r="AN71" i="18"/>
  <c r="AL71" i="18"/>
  <c r="AJ71" i="18"/>
  <c r="AH71" i="18"/>
  <c r="AF71" i="18"/>
  <c r="AD71" i="18"/>
  <c r="AB71" i="18"/>
  <c r="Z71" i="18"/>
  <c r="X71" i="18"/>
  <c r="V71" i="18"/>
  <c r="T71" i="18"/>
  <c r="R71" i="18"/>
  <c r="P71" i="18"/>
  <c r="N71" i="18"/>
  <c r="L71" i="18"/>
  <c r="J71" i="18"/>
  <c r="H71" i="18"/>
  <c r="F71" i="18"/>
  <c r="D71" i="18"/>
  <c r="B71" i="18"/>
  <c r="AV70" i="18"/>
  <c r="AT70" i="18"/>
  <c r="AR70" i="18"/>
  <c r="AP70" i="18"/>
  <c r="AN70" i="18"/>
  <c r="AL70" i="18"/>
  <c r="AJ70" i="18"/>
  <c r="AH70" i="18"/>
  <c r="AF70" i="18"/>
  <c r="AD70" i="18"/>
  <c r="AB70" i="18"/>
  <c r="Z70" i="18"/>
  <c r="X70" i="18"/>
  <c r="V70" i="18"/>
  <c r="T70" i="18"/>
  <c r="R70" i="18"/>
  <c r="P70" i="18"/>
  <c r="N70" i="18"/>
  <c r="L70" i="18"/>
  <c r="J70" i="18"/>
  <c r="H70" i="18"/>
  <c r="F70" i="18"/>
  <c r="D70" i="18"/>
  <c r="B70" i="18"/>
  <c r="AP69" i="18"/>
  <c r="J69" i="18"/>
  <c r="B69" i="18"/>
  <c r="AV67" i="18" a="1"/>
  <c r="AV67" i="18" s="1"/>
  <c r="AT67" i="18" a="1"/>
  <c r="AT67" i="18" s="1"/>
  <c r="AR67" i="18" a="1"/>
  <c r="AR67" i="18" s="1"/>
  <c r="AP67" i="18" a="1"/>
  <c r="AP67" i="18" s="1"/>
  <c r="AN67" i="18" a="1"/>
  <c r="AN67" i="18" s="1"/>
  <c r="AL67" i="18" a="1"/>
  <c r="AL67" i="18" s="1"/>
  <c r="AJ67" i="18" a="1"/>
  <c r="AJ67" i="18" s="1"/>
  <c r="AH67" i="18" a="1"/>
  <c r="AH67" i="18" s="1"/>
  <c r="AF67" i="18" a="1"/>
  <c r="AF67" i="18" s="1"/>
  <c r="AD67" i="18" a="1"/>
  <c r="AD67" i="18" s="1"/>
  <c r="AB67" i="18" a="1"/>
  <c r="AB67" i="18" s="1"/>
  <c r="Z67" i="18" a="1"/>
  <c r="Z67" i="18" s="1"/>
  <c r="X67" i="18" a="1"/>
  <c r="X67" i="18" s="1"/>
  <c r="V67" i="18" a="1"/>
  <c r="V67" i="18" s="1"/>
  <c r="T67" i="18" a="1"/>
  <c r="T67" i="18" s="1"/>
  <c r="R67" i="18" a="1"/>
  <c r="R67" i="18" s="1"/>
  <c r="P67" i="18" a="1"/>
  <c r="P67" i="18" s="1"/>
  <c r="N67" i="18" a="1"/>
  <c r="N67" i="18" s="1"/>
  <c r="L67" i="18" a="1"/>
  <c r="L67" i="18" s="1"/>
  <c r="J67" i="18" a="1"/>
  <c r="J67" i="18" s="1"/>
  <c r="H67" i="18" a="1"/>
  <c r="H67" i="18" s="1"/>
  <c r="F67" i="18" a="1"/>
  <c r="F67" i="18" s="1"/>
  <c r="D67" i="18" a="1"/>
  <c r="D67" i="18" s="1"/>
  <c r="B67" i="18" a="1"/>
  <c r="B67" i="18" s="1"/>
  <c r="AV66" i="18" a="1"/>
  <c r="AV66" i="18" s="1"/>
  <c r="AV68" i="18" s="1"/>
  <c r="AT66" i="18" a="1"/>
  <c r="AT66" i="18" s="1"/>
  <c r="AT68" i="18" s="1"/>
  <c r="AR66" i="18" a="1"/>
  <c r="AR66" i="18" s="1"/>
  <c r="AP66" i="18" a="1"/>
  <c r="AP66" i="18" s="1"/>
  <c r="AP68" i="18" s="1"/>
  <c r="AN66" i="18" a="1"/>
  <c r="AN66" i="18" s="1"/>
  <c r="AN68" i="18" s="1"/>
  <c r="AL66" i="18" a="1"/>
  <c r="AL66" i="18" s="1"/>
  <c r="AL68" i="18" s="1"/>
  <c r="AJ66" i="18" a="1"/>
  <c r="AJ66" i="18" s="1"/>
  <c r="AH66" i="18" a="1"/>
  <c r="AH66" i="18" s="1"/>
  <c r="AF66" i="18" a="1"/>
  <c r="AF66" i="18" s="1"/>
  <c r="AD66" i="18" a="1"/>
  <c r="AD66" i="18" s="1"/>
  <c r="AB66" i="18" a="1"/>
  <c r="AB66" i="18" s="1"/>
  <c r="AB68" i="18" s="1"/>
  <c r="Z66" i="18" a="1"/>
  <c r="Z66" i="18" s="1"/>
  <c r="Z68" i="18" s="1"/>
  <c r="X66" i="18" a="1"/>
  <c r="X66" i="18" s="1"/>
  <c r="V66" i="18" a="1"/>
  <c r="V66" i="18" s="1"/>
  <c r="T66" i="18" a="1"/>
  <c r="T66" i="18" s="1"/>
  <c r="T68" i="18" s="1"/>
  <c r="R66" i="18" a="1"/>
  <c r="R66" i="18" s="1"/>
  <c r="R68" i="18" s="1"/>
  <c r="P66" i="18" a="1"/>
  <c r="P66" i="18" s="1"/>
  <c r="P68" i="18" s="1"/>
  <c r="N66" i="18" a="1"/>
  <c r="N66" i="18" s="1"/>
  <c r="N68" i="18" s="1"/>
  <c r="L66" i="18" a="1"/>
  <c r="L66" i="18" s="1"/>
  <c r="J66" i="18" a="1"/>
  <c r="J66" i="18" s="1"/>
  <c r="J68" i="18" s="1"/>
  <c r="H66" i="18" a="1"/>
  <c r="H66" i="18" s="1"/>
  <c r="H68" i="18" s="1"/>
  <c r="F66" i="18" a="1"/>
  <c r="F66" i="18" s="1"/>
  <c r="F68" i="18" s="1"/>
  <c r="D66" i="18" a="1"/>
  <c r="D66" i="18" s="1"/>
  <c r="B66" i="18" a="1"/>
  <c r="B66" i="18" s="1"/>
  <c r="AV65" i="18" a="1"/>
  <c r="AV65" i="18" s="1"/>
  <c r="AV69" i="18" s="1"/>
  <c r="AT65" i="18" a="1"/>
  <c r="AT65" i="18" s="1"/>
  <c r="AT69" i="18" s="1"/>
  <c r="AR65" i="18" a="1"/>
  <c r="AR65" i="18" s="1"/>
  <c r="AR69" i="18" s="1"/>
  <c r="AP65" i="18" a="1"/>
  <c r="AP65" i="18" s="1"/>
  <c r="AN65" i="18" a="1"/>
  <c r="AN65" i="18" s="1"/>
  <c r="AN69" i="18" s="1"/>
  <c r="AL65" i="18" a="1"/>
  <c r="AL65" i="18" s="1"/>
  <c r="AL69" i="18" s="1"/>
  <c r="AJ65" i="18" a="1"/>
  <c r="AJ65" i="18" s="1"/>
  <c r="AJ69" i="18" s="1"/>
  <c r="AH65" i="18" a="1"/>
  <c r="AH65" i="18" s="1"/>
  <c r="AH69" i="18" s="1"/>
  <c r="AF65" i="18" a="1"/>
  <c r="AF65" i="18" s="1"/>
  <c r="AF69" i="18" s="1"/>
  <c r="AD65" i="18" a="1"/>
  <c r="AD65" i="18" s="1"/>
  <c r="AD69" i="18" s="1"/>
  <c r="AB65" i="18" a="1"/>
  <c r="AB65" i="18" s="1"/>
  <c r="AB69" i="18" s="1"/>
  <c r="Z65" i="18" a="1"/>
  <c r="Z65" i="18" s="1"/>
  <c r="Z69" i="18" s="1"/>
  <c r="X65" i="18" a="1"/>
  <c r="X65" i="18" s="1"/>
  <c r="X69" i="18" s="1"/>
  <c r="V65" i="18" a="1"/>
  <c r="V65" i="18" s="1"/>
  <c r="V69" i="18" s="1"/>
  <c r="T65" i="18" a="1"/>
  <c r="T65" i="18" s="1"/>
  <c r="T69" i="18" s="1"/>
  <c r="R65" i="18" a="1"/>
  <c r="R65" i="18" s="1"/>
  <c r="R69" i="18" s="1"/>
  <c r="P65" i="18" a="1"/>
  <c r="P65" i="18" s="1"/>
  <c r="P69" i="18" s="1"/>
  <c r="N65" i="18" a="1"/>
  <c r="N65" i="18" s="1"/>
  <c r="N69" i="18" s="1"/>
  <c r="L65" i="18" a="1"/>
  <c r="L65" i="18" s="1"/>
  <c r="L69" i="18" s="1"/>
  <c r="J65" i="18" a="1"/>
  <c r="J65" i="18" s="1"/>
  <c r="H65" i="18" a="1"/>
  <c r="H65" i="18" s="1"/>
  <c r="H69" i="18" s="1"/>
  <c r="F65" i="18" a="1"/>
  <c r="F65" i="18" s="1"/>
  <c r="F69" i="18" s="1"/>
  <c r="D65" i="18" a="1"/>
  <c r="D65" i="18" s="1"/>
  <c r="D69" i="18" s="1"/>
  <c r="B65" i="18"/>
  <c r="AV62" i="18"/>
  <c r="AT62" i="18"/>
  <c r="AR62" i="18"/>
  <c r="AP62" i="18"/>
  <c r="AN62" i="18"/>
  <c r="AL62" i="18"/>
  <c r="AJ62" i="18"/>
  <c r="AH62" i="18"/>
  <c r="AF62" i="18"/>
  <c r="AD62" i="18"/>
  <c r="AB62" i="18"/>
  <c r="Z62" i="18"/>
  <c r="X62" i="18"/>
  <c r="V62" i="18"/>
  <c r="T62" i="18"/>
  <c r="R62" i="18"/>
  <c r="P62" i="18"/>
  <c r="N62" i="18"/>
  <c r="L62" i="18"/>
  <c r="J62" i="18"/>
  <c r="H62" i="18"/>
  <c r="F62" i="18"/>
  <c r="D62" i="18"/>
  <c r="B62" i="18"/>
  <c r="AV60" i="18"/>
  <c r="AT60" i="18"/>
  <c r="AR60" i="18"/>
  <c r="AP60" i="18"/>
  <c r="AN60" i="18"/>
  <c r="AL60" i="18"/>
  <c r="AJ60" i="18"/>
  <c r="AH60" i="18"/>
  <c r="AF60" i="18"/>
  <c r="AD60" i="18"/>
  <c r="AB60" i="18"/>
  <c r="Z60" i="18"/>
  <c r="X60" i="18"/>
  <c r="V60" i="18"/>
  <c r="T60" i="18"/>
  <c r="R60" i="18"/>
  <c r="P60" i="18"/>
  <c r="N60" i="18"/>
  <c r="L60" i="18"/>
  <c r="J60" i="18"/>
  <c r="H60" i="18"/>
  <c r="F60" i="18"/>
  <c r="D60" i="18"/>
  <c r="B60" i="18"/>
  <c r="AV59" i="18"/>
  <c r="AT59" i="18"/>
  <c r="AR59" i="18"/>
  <c r="AP59" i="18"/>
  <c r="AN59" i="18"/>
  <c r="AL59" i="18"/>
  <c r="AJ59" i="18"/>
  <c r="AH59" i="18"/>
  <c r="AF59" i="18"/>
  <c r="AD59" i="18"/>
  <c r="AB59" i="18"/>
  <c r="Z59" i="18"/>
  <c r="X59" i="18"/>
  <c r="V59" i="18"/>
  <c r="T59" i="18"/>
  <c r="R59" i="18"/>
  <c r="P59" i="18"/>
  <c r="N59" i="18"/>
  <c r="L59" i="18"/>
  <c r="J59" i="18"/>
  <c r="H59" i="18"/>
  <c r="F59" i="18"/>
  <c r="D59" i="18"/>
  <c r="B59" i="18"/>
  <c r="AV58" i="18"/>
  <c r="AV58" i="18" a="1"/>
  <c r="AT58" i="18" a="1"/>
  <c r="AT58" i="18" s="1"/>
  <c r="AR58" i="18"/>
  <c r="AR58" i="18" a="1"/>
  <c r="AP58" i="18"/>
  <c r="AP58" i="18" a="1"/>
  <c r="AN58" i="18" a="1"/>
  <c r="AN58" i="18" s="1"/>
  <c r="AL58" i="18" a="1"/>
  <c r="AL58" i="18" s="1"/>
  <c r="AJ58" i="18"/>
  <c r="AJ58" i="18" a="1"/>
  <c r="AH58" i="18" a="1"/>
  <c r="AH58" i="18" s="1"/>
  <c r="AF58" i="18"/>
  <c r="AF58" i="18" a="1"/>
  <c r="AD58" i="18" a="1"/>
  <c r="AD58" i="18" s="1"/>
  <c r="AB58" i="18" a="1"/>
  <c r="AB58" i="18" s="1"/>
  <c r="Z58" i="18"/>
  <c r="Z58" i="18" a="1"/>
  <c r="X58" i="18" a="1"/>
  <c r="X58" i="18" s="1"/>
  <c r="V58" i="18" a="1"/>
  <c r="V58" i="18" s="1"/>
  <c r="T58" i="18"/>
  <c r="T58" i="18" a="1"/>
  <c r="R58" i="18" a="1"/>
  <c r="R58" i="18" s="1"/>
  <c r="P58" i="18"/>
  <c r="P58" i="18" a="1"/>
  <c r="N58" i="18" a="1"/>
  <c r="N58" i="18" s="1"/>
  <c r="L58" i="18" a="1"/>
  <c r="L58" i="18" s="1"/>
  <c r="J58" i="18" a="1"/>
  <c r="J58" i="18" s="1"/>
  <c r="H58" i="18" a="1"/>
  <c r="H58" i="18" s="1"/>
  <c r="F58" i="18" a="1"/>
  <c r="F58" i="18" s="1"/>
  <c r="D58" i="18"/>
  <c r="D58" i="18" a="1"/>
  <c r="B58" i="18" a="1"/>
  <c r="B58" i="18" s="1"/>
  <c r="AV57" i="18"/>
  <c r="AV57" i="18" a="1"/>
  <c r="AT57" i="18" a="1"/>
  <c r="AT57" i="18" s="1"/>
  <c r="AR57" i="18" a="1"/>
  <c r="AR57" i="18" s="1"/>
  <c r="AP57" i="18" a="1"/>
  <c r="AP57" i="18" s="1"/>
  <c r="AN57" i="18" a="1"/>
  <c r="AN57" i="18" s="1"/>
  <c r="AL57" i="18" a="1"/>
  <c r="AL57" i="18" s="1"/>
  <c r="AJ57" i="18"/>
  <c r="AJ57" i="18" a="1"/>
  <c r="AH57" i="18" a="1"/>
  <c r="AH57" i="18" s="1"/>
  <c r="AF57" i="18"/>
  <c r="AF57" i="18" a="1"/>
  <c r="AD57" i="18" a="1"/>
  <c r="AD57" i="18" s="1"/>
  <c r="AB57" i="18" a="1"/>
  <c r="AB57" i="18" s="1"/>
  <c r="Z57" i="18" a="1"/>
  <c r="Z57" i="18" s="1"/>
  <c r="X57" i="18" a="1"/>
  <c r="X57" i="18" s="1"/>
  <c r="V57" i="18" a="1"/>
  <c r="V57" i="18" s="1"/>
  <c r="T57" i="18"/>
  <c r="T57" i="18" a="1"/>
  <c r="R57" i="18" a="1"/>
  <c r="R57" i="18" s="1"/>
  <c r="P57" i="18"/>
  <c r="P57" i="18" a="1"/>
  <c r="N57" i="18" a="1"/>
  <c r="N57" i="18" s="1"/>
  <c r="L57" i="18" a="1"/>
  <c r="L57" i="18" s="1"/>
  <c r="J57" i="18" a="1"/>
  <c r="J57" i="18" s="1"/>
  <c r="H57" i="18" a="1"/>
  <c r="H57" i="18" s="1"/>
  <c r="F57" i="18" a="1"/>
  <c r="F57" i="18" s="1"/>
  <c r="D57" i="18"/>
  <c r="D57" i="18" a="1"/>
  <c r="B57" i="18" a="1"/>
  <c r="B57" i="18" s="1"/>
  <c r="AV56" i="18"/>
  <c r="AT56" i="18"/>
  <c r="AR56" i="18"/>
  <c r="AP56" i="18"/>
  <c r="AN56" i="18"/>
  <c r="AL56" i="18"/>
  <c r="AJ56" i="18"/>
  <c r="AH56" i="18"/>
  <c r="AF56" i="18"/>
  <c r="AD56" i="18"/>
  <c r="AB56" i="18"/>
  <c r="Z56" i="18"/>
  <c r="X56" i="18"/>
  <c r="V56" i="18"/>
  <c r="T56" i="18"/>
  <c r="R56" i="18"/>
  <c r="P56" i="18"/>
  <c r="N56" i="18"/>
  <c r="L56" i="18"/>
  <c r="J56" i="18"/>
  <c r="H56" i="18"/>
  <c r="F56" i="18"/>
  <c r="D56" i="18"/>
  <c r="B56" i="18"/>
  <c r="AV55" i="18"/>
  <c r="AT55" i="18"/>
  <c r="AR55" i="18"/>
  <c r="AP55" i="18"/>
  <c r="AP80" i="18" s="1"/>
  <c r="AN55" i="18"/>
  <c r="AN80" i="18" s="1"/>
  <c r="AL55" i="18"/>
  <c r="AL80" i="18" s="1"/>
  <c r="AJ55" i="18"/>
  <c r="AH55" i="18"/>
  <c r="AF55" i="18"/>
  <c r="AF80" i="18" s="1"/>
  <c r="AD55" i="18"/>
  <c r="AD80" i="18" s="1"/>
  <c r="AB55" i="18"/>
  <c r="AB80" i="18" s="1"/>
  <c r="Z55" i="18"/>
  <c r="Z80" i="18" s="1"/>
  <c r="X55" i="18"/>
  <c r="X80" i="18" s="1"/>
  <c r="V55" i="18"/>
  <c r="V80" i="18" s="1"/>
  <c r="T55" i="18"/>
  <c r="T80" i="18" s="1"/>
  <c r="R55" i="18"/>
  <c r="R80" i="18" s="1"/>
  <c r="P55" i="18"/>
  <c r="N55" i="18"/>
  <c r="L55" i="18"/>
  <c r="J55" i="18"/>
  <c r="J80" i="18" s="1"/>
  <c r="H55" i="18"/>
  <c r="H80" i="18" s="1"/>
  <c r="F55" i="18"/>
  <c r="F80" i="18" s="1"/>
  <c r="D55" i="18"/>
  <c r="B55" i="18"/>
  <c r="AV53" i="18" a="1"/>
  <c r="AT53" i="18" a="1"/>
  <c r="AR53" i="18" a="1"/>
  <c r="AP53" i="18" a="1"/>
  <c r="AN53" i="18" a="1"/>
  <c r="AL53" i="18" a="1"/>
  <c r="AJ53" i="18" a="1"/>
  <c r="AH53" i="18" a="1"/>
  <c r="AF53" i="18" a="1"/>
  <c r="AD53" i="18" a="1"/>
  <c r="AB53" i="18" a="1"/>
  <c r="Z53" i="18" a="1"/>
  <c r="X53" i="18" a="1"/>
  <c r="V53" i="18" a="1"/>
  <c r="T53" i="18" a="1"/>
  <c r="R53" i="18" a="1"/>
  <c r="P53" i="18" a="1"/>
  <c r="N53" i="18" a="1"/>
  <c r="L53" i="18" a="1"/>
  <c r="J53" i="18" a="1"/>
  <c r="H53" i="18" a="1"/>
  <c r="F53" i="18" a="1"/>
  <c r="D53" i="18" a="1"/>
  <c r="B53" i="18" a="1"/>
  <c r="AV52" i="18" a="1"/>
  <c r="AT52" i="18" a="1"/>
  <c r="AR52" i="18" a="1"/>
  <c r="AP52" i="18" a="1"/>
  <c r="AN52" i="18" a="1"/>
  <c r="AL52" i="18" a="1"/>
  <c r="AJ52" i="18" a="1"/>
  <c r="AH52" i="18" a="1"/>
  <c r="AF52" i="18" a="1"/>
  <c r="AD52" i="18" a="1"/>
  <c r="AB52" i="18" a="1"/>
  <c r="Z52" i="18" a="1"/>
  <c r="X52" i="18" a="1"/>
  <c r="V52" i="18" a="1"/>
  <c r="T52" i="18" a="1"/>
  <c r="R52" i="18" a="1"/>
  <c r="P52" i="18" a="1"/>
  <c r="N52" i="18" a="1"/>
  <c r="L52" i="18" a="1"/>
  <c r="J52" i="18" a="1"/>
  <c r="H52" i="18" a="1"/>
  <c r="F52" i="18" a="1"/>
  <c r="D52" i="18" a="1"/>
  <c r="B52" i="18" a="1"/>
  <c r="AV51" i="18"/>
  <c r="AV81" i="18" s="1"/>
  <c r="AT51" i="18"/>
  <c r="AT81" i="18" s="1"/>
  <c r="AR51" i="18"/>
  <c r="AR81" i="18" s="1"/>
  <c r="AP51" i="18"/>
  <c r="AP81" i="18" s="1"/>
  <c r="AN51" i="18"/>
  <c r="AN81" i="18" s="1"/>
  <c r="AL51" i="18"/>
  <c r="AL81" i="18" s="1"/>
  <c r="AJ51" i="18"/>
  <c r="AJ81" i="18" s="1"/>
  <c r="AH51" i="18"/>
  <c r="AH81" i="18" s="1"/>
  <c r="AF51" i="18"/>
  <c r="AD51" i="18"/>
  <c r="AB51" i="18"/>
  <c r="Z51" i="18"/>
  <c r="X51" i="18"/>
  <c r="X81" i="18" s="1"/>
  <c r="V51" i="18"/>
  <c r="V81" i="18" s="1"/>
  <c r="T51" i="18"/>
  <c r="R51" i="18"/>
  <c r="P51" i="18"/>
  <c r="P81" i="18" s="1"/>
  <c r="N51" i="18"/>
  <c r="N81" i="18" s="1"/>
  <c r="L51" i="18"/>
  <c r="L81" i="18" s="1"/>
  <c r="J51" i="18"/>
  <c r="J81" i="18" s="1"/>
  <c r="H51" i="18"/>
  <c r="H81" i="18" s="1"/>
  <c r="F51" i="18"/>
  <c r="F81" i="18" s="1"/>
  <c r="D51" i="18"/>
  <c r="D81" i="18" s="1"/>
  <c r="B51" i="18"/>
  <c r="B81" i="18" s="1"/>
  <c r="AV49" i="18"/>
  <c r="AT49" i="18"/>
  <c r="AR49" i="18"/>
  <c r="AP49" i="18"/>
  <c r="AN49" i="18"/>
  <c r="AL49" i="18"/>
  <c r="AJ49" i="18"/>
  <c r="AH49" i="18"/>
  <c r="AF49" i="18"/>
  <c r="AD49" i="18"/>
  <c r="AB49" i="18"/>
  <c r="Z49" i="18"/>
  <c r="X49" i="18"/>
  <c r="V49" i="18"/>
  <c r="T49" i="18"/>
  <c r="R49" i="18"/>
  <c r="P49" i="18"/>
  <c r="N49" i="18"/>
  <c r="L49" i="18"/>
  <c r="J49" i="18"/>
  <c r="H49" i="18"/>
  <c r="F49" i="18"/>
  <c r="D49" i="18"/>
  <c r="B49" i="18"/>
  <c r="AV48" i="18"/>
  <c r="AT48" i="18"/>
  <c r="AR48" i="18"/>
  <c r="AP48" i="18"/>
  <c r="AN48" i="18"/>
  <c r="AL48" i="18"/>
  <c r="AJ48" i="18"/>
  <c r="AH48" i="18"/>
  <c r="AF48" i="18"/>
  <c r="AD48" i="18"/>
  <c r="AB48" i="18"/>
  <c r="Z48" i="18"/>
  <c r="X48" i="18"/>
  <c r="V48" i="18"/>
  <c r="T48" i="18"/>
  <c r="R48" i="18"/>
  <c r="P48" i="18"/>
  <c r="N48" i="18"/>
  <c r="L48" i="18"/>
  <c r="J48" i="18"/>
  <c r="H48" i="18"/>
  <c r="F48" i="18"/>
  <c r="D48" i="18"/>
  <c r="B48" i="18"/>
  <c r="AV46" i="18"/>
  <c r="AT46" i="18"/>
  <c r="AR46" i="18"/>
  <c r="AP46" i="18"/>
  <c r="AN46" i="18"/>
  <c r="AL46" i="18"/>
  <c r="AJ46" i="18"/>
  <c r="AH46" i="18"/>
  <c r="AF46" i="18"/>
  <c r="AD46" i="18"/>
  <c r="AB46" i="18"/>
  <c r="Z46" i="18"/>
  <c r="X46" i="18"/>
  <c r="V46" i="18"/>
  <c r="T46" i="18"/>
  <c r="R46" i="18"/>
  <c r="P46" i="18"/>
  <c r="N46" i="18"/>
  <c r="L46" i="18"/>
  <c r="J46" i="18"/>
  <c r="H46" i="18"/>
  <c r="F46" i="18"/>
  <c r="D46" i="18"/>
  <c r="B46" i="18"/>
  <c r="AV45" i="18"/>
  <c r="AT45" i="18"/>
  <c r="AR45" i="18"/>
  <c r="AP45" i="18"/>
  <c r="AN45" i="18"/>
  <c r="AL45" i="18"/>
  <c r="AJ45" i="18"/>
  <c r="AH45" i="18"/>
  <c r="AF45" i="18"/>
  <c r="AD45" i="18"/>
  <c r="AB45" i="18"/>
  <c r="Z45" i="18"/>
  <c r="X45" i="18"/>
  <c r="V45" i="18"/>
  <c r="T45" i="18"/>
  <c r="R45" i="18"/>
  <c r="P45" i="18"/>
  <c r="N45" i="18"/>
  <c r="L45" i="18"/>
  <c r="J45" i="18"/>
  <c r="H45" i="18"/>
  <c r="F45" i="18"/>
  <c r="D45" i="18"/>
  <c r="B45" i="18"/>
  <c r="AV44" i="18"/>
  <c r="AT44" i="18"/>
  <c r="AR44" i="18"/>
  <c r="AP44" i="18"/>
  <c r="AN44" i="18"/>
  <c r="AL44" i="18"/>
  <c r="AJ44" i="18"/>
  <c r="AH44" i="18"/>
  <c r="AF44" i="18"/>
  <c r="AD44" i="18"/>
  <c r="AB44" i="18"/>
  <c r="Z44" i="18"/>
  <c r="X44" i="18"/>
  <c r="V44" i="18"/>
  <c r="T44" i="18"/>
  <c r="R44" i="18"/>
  <c r="P44" i="18"/>
  <c r="N44" i="18"/>
  <c r="L44" i="18"/>
  <c r="J44" i="18"/>
  <c r="H44" i="18"/>
  <c r="F44" i="18"/>
  <c r="D44" i="18"/>
  <c r="B44" i="18"/>
  <c r="AV43" i="18"/>
  <c r="AV43" i="18" a="1"/>
  <c r="AT43" i="18" a="1"/>
  <c r="AT43" i="18" s="1"/>
  <c r="AR43" i="18" a="1"/>
  <c r="AR43" i="18" s="1"/>
  <c r="AP43" i="18" a="1"/>
  <c r="AP43" i="18" s="1"/>
  <c r="AN43" i="18" a="1"/>
  <c r="AN43" i="18" s="1"/>
  <c r="AL43" i="18" a="1"/>
  <c r="AL43" i="18" s="1"/>
  <c r="AJ43" i="18"/>
  <c r="AJ43" i="18" a="1"/>
  <c r="AH43" i="18" a="1"/>
  <c r="AH43" i="18" s="1"/>
  <c r="AF43" i="18"/>
  <c r="AF43" i="18" a="1"/>
  <c r="AD43" i="18" a="1"/>
  <c r="AD43" i="18" s="1"/>
  <c r="AB43" i="18" a="1"/>
  <c r="AB43" i="18" s="1"/>
  <c r="Z43" i="18" a="1"/>
  <c r="Z43" i="18" s="1"/>
  <c r="X43" i="18" a="1"/>
  <c r="X43" i="18" s="1"/>
  <c r="V43" i="18" a="1"/>
  <c r="V43" i="18" s="1"/>
  <c r="T43" i="18"/>
  <c r="T43" i="18" a="1"/>
  <c r="R43" i="18" a="1"/>
  <c r="R43" i="18" s="1"/>
  <c r="P43" i="18"/>
  <c r="P43" i="18" a="1"/>
  <c r="N43" i="18" a="1"/>
  <c r="N43" i="18" s="1"/>
  <c r="L43" i="18" a="1"/>
  <c r="L43" i="18" s="1"/>
  <c r="J43" i="18" a="1"/>
  <c r="J43" i="18" s="1"/>
  <c r="H43" i="18" a="1"/>
  <c r="H43" i="18" s="1"/>
  <c r="F43" i="18" a="1"/>
  <c r="F43" i="18" s="1"/>
  <c r="D43" i="18"/>
  <c r="D43" i="18" a="1"/>
  <c r="B43" i="18"/>
  <c r="AV42" i="18"/>
  <c r="AT42" i="18"/>
  <c r="AR42" i="18"/>
  <c r="AP42" i="18"/>
  <c r="AN42" i="18"/>
  <c r="AL42" i="18"/>
  <c r="AJ42" i="18"/>
  <c r="AH42" i="18"/>
  <c r="AF42" i="18"/>
  <c r="AD42" i="18"/>
  <c r="AB42" i="18"/>
  <c r="Z42" i="18"/>
  <c r="X42" i="18"/>
  <c r="V42" i="18"/>
  <c r="T42" i="18"/>
  <c r="R42" i="18"/>
  <c r="P42" i="18"/>
  <c r="N42" i="18"/>
  <c r="L42" i="18"/>
  <c r="J42" i="18"/>
  <c r="H42" i="18"/>
  <c r="F42" i="18"/>
  <c r="D42" i="18"/>
  <c r="B42" i="18"/>
  <c r="AR81" i="22"/>
  <c r="AJ81" i="22"/>
  <c r="AH81" i="22"/>
  <c r="AF81" i="22"/>
  <c r="AB81" i="22"/>
  <c r="Z81" i="22"/>
  <c r="T81" i="22"/>
  <c r="R81" i="22"/>
  <c r="L81" i="22"/>
  <c r="D81" i="22"/>
  <c r="B81" i="22"/>
  <c r="AV80" i="22"/>
  <c r="AR80" i="22"/>
  <c r="AP80" i="22"/>
  <c r="AJ80" i="22"/>
  <c r="AH80" i="22"/>
  <c r="AB80" i="22"/>
  <c r="T80" i="22"/>
  <c r="R80" i="22"/>
  <c r="P80" i="22"/>
  <c r="L80" i="22"/>
  <c r="J80" i="22"/>
  <c r="D80" i="22"/>
  <c r="B80" i="22"/>
  <c r="AV79" i="22" a="1"/>
  <c r="AV79" i="22" s="1"/>
  <c r="AT79" i="22"/>
  <c r="AT79" i="22" a="1"/>
  <c r="AR79" i="22" a="1"/>
  <c r="AR79" i="22" s="1"/>
  <c r="AP79" i="22" a="1"/>
  <c r="AP79" i="22" s="1"/>
  <c r="AN79" i="22"/>
  <c r="AN79" i="22" a="1"/>
  <c r="AL79" i="22" a="1"/>
  <c r="AL79" i="22" s="1"/>
  <c r="AJ79" i="22" a="1"/>
  <c r="AJ79" i="22" s="1"/>
  <c r="AH79" i="22" a="1"/>
  <c r="AH79" i="22" s="1"/>
  <c r="AF79" i="22" a="1"/>
  <c r="AF79" i="22" s="1"/>
  <c r="AD79" i="22"/>
  <c r="AD79" i="22" a="1"/>
  <c r="AB79" i="22" a="1"/>
  <c r="AB79" i="22" s="1"/>
  <c r="Z79" i="22" a="1"/>
  <c r="Z79" i="22" s="1"/>
  <c r="X79" i="22"/>
  <c r="X79" i="22" a="1"/>
  <c r="V79" i="22" a="1"/>
  <c r="V79" i="22" s="1"/>
  <c r="T79" i="22" a="1"/>
  <c r="T79" i="22" s="1"/>
  <c r="R79" i="22" a="1"/>
  <c r="R79" i="22" s="1"/>
  <c r="P79" i="22" a="1"/>
  <c r="P79" i="22" s="1"/>
  <c r="N79" i="22"/>
  <c r="N79" i="22" a="1"/>
  <c r="L79" i="22" a="1"/>
  <c r="L79" i="22" s="1"/>
  <c r="J79" i="22" a="1"/>
  <c r="J79" i="22" s="1"/>
  <c r="H79" i="22"/>
  <c r="H79" i="22" a="1"/>
  <c r="F79" i="22" a="1"/>
  <c r="F79" i="22" s="1"/>
  <c r="D79" i="22" a="1"/>
  <c r="D79" i="22" s="1"/>
  <c r="B79" i="22" a="1"/>
  <c r="B79" i="22" s="1"/>
  <c r="AV78" i="22" a="1"/>
  <c r="AV78" i="22" s="1"/>
  <c r="AT78" i="22"/>
  <c r="AT78" i="22" a="1"/>
  <c r="AR78" i="22" a="1"/>
  <c r="AR78" i="22" s="1"/>
  <c r="AP78" i="22" a="1"/>
  <c r="AP78" i="22" s="1"/>
  <c r="AN78" i="22"/>
  <c r="AN78" i="22" a="1"/>
  <c r="AL78" i="22" a="1"/>
  <c r="AL78" i="22" s="1"/>
  <c r="AJ78" i="22" a="1"/>
  <c r="AJ78" i="22" s="1"/>
  <c r="AH78" i="22" a="1"/>
  <c r="AH78" i="22" s="1"/>
  <c r="AF78" i="22" a="1"/>
  <c r="AF78" i="22" s="1"/>
  <c r="AD78" i="22"/>
  <c r="AD78" i="22" a="1"/>
  <c r="AB78" i="22" a="1"/>
  <c r="AB78" i="22" s="1"/>
  <c r="Z78" i="22" a="1"/>
  <c r="Z78" i="22" s="1"/>
  <c r="X78" i="22"/>
  <c r="X78" i="22" a="1"/>
  <c r="V78" i="22" a="1"/>
  <c r="V78" i="22" s="1"/>
  <c r="T78" i="22" a="1"/>
  <c r="T78" i="22" s="1"/>
  <c r="R78" i="22" a="1"/>
  <c r="R78" i="22" s="1"/>
  <c r="P78" i="22" a="1"/>
  <c r="P78" i="22" s="1"/>
  <c r="N78" i="22"/>
  <c r="N78" i="22" a="1"/>
  <c r="L78" i="22" a="1"/>
  <c r="L78" i="22" s="1"/>
  <c r="J78" i="22" a="1"/>
  <c r="J78" i="22" s="1"/>
  <c r="H78" i="22"/>
  <c r="H78" i="22" a="1"/>
  <c r="F78" i="22" a="1"/>
  <c r="F78" i="22" s="1"/>
  <c r="D78" i="22" a="1"/>
  <c r="D78" i="22" s="1"/>
  <c r="B78" i="22" a="1"/>
  <c r="B78" i="22" s="1"/>
  <c r="AV77" i="22" a="1"/>
  <c r="AV77" i="22" s="1"/>
  <c r="AT77" i="22"/>
  <c r="AT77" i="22" a="1"/>
  <c r="AR77" i="22" a="1"/>
  <c r="AR77" i="22" s="1"/>
  <c r="AP77" i="22" a="1"/>
  <c r="AP77" i="22" s="1"/>
  <c r="AN77" i="22"/>
  <c r="AN77" i="22" a="1"/>
  <c r="AL77" i="22" a="1"/>
  <c r="AL77" i="22" s="1"/>
  <c r="AJ77" i="22" a="1"/>
  <c r="AJ77" i="22" s="1"/>
  <c r="AH77" i="22" a="1"/>
  <c r="AH77" i="22" s="1"/>
  <c r="AF77" i="22" a="1"/>
  <c r="AF77" i="22" s="1"/>
  <c r="AD77" i="22"/>
  <c r="AD77" i="22" a="1"/>
  <c r="AB77" i="22" a="1"/>
  <c r="AB77" i="22" s="1"/>
  <c r="Z77" i="22" a="1"/>
  <c r="Z77" i="22" s="1"/>
  <c r="X77" i="22"/>
  <c r="X77" i="22" a="1"/>
  <c r="V77" i="22" a="1"/>
  <c r="V77" i="22" s="1"/>
  <c r="T77" i="22" a="1"/>
  <c r="T77" i="22" s="1"/>
  <c r="R77" i="22" a="1"/>
  <c r="R77" i="22" s="1"/>
  <c r="P77" i="22" a="1"/>
  <c r="P77" i="22" s="1"/>
  <c r="N77" i="22"/>
  <c r="N77" i="22" a="1"/>
  <c r="L77" i="22" a="1"/>
  <c r="L77" i="22" s="1"/>
  <c r="J77" i="22" a="1"/>
  <c r="J77" i="22" s="1"/>
  <c r="H77" i="22"/>
  <c r="H77" i="22" a="1"/>
  <c r="F77" i="22" a="1"/>
  <c r="F77" i="22" s="1"/>
  <c r="D77" i="22" a="1"/>
  <c r="D77" i="22" s="1"/>
  <c r="B77" i="22" a="1"/>
  <c r="B77" i="22" s="1"/>
  <c r="AV76" i="22" a="1"/>
  <c r="AV76" i="22" s="1"/>
  <c r="AT76" i="22"/>
  <c r="AT76" i="22" a="1"/>
  <c r="AR76" i="22" a="1"/>
  <c r="AR76" i="22" s="1"/>
  <c r="AP76" i="22" a="1"/>
  <c r="AP76" i="22" s="1"/>
  <c r="AN76" i="22"/>
  <c r="AN76" i="22" a="1"/>
  <c r="AL76" i="22" a="1"/>
  <c r="AL76" i="22" s="1"/>
  <c r="AJ76" i="22" a="1"/>
  <c r="AJ76" i="22" s="1"/>
  <c r="AH76" i="22" a="1"/>
  <c r="AH76" i="22" s="1"/>
  <c r="AF76" i="22" a="1"/>
  <c r="AF76" i="22" s="1"/>
  <c r="AD76" i="22"/>
  <c r="AD76" i="22" a="1"/>
  <c r="AB76" i="22" a="1"/>
  <c r="AB76" i="22" s="1"/>
  <c r="Z76" i="22" a="1"/>
  <c r="Z76" i="22" s="1"/>
  <c r="X76" i="22"/>
  <c r="X76" i="22" a="1"/>
  <c r="V76" i="22" a="1"/>
  <c r="V76" i="22" s="1"/>
  <c r="T76" i="22" a="1"/>
  <c r="T76" i="22" s="1"/>
  <c r="R76" i="22" a="1"/>
  <c r="R76" i="22" s="1"/>
  <c r="P76" i="22" a="1"/>
  <c r="P76" i="22" s="1"/>
  <c r="N76" i="22"/>
  <c r="N76" i="22" a="1"/>
  <c r="L76" i="22" a="1"/>
  <c r="L76" i="22" s="1"/>
  <c r="J76" i="22" a="1"/>
  <c r="J76" i="22" s="1"/>
  <c r="H76" i="22"/>
  <c r="H76" i="22" a="1"/>
  <c r="F76" i="22" a="1"/>
  <c r="F76" i="22" s="1"/>
  <c r="D76" i="22" a="1"/>
  <c r="D76" i="22" s="1"/>
  <c r="B76" i="22" a="1"/>
  <c r="B76" i="22" s="1"/>
  <c r="AV75" i="22" a="1"/>
  <c r="AV75" i="22" s="1"/>
  <c r="AT75" i="22"/>
  <c r="AT75" i="22" a="1"/>
  <c r="AR75" i="22" a="1"/>
  <c r="AR75" i="22" s="1"/>
  <c r="AP75" i="22" a="1"/>
  <c r="AP75" i="22" s="1"/>
  <c r="AN75" i="22"/>
  <c r="AN75" i="22" a="1"/>
  <c r="AL75" i="22" a="1"/>
  <c r="AL75" i="22" s="1"/>
  <c r="AJ75" i="22" a="1"/>
  <c r="AJ75" i="22" s="1"/>
  <c r="AH75" i="22" a="1"/>
  <c r="AH75" i="22" s="1"/>
  <c r="AF75" i="22" a="1"/>
  <c r="AF75" i="22" s="1"/>
  <c r="AD75" i="22"/>
  <c r="AD75" i="22" a="1"/>
  <c r="AB75" i="22" a="1"/>
  <c r="AB75" i="22" s="1"/>
  <c r="Z75" i="22" a="1"/>
  <c r="Z75" i="22" s="1"/>
  <c r="X75" i="22"/>
  <c r="X75" i="22" a="1"/>
  <c r="V75" i="22" a="1"/>
  <c r="V75" i="22" s="1"/>
  <c r="T75" i="22" a="1"/>
  <c r="T75" i="22" s="1"/>
  <c r="R75" i="22" a="1"/>
  <c r="R75" i="22" s="1"/>
  <c r="P75" i="22" a="1"/>
  <c r="P75" i="22" s="1"/>
  <c r="N75" i="22"/>
  <c r="N75" i="22" a="1"/>
  <c r="L75" i="22" a="1"/>
  <c r="L75" i="22" s="1"/>
  <c r="J75" i="22" a="1"/>
  <c r="J75" i="22" s="1"/>
  <c r="H75" i="22"/>
  <c r="H75" i="22" a="1"/>
  <c r="F75" i="22" a="1"/>
  <c r="F75" i="22" s="1"/>
  <c r="D75" i="22" a="1"/>
  <c r="D75" i="22" s="1"/>
  <c r="B75" i="22" a="1"/>
  <c r="B75" i="22" s="1"/>
  <c r="AV74" i="22" a="1"/>
  <c r="AV74" i="22" s="1"/>
  <c r="AT74" i="22"/>
  <c r="AT74" i="22" a="1"/>
  <c r="AR74" i="22" a="1"/>
  <c r="AR74" i="22" s="1"/>
  <c r="AP74" i="22" a="1"/>
  <c r="AP74" i="22" s="1"/>
  <c r="AN74" i="22"/>
  <c r="AN74" i="22" a="1"/>
  <c r="AL74" i="22" a="1"/>
  <c r="AL74" i="22" s="1"/>
  <c r="AJ74" i="22" a="1"/>
  <c r="AJ74" i="22" s="1"/>
  <c r="AH74" i="22" a="1"/>
  <c r="AH74" i="22" s="1"/>
  <c r="AF74" i="22" a="1"/>
  <c r="AF74" i="22" s="1"/>
  <c r="AD74" i="22" a="1"/>
  <c r="AD74" i="22" s="1"/>
  <c r="AB74" i="22" a="1"/>
  <c r="AB74" i="22" s="1"/>
  <c r="Z74" i="22" a="1"/>
  <c r="Z74" i="22" s="1"/>
  <c r="X74" i="22"/>
  <c r="X74" i="22" a="1"/>
  <c r="V74" i="22" a="1"/>
  <c r="V74" i="22" s="1"/>
  <c r="T74" i="22" a="1"/>
  <c r="T74" i="22" s="1"/>
  <c r="R74" i="22" a="1"/>
  <c r="R74" i="22" s="1"/>
  <c r="P74" i="22" a="1"/>
  <c r="P74" i="22" s="1"/>
  <c r="N74" i="22" a="1"/>
  <c r="N74" i="22" s="1"/>
  <c r="L74" i="22" a="1"/>
  <c r="L74" i="22" s="1"/>
  <c r="J74" i="22" a="1"/>
  <c r="J74" i="22" s="1"/>
  <c r="H74" i="22"/>
  <c r="H74" i="22" a="1"/>
  <c r="F74" i="22" a="1"/>
  <c r="F74" i="22" s="1"/>
  <c r="D74" i="22" a="1"/>
  <c r="D74" i="22" s="1"/>
  <c r="B74" i="22" a="1"/>
  <c r="B74" i="22" s="1"/>
  <c r="AV73" i="22" a="1"/>
  <c r="AV73" i="22" s="1"/>
  <c r="AT73" i="22" a="1"/>
  <c r="AT73" i="22" s="1"/>
  <c r="AR73" i="22" a="1"/>
  <c r="AR73" i="22" s="1"/>
  <c r="AP73" i="22" a="1"/>
  <c r="AP73" i="22" s="1"/>
  <c r="AN73" i="22"/>
  <c r="AN73" i="22" a="1"/>
  <c r="AL73" i="22" a="1"/>
  <c r="AL73" i="22" s="1"/>
  <c r="AJ73" i="22" a="1"/>
  <c r="AJ73" i="22" s="1"/>
  <c r="AH73" i="22" a="1"/>
  <c r="AH73" i="22" s="1"/>
  <c r="AF73" i="22" a="1"/>
  <c r="AF73" i="22" s="1"/>
  <c r="AD73" i="22" a="1"/>
  <c r="AD73" i="22" s="1"/>
  <c r="AB73" i="22" a="1"/>
  <c r="AB73" i="22" s="1"/>
  <c r="Z73" i="22" a="1"/>
  <c r="Z73" i="22" s="1"/>
  <c r="X73" i="22"/>
  <c r="X73" i="22" a="1"/>
  <c r="V73" i="22" a="1"/>
  <c r="V73" i="22" s="1"/>
  <c r="T73" i="22" a="1"/>
  <c r="T73" i="22" s="1"/>
  <c r="R73" i="22" a="1"/>
  <c r="R73" i="22" s="1"/>
  <c r="P73" i="22" a="1"/>
  <c r="P73" i="22" s="1"/>
  <c r="N73" i="22" a="1"/>
  <c r="N73" i="22" s="1"/>
  <c r="L73" i="22" a="1"/>
  <c r="L73" i="22" s="1"/>
  <c r="J73" i="22" a="1"/>
  <c r="J73" i="22" s="1"/>
  <c r="H73" i="22"/>
  <c r="H73" i="22" a="1"/>
  <c r="F73" i="22" a="1"/>
  <c r="F73" i="22" s="1"/>
  <c r="D73" i="22" a="1"/>
  <c r="D73" i="22" s="1"/>
  <c r="B73" i="22" a="1"/>
  <c r="B73" i="22" s="1"/>
  <c r="AV72" i="22"/>
  <c r="AT72" i="22"/>
  <c r="AR72" i="22"/>
  <c r="AP72" i="22"/>
  <c r="AN72" i="22"/>
  <c r="AL72" i="22"/>
  <c r="AJ72" i="22"/>
  <c r="AH72" i="22"/>
  <c r="AF72" i="22"/>
  <c r="AD72" i="22"/>
  <c r="AB72" i="22"/>
  <c r="Z72" i="22"/>
  <c r="X72" i="22"/>
  <c r="V72" i="22"/>
  <c r="T72" i="22"/>
  <c r="R72" i="22"/>
  <c r="P72" i="22"/>
  <c r="N72" i="22"/>
  <c r="L72" i="22"/>
  <c r="J72" i="22"/>
  <c r="H72" i="22"/>
  <c r="F72" i="22"/>
  <c r="D72" i="22"/>
  <c r="B72" i="22"/>
  <c r="AV71" i="22"/>
  <c r="AT71" i="22"/>
  <c r="AR71" i="22"/>
  <c r="AP71" i="22"/>
  <c r="AN71" i="22"/>
  <c r="AL71" i="22"/>
  <c r="AJ71" i="22"/>
  <c r="AH71" i="22"/>
  <c r="AF71" i="22"/>
  <c r="AD71" i="22"/>
  <c r="AB71" i="22"/>
  <c r="Z71" i="22"/>
  <c r="X71" i="22"/>
  <c r="V71" i="22"/>
  <c r="T71" i="22"/>
  <c r="R71" i="22"/>
  <c r="P71" i="22"/>
  <c r="N71" i="22"/>
  <c r="L71" i="22"/>
  <c r="J71" i="22"/>
  <c r="H71" i="22"/>
  <c r="F71" i="22"/>
  <c r="D71" i="22"/>
  <c r="B71" i="22"/>
  <c r="AV70" i="22"/>
  <c r="AT70" i="22"/>
  <c r="AR70" i="22"/>
  <c r="AP70" i="22"/>
  <c r="AN70" i="22"/>
  <c r="AL70" i="22"/>
  <c r="AJ70" i="22"/>
  <c r="AH70" i="22"/>
  <c r="AF70" i="22"/>
  <c r="AD70" i="22"/>
  <c r="AB70" i="22"/>
  <c r="Z70" i="22"/>
  <c r="X70" i="22"/>
  <c r="V70" i="22"/>
  <c r="T70" i="22"/>
  <c r="R70" i="22"/>
  <c r="P70" i="22"/>
  <c r="N70" i="22"/>
  <c r="L70" i="22"/>
  <c r="J70" i="22"/>
  <c r="H70" i="22"/>
  <c r="F70" i="22"/>
  <c r="D70" i="22"/>
  <c r="B70" i="22"/>
  <c r="B69" i="22"/>
  <c r="AV67" i="22"/>
  <c r="AV67" i="22" a="1"/>
  <c r="AT67" i="22" a="1"/>
  <c r="AT67" i="22" s="1"/>
  <c r="AR67" i="22" a="1"/>
  <c r="AR67" i="22" s="1"/>
  <c r="AP67" i="22" a="1"/>
  <c r="AP67" i="22" s="1"/>
  <c r="AN67" i="22" a="1"/>
  <c r="AN67" i="22" s="1"/>
  <c r="AL67" i="22" a="1"/>
  <c r="AL67" i="22" s="1"/>
  <c r="AJ67" i="22" a="1"/>
  <c r="AJ67" i="22" s="1"/>
  <c r="AH67" i="22" a="1"/>
  <c r="AH67" i="22" s="1"/>
  <c r="AF67" i="22"/>
  <c r="AF67" i="22" a="1"/>
  <c r="AD67" i="22" a="1"/>
  <c r="AD67" i="22" s="1"/>
  <c r="AB67" i="22" a="1"/>
  <c r="AB67" i="22" s="1"/>
  <c r="Z67" i="22" a="1"/>
  <c r="Z67" i="22" s="1"/>
  <c r="X67" i="22" a="1"/>
  <c r="X67" i="22" s="1"/>
  <c r="V67" i="22" a="1"/>
  <c r="V67" i="22" s="1"/>
  <c r="T67" i="22" a="1"/>
  <c r="T67" i="22" s="1"/>
  <c r="R67" i="22" a="1"/>
  <c r="R67" i="22" s="1"/>
  <c r="P67" i="22"/>
  <c r="P67" i="22" a="1"/>
  <c r="N67" i="22" a="1"/>
  <c r="N67" i="22" s="1"/>
  <c r="L67" i="22" a="1"/>
  <c r="L67" i="22" s="1"/>
  <c r="J67" i="22" a="1"/>
  <c r="J67" i="22" s="1"/>
  <c r="H67" i="22" a="1"/>
  <c r="H67" i="22" s="1"/>
  <c r="F67" i="22" a="1"/>
  <c r="F67" i="22" s="1"/>
  <c r="D67" i="22" a="1"/>
  <c r="D67" i="22" s="1"/>
  <c r="B67" i="22" a="1"/>
  <c r="B67" i="22" s="1"/>
  <c r="AV66" i="22"/>
  <c r="AV68" i="22" s="1"/>
  <c r="AV66" i="22" a="1"/>
  <c r="AT66" i="22" a="1"/>
  <c r="AT66" i="22" s="1"/>
  <c r="AT68" i="22" s="1"/>
  <c r="AR66" i="22" a="1"/>
  <c r="AR66" i="22" s="1"/>
  <c r="AR68" i="22" s="1"/>
  <c r="AP66" i="22" a="1"/>
  <c r="AP66" i="22" s="1"/>
  <c r="AN66" i="22" a="1"/>
  <c r="AN66" i="22" s="1"/>
  <c r="AL66" i="22" a="1"/>
  <c r="AL66" i="22" s="1"/>
  <c r="AJ66" i="22" a="1"/>
  <c r="AJ66" i="22" s="1"/>
  <c r="AH66" i="22" a="1"/>
  <c r="AH66" i="22" s="1"/>
  <c r="AH68" i="22" s="1"/>
  <c r="AF66" i="22"/>
  <c r="AF68" i="22" s="1"/>
  <c r="AF66" i="22" a="1"/>
  <c r="AD66" i="22" a="1"/>
  <c r="AD66" i="22" s="1"/>
  <c r="AD68" i="22" s="1"/>
  <c r="AB66" i="22" a="1"/>
  <c r="AB66" i="22" s="1"/>
  <c r="AB68" i="22" s="1"/>
  <c r="Z66" i="22" a="1"/>
  <c r="Z66" i="22" s="1"/>
  <c r="X66" i="22" a="1"/>
  <c r="X66" i="22" s="1"/>
  <c r="V66" i="22" a="1"/>
  <c r="V66" i="22" s="1"/>
  <c r="V68" i="22" s="1"/>
  <c r="T66" i="22" a="1"/>
  <c r="T66" i="22" s="1"/>
  <c r="R66" i="22" a="1"/>
  <c r="R66" i="22" s="1"/>
  <c r="R68" i="22" s="1"/>
  <c r="P66" i="22"/>
  <c r="P68" i="22" s="1"/>
  <c r="P66" i="22" a="1"/>
  <c r="N66" i="22" a="1"/>
  <c r="N66" i="22" s="1"/>
  <c r="L66" i="22" a="1"/>
  <c r="L66" i="22" s="1"/>
  <c r="J66" i="22" a="1"/>
  <c r="J66" i="22" s="1"/>
  <c r="H66" i="22" a="1"/>
  <c r="H66" i="22" s="1"/>
  <c r="F66" i="22" a="1"/>
  <c r="F66" i="22" s="1"/>
  <c r="F68" i="22" s="1"/>
  <c r="D66" i="22" a="1"/>
  <c r="D66" i="22" s="1"/>
  <c r="B66" i="22" a="1"/>
  <c r="B66" i="22" s="1"/>
  <c r="AV65" i="22"/>
  <c r="AV69" i="22" s="1"/>
  <c r="AV65" i="22" a="1"/>
  <c r="AT65" i="22" a="1"/>
  <c r="AT65" i="22" s="1"/>
  <c r="AT69" i="22" s="1"/>
  <c r="AR65" i="22" a="1"/>
  <c r="AR65" i="22" s="1"/>
  <c r="AR69" i="22" s="1"/>
  <c r="AP65" i="22" a="1"/>
  <c r="AP65" i="22" s="1"/>
  <c r="AP69" i="22" s="1"/>
  <c r="AN65" i="22" a="1"/>
  <c r="AN65" i="22" s="1"/>
  <c r="AN69" i="22" s="1"/>
  <c r="AL65" i="22" a="1"/>
  <c r="AL65" i="22" s="1"/>
  <c r="AL69" i="22" s="1"/>
  <c r="AJ65" i="22" a="1"/>
  <c r="AJ65" i="22" s="1"/>
  <c r="AJ69" i="22" s="1"/>
  <c r="AH65" i="22" a="1"/>
  <c r="AH65" i="22" s="1"/>
  <c r="AH69" i="22" s="1"/>
  <c r="AF65" i="22"/>
  <c r="AF69" i="22" s="1"/>
  <c r="AF65" i="22" a="1"/>
  <c r="AD65" i="22" a="1"/>
  <c r="AD65" i="22" s="1"/>
  <c r="AD69" i="22" s="1"/>
  <c r="AB65" i="22" a="1"/>
  <c r="AB65" i="22" s="1"/>
  <c r="AB69" i="22" s="1"/>
  <c r="Z65" i="22" a="1"/>
  <c r="Z65" i="22" s="1"/>
  <c r="Z69" i="22" s="1"/>
  <c r="X65" i="22" a="1"/>
  <c r="X65" i="22" s="1"/>
  <c r="X69" i="22" s="1"/>
  <c r="V65" i="22" a="1"/>
  <c r="V65" i="22" s="1"/>
  <c r="V69" i="22" s="1"/>
  <c r="T65" i="22" a="1"/>
  <c r="T65" i="22" s="1"/>
  <c r="T69" i="22" s="1"/>
  <c r="R65" i="22" a="1"/>
  <c r="R65" i="22" s="1"/>
  <c r="R69" i="22" s="1"/>
  <c r="P65" i="22"/>
  <c r="P69" i="22" s="1"/>
  <c r="P65" i="22" a="1"/>
  <c r="N65" i="22" a="1"/>
  <c r="N65" i="22" s="1"/>
  <c r="N69" i="22" s="1"/>
  <c r="L65" i="22" a="1"/>
  <c r="L65" i="22" s="1"/>
  <c r="L69" i="22" s="1"/>
  <c r="J65" i="22" a="1"/>
  <c r="J65" i="22" s="1"/>
  <c r="J69" i="22" s="1"/>
  <c r="H65" i="22" a="1"/>
  <c r="H65" i="22" s="1"/>
  <c r="H69" i="22" s="1"/>
  <c r="F65" i="22" a="1"/>
  <c r="F65" i="22" s="1"/>
  <c r="F69" i="22" s="1"/>
  <c r="D65" i="22" a="1"/>
  <c r="D65" i="22" s="1"/>
  <c r="D69" i="22" s="1"/>
  <c r="B65" i="22"/>
  <c r="AV62" i="22"/>
  <c r="AT62" i="22"/>
  <c r="AR62" i="22"/>
  <c r="AP62" i="22"/>
  <c r="AN62" i="22"/>
  <c r="AL62" i="22"/>
  <c r="AJ62" i="22"/>
  <c r="AH62" i="22"/>
  <c r="AF62" i="22"/>
  <c r="AD62" i="22"/>
  <c r="AB62" i="22"/>
  <c r="Z62" i="22"/>
  <c r="X62" i="22"/>
  <c r="V62" i="22"/>
  <c r="T62" i="22"/>
  <c r="R62" i="22"/>
  <c r="P62" i="22"/>
  <c r="N62" i="22"/>
  <c r="L62" i="22"/>
  <c r="J62" i="22"/>
  <c r="H62" i="22"/>
  <c r="F62" i="22"/>
  <c r="D62" i="22"/>
  <c r="B62" i="22"/>
  <c r="AV60" i="22"/>
  <c r="AT60" i="22"/>
  <c r="AR60" i="22"/>
  <c r="AP60" i="22"/>
  <c r="AN60" i="22"/>
  <c r="AL60" i="22"/>
  <c r="AJ60" i="22"/>
  <c r="AH60" i="22"/>
  <c r="AF60" i="22"/>
  <c r="AD60" i="22"/>
  <c r="AB60" i="22"/>
  <c r="Z60" i="22"/>
  <c r="X60" i="22"/>
  <c r="V60" i="22"/>
  <c r="T60" i="22"/>
  <c r="R60" i="22"/>
  <c r="P60" i="22"/>
  <c r="N60" i="22"/>
  <c r="L60" i="22"/>
  <c r="J60" i="22"/>
  <c r="H60" i="22"/>
  <c r="F60" i="22"/>
  <c r="D60" i="22"/>
  <c r="B60" i="22"/>
  <c r="AV59" i="22"/>
  <c r="AT59" i="22"/>
  <c r="AR59" i="22"/>
  <c r="AP59" i="22"/>
  <c r="AN59" i="22"/>
  <c r="AL59" i="22"/>
  <c r="AJ59" i="22"/>
  <c r="AH59" i="22"/>
  <c r="AF59" i="22"/>
  <c r="AD59" i="22"/>
  <c r="AB59" i="22"/>
  <c r="Z59" i="22"/>
  <c r="X59" i="22"/>
  <c r="V59" i="22"/>
  <c r="T59" i="22"/>
  <c r="R59" i="22"/>
  <c r="P59" i="22"/>
  <c r="N59" i="22"/>
  <c r="L59" i="22"/>
  <c r="J59" i="22"/>
  <c r="H59" i="22"/>
  <c r="F59" i="22"/>
  <c r="D59" i="22"/>
  <c r="B59" i="22"/>
  <c r="AV58" i="22"/>
  <c r="AV58" i="22" a="1"/>
  <c r="AT58" i="22" a="1"/>
  <c r="AT58" i="22" s="1"/>
  <c r="AR58" i="22"/>
  <c r="AR58" i="22" a="1"/>
  <c r="AP58" i="22" a="1"/>
  <c r="AP58" i="22" s="1"/>
  <c r="AN58" i="22" a="1"/>
  <c r="AN58" i="22" s="1"/>
  <c r="AL58" i="22" a="1"/>
  <c r="AL58" i="22" s="1"/>
  <c r="AJ58" i="22"/>
  <c r="AJ58" i="22" a="1"/>
  <c r="AH58" i="22" a="1"/>
  <c r="AH58" i="22" s="1"/>
  <c r="AF58" i="22"/>
  <c r="AF58" i="22" a="1"/>
  <c r="AD58" i="22" a="1"/>
  <c r="AD58" i="22" s="1"/>
  <c r="AB58" i="22"/>
  <c r="AB58" i="22" a="1"/>
  <c r="Z58" i="22" a="1"/>
  <c r="Z58" i="22" s="1"/>
  <c r="X58" i="22" a="1"/>
  <c r="X58" i="22" s="1"/>
  <c r="V58" i="22" a="1"/>
  <c r="V58" i="22" s="1"/>
  <c r="T58" i="22"/>
  <c r="T58" i="22" a="1"/>
  <c r="R58" i="22" a="1"/>
  <c r="R58" i="22" s="1"/>
  <c r="P58" i="22"/>
  <c r="P58" i="22" a="1"/>
  <c r="N58" i="22" a="1"/>
  <c r="N58" i="22" s="1"/>
  <c r="L58" i="22"/>
  <c r="L58" i="22" a="1"/>
  <c r="J58" i="22" a="1"/>
  <c r="J58" i="22" s="1"/>
  <c r="H58" i="22" a="1"/>
  <c r="H58" i="22" s="1"/>
  <c r="F58" i="22" a="1"/>
  <c r="F58" i="22" s="1"/>
  <c r="D58" i="22"/>
  <c r="D58" i="22" a="1"/>
  <c r="B58" i="22" a="1"/>
  <c r="B58" i="22" s="1"/>
  <c r="AV57" i="22"/>
  <c r="AV57" i="22" a="1"/>
  <c r="AT57" i="22" a="1"/>
  <c r="AT57" i="22" s="1"/>
  <c r="AR57" i="22"/>
  <c r="AR57" i="22" a="1"/>
  <c r="AP57" i="22" a="1"/>
  <c r="AP57" i="22" s="1"/>
  <c r="AN57" i="22" a="1"/>
  <c r="AN57" i="22" s="1"/>
  <c r="AL57" i="22" a="1"/>
  <c r="AL57" i="22" s="1"/>
  <c r="AJ57" i="22"/>
  <c r="AJ57" i="22" a="1"/>
  <c r="AH57" i="22" a="1"/>
  <c r="AH57" i="22" s="1"/>
  <c r="AF57" i="22"/>
  <c r="AF57" i="22" a="1"/>
  <c r="AD57" i="22" a="1"/>
  <c r="AD57" i="22" s="1"/>
  <c r="AB57" i="22"/>
  <c r="AB57" i="22" a="1"/>
  <c r="Z57" i="22" a="1"/>
  <c r="Z57" i="22" s="1"/>
  <c r="X57" i="22" a="1"/>
  <c r="X57" i="22" s="1"/>
  <c r="V57" i="22" a="1"/>
  <c r="V57" i="22" s="1"/>
  <c r="T57" i="22"/>
  <c r="T57" i="22" a="1"/>
  <c r="R57" i="22" a="1"/>
  <c r="R57" i="22" s="1"/>
  <c r="P57" i="22"/>
  <c r="P57" i="22" a="1"/>
  <c r="N57" i="22" a="1"/>
  <c r="N57" i="22" s="1"/>
  <c r="L57" i="22"/>
  <c r="L57" i="22" a="1"/>
  <c r="J57" i="22" a="1"/>
  <c r="J57" i="22" s="1"/>
  <c r="H57" i="22" a="1"/>
  <c r="H57" i="22" s="1"/>
  <c r="F57" i="22" a="1"/>
  <c r="F57" i="22" s="1"/>
  <c r="D57" i="22"/>
  <c r="D57" i="22" a="1"/>
  <c r="B57" i="22" a="1"/>
  <c r="B57" i="22" s="1"/>
  <c r="AV56" i="22"/>
  <c r="AT56" i="22"/>
  <c r="AR56" i="22"/>
  <c r="AP56" i="22"/>
  <c r="AN56" i="22"/>
  <c r="AL56" i="22"/>
  <c r="AJ56" i="22"/>
  <c r="AH56" i="22"/>
  <c r="AF56" i="22"/>
  <c r="AD56" i="22"/>
  <c r="AB56" i="22"/>
  <c r="Z56" i="22"/>
  <c r="X56" i="22"/>
  <c r="V56" i="22"/>
  <c r="T56" i="22"/>
  <c r="R56" i="22"/>
  <c r="P56" i="22"/>
  <c r="N56" i="22"/>
  <c r="L56" i="22"/>
  <c r="J56" i="22"/>
  <c r="H56" i="22"/>
  <c r="F56" i="22"/>
  <c r="D56" i="22"/>
  <c r="B56" i="22"/>
  <c r="AV55" i="22"/>
  <c r="AT55" i="22"/>
  <c r="AT80" i="22" s="1"/>
  <c r="AR55" i="22"/>
  <c r="AP55" i="22"/>
  <c r="AN55" i="22"/>
  <c r="AN80" i="22" s="1"/>
  <c r="AL55" i="22"/>
  <c r="AL80" i="22" s="1"/>
  <c r="AJ55" i="22"/>
  <c r="AH55" i="22"/>
  <c r="AF55" i="22"/>
  <c r="AF80" i="22" s="1"/>
  <c r="AD55" i="22"/>
  <c r="AD80" i="22" s="1"/>
  <c r="AB55" i="22"/>
  <c r="Z55" i="22"/>
  <c r="Z80" i="22" s="1"/>
  <c r="X55" i="22"/>
  <c r="X80" i="22" s="1"/>
  <c r="V55" i="22"/>
  <c r="V80" i="22" s="1"/>
  <c r="T55" i="22"/>
  <c r="R55" i="22"/>
  <c r="P55" i="22"/>
  <c r="N55" i="22"/>
  <c r="N80" i="22" s="1"/>
  <c r="L55" i="22"/>
  <c r="J55" i="22"/>
  <c r="H55" i="22"/>
  <c r="H80" i="22" s="1"/>
  <c r="F55" i="22"/>
  <c r="F80" i="22" s="1"/>
  <c r="D55" i="22"/>
  <c r="B55" i="22"/>
  <c r="AV53" i="22" a="1"/>
  <c r="AT53" i="22" a="1"/>
  <c r="AR53" i="22" a="1"/>
  <c r="AP53" i="22" a="1"/>
  <c r="AN53" i="22" a="1"/>
  <c r="AL53" i="22" a="1"/>
  <c r="AJ53" i="22" a="1"/>
  <c r="AH53" i="22" a="1"/>
  <c r="AF53" i="22" a="1"/>
  <c r="AD53" i="22" a="1"/>
  <c r="AB53" i="22" a="1"/>
  <c r="Z53" i="22" a="1"/>
  <c r="X53" i="22" a="1"/>
  <c r="V53" i="22" a="1"/>
  <c r="T53" i="22" a="1"/>
  <c r="R53" i="22" a="1"/>
  <c r="P53" i="22" a="1"/>
  <c r="N53" i="22" a="1"/>
  <c r="L53" i="22" a="1"/>
  <c r="J53" i="22" a="1"/>
  <c r="H53" i="22" a="1"/>
  <c r="F53" i="22" a="1"/>
  <c r="D53" i="22" a="1"/>
  <c r="B53" i="22" a="1"/>
  <c r="AV52" i="22" a="1"/>
  <c r="AT52" i="22" a="1"/>
  <c r="AR52" i="22" a="1"/>
  <c r="AP52" i="22" a="1"/>
  <c r="AN52" i="22" a="1"/>
  <c r="AL52" i="22" a="1"/>
  <c r="AJ52" i="22" a="1"/>
  <c r="AH52" i="22" a="1"/>
  <c r="AF52" i="22" a="1"/>
  <c r="AD52" i="22" a="1"/>
  <c r="AB52" i="22" a="1"/>
  <c r="Z52" i="22" a="1"/>
  <c r="X52" i="22" a="1"/>
  <c r="V52" i="22" a="1"/>
  <c r="T52" i="22" a="1"/>
  <c r="R52" i="22" a="1"/>
  <c r="P52" i="22" a="1"/>
  <c r="N52" i="22" a="1"/>
  <c r="L52" i="22" a="1"/>
  <c r="J52" i="22" a="1"/>
  <c r="H52" i="22" a="1"/>
  <c r="F52" i="22" a="1"/>
  <c r="D52" i="22" a="1"/>
  <c r="B52" i="22" a="1"/>
  <c r="AV51" i="22"/>
  <c r="AV81" i="22" s="1"/>
  <c r="AT51" i="22"/>
  <c r="AT81" i="22" s="1"/>
  <c r="AR51" i="22"/>
  <c r="AP51" i="22"/>
  <c r="AP81" i="22" s="1"/>
  <c r="AN51" i="22"/>
  <c r="AN81" i="22" s="1"/>
  <c r="AL51" i="22"/>
  <c r="AL81" i="22" s="1"/>
  <c r="AJ51" i="22"/>
  <c r="AH51" i="22"/>
  <c r="AF51" i="22"/>
  <c r="AD51" i="22"/>
  <c r="AD81" i="22" s="1"/>
  <c r="AB51" i="22"/>
  <c r="Z51" i="22"/>
  <c r="X51" i="22"/>
  <c r="X81" i="22" s="1"/>
  <c r="V51" i="22"/>
  <c r="V81" i="22" s="1"/>
  <c r="T51" i="22"/>
  <c r="R51" i="22"/>
  <c r="P51" i="22"/>
  <c r="P81" i="22" s="1"/>
  <c r="N51" i="22"/>
  <c r="N81" i="22" s="1"/>
  <c r="L51" i="22"/>
  <c r="J51" i="22"/>
  <c r="J81" i="22" s="1"/>
  <c r="H51" i="22"/>
  <c r="H81" i="22" s="1"/>
  <c r="F51" i="22"/>
  <c r="F81" i="22" s="1"/>
  <c r="D51" i="22"/>
  <c r="B51" i="22"/>
  <c r="AV49" i="22"/>
  <c r="AT49" i="22"/>
  <c r="AR49" i="22"/>
  <c r="AP49" i="22"/>
  <c r="AN49" i="22"/>
  <c r="AL49" i="22"/>
  <c r="AJ49" i="22"/>
  <c r="AH49" i="22"/>
  <c r="AF49" i="22"/>
  <c r="AD49" i="22"/>
  <c r="AB49" i="22"/>
  <c r="Z49" i="22"/>
  <c r="X49" i="22"/>
  <c r="V49" i="22"/>
  <c r="T49" i="22"/>
  <c r="R49" i="22"/>
  <c r="P49" i="22"/>
  <c r="N49" i="22"/>
  <c r="L49" i="22"/>
  <c r="J49" i="22"/>
  <c r="H49" i="22"/>
  <c r="F49" i="22"/>
  <c r="D49" i="22"/>
  <c r="B49" i="22"/>
  <c r="AV48" i="22"/>
  <c r="AT48" i="22"/>
  <c r="AR48" i="22"/>
  <c r="AP48" i="22"/>
  <c r="AN48" i="22"/>
  <c r="AL48" i="22"/>
  <c r="AJ48" i="22"/>
  <c r="AH48" i="22"/>
  <c r="AF48" i="22"/>
  <c r="AD48" i="22"/>
  <c r="AB48" i="22"/>
  <c r="Z48" i="22"/>
  <c r="X48" i="22"/>
  <c r="V48" i="22"/>
  <c r="T48" i="22"/>
  <c r="R48" i="22"/>
  <c r="P48" i="22"/>
  <c r="N48" i="22"/>
  <c r="L48" i="22"/>
  <c r="J48" i="22"/>
  <c r="H48" i="22"/>
  <c r="F48" i="22"/>
  <c r="D48" i="22"/>
  <c r="B48" i="22"/>
  <c r="AV46" i="22"/>
  <c r="AT46" i="22"/>
  <c r="AR46" i="22"/>
  <c r="AP46" i="22"/>
  <c r="AN46" i="22"/>
  <c r="AL46" i="22"/>
  <c r="AJ46" i="22"/>
  <c r="AH46" i="22"/>
  <c r="AF46" i="22"/>
  <c r="AD46" i="22"/>
  <c r="AB46" i="22"/>
  <c r="Z46" i="22"/>
  <c r="X46" i="22"/>
  <c r="V46" i="22"/>
  <c r="T46" i="22"/>
  <c r="R46" i="22"/>
  <c r="P46" i="22"/>
  <c r="N46" i="22"/>
  <c r="L46" i="22"/>
  <c r="J46" i="22"/>
  <c r="H46" i="22"/>
  <c r="F46" i="22"/>
  <c r="D46" i="22"/>
  <c r="B46" i="22"/>
  <c r="AV45" i="22"/>
  <c r="AT45" i="22"/>
  <c r="AR45" i="22"/>
  <c r="AP45" i="22"/>
  <c r="AN45" i="22"/>
  <c r="AL45" i="22"/>
  <c r="AJ45" i="22"/>
  <c r="AH45" i="22"/>
  <c r="AF45" i="22"/>
  <c r="AD45" i="22"/>
  <c r="AB45" i="22"/>
  <c r="Z45" i="22"/>
  <c r="X45" i="22"/>
  <c r="V45" i="22"/>
  <c r="T45" i="22"/>
  <c r="R45" i="22"/>
  <c r="P45" i="22"/>
  <c r="N45" i="22"/>
  <c r="L45" i="22"/>
  <c r="J45" i="22"/>
  <c r="H45" i="22"/>
  <c r="F45" i="22"/>
  <c r="D45" i="22"/>
  <c r="B45" i="22"/>
  <c r="AV44" i="22"/>
  <c r="AT44" i="22"/>
  <c r="AR44" i="22"/>
  <c r="AP44" i="22"/>
  <c r="AN44" i="22"/>
  <c r="AL44" i="22"/>
  <c r="AJ44" i="22"/>
  <c r="AH44" i="22"/>
  <c r="AF44" i="22"/>
  <c r="AD44" i="22"/>
  <c r="AB44" i="22"/>
  <c r="Z44" i="22"/>
  <c r="X44" i="22"/>
  <c r="V44" i="22"/>
  <c r="T44" i="22"/>
  <c r="R44" i="22"/>
  <c r="P44" i="22"/>
  <c r="N44" i="22"/>
  <c r="L44" i="22"/>
  <c r="J44" i="22"/>
  <c r="H44" i="22"/>
  <c r="F44" i="22"/>
  <c r="D44" i="22"/>
  <c r="B44" i="22"/>
  <c r="AV43" i="22"/>
  <c r="AV43" i="22" a="1"/>
  <c r="AT43" i="22" a="1"/>
  <c r="AT43" i="22" s="1"/>
  <c r="AR43" i="22"/>
  <c r="AR43" i="22" a="1"/>
  <c r="AP43" i="22" a="1"/>
  <c r="AP43" i="22" s="1"/>
  <c r="AN43" i="22" a="1"/>
  <c r="AN43" i="22" s="1"/>
  <c r="AL43" i="22" a="1"/>
  <c r="AL43" i="22" s="1"/>
  <c r="AJ43" i="22"/>
  <c r="AJ43" i="22" a="1"/>
  <c r="AH43" i="22" a="1"/>
  <c r="AH43" i="22" s="1"/>
  <c r="AF43" i="22"/>
  <c r="AF43" i="22" a="1"/>
  <c r="AD43" i="22" a="1"/>
  <c r="AD43" i="22" s="1"/>
  <c r="AB43" i="22" a="1"/>
  <c r="AB43" i="22" s="1"/>
  <c r="Z43" i="22" a="1"/>
  <c r="Z43" i="22" s="1"/>
  <c r="X43" i="22" a="1"/>
  <c r="X43" i="22" s="1"/>
  <c r="V43" i="22" a="1"/>
  <c r="V43" i="22" s="1"/>
  <c r="T43" i="22"/>
  <c r="T43" i="22" a="1"/>
  <c r="R43" i="22" a="1"/>
  <c r="R43" i="22" s="1"/>
  <c r="P43" i="22"/>
  <c r="P43" i="22" a="1"/>
  <c r="N43" i="22" a="1"/>
  <c r="N43" i="22" s="1"/>
  <c r="L43" i="22" a="1"/>
  <c r="L43" i="22" s="1"/>
  <c r="J43" i="22" a="1"/>
  <c r="J43" i="22" s="1"/>
  <c r="H43" i="22" a="1"/>
  <c r="H43" i="22" s="1"/>
  <c r="F43" i="22" a="1"/>
  <c r="F43" i="22" s="1"/>
  <c r="D43" i="22"/>
  <c r="D43" i="22" a="1"/>
  <c r="B43" i="22"/>
  <c r="AV42" i="22"/>
  <c r="AT42" i="22"/>
  <c r="AR42" i="22"/>
  <c r="AP42" i="22"/>
  <c r="AN42" i="22"/>
  <c r="AL42" i="22"/>
  <c r="AJ42" i="22"/>
  <c r="AH42" i="22"/>
  <c r="AF42" i="22"/>
  <c r="AD42" i="22"/>
  <c r="AB42" i="22"/>
  <c r="Z42" i="22"/>
  <c r="X42" i="22"/>
  <c r="V42" i="22"/>
  <c r="T42" i="22"/>
  <c r="R42" i="22"/>
  <c r="P42" i="22"/>
  <c r="N42" i="22"/>
  <c r="L42" i="22"/>
  <c r="J42" i="22"/>
  <c r="H42" i="22"/>
  <c r="F42" i="22"/>
  <c r="D42" i="22"/>
  <c r="B42" i="22"/>
  <c r="AL81" i="12"/>
  <c r="AH81" i="12"/>
  <c r="AF81" i="12"/>
  <c r="AB81" i="12"/>
  <c r="Z81" i="12"/>
  <c r="T81" i="12"/>
  <c r="R81" i="12"/>
  <c r="F81" i="12"/>
  <c r="B81" i="12"/>
  <c r="AV80" i="12"/>
  <c r="AR80" i="12"/>
  <c r="AP80" i="12"/>
  <c r="AJ80" i="12"/>
  <c r="AH80" i="12"/>
  <c r="AD80" i="12"/>
  <c r="V80" i="12"/>
  <c r="R80" i="12"/>
  <c r="P80" i="12"/>
  <c r="L80" i="12"/>
  <c r="J80" i="12"/>
  <c r="D80" i="12"/>
  <c r="B80" i="12"/>
  <c r="AV79" i="12" a="1"/>
  <c r="AV79" i="12" s="1"/>
  <c r="AT79" i="12" a="1"/>
  <c r="AT79" i="12" s="1"/>
  <c r="AR79" i="12" a="1"/>
  <c r="AR79" i="12" s="1"/>
  <c r="AP79" i="12" a="1"/>
  <c r="AP79" i="12" s="1"/>
  <c r="AN79" i="12"/>
  <c r="AN79" i="12" a="1"/>
  <c r="AL79" i="12" a="1"/>
  <c r="AL79" i="12" s="1"/>
  <c r="AJ79" i="12" a="1"/>
  <c r="AJ79" i="12" s="1"/>
  <c r="AH79" i="12" a="1"/>
  <c r="AH79" i="12" s="1"/>
  <c r="AF79" i="12" a="1"/>
  <c r="AF79" i="12" s="1"/>
  <c r="AD79" i="12" a="1"/>
  <c r="AD79" i="12" s="1"/>
  <c r="AB79" i="12" a="1"/>
  <c r="AB79" i="12" s="1"/>
  <c r="Z79" i="12" a="1"/>
  <c r="Z79" i="12" s="1"/>
  <c r="X79" i="12"/>
  <c r="X79" i="12" a="1"/>
  <c r="V79" i="12" a="1"/>
  <c r="V79" i="12" s="1"/>
  <c r="T79" i="12" a="1"/>
  <c r="T79" i="12" s="1"/>
  <c r="R79" i="12" a="1"/>
  <c r="R79" i="12" s="1"/>
  <c r="P79" i="12" a="1"/>
  <c r="P79" i="12" s="1"/>
  <c r="N79" i="12" a="1"/>
  <c r="N79" i="12" s="1"/>
  <c r="L79" i="12" a="1"/>
  <c r="L79" i="12" s="1"/>
  <c r="J79" i="12" a="1"/>
  <c r="J79" i="12" s="1"/>
  <c r="H79" i="12"/>
  <c r="H79" i="12" a="1"/>
  <c r="F79" i="12" a="1"/>
  <c r="F79" i="12" s="1"/>
  <c r="D79" i="12" a="1"/>
  <c r="D79" i="12" s="1"/>
  <c r="B79" i="12" a="1"/>
  <c r="B79" i="12" s="1"/>
  <c r="AV78" i="12" a="1"/>
  <c r="AV78" i="12" s="1"/>
  <c r="AT78" i="12" a="1"/>
  <c r="AT78" i="12" s="1"/>
  <c r="AR78" i="12" a="1"/>
  <c r="AR78" i="12" s="1"/>
  <c r="AP78" i="12" a="1"/>
  <c r="AP78" i="12" s="1"/>
  <c r="AN78" i="12"/>
  <c r="AN78" i="12" a="1"/>
  <c r="AL78" i="12" a="1"/>
  <c r="AL78" i="12" s="1"/>
  <c r="AJ78" i="12" a="1"/>
  <c r="AJ78" i="12" s="1"/>
  <c r="AH78" i="12" a="1"/>
  <c r="AH78" i="12" s="1"/>
  <c r="AF78" i="12" a="1"/>
  <c r="AF78" i="12" s="1"/>
  <c r="AD78" i="12" a="1"/>
  <c r="AD78" i="12" s="1"/>
  <c r="AB78" i="12" a="1"/>
  <c r="AB78" i="12" s="1"/>
  <c r="Z78" i="12" a="1"/>
  <c r="Z78" i="12" s="1"/>
  <c r="X78" i="12"/>
  <c r="X78" i="12" a="1"/>
  <c r="V78" i="12" a="1"/>
  <c r="V78" i="12" s="1"/>
  <c r="T78" i="12" a="1"/>
  <c r="T78" i="12" s="1"/>
  <c r="R78" i="12" a="1"/>
  <c r="R78" i="12" s="1"/>
  <c r="P78" i="12" a="1"/>
  <c r="P78" i="12" s="1"/>
  <c r="N78" i="12" a="1"/>
  <c r="N78" i="12" s="1"/>
  <c r="L78" i="12" a="1"/>
  <c r="L78" i="12" s="1"/>
  <c r="J78" i="12" a="1"/>
  <c r="J78" i="12" s="1"/>
  <c r="H78" i="12"/>
  <c r="H78" i="12" a="1"/>
  <c r="F78" i="12" a="1"/>
  <c r="F78" i="12" s="1"/>
  <c r="D78" i="12" a="1"/>
  <c r="D78" i="12" s="1"/>
  <c r="B78" i="12" a="1"/>
  <c r="B78" i="12" s="1"/>
  <c r="AV77" i="12" a="1"/>
  <c r="AV77" i="12" s="1"/>
  <c r="AT77" i="12" a="1"/>
  <c r="AT77" i="12" s="1"/>
  <c r="AR77" i="12" a="1"/>
  <c r="AR77" i="12" s="1"/>
  <c r="AP77" i="12" a="1"/>
  <c r="AP77" i="12" s="1"/>
  <c r="AN77" i="12"/>
  <c r="AN77" i="12" a="1"/>
  <c r="AL77" i="12" a="1"/>
  <c r="AL77" i="12" s="1"/>
  <c r="AJ77" i="12" a="1"/>
  <c r="AJ77" i="12" s="1"/>
  <c r="AH77" i="12" a="1"/>
  <c r="AH77" i="12" s="1"/>
  <c r="AF77" i="12" a="1"/>
  <c r="AF77" i="12" s="1"/>
  <c r="AD77" i="12" a="1"/>
  <c r="AD77" i="12" s="1"/>
  <c r="AB77" i="12" a="1"/>
  <c r="AB77" i="12" s="1"/>
  <c r="Z77" i="12" a="1"/>
  <c r="Z77" i="12" s="1"/>
  <c r="X77" i="12"/>
  <c r="X77" i="12" a="1"/>
  <c r="V77" i="12" a="1"/>
  <c r="V77" i="12" s="1"/>
  <c r="T77" i="12" a="1"/>
  <c r="T77" i="12" s="1"/>
  <c r="R77" i="12" a="1"/>
  <c r="R77" i="12" s="1"/>
  <c r="P77" i="12" a="1"/>
  <c r="P77" i="12" s="1"/>
  <c r="N77" i="12" a="1"/>
  <c r="N77" i="12" s="1"/>
  <c r="L77" i="12" a="1"/>
  <c r="L77" i="12" s="1"/>
  <c r="J77" i="12" a="1"/>
  <c r="J77" i="12" s="1"/>
  <c r="H77" i="12"/>
  <c r="H77" i="12" a="1"/>
  <c r="F77" i="12" a="1"/>
  <c r="F77" i="12" s="1"/>
  <c r="D77" i="12" a="1"/>
  <c r="D77" i="12" s="1"/>
  <c r="B77" i="12" a="1"/>
  <c r="B77" i="12" s="1"/>
  <c r="AV76" i="12" a="1"/>
  <c r="AV76" i="12" s="1"/>
  <c r="AT76" i="12" a="1"/>
  <c r="AT76" i="12" s="1"/>
  <c r="AR76" i="12" a="1"/>
  <c r="AR76" i="12" s="1"/>
  <c r="AP76" i="12" a="1"/>
  <c r="AP76" i="12" s="1"/>
  <c r="AN76" i="12"/>
  <c r="AN76" i="12" a="1"/>
  <c r="AL76" i="12" a="1"/>
  <c r="AL76" i="12" s="1"/>
  <c r="AJ76" i="12" a="1"/>
  <c r="AJ76" i="12" s="1"/>
  <c r="AH76" i="12" a="1"/>
  <c r="AH76" i="12" s="1"/>
  <c r="AF76" i="12" a="1"/>
  <c r="AF76" i="12" s="1"/>
  <c r="AD76" i="12" a="1"/>
  <c r="AD76" i="12" s="1"/>
  <c r="AB76" i="12" a="1"/>
  <c r="AB76" i="12" s="1"/>
  <c r="Z76" i="12" a="1"/>
  <c r="Z76" i="12" s="1"/>
  <c r="X76" i="12"/>
  <c r="X76" i="12" a="1"/>
  <c r="V76" i="12" a="1"/>
  <c r="V76" i="12" s="1"/>
  <c r="T76" i="12" a="1"/>
  <c r="T76" i="12" s="1"/>
  <c r="R76" i="12" a="1"/>
  <c r="R76" i="12" s="1"/>
  <c r="P76" i="12" a="1"/>
  <c r="P76" i="12" s="1"/>
  <c r="N76" i="12" a="1"/>
  <c r="N76" i="12" s="1"/>
  <c r="L76" i="12" a="1"/>
  <c r="L76" i="12" s="1"/>
  <c r="J76" i="12" a="1"/>
  <c r="J76" i="12" s="1"/>
  <c r="H76" i="12"/>
  <c r="H76" i="12" a="1"/>
  <c r="F76" i="12" a="1"/>
  <c r="F76" i="12" s="1"/>
  <c r="D76" i="12" a="1"/>
  <c r="D76" i="12" s="1"/>
  <c r="B76" i="12" a="1"/>
  <c r="B76" i="12" s="1"/>
  <c r="AV75" i="12" a="1"/>
  <c r="AV75" i="12" s="1"/>
  <c r="AT75" i="12" a="1"/>
  <c r="AT75" i="12" s="1"/>
  <c r="AR75" i="12" a="1"/>
  <c r="AR75" i="12" s="1"/>
  <c r="AP75" i="12" a="1"/>
  <c r="AP75" i="12" s="1"/>
  <c r="AN75" i="12"/>
  <c r="AN75" i="12" a="1"/>
  <c r="AL75" i="12" a="1"/>
  <c r="AL75" i="12" s="1"/>
  <c r="AJ75" i="12" a="1"/>
  <c r="AJ75" i="12" s="1"/>
  <c r="AH75" i="12" a="1"/>
  <c r="AH75" i="12" s="1"/>
  <c r="AF75" i="12" a="1"/>
  <c r="AF75" i="12" s="1"/>
  <c r="AD75" i="12" a="1"/>
  <c r="AD75" i="12" s="1"/>
  <c r="AB75" i="12" a="1"/>
  <c r="AB75" i="12" s="1"/>
  <c r="Z75" i="12" a="1"/>
  <c r="Z75" i="12" s="1"/>
  <c r="X75" i="12"/>
  <c r="X75" i="12" a="1"/>
  <c r="V75" i="12" a="1"/>
  <c r="V75" i="12" s="1"/>
  <c r="T75" i="12" a="1"/>
  <c r="T75" i="12" s="1"/>
  <c r="R75" i="12" a="1"/>
  <c r="R75" i="12" s="1"/>
  <c r="P75" i="12" a="1"/>
  <c r="P75" i="12" s="1"/>
  <c r="N75" i="12" a="1"/>
  <c r="N75" i="12" s="1"/>
  <c r="L75" i="12" a="1"/>
  <c r="L75" i="12" s="1"/>
  <c r="J75" i="12" a="1"/>
  <c r="J75" i="12" s="1"/>
  <c r="H75" i="12"/>
  <c r="H75" i="12" a="1"/>
  <c r="F75" i="12" a="1"/>
  <c r="F75" i="12" s="1"/>
  <c r="D75" i="12" a="1"/>
  <c r="D75" i="12" s="1"/>
  <c r="B75" i="12" a="1"/>
  <c r="B75" i="12" s="1"/>
  <c r="AV74" i="12" a="1"/>
  <c r="AV74" i="12" s="1"/>
  <c r="AT74" i="12" a="1"/>
  <c r="AT74" i="12" s="1"/>
  <c r="AR74" i="12" a="1"/>
  <c r="AR74" i="12" s="1"/>
  <c r="AP74" i="12" a="1"/>
  <c r="AP74" i="12" s="1"/>
  <c r="AN74" i="12"/>
  <c r="AN74" i="12" a="1"/>
  <c r="AL74" i="12" a="1"/>
  <c r="AL74" i="12" s="1"/>
  <c r="AJ74" i="12" a="1"/>
  <c r="AJ74" i="12" s="1"/>
  <c r="AH74" i="12" a="1"/>
  <c r="AH74" i="12" s="1"/>
  <c r="AF74" i="12" a="1"/>
  <c r="AF74" i="12" s="1"/>
  <c r="AD74" i="12" a="1"/>
  <c r="AD74" i="12" s="1"/>
  <c r="AB74" i="12" a="1"/>
  <c r="AB74" i="12" s="1"/>
  <c r="Z74" i="12" a="1"/>
  <c r="Z74" i="12" s="1"/>
  <c r="X74" i="12"/>
  <c r="X74" i="12" a="1"/>
  <c r="V74" i="12" a="1"/>
  <c r="V74" i="12" s="1"/>
  <c r="T74" i="12" a="1"/>
  <c r="T74" i="12" s="1"/>
  <c r="R74" i="12" a="1"/>
  <c r="R74" i="12" s="1"/>
  <c r="P74" i="12" a="1"/>
  <c r="P74" i="12" s="1"/>
  <c r="N74" i="12" a="1"/>
  <c r="N74" i="12" s="1"/>
  <c r="L74" i="12" a="1"/>
  <c r="L74" i="12" s="1"/>
  <c r="J74" i="12" a="1"/>
  <c r="J74" i="12" s="1"/>
  <c r="H74" i="12"/>
  <c r="H74" i="12" a="1"/>
  <c r="F74" i="12" a="1"/>
  <c r="F74" i="12" s="1"/>
  <c r="D74" i="12" a="1"/>
  <c r="D74" i="12" s="1"/>
  <c r="B74" i="12" a="1"/>
  <c r="B74" i="12" s="1"/>
  <c r="AV73" i="12" a="1"/>
  <c r="AV73" i="12" s="1"/>
  <c r="AT73" i="12" a="1"/>
  <c r="AT73" i="12" s="1"/>
  <c r="AR73" i="12" a="1"/>
  <c r="AR73" i="12" s="1"/>
  <c r="AP73" i="12" a="1"/>
  <c r="AP73" i="12" s="1"/>
  <c r="AN73" i="12"/>
  <c r="AN73" i="12" a="1"/>
  <c r="AL73" i="12" a="1"/>
  <c r="AL73" i="12" s="1"/>
  <c r="AJ73" i="12" a="1"/>
  <c r="AJ73" i="12" s="1"/>
  <c r="AH73" i="12" a="1"/>
  <c r="AH73" i="12" s="1"/>
  <c r="AF73" i="12" a="1"/>
  <c r="AF73" i="12" s="1"/>
  <c r="AD73" i="12" a="1"/>
  <c r="AD73" i="12" s="1"/>
  <c r="AB73" i="12" a="1"/>
  <c r="AB73" i="12" s="1"/>
  <c r="Z73" i="12" a="1"/>
  <c r="Z73" i="12" s="1"/>
  <c r="X73" i="12"/>
  <c r="X73" i="12" a="1"/>
  <c r="V73" i="12" a="1"/>
  <c r="V73" i="12" s="1"/>
  <c r="T73" i="12" a="1"/>
  <c r="T73" i="12" s="1"/>
  <c r="R73" i="12" a="1"/>
  <c r="R73" i="12" s="1"/>
  <c r="P73" i="12" a="1"/>
  <c r="P73" i="12" s="1"/>
  <c r="N73" i="12" a="1"/>
  <c r="N73" i="12" s="1"/>
  <c r="L73" i="12" a="1"/>
  <c r="L73" i="12" s="1"/>
  <c r="J73" i="12" a="1"/>
  <c r="J73" i="12" s="1"/>
  <c r="H73" i="12"/>
  <c r="H73" i="12" a="1"/>
  <c r="F73" i="12" a="1"/>
  <c r="F73" i="12" s="1"/>
  <c r="D73" i="12" a="1"/>
  <c r="D73" i="12" s="1"/>
  <c r="B73" i="12" a="1"/>
  <c r="B73" i="12" s="1"/>
  <c r="AV72" i="12"/>
  <c r="AT72" i="12"/>
  <c r="AR72" i="12"/>
  <c r="AP72" i="12"/>
  <c r="AN72" i="12"/>
  <c r="AL72" i="12"/>
  <c r="AJ72" i="12"/>
  <c r="AH72" i="12"/>
  <c r="AF72" i="12"/>
  <c r="AD72" i="12"/>
  <c r="AB72" i="12"/>
  <c r="Z72" i="12"/>
  <c r="X72" i="12"/>
  <c r="V72" i="12"/>
  <c r="T72" i="12"/>
  <c r="R72" i="12"/>
  <c r="P72" i="12"/>
  <c r="N72" i="12"/>
  <c r="L72" i="12"/>
  <c r="J72" i="12"/>
  <c r="H72" i="12"/>
  <c r="F72" i="12"/>
  <c r="D72" i="12"/>
  <c r="B72" i="12"/>
  <c r="AV71" i="12"/>
  <c r="AT71" i="12"/>
  <c r="AR71" i="12"/>
  <c r="AP71" i="12"/>
  <c r="AN71" i="12"/>
  <c r="AL71" i="12"/>
  <c r="AJ71" i="12"/>
  <c r="AH71" i="12"/>
  <c r="AF71" i="12"/>
  <c r="AD71" i="12"/>
  <c r="AB71" i="12"/>
  <c r="Z71" i="12"/>
  <c r="X71" i="12"/>
  <c r="V71" i="12"/>
  <c r="T71" i="12"/>
  <c r="R71" i="12"/>
  <c r="P71" i="12"/>
  <c r="N71" i="12"/>
  <c r="L71" i="12"/>
  <c r="J71" i="12"/>
  <c r="H71" i="12"/>
  <c r="F71" i="12"/>
  <c r="D71" i="12"/>
  <c r="B71" i="12"/>
  <c r="AV70" i="12"/>
  <c r="AT70" i="12"/>
  <c r="AR70" i="12"/>
  <c r="AP70" i="12"/>
  <c r="AN70" i="12"/>
  <c r="AL70" i="12"/>
  <c r="AJ70" i="12"/>
  <c r="AH70" i="12"/>
  <c r="AF70" i="12"/>
  <c r="AD70" i="12"/>
  <c r="AB70" i="12"/>
  <c r="Z70" i="12"/>
  <c r="X70" i="12"/>
  <c r="V70" i="12"/>
  <c r="T70" i="12"/>
  <c r="R70" i="12"/>
  <c r="P70" i="12"/>
  <c r="N70" i="12"/>
  <c r="L70" i="12"/>
  <c r="J70" i="12"/>
  <c r="H70" i="12"/>
  <c r="F70" i="12"/>
  <c r="D70" i="12"/>
  <c r="B70" i="12"/>
  <c r="B69" i="12"/>
  <c r="AF68" i="12"/>
  <c r="AV67" i="12"/>
  <c r="AV67" i="12" a="1"/>
  <c r="AT67" i="12" a="1"/>
  <c r="AT67" i="12" s="1"/>
  <c r="AR67" i="12" a="1"/>
  <c r="AR67" i="12" s="1"/>
  <c r="AP67" i="12" a="1"/>
  <c r="AP67" i="12" s="1"/>
  <c r="AN67" i="12" a="1"/>
  <c r="AN67" i="12" s="1"/>
  <c r="AL67" i="12" a="1"/>
  <c r="AL67" i="12" s="1"/>
  <c r="AJ67" i="12" a="1"/>
  <c r="AJ67" i="12" s="1"/>
  <c r="AH67" i="12" a="1"/>
  <c r="AH67" i="12" s="1"/>
  <c r="AF67" i="12"/>
  <c r="AF67" i="12" a="1"/>
  <c r="AD67" i="12" a="1"/>
  <c r="AD67" i="12" s="1"/>
  <c r="AB67" i="12" a="1"/>
  <c r="AB67" i="12" s="1"/>
  <c r="Z67" i="12" a="1"/>
  <c r="Z67" i="12" s="1"/>
  <c r="X67" i="12" a="1"/>
  <c r="X67" i="12" s="1"/>
  <c r="V67" i="12" a="1"/>
  <c r="V67" i="12" s="1"/>
  <c r="T67" i="12" a="1"/>
  <c r="T67" i="12" s="1"/>
  <c r="R67" i="12" a="1"/>
  <c r="R67" i="12" s="1"/>
  <c r="P67" i="12"/>
  <c r="P67" i="12" a="1"/>
  <c r="N67" i="12" a="1"/>
  <c r="N67" i="12" s="1"/>
  <c r="L67" i="12" a="1"/>
  <c r="L67" i="12" s="1"/>
  <c r="J67" i="12" a="1"/>
  <c r="J67" i="12" s="1"/>
  <c r="H67" i="12" a="1"/>
  <c r="H67" i="12" s="1"/>
  <c r="F67" i="12" a="1"/>
  <c r="F67" i="12" s="1"/>
  <c r="D67" i="12" a="1"/>
  <c r="D67" i="12" s="1"/>
  <c r="B67" i="12" a="1"/>
  <c r="B67" i="12" s="1"/>
  <c r="AV66" i="12"/>
  <c r="AV68" i="12" s="1"/>
  <c r="AV66" i="12" a="1"/>
  <c r="AT66" i="12" a="1"/>
  <c r="AT66" i="12" s="1"/>
  <c r="AR66" i="12" a="1"/>
  <c r="AR66" i="12" s="1"/>
  <c r="AR68" i="12" s="1"/>
  <c r="AP66" i="12" a="1"/>
  <c r="AP66" i="12" s="1"/>
  <c r="AN66" i="12" a="1"/>
  <c r="AN66" i="12" s="1"/>
  <c r="AL66" i="12" a="1"/>
  <c r="AL66" i="12" s="1"/>
  <c r="AL68" i="12" s="1"/>
  <c r="AJ66" i="12" a="1"/>
  <c r="AJ66" i="12" s="1"/>
  <c r="AJ68" i="12" s="1"/>
  <c r="AH66" i="12" a="1"/>
  <c r="AH66" i="12" s="1"/>
  <c r="AF66" i="12"/>
  <c r="AF66" i="12" a="1"/>
  <c r="AD66" i="12" a="1"/>
  <c r="AD66" i="12" s="1"/>
  <c r="AB66" i="12" a="1"/>
  <c r="AB66" i="12" s="1"/>
  <c r="Z66" i="12" a="1"/>
  <c r="Z66" i="12" s="1"/>
  <c r="Z68" i="12" s="1"/>
  <c r="X66" i="12" a="1"/>
  <c r="X66" i="12" s="1"/>
  <c r="V66" i="12" a="1"/>
  <c r="V66" i="12" s="1"/>
  <c r="T66" i="12" a="1"/>
  <c r="T66" i="12" s="1"/>
  <c r="T68" i="12" s="1"/>
  <c r="R66" i="12" a="1"/>
  <c r="R66" i="12" s="1"/>
  <c r="R68" i="12" s="1"/>
  <c r="P66" i="12"/>
  <c r="P68" i="12" s="1"/>
  <c r="P66" i="12" a="1"/>
  <c r="N66" i="12" a="1"/>
  <c r="N66" i="12" s="1"/>
  <c r="L66" i="12" a="1"/>
  <c r="L66" i="12" s="1"/>
  <c r="J66" i="12" a="1"/>
  <c r="J66" i="12" s="1"/>
  <c r="J68" i="12" s="1"/>
  <c r="H66" i="12" a="1"/>
  <c r="H66" i="12" s="1"/>
  <c r="H68" i="12" s="1"/>
  <c r="F66" i="12" a="1"/>
  <c r="F66" i="12" s="1"/>
  <c r="D66" i="12" a="1"/>
  <c r="D66" i="12" s="1"/>
  <c r="D68" i="12" s="1"/>
  <c r="B66" i="12" a="1"/>
  <c r="B66" i="12" s="1"/>
  <c r="B68" i="12" s="1"/>
  <c r="AV65" i="12"/>
  <c r="AV69" i="12" s="1"/>
  <c r="AV65" i="12" a="1"/>
  <c r="AT65" i="12" a="1"/>
  <c r="AT65" i="12" s="1"/>
  <c r="AT69" i="12" s="1"/>
  <c r="AR65" i="12" a="1"/>
  <c r="AR65" i="12" s="1"/>
  <c r="AR69" i="12" s="1"/>
  <c r="AP65" i="12" a="1"/>
  <c r="AP65" i="12" s="1"/>
  <c r="AP69" i="12" s="1"/>
  <c r="AN65" i="12" a="1"/>
  <c r="AN65" i="12" s="1"/>
  <c r="AN69" i="12" s="1"/>
  <c r="AL65" i="12" a="1"/>
  <c r="AL65" i="12" s="1"/>
  <c r="AL69" i="12" s="1"/>
  <c r="AJ65" i="12" a="1"/>
  <c r="AJ65" i="12" s="1"/>
  <c r="AJ69" i="12" s="1"/>
  <c r="AH65" i="12" a="1"/>
  <c r="AH65" i="12" s="1"/>
  <c r="AH69" i="12" s="1"/>
  <c r="AF65" i="12"/>
  <c r="AF69" i="12" s="1"/>
  <c r="AF65" i="12" a="1"/>
  <c r="AD65" i="12" a="1"/>
  <c r="AD65" i="12" s="1"/>
  <c r="AD69" i="12" s="1"/>
  <c r="AB65" i="12" a="1"/>
  <c r="AB65" i="12" s="1"/>
  <c r="AB69" i="12" s="1"/>
  <c r="Z65" i="12" a="1"/>
  <c r="Z65" i="12" s="1"/>
  <c r="Z69" i="12" s="1"/>
  <c r="X65" i="12" a="1"/>
  <c r="X65" i="12" s="1"/>
  <c r="X69" i="12" s="1"/>
  <c r="V65" i="12" a="1"/>
  <c r="V65" i="12" s="1"/>
  <c r="V69" i="12" s="1"/>
  <c r="T65" i="12" a="1"/>
  <c r="T65" i="12" s="1"/>
  <c r="T69" i="12" s="1"/>
  <c r="R65" i="12" a="1"/>
  <c r="R65" i="12" s="1"/>
  <c r="R69" i="12" s="1"/>
  <c r="P65" i="12"/>
  <c r="P69" i="12" s="1"/>
  <c r="P65" i="12" a="1"/>
  <c r="N65" i="12" a="1"/>
  <c r="N65" i="12" s="1"/>
  <c r="N69" i="12" s="1"/>
  <c r="L65" i="12" a="1"/>
  <c r="L65" i="12" s="1"/>
  <c r="L69" i="12" s="1"/>
  <c r="J65" i="12" a="1"/>
  <c r="J65" i="12" s="1"/>
  <c r="J69" i="12" s="1"/>
  <c r="H65" i="12" a="1"/>
  <c r="H65" i="12" s="1"/>
  <c r="H69" i="12" s="1"/>
  <c r="F65" i="12" a="1"/>
  <c r="F65" i="12" s="1"/>
  <c r="F69" i="12" s="1"/>
  <c r="D65" i="12" a="1"/>
  <c r="D65" i="12" s="1"/>
  <c r="D69" i="12" s="1"/>
  <c r="B65" i="12"/>
  <c r="AV62" i="12"/>
  <c r="AT62" i="12"/>
  <c r="AR62" i="12"/>
  <c r="AP62" i="12"/>
  <c r="AN62" i="12"/>
  <c r="AL62" i="12"/>
  <c r="AJ62" i="12"/>
  <c r="AH62" i="12"/>
  <c r="AF62" i="12"/>
  <c r="AD62" i="12"/>
  <c r="AB62" i="12"/>
  <c r="Z62" i="12"/>
  <c r="X62" i="12"/>
  <c r="V62" i="12"/>
  <c r="T62" i="12"/>
  <c r="R62" i="12"/>
  <c r="P62" i="12"/>
  <c r="N62" i="12"/>
  <c r="L62" i="12"/>
  <c r="J62" i="12"/>
  <c r="H62" i="12"/>
  <c r="F62" i="12"/>
  <c r="D62" i="12"/>
  <c r="B62" i="12"/>
  <c r="AV60" i="12"/>
  <c r="AT60" i="12"/>
  <c r="AR60" i="12"/>
  <c r="AP60" i="12"/>
  <c r="AN60" i="12"/>
  <c r="AL60" i="12"/>
  <c r="AJ60" i="12"/>
  <c r="AH60" i="12"/>
  <c r="AF60" i="12"/>
  <c r="AD60" i="12"/>
  <c r="AB60" i="12"/>
  <c r="Z60" i="12"/>
  <c r="X60" i="12"/>
  <c r="V60" i="12"/>
  <c r="T60" i="12"/>
  <c r="R60" i="12"/>
  <c r="P60" i="12"/>
  <c r="N60" i="12"/>
  <c r="L60" i="12"/>
  <c r="J60" i="12"/>
  <c r="H60" i="12"/>
  <c r="F60" i="12"/>
  <c r="D60" i="12"/>
  <c r="B60" i="12"/>
  <c r="AV59" i="12"/>
  <c r="AT59" i="12"/>
  <c r="AR59" i="12"/>
  <c r="AP59" i="12"/>
  <c r="AN59" i="12"/>
  <c r="AL59" i="12"/>
  <c r="AJ59" i="12"/>
  <c r="AH59" i="12"/>
  <c r="AF59" i="12"/>
  <c r="AD59" i="12"/>
  <c r="AB59" i="12"/>
  <c r="Z59" i="12"/>
  <c r="X59" i="12"/>
  <c r="V59" i="12"/>
  <c r="T59" i="12"/>
  <c r="R59" i="12"/>
  <c r="P59" i="12"/>
  <c r="N59" i="12"/>
  <c r="L59" i="12"/>
  <c r="J59" i="12"/>
  <c r="H59" i="12"/>
  <c r="F59" i="12"/>
  <c r="D59" i="12"/>
  <c r="B59" i="12"/>
  <c r="AV58" i="12"/>
  <c r="AV58" i="12" a="1"/>
  <c r="AT58" i="12"/>
  <c r="AT58" i="12" a="1"/>
  <c r="AR58" i="12"/>
  <c r="AR58" i="12" a="1"/>
  <c r="AP58" i="12"/>
  <c r="AP58" i="12" a="1"/>
  <c r="AN58" i="12" a="1"/>
  <c r="AN58" i="12" s="1"/>
  <c r="AL58" i="12" a="1"/>
  <c r="AL58" i="12" s="1"/>
  <c r="AJ58" i="12"/>
  <c r="AJ58" i="12" a="1"/>
  <c r="AH58" i="12" a="1"/>
  <c r="AH58" i="12" s="1"/>
  <c r="AF58" i="12"/>
  <c r="AF58" i="12" a="1"/>
  <c r="AD58" i="12"/>
  <c r="AD58" i="12" a="1"/>
  <c r="AB58" i="12"/>
  <c r="AB58" i="12" a="1"/>
  <c r="Z58" i="12"/>
  <c r="Z58" i="12" a="1"/>
  <c r="X58" i="12" a="1"/>
  <c r="X58" i="12" s="1"/>
  <c r="V58" i="12" a="1"/>
  <c r="V58" i="12" s="1"/>
  <c r="T58" i="12"/>
  <c r="T58" i="12" a="1"/>
  <c r="R58" i="12" a="1"/>
  <c r="R58" i="12" s="1"/>
  <c r="P58" i="12"/>
  <c r="P58" i="12" a="1"/>
  <c r="N58" i="12"/>
  <c r="N58" i="12" a="1"/>
  <c r="L58" i="12"/>
  <c r="L58" i="12" a="1"/>
  <c r="J58" i="12"/>
  <c r="J58" i="12" a="1"/>
  <c r="H58" i="12" a="1"/>
  <c r="H58" i="12" s="1"/>
  <c r="F58" i="12" a="1"/>
  <c r="F58" i="12" s="1"/>
  <c r="D58" i="12"/>
  <c r="D58" i="12" a="1"/>
  <c r="B58" i="12" a="1"/>
  <c r="B58" i="12" s="1"/>
  <c r="AV57" i="12"/>
  <c r="AV57" i="12" a="1"/>
  <c r="AT57" i="12" a="1"/>
  <c r="AT57" i="12" s="1"/>
  <c r="AR57" i="12"/>
  <c r="AR57" i="12" a="1"/>
  <c r="AP57" i="12"/>
  <c r="AP57" i="12" a="1"/>
  <c r="AN57" i="12" a="1"/>
  <c r="AN57" i="12" s="1"/>
  <c r="AL57" i="12" a="1"/>
  <c r="AL57" i="12" s="1"/>
  <c r="AJ57" i="12"/>
  <c r="AJ57" i="12" a="1"/>
  <c r="AH57" i="12" a="1"/>
  <c r="AH57" i="12" s="1"/>
  <c r="AF57" i="12"/>
  <c r="AF57" i="12" a="1"/>
  <c r="AD57" i="12" a="1"/>
  <c r="AD57" i="12" s="1"/>
  <c r="AB57" i="12"/>
  <c r="AB57" i="12" a="1"/>
  <c r="Z57" i="12"/>
  <c r="Z57" i="12" a="1"/>
  <c r="X57" i="12" a="1"/>
  <c r="X57" i="12" s="1"/>
  <c r="V57" i="12" a="1"/>
  <c r="V57" i="12" s="1"/>
  <c r="T57" i="12"/>
  <c r="T57" i="12" a="1"/>
  <c r="R57" i="12" a="1"/>
  <c r="R57" i="12" s="1"/>
  <c r="P57" i="12"/>
  <c r="P57" i="12" a="1"/>
  <c r="N57" i="12" a="1"/>
  <c r="N57" i="12" s="1"/>
  <c r="L57" i="12"/>
  <c r="L57" i="12" a="1"/>
  <c r="J57" i="12"/>
  <c r="J57" i="12" a="1"/>
  <c r="H57" i="12" a="1"/>
  <c r="H57" i="12" s="1"/>
  <c r="F57" i="12" a="1"/>
  <c r="F57" i="12" s="1"/>
  <c r="D57" i="12"/>
  <c r="D57" i="12" a="1"/>
  <c r="B57" i="12" a="1"/>
  <c r="B57" i="12" s="1"/>
  <c r="AV56" i="12"/>
  <c r="AT56" i="12"/>
  <c r="AR56" i="12"/>
  <c r="AP56" i="12"/>
  <c r="AN56" i="12"/>
  <c r="AL56" i="12"/>
  <c r="AJ56" i="12"/>
  <c r="AH56" i="12"/>
  <c r="AF56" i="12"/>
  <c r="AD56" i="12"/>
  <c r="AB56" i="12"/>
  <c r="Z56" i="12"/>
  <c r="X56" i="12"/>
  <c r="V56" i="12"/>
  <c r="T56" i="12"/>
  <c r="R56" i="12"/>
  <c r="P56" i="12"/>
  <c r="N56" i="12"/>
  <c r="L56" i="12"/>
  <c r="J56" i="12"/>
  <c r="H56" i="12"/>
  <c r="F56" i="12"/>
  <c r="D56" i="12"/>
  <c r="B56" i="12"/>
  <c r="AV55" i="12"/>
  <c r="AT55" i="12"/>
  <c r="AT80" i="12" s="1"/>
  <c r="AR55" i="12"/>
  <c r="AP55" i="12"/>
  <c r="AN55" i="12"/>
  <c r="AN80" i="12" s="1"/>
  <c r="AL55" i="12"/>
  <c r="AL80" i="12" s="1"/>
  <c r="AJ55" i="12"/>
  <c r="AH55" i="12"/>
  <c r="AF55" i="12"/>
  <c r="AF80" i="12" s="1"/>
  <c r="AD55" i="12"/>
  <c r="AB55" i="12"/>
  <c r="AB80" i="12" s="1"/>
  <c r="Z55" i="12"/>
  <c r="Z80" i="12" s="1"/>
  <c r="X55" i="12"/>
  <c r="X80" i="12" s="1"/>
  <c r="V55" i="12"/>
  <c r="T55" i="12"/>
  <c r="T80" i="12" s="1"/>
  <c r="R55" i="12"/>
  <c r="P55" i="12"/>
  <c r="N55" i="12"/>
  <c r="N80" i="12" s="1"/>
  <c r="L55" i="12"/>
  <c r="J55" i="12"/>
  <c r="H55" i="12"/>
  <c r="H80" i="12" s="1"/>
  <c r="F55" i="12"/>
  <c r="F80" i="12" s="1"/>
  <c r="D55" i="12"/>
  <c r="B55" i="12"/>
  <c r="AV53" i="12" a="1"/>
  <c r="AT53" i="12" a="1"/>
  <c r="AR53" i="12" a="1"/>
  <c r="AP53" i="12" a="1"/>
  <c r="AN53" i="12" a="1"/>
  <c r="AL53" i="12" a="1"/>
  <c r="AJ53" i="12" a="1"/>
  <c r="AH53" i="12" a="1"/>
  <c r="AF53" i="12" a="1"/>
  <c r="AD53" i="12" a="1"/>
  <c r="AB53" i="12" a="1"/>
  <c r="Z53" i="12" a="1"/>
  <c r="X53" i="12" a="1"/>
  <c r="V53" i="12" a="1"/>
  <c r="T53" i="12" a="1"/>
  <c r="R53" i="12" a="1"/>
  <c r="P53" i="12" a="1"/>
  <c r="N53" i="12" a="1"/>
  <c r="L53" i="12" a="1"/>
  <c r="J53" i="12" a="1"/>
  <c r="H53" i="12" a="1"/>
  <c r="F53" i="12" a="1"/>
  <c r="D53" i="12" a="1"/>
  <c r="B53" i="12" a="1"/>
  <c r="AV52" i="12" a="1"/>
  <c r="AT52" i="12" a="1"/>
  <c r="AR52" i="12" a="1"/>
  <c r="AP52" i="12" a="1"/>
  <c r="AN52" i="12" a="1"/>
  <c r="AL52" i="12" a="1"/>
  <c r="AJ52" i="12" a="1"/>
  <c r="AH52" i="12" a="1"/>
  <c r="AF52" i="12" a="1"/>
  <c r="AD52" i="12" a="1"/>
  <c r="AB52" i="12" a="1"/>
  <c r="Z52" i="12" a="1"/>
  <c r="X52" i="12" a="1"/>
  <c r="V52" i="12" a="1"/>
  <c r="T52" i="12" a="1"/>
  <c r="R52" i="12" a="1"/>
  <c r="P52" i="12" a="1"/>
  <c r="N52" i="12" a="1"/>
  <c r="L52" i="12" a="1"/>
  <c r="J52" i="12" a="1"/>
  <c r="H52" i="12" a="1"/>
  <c r="F52" i="12" a="1"/>
  <c r="D52" i="12" a="1"/>
  <c r="B52" i="12" a="1"/>
  <c r="AV51" i="12"/>
  <c r="AV81" i="12" s="1"/>
  <c r="AT51" i="12"/>
  <c r="AT81" i="12" s="1"/>
  <c r="AR51" i="12"/>
  <c r="AR81" i="12" s="1"/>
  <c r="AP51" i="12"/>
  <c r="AP81" i="12" s="1"/>
  <c r="AN51" i="12"/>
  <c r="AN81" i="12" s="1"/>
  <c r="AL51" i="12"/>
  <c r="AJ51" i="12"/>
  <c r="AJ81" i="12" s="1"/>
  <c r="AH51" i="12"/>
  <c r="AF51" i="12"/>
  <c r="AD51" i="12"/>
  <c r="AD81" i="12" s="1"/>
  <c r="AB51" i="12"/>
  <c r="Z51" i="12"/>
  <c r="X51" i="12"/>
  <c r="X81" i="12" s="1"/>
  <c r="V51" i="12"/>
  <c r="V81" i="12" s="1"/>
  <c r="T51" i="12"/>
  <c r="R51" i="12"/>
  <c r="P51" i="12"/>
  <c r="P81" i="12" s="1"/>
  <c r="N51" i="12"/>
  <c r="N81" i="12" s="1"/>
  <c r="L51" i="12"/>
  <c r="L81" i="12" s="1"/>
  <c r="J51" i="12"/>
  <c r="J81" i="12" s="1"/>
  <c r="H51" i="12"/>
  <c r="H81" i="12" s="1"/>
  <c r="F51" i="12"/>
  <c r="D51" i="12"/>
  <c r="D81" i="12" s="1"/>
  <c r="B51" i="12"/>
  <c r="AV49" i="12"/>
  <c r="AT49" i="12"/>
  <c r="AR49" i="12"/>
  <c r="AP49" i="12"/>
  <c r="AN49" i="12"/>
  <c r="AL49" i="12"/>
  <c r="AJ49" i="12"/>
  <c r="AH49" i="12"/>
  <c r="AF49" i="12"/>
  <c r="AD49" i="12"/>
  <c r="AB49" i="12"/>
  <c r="Z49" i="12"/>
  <c r="X49" i="12"/>
  <c r="V49" i="12"/>
  <c r="T49" i="12"/>
  <c r="R49" i="12"/>
  <c r="P49" i="12"/>
  <c r="N49" i="12"/>
  <c r="L49" i="12"/>
  <c r="J49" i="12"/>
  <c r="H49" i="12"/>
  <c r="F49" i="12"/>
  <c r="D49" i="12"/>
  <c r="B49" i="12"/>
  <c r="AV48" i="12"/>
  <c r="AT48" i="12"/>
  <c r="AR48" i="12"/>
  <c r="AP48" i="12"/>
  <c r="AN48" i="12"/>
  <c r="AL48" i="12"/>
  <c r="AJ48" i="12"/>
  <c r="AH48" i="12"/>
  <c r="AF48" i="12"/>
  <c r="AD48" i="12"/>
  <c r="AB48" i="12"/>
  <c r="Z48" i="12"/>
  <c r="X48" i="12"/>
  <c r="V48" i="12"/>
  <c r="T48" i="12"/>
  <c r="R48" i="12"/>
  <c r="P48" i="12"/>
  <c r="N48" i="12"/>
  <c r="L48" i="12"/>
  <c r="J48" i="12"/>
  <c r="H48" i="12"/>
  <c r="F48" i="12"/>
  <c r="D48" i="12"/>
  <c r="B48" i="12"/>
  <c r="AV46" i="12"/>
  <c r="AT46" i="12"/>
  <c r="AR46" i="12"/>
  <c r="AP46" i="12"/>
  <c r="AN46" i="12"/>
  <c r="AL46" i="12"/>
  <c r="AJ46" i="12"/>
  <c r="AH46" i="12"/>
  <c r="AF46" i="12"/>
  <c r="AD46" i="12"/>
  <c r="AB46" i="12"/>
  <c r="Z46" i="12"/>
  <c r="X46" i="12"/>
  <c r="V46" i="12"/>
  <c r="T46" i="12"/>
  <c r="R46" i="12"/>
  <c r="P46" i="12"/>
  <c r="N46" i="12"/>
  <c r="L46" i="12"/>
  <c r="J46" i="12"/>
  <c r="H46" i="12"/>
  <c r="F46" i="12"/>
  <c r="D46" i="12"/>
  <c r="B46" i="12"/>
  <c r="AV45" i="12"/>
  <c r="AT45" i="12"/>
  <c r="AR45" i="12"/>
  <c r="AP45" i="12"/>
  <c r="AN45" i="12"/>
  <c r="AL45" i="12"/>
  <c r="AJ45" i="12"/>
  <c r="AH45" i="12"/>
  <c r="AF45" i="12"/>
  <c r="AD45" i="12"/>
  <c r="AB45" i="12"/>
  <c r="Z45" i="12"/>
  <c r="X45" i="12"/>
  <c r="V45" i="12"/>
  <c r="T45" i="12"/>
  <c r="R45" i="12"/>
  <c r="P45" i="12"/>
  <c r="N45" i="12"/>
  <c r="L45" i="12"/>
  <c r="J45" i="12"/>
  <c r="H45" i="12"/>
  <c r="F45" i="12"/>
  <c r="D45" i="12"/>
  <c r="B45" i="12"/>
  <c r="AV44" i="12"/>
  <c r="AT44" i="12"/>
  <c r="AR44" i="12"/>
  <c r="AP44" i="12"/>
  <c r="AN44" i="12"/>
  <c r="AL44" i="12"/>
  <c r="AJ44" i="12"/>
  <c r="AH44" i="12"/>
  <c r="AF44" i="12"/>
  <c r="AD44" i="12"/>
  <c r="AB44" i="12"/>
  <c r="Z44" i="12"/>
  <c r="X44" i="12"/>
  <c r="V44" i="12"/>
  <c r="T44" i="12"/>
  <c r="R44" i="12"/>
  <c r="P44" i="12"/>
  <c r="N44" i="12"/>
  <c r="L44" i="12"/>
  <c r="J44" i="12"/>
  <c r="H44" i="12"/>
  <c r="F44" i="12"/>
  <c r="D44" i="12"/>
  <c r="B44" i="12"/>
  <c r="AV43" i="12"/>
  <c r="AV43" i="12" a="1"/>
  <c r="AT43" i="12" a="1"/>
  <c r="AT43" i="12" s="1"/>
  <c r="AR43" i="12"/>
  <c r="AR43" i="12" a="1"/>
  <c r="AP43" i="12"/>
  <c r="AP43" i="12" a="1"/>
  <c r="AN43" i="12" a="1"/>
  <c r="AN43" i="12" s="1"/>
  <c r="AL43" i="12" a="1"/>
  <c r="AL43" i="12" s="1"/>
  <c r="AJ43" i="12"/>
  <c r="AJ43" i="12" a="1"/>
  <c r="AH43" i="12" a="1"/>
  <c r="AH43" i="12" s="1"/>
  <c r="AF43" i="12"/>
  <c r="AF43" i="12" a="1"/>
  <c r="AD43" i="12" a="1"/>
  <c r="AD43" i="12" s="1"/>
  <c r="AB43" i="12"/>
  <c r="AB43" i="12" a="1"/>
  <c r="Z43" i="12"/>
  <c r="Z43" i="12" a="1"/>
  <c r="X43" i="12" a="1"/>
  <c r="X43" i="12" s="1"/>
  <c r="V43" i="12" a="1"/>
  <c r="V43" i="12" s="1"/>
  <c r="T43" i="12"/>
  <c r="T43" i="12" a="1"/>
  <c r="R43" i="12" a="1"/>
  <c r="R43" i="12" s="1"/>
  <c r="P43" i="12"/>
  <c r="P43" i="12" a="1"/>
  <c r="N43" i="12" a="1"/>
  <c r="N43" i="12" s="1"/>
  <c r="L43" i="12"/>
  <c r="L43" i="12" a="1"/>
  <c r="J43" i="12"/>
  <c r="J43" i="12" a="1"/>
  <c r="H43" i="12" a="1"/>
  <c r="H43" i="12" s="1"/>
  <c r="F43" i="12" a="1"/>
  <c r="F43" i="12" s="1"/>
  <c r="D43" i="12"/>
  <c r="D43" i="12" a="1"/>
  <c r="B43" i="12"/>
  <c r="AV42" i="12"/>
  <c r="AT42" i="12"/>
  <c r="AR42" i="12"/>
  <c r="AP42" i="12"/>
  <c r="AN42" i="12"/>
  <c r="AL42" i="12"/>
  <c r="AJ42" i="12"/>
  <c r="AH42" i="12"/>
  <c r="AF42" i="12"/>
  <c r="AD42" i="12"/>
  <c r="AB42" i="12"/>
  <c r="Z42" i="12"/>
  <c r="X42" i="12"/>
  <c r="V42" i="12"/>
  <c r="T42" i="12"/>
  <c r="R42" i="12"/>
  <c r="P42" i="12"/>
  <c r="N42" i="12"/>
  <c r="L42" i="12"/>
  <c r="J42" i="12"/>
  <c r="H42" i="12"/>
  <c r="F42" i="12"/>
  <c r="D42" i="12"/>
  <c r="B42" i="12"/>
  <c r="AF81" i="11"/>
  <c r="AB81" i="11"/>
  <c r="Z81" i="11"/>
  <c r="AV80" i="11"/>
  <c r="AR80" i="11"/>
  <c r="AP80" i="11"/>
  <c r="AH80" i="11"/>
  <c r="P80" i="11"/>
  <c r="L80" i="11"/>
  <c r="J80" i="11"/>
  <c r="B80" i="11"/>
  <c r="AV79" i="11" a="1"/>
  <c r="AV79" i="11" s="1"/>
  <c r="AT79" i="11" a="1"/>
  <c r="AT79" i="11" s="1"/>
  <c r="AR79" i="11"/>
  <c r="AR79" i="11" a="1"/>
  <c r="AP79" i="11" a="1"/>
  <c r="AP79" i="11" s="1"/>
  <c r="AN79" i="11"/>
  <c r="AN79" i="11" a="1"/>
  <c r="AL79" i="11" a="1"/>
  <c r="AL79" i="11" s="1"/>
  <c r="AJ79" i="11"/>
  <c r="AJ79" i="11" a="1"/>
  <c r="AH79" i="11" a="1"/>
  <c r="AH79" i="11" s="1"/>
  <c r="AF79" i="11" a="1"/>
  <c r="AF79" i="11" s="1"/>
  <c r="AD79" i="11" a="1"/>
  <c r="AD79" i="11" s="1"/>
  <c r="AB79" i="11"/>
  <c r="AB79" i="11" a="1"/>
  <c r="Z79" i="11" a="1"/>
  <c r="Z79" i="11" s="1"/>
  <c r="X79" i="11"/>
  <c r="X79" i="11" a="1"/>
  <c r="V79" i="11" a="1"/>
  <c r="V79" i="11" s="1"/>
  <c r="T79" i="11"/>
  <c r="T79" i="11" a="1"/>
  <c r="R79" i="11" a="1"/>
  <c r="R79" i="11" s="1"/>
  <c r="P79" i="11" a="1"/>
  <c r="P79" i="11" s="1"/>
  <c r="N79" i="11" a="1"/>
  <c r="N79" i="11" s="1"/>
  <c r="L79" i="11"/>
  <c r="L79" i="11" a="1"/>
  <c r="J79" i="11" a="1"/>
  <c r="J79" i="11" s="1"/>
  <c r="H79" i="11"/>
  <c r="H79" i="11" a="1"/>
  <c r="F79" i="11" a="1"/>
  <c r="F79" i="11" s="1"/>
  <c r="D79" i="11"/>
  <c r="D79" i="11" a="1"/>
  <c r="B79" i="11" a="1"/>
  <c r="B79" i="11" s="1"/>
  <c r="AV78" i="11" a="1"/>
  <c r="AV78" i="11" s="1"/>
  <c r="AT78" i="11" a="1"/>
  <c r="AT78" i="11" s="1"/>
  <c r="AR78" i="11"/>
  <c r="AR78" i="11" a="1"/>
  <c r="AP78" i="11" a="1"/>
  <c r="AP78" i="11" s="1"/>
  <c r="AN78" i="11"/>
  <c r="AN78" i="11" a="1"/>
  <c r="AL78" i="11" a="1"/>
  <c r="AL78" i="11" s="1"/>
  <c r="AJ78" i="11"/>
  <c r="AJ78" i="11" a="1"/>
  <c r="AH78" i="11" a="1"/>
  <c r="AH78" i="11" s="1"/>
  <c r="AF78" i="11" a="1"/>
  <c r="AF78" i="11" s="1"/>
  <c r="AD78" i="11" a="1"/>
  <c r="AD78" i="11" s="1"/>
  <c r="AB78" i="11"/>
  <c r="AB78" i="11" a="1"/>
  <c r="Z78" i="11" a="1"/>
  <c r="Z78" i="11" s="1"/>
  <c r="X78" i="11"/>
  <c r="X78" i="11" a="1"/>
  <c r="V78" i="11" a="1"/>
  <c r="V78" i="11" s="1"/>
  <c r="T78" i="11"/>
  <c r="T78" i="11" a="1"/>
  <c r="R78" i="11" a="1"/>
  <c r="R78" i="11" s="1"/>
  <c r="P78" i="11" a="1"/>
  <c r="P78" i="11" s="1"/>
  <c r="N78" i="11" a="1"/>
  <c r="N78" i="11" s="1"/>
  <c r="L78" i="11"/>
  <c r="L78" i="11" a="1"/>
  <c r="J78" i="11" a="1"/>
  <c r="J78" i="11" s="1"/>
  <c r="H78" i="11"/>
  <c r="H78" i="11" a="1"/>
  <c r="F78" i="11" a="1"/>
  <c r="F78" i="11" s="1"/>
  <c r="D78" i="11"/>
  <c r="D78" i="11" a="1"/>
  <c r="B78" i="11" a="1"/>
  <c r="B78" i="11" s="1"/>
  <c r="AV77" i="11" a="1"/>
  <c r="AV77" i="11" s="1"/>
  <c r="AT77" i="11" a="1"/>
  <c r="AT77" i="11" s="1"/>
  <c r="AR77" i="11"/>
  <c r="AR77" i="11" a="1"/>
  <c r="AP77" i="11" a="1"/>
  <c r="AP77" i="11" s="1"/>
  <c r="AN77" i="11"/>
  <c r="AN77" i="11" a="1"/>
  <c r="AL77" i="11" a="1"/>
  <c r="AL77" i="11" s="1"/>
  <c r="AJ77" i="11"/>
  <c r="AJ77" i="11" a="1"/>
  <c r="AH77" i="11" a="1"/>
  <c r="AH77" i="11" s="1"/>
  <c r="AF77" i="11" a="1"/>
  <c r="AF77" i="11" s="1"/>
  <c r="AD77" i="11" a="1"/>
  <c r="AD77" i="11" s="1"/>
  <c r="AB77" i="11"/>
  <c r="AB77" i="11" a="1"/>
  <c r="Z77" i="11" a="1"/>
  <c r="Z77" i="11" s="1"/>
  <c r="X77" i="11"/>
  <c r="X77" i="11" a="1"/>
  <c r="V77" i="11" a="1"/>
  <c r="V77" i="11" s="1"/>
  <c r="T77" i="11"/>
  <c r="T77" i="11" a="1"/>
  <c r="R77" i="11" a="1"/>
  <c r="R77" i="11" s="1"/>
  <c r="P77" i="11" a="1"/>
  <c r="P77" i="11" s="1"/>
  <c r="N77" i="11" a="1"/>
  <c r="N77" i="11" s="1"/>
  <c r="L77" i="11"/>
  <c r="L77" i="11" a="1"/>
  <c r="J77" i="11" a="1"/>
  <c r="J77" i="11" s="1"/>
  <c r="H77" i="11"/>
  <c r="H77" i="11" a="1"/>
  <c r="F77" i="11" a="1"/>
  <c r="F77" i="11" s="1"/>
  <c r="D77" i="11"/>
  <c r="D77" i="11" a="1"/>
  <c r="B77" i="11" a="1"/>
  <c r="B77" i="11" s="1"/>
  <c r="AV76" i="11" a="1"/>
  <c r="AV76" i="11" s="1"/>
  <c r="AT76" i="11" a="1"/>
  <c r="AT76" i="11" s="1"/>
  <c r="AR76" i="11"/>
  <c r="AR76" i="11" a="1"/>
  <c r="AP76" i="11" a="1"/>
  <c r="AP76" i="11" s="1"/>
  <c r="AN76" i="11"/>
  <c r="AN76" i="11" a="1"/>
  <c r="AL76" i="11" a="1"/>
  <c r="AL76" i="11" s="1"/>
  <c r="AJ76" i="11"/>
  <c r="AJ76" i="11" a="1"/>
  <c r="AH76" i="11" a="1"/>
  <c r="AH76" i="11" s="1"/>
  <c r="AF76" i="11" a="1"/>
  <c r="AF76" i="11" s="1"/>
  <c r="AD76" i="11" a="1"/>
  <c r="AD76" i="11" s="1"/>
  <c r="AB76" i="11"/>
  <c r="AB76" i="11" a="1"/>
  <c r="Z76" i="11" a="1"/>
  <c r="Z76" i="11" s="1"/>
  <c r="X76" i="11"/>
  <c r="X76" i="11" a="1"/>
  <c r="V76" i="11" a="1"/>
  <c r="V76" i="11" s="1"/>
  <c r="T76" i="11"/>
  <c r="T76" i="11" a="1"/>
  <c r="R76" i="11" a="1"/>
  <c r="R76" i="11" s="1"/>
  <c r="P76" i="11" a="1"/>
  <c r="P76" i="11" s="1"/>
  <c r="N76" i="11" a="1"/>
  <c r="N76" i="11" s="1"/>
  <c r="L76" i="11"/>
  <c r="L76" i="11" a="1"/>
  <c r="J76" i="11" a="1"/>
  <c r="J76" i="11" s="1"/>
  <c r="H76" i="11"/>
  <c r="H76" i="11" a="1"/>
  <c r="F76" i="11" a="1"/>
  <c r="F76" i="11" s="1"/>
  <c r="D76" i="11" a="1"/>
  <c r="D76" i="11" s="1"/>
  <c r="B76" i="11" a="1"/>
  <c r="B76" i="11" s="1"/>
  <c r="AV75" i="11" a="1"/>
  <c r="AV75" i="11" s="1"/>
  <c r="AT75" i="11" a="1"/>
  <c r="AT75" i="11" s="1"/>
  <c r="AR75" i="11"/>
  <c r="AR75" i="11" a="1"/>
  <c r="AP75" i="11" a="1"/>
  <c r="AP75" i="11" s="1"/>
  <c r="AN75" i="11"/>
  <c r="AN75" i="11" a="1"/>
  <c r="AL75" i="11" a="1"/>
  <c r="AL75" i="11" s="1"/>
  <c r="AJ75" i="11" a="1"/>
  <c r="AJ75" i="11" s="1"/>
  <c r="AH75" i="11" a="1"/>
  <c r="AH75" i="11" s="1"/>
  <c r="AF75" i="11" a="1"/>
  <c r="AF75" i="11" s="1"/>
  <c r="AD75" i="11" a="1"/>
  <c r="AD75" i="11" s="1"/>
  <c r="AB75" i="11"/>
  <c r="AB75" i="11" a="1"/>
  <c r="Z75" i="11" a="1"/>
  <c r="Z75" i="11" s="1"/>
  <c r="X75" i="11"/>
  <c r="X75" i="11" a="1"/>
  <c r="V75" i="11" a="1"/>
  <c r="V75" i="11" s="1"/>
  <c r="T75" i="11" a="1"/>
  <c r="T75" i="11" s="1"/>
  <c r="R75" i="11" a="1"/>
  <c r="R75" i="11" s="1"/>
  <c r="P75" i="11" a="1"/>
  <c r="P75" i="11" s="1"/>
  <c r="N75" i="11" a="1"/>
  <c r="N75" i="11" s="1"/>
  <c r="L75" i="11"/>
  <c r="L75" i="11" a="1"/>
  <c r="J75" i="11" a="1"/>
  <c r="J75" i="11" s="1"/>
  <c r="H75" i="11"/>
  <c r="H75" i="11" a="1"/>
  <c r="F75" i="11" a="1"/>
  <c r="F75" i="11" s="1"/>
  <c r="D75" i="11" a="1"/>
  <c r="D75" i="11" s="1"/>
  <c r="B75" i="11" a="1"/>
  <c r="B75" i="11" s="1"/>
  <c r="AV74" i="11" a="1"/>
  <c r="AV74" i="11" s="1"/>
  <c r="AT74" i="11" a="1"/>
  <c r="AT74" i="11" s="1"/>
  <c r="AR74" i="11"/>
  <c r="AR74" i="11" a="1"/>
  <c r="AP74" i="11" a="1"/>
  <c r="AP74" i="11" s="1"/>
  <c r="AN74" i="11"/>
  <c r="AN74" i="11" a="1"/>
  <c r="AL74" i="11" a="1"/>
  <c r="AL74" i="11" s="1"/>
  <c r="AJ74" i="11" a="1"/>
  <c r="AJ74" i="11" s="1"/>
  <c r="AH74" i="11" a="1"/>
  <c r="AH74" i="11" s="1"/>
  <c r="AF74" i="11" a="1"/>
  <c r="AF74" i="11" s="1"/>
  <c r="AD74" i="11" a="1"/>
  <c r="AD74" i="11" s="1"/>
  <c r="AB74" i="11"/>
  <c r="AB74" i="11" a="1"/>
  <c r="Z74" i="11" a="1"/>
  <c r="Z74" i="11" s="1"/>
  <c r="X74" i="11"/>
  <c r="X74" i="11" a="1"/>
  <c r="V74" i="11" a="1"/>
  <c r="V74" i="11" s="1"/>
  <c r="T74" i="11" a="1"/>
  <c r="T74" i="11" s="1"/>
  <c r="R74" i="11" a="1"/>
  <c r="R74" i="11" s="1"/>
  <c r="P74" i="11" a="1"/>
  <c r="P74" i="11" s="1"/>
  <c r="N74" i="11" a="1"/>
  <c r="N74" i="11" s="1"/>
  <c r="L74" i="11"/>
  <c r="L74" i="11" a="1"/>
  <c r="J74" i="11" a="1"/>
  <c r="J74" i="11" s="1"/>
  <c r="H74" i="11"/>
  <c r="H74" i="11" a="1"/>
  <c r="F74" i="11" a="1"/>
  <c r="F74" i="11" s="1"/>
  <c r="D74" i="11" a="1"/>
  <c r="D74" i="11" s="1"/>
  <c r="B74" i="11" a="1"/>
  <c r="B74" i="11" s="1"/>
  <c r="AV73" i="11" a="1"/>
  <c r="AV73" i="11" s="1"/>
  <c r="AT73" i="11" a="1"/>
  <c r="AT73" i="11" s="1"/>
  <c r="AR73" i="11"/>
  <c r="AR73" i="11" a="1"/>
  <c r="AP73" i="11" a="1"/>
  <c r="AP73" i="11" s="1"/>
  <c r="AN73" i="11"/>
  <c r="AN73" i="11" a="1"/>
  <c r="AL73" i="11" a="1"/>
  <c r="AL73" i="11" s="1"/>
  <c r="AJ73" i="11" a="1"/>
  <c r="AJ73" i="11" s="1"/>
  <c r="AH73" i="11" a="1"/>
  <c r="AH73" i="11" s="1"/>
  <c r="AF73" i="11" a="1"/>
  <c r="AF73" i="11" s="1"/>
  <c r="AD73" i="11" a="1"/>
  <c r="AD73" i="11" s="1"/>
  <c r="AB73" i="11"/>
  <c r="AB73" i="11" a="1"/>
  <c r="Z73" i="11" a="1"/>
  <c r="Z73" i="11" s="1"/>
  <c r="X73" i="11"/>
  <c r="X73" i="11" a="1"/>
  <c r="V73" i="11" a="1"/>
  <c r="V73" i="11" s="1"/>
  <c r="T73" i="11" a="1"/>
  <c r="T73" i="11" s="1"/>
  <c r="R73" i="11" a="1"/>
  <c r="R73" i="11" s="1"/>
  <c r="P73" i="11" a="1"/>
  <c r="P73" i="11" s="1"/>
  <c r="N73" i="11" a="1"/>
  <c r="N73" i="11" s="1"/>
  <c r="L73" i="11"/>
  <c r="L73" i="11" a="1"/>
  <c r="J73" i="11" a="1"/>
  <c r="J73" i="11" s="1"/>
  <c r="H73" i="11"/>
  <c r="H73" i="11" a="1"/>
  <c r="F73" i="11" a="1"/>
  <c r="F73" i="11" s="1"/>
  <c r="D73" i="11" a="1"/>
  <c r="D73" i="11" s="1"/>
  <c r="B73" i="11" a="1"/>
  <c r="B73" i="11" s="1"/>
  <c r="AV72" i="11"/>
  <c r="AT72" i="11"/>
  <c r="AR72" i="11"/>
  <c r="AP72" i="11"/>
  <c r="AN72" i="11"/>
  <c r="AL72" i="11"/>
  <c r="AJ72" i="11"/>
  <c r="AH72" i="11"/>
  <c r="AF72" i="11"/>
  <c r="AD72" i="11"/>
  <c r="AB72" i="11"/>
  <c r="Z72" i="11"/>
  <c r="X72" i="11"/>
  <c r="V72" i="11"/>
  <c r="T72" i="11"/>
  <c r="R72" i="11"/>
  <c r="P72" i="11"/>
  <c r="N72" i="11"/>
  <c r="L72" i="11"/>
  <c r="J72" i="11"/>
  <c r="H72" i="11"/>
  <c r="F72" i="11"/>
  <c r="D72" i="11"/>
  <c r="B72" i="11"/>
  <c r="AV71" i="11"/>
  <c r="AT71" i="11"/>
  <c r="AR71" i="11"/>
  <c r="AP71" i="11"/>
  <c r="AN71" i="11"/>
  <c r="AL71" i="11"/>
  <c r="AJ71" i="11"/>
  <c r="AH71" i="11"/>
  <c r="AF71" i="11"/>
  <c r="AD71" i="11"/>
  <c r="AB71" i="11"/>
  <c r="Z71" i="11"/>
  <c r="X71" i="11"/>
  <c r="V71" i="11"/>
  <c r="T71" i="11"/>
  <c r="R71" i="11"/>
  <c r="P71" i="11"/>
  <c r="N71" i="11"/>
  <c r="L71" i="11"/>
  <c r="J71" i="11"/>
  <c r="H71" i="11"/>
  <c r="F71" i="11"/>
  <c r="D71" i="11"/>
  <c r="B71" i="11"/>
  <c r="AV70" i="11"/>
  <c r="AT70" i="11"/>
  <c r="AR70" i="11"/>
  <c r="AP70" i="11"/>
  <c r="AN70" i="11"/>
  <c r="AL70" i="11"/>
  <c r="AJ70" i="11"/>
  <c r="AH70" i="11"/>
  <c r="AF70" i="11"/>
  <c r="AD70" i="11"/>
  <c r="AB70" i="11"/>
  <c r="Z70" i="11"/>
  <c r="X70" i="11"/>
  <c r="V70" i="11"/>
  <c r="T70" i="11"/>
  <c r="R70" i="11"/>
  <c r="P70" i="11"/>
  <c r="N70" i="11"/>
  <c r="L70" i="11"/>
  <c r="J70" i="11"/>
  <c r="H70" i="11"/>
  <c r="F70" i="11"/>
  <c r="D70" i="11"/>
  <c r="B70" i="11"/>
  <c r="B69" i="11"/>
  <c r="AV67" i="11"/>
  <c r="AV67" i="11" a="1"/>
  <c r="AT67" i="11" a="1"/>
  <c r="AT67" i="11" s="1"/>
  <c r="AR67" i="11" a="1"/>
  <c r="AR67" i="11" s="1"/>
  <c r="AP67" i="11" a="1"/>
  <c r="AP67" i="11" s="1"/>
  <c r="AN67" i="11" a="1"/>
  <c r="AN67" i="11" s="1"/>
  <c r="AL67" i="11" a="1"/>
  <c r="AL67" i="11" s="1"/>
  <c r="AJ67" i="11"/>
  <c r="AJ67" i="11" a="1"/>
  <c r="AH67" i="11" a="1"/>
  <c r="AH67" i="11" s="1"/>
  <c r="AF67" i="11"/>
  <c r="AF67" i="11" a="1"/>
  <c r="AD67" i="11" a="1"/>
  <c r="AD67" i="11" s="1"/>
  <c r="AB67" i="11" a="1"/>
  <c r="AB67" i="11" s="1"/>
  <c r="Z67" i="11" a="1"/>
  <c r="Z67" i="11" s="1"/>
  <c r="X67" i="11" a="1"/>
  <c r="X67" i="11" s="1"/>
  <c r="V67" i="11" a="1"/>
  <c r="V67" i="11" s="1"/>
  <c r="T67" i="11"/>
  <c r="T67" i="11" a="1"/>
  <c r="R67" i="11" a="1"/>
  <c r="R67" i="11" s="1"/>
  <c r="P67" i="11"/>
  <c r="P67" i="11" a="1"/>
  <c r="N67" i="11" a="1"/>
  <c r="N67" i="11" s="1"/>
  <c r="L67" i="11" a="1"/>
  <c r="L67" i="11" s="1"/>
  <c r="J67" i="11" a="1"/>
  <c r="J67" i="11" s="1"/>
  <c r="H67" i="11" a="1"/>
  <c r="H67" i="11" s="1"/>
  <c r="F67" i="11" a="1"/>
  <c r="F67" i="11" s="1"/>
  <c r="D67" i="11"/>
  <c r="D67" i="11" a="1"/>
  <c r="B67" i="11" a="1"/>
  <c r="B67" i="11" s="1"/>
  <c r="AV66" i="11"/>
  <c r="AV68" i="11" s="1"/>
  <c r="AV66" i="11" a="1"/>
  <c r="AT66" i="11" a="1"/>
  <c r="AT66" i="11" s="1"/>
  <c r="AR66" i="11" a="1"/>
  <c r="AR66" i="11" s="1"/>
  <c r="AP66" i="11" a="1"/>
  <c r="AP66" i="11" s="1"/>
  <c r="AP68" i="11" s="1"/>
  <c r="AN66" i="11" a="1"/>
  <c r="AN66" i="11" s="1"/>
  <c r="AN68" i="11" s="1"/>
  <c r="AL66" i="11" a="1"/>
  <c r="AL66" i="11" s="1"/>
  <c r="AJ66" i="11"/>
  <c r="AJ68" i="11" s="1"/>
  <c r="AJ66" i="11" a="1"/>
  <c r="AH66" i="11" a="1"/>
  <c r="AH66" i="11" s="1"/>
  <c r="AH68" i="11" s="1"/>
  <c r="AF66" i="11"/>
  <c r="AF68" i="11" s="1"/>
  <c r="AF66" i="11" a="1"/>
  <c r="AD66" i="11" a="1"/>
  <c r="AD66" i="11" s="1"/>
  <c r="AD68" i="11" s="1"/>
  <c r="AB66" i="11" a="1"/>
  <c r="AB66" i="11" s="1"/>
  <c r="AB68" i="11" s="1"/>
  <c r="Z66" i="11" a="1"/>
  <c r="Z66" i="11" s="1"/>
  <c r="X66" i="11" a="1"/>
  <c r="X66" i="11" s="1"/>
  <c r="V66" i="11" a="1"/>
  <c r="V66" i="11" s="1"/>
  <c r="T66" i="11"/>
  <c r="T68" i="11" s="1"/>
  <c r="T66" i="11" a="1"/>
  <c r="R66" i="11" a="1"/>
  <c r="R66" i="11" s="1"/>
  <c r="P66" i="11"/>
  <c r="P68" i="11" s="1"/>
  <c r="P66" i="11" a="1"/>
  <c r="N66" i="11" a="1"/>
  <c r="N66" i="11" s="1"/>
  <c r="L66" i="11" a="1"/>
  <c r="L66" i="11" s="1"/>
  <c r="L68" i="11" s="1"/>
  <c r="J66" i="11" a="1"/>
  <c r="J66" i="11" s="1"/>
  <c r="J68" i="11" s="1"/>
  <c r="H66" i="11" a="1"/>
  <c r="H66" i="11" s="1"/>
  <c r="H68" i="11" s="1"/>
  <c r="F66" i="11" a="1"/>
  <c r="F66" i="11" s="1"/>
  <c r="D66" i="11"/>
  <c r="D68" i="11" s="1"/>
  <c r="D66" i="11" a="1"/>
  <c r="B66" i="11" a="1"/>
  <c r="B66" i="11" s="1"/>
  <c r="B68" i="11" s="1"/>
  <c r="AV65" i="11"/>
  <c r="AV69" i="11" s="1"/>
  <c r="AV65" i="11" a="1"/>
  <c r="AT65" i="11" a="1"/>
  <c r="AT65" i="11" s="1"/>
  <c r="AT69" i="11" s="1"/>
  <c r="AR65" i="11" a="1"/>
  <c r="AR65" i="11" s="1"/>
  <c r="AR69" i="11" s="1"/>
  <c r="AP65" i="11" a="1"/>
  <c r="AP65" i="11" s="1"/>
  <c r="AP69" i="11" s="1"/>
  <c r="AN65" i="11" a="1"/>
  <c r="AN65" i="11" s="1"/>
  <c r="AN69" i="11" s="1"/>
  <c r="AL65" i="11" a="1"/>
  <c r="AL65" i="11" s="1"/>
  <c r="AL69" i="11" s="1"/>
  <c r="AJ65" i="11"/>
  <c r="AJ69" i="11" s="1"/>
  <c r="AJ65" i="11" a="1"/>
  <c r="AH65" i="11" a="1"/>
  <c r="AH65" i="11" s="1"/>
  <c r="AH69" i="11" s="1"/>
  <c r="AF65" i="11"/>
  <c r="AF69" i="11" s="1"/>
  <c r="AF65" i="11" a="1"/>
  <c r="AD65" i="11" a="1"/>
  <c r="AD65" i="11" s="1"/>
  <c r="AD69" i="11" s="1"/>
  <c r="AB65" i="11" a="1"/>
  <c r="AB65" i="11" s="1"/>
  <c r="AB69" i="11" s="1"/>
  <c r="Z65" i="11" a="1"/>
  <c r="Z65" i="11" s="1"/>
  <c r="Z69" i="11" s="1"/>
  <c r="X65" i="11" a="1"/>
  <c r="X65" i="11" s="1"/>
  <c r="X69" i="11" s="1"/>
  <c r="V65" i="11" a="1"/>
  <c r="V65" i="11" s="1"/>
  <c r="V69" i="11" s="1"/>
  <c r="T65" i="11" a="1"/>
  <c r="T65" i="11" s="1"/>
  <c r="T69" i="11" s="1"/>
  <c r="R65" i="11" a="1"/>
  <c r="R65" i="11" s="1"/>
  <c r="R69" i="11" s="1"/>
  <c r="P65" i="11"/>
  <c r="P69" i="11" s="1"/>
  <c r="P65" i="11" a="1"/>
  <c r="N65" i="11" a="1"/>
  <c r="N65" i="11" s="1"/>
  <c r="N69" i="11" s="1"/>
  <c r="L65" i="11" a="1"/>
  <c r="L65" i="11" s="1"/>
  <c r="L69" i="11" s="1"/>
  <c r="J65" i="11" a="1"/>
  <c r="J65" i="11" s="1"/>
  <c r="J69" i="11" s="1"/>
  <c r="H65" i="11" a="1"/>
  <c r="H65" i="11" s="1"/>
  <c r="H69" i="11" s="1"/>
  <c r="F65" i="11" a="1"/>
  <c r="F65" i="11" s="1"/>
  <c r="F69" i="11" s="1"/>
  <c r="D65" i="11" a="1"/>
  <c r="D65" i="11" s="1"/>
  <c r="D69" i="11" s="1"/>
  <c r="B65" i="11"/>
  <c r="AV62" i="11"/>
  <c r="AT62" i="11"/>
  <c r="AR62" i="11"/>
  <c r="AP62" i="11"/>
  <c r="AN62" i="11"/>
  <c r="AL62" i="11"/>
  <c r="AJ62" i="11"/>
  <c r="AH62" i="11"/>
  <c r="AF62" i="11"/>
  <c r="AD62" i="11"/>
  <c r="AB62" i="11"/>
  <c r="Z62" i="11"/>
  <c r="X62" i="11"/>
  <c r="V62" i="11"/>
  <c r="T62" i="11"/>
  <c r="R62" i="11"/>
  <c r="P62" i="11"/>
  <c r="N62" i="11"/>
  <c r="L62" i="11"/>
  <c r="J62" i="11"/>
  <c r="H62" i="11"/>
  <c r="F62" i="11"/>
  <c r="D62" i="11"/>
  <c r="B62" i="11"/>
  <c r="AV60" i="11"/>
  <c r="AT60" i="11"/>
  <c r="AR60" i="11"/>
  <c r="AP60" i="11"/>
  <c r="AN60" i="11"/>
  <c r="AL60" i="11"/>
  <c r="AJ60" i="11"/>
  <c r="AH60" i="11"/>
  <c r="AF60" i="11"/>
  <c r="AD60" i="11"/>
  <c r="AB60" i="11"/>
  <c r="Z60" i="11"/>
  <c r="X60" i="11"/>
  <c r="V60" i="11"/>
  <c r="T60" i="11"/>
  <c r="R60" i="11"/>
  <c r="P60" i="11"/>
  <c r="N60" i="11"/>
  <c r="L60" i="11"/>
  <c r="J60" i="11"/>
  <c r="H60" i="11"/>
  <c r="F60" i="11"/>
  <c r="D60" i="11"/>
  <c r="B60" i="11"/>
  <c r="AV59" i="11"/>
  <c r="AT59" i="11"/>
  <c r="AR59" i="11"/>
  <c r="AP59" i="11"/>
  <c r="AN59" i="11"/>
  <c r="AL59" i="11"/>
  <c r="AJ59" i="11"/>
  <c r="AH59" i="11"/>
  <c r="AF59" i="11"/>
  <c r="AD59" i="11"/>
  <c r="AB59" i="11"/>
  <c r="Z59" i="11"/>
  <c r="X59" i="11"/>
  <c r="V59" i="11"/>
  <c r="T59" i="11"/>
  <c r="R59" i="11"/>
  <c r="P59" i="11"/>
  <c r="N59" i="11"/>
  <c r="L59" i="11"/>
  <c r="J59" i="11"/>
  <c r="H59" i="11"/>
  <c r="F59" i="11"/>
  <c r="D59" i="11"/>
  <c r="B59" i="11"/>
  <c r="AV58" i="11"/>
  <c r="AV58" i="11" a="1"/>
  <c r="AT58" i="11"/>
  <c r="AT58" i="11" a="1"/>
  <c r="AR58" i="11" a="1"/>
  <c r="AR58" i="11" s="1"/>
  <c r="AP58" i="11"/>
  <c r="AP58" i="11" a="1"/>
  <c r="AN58" i="11" a="1"/>
  <c r="AN58" i="11" s="1"/>
  <c r="AL58" i="11" a="1"/>
  <c r="AL58" i="11" s="1"/>
  <c r="AJ58" i="11"/>
  <c r="AJ58" i="11" a="1"/>
  <c r="AH58" i="11"/>
  <c r="AH58" i="11" a="1"/>
  <c r="AF58" i="11"/>
  <c r="AF58" i="11" a="1"/>
  <c r="AD58" i="11"/>
  <c r="AD58" i="11" a="1"/>
  <c r="AB58" i="11" a="1"/>
  <c r="AB58" i="11" s="1"/>
  <c r="Z58" i="11" a="1"/>
  <c r="Z58" i="11" s="1"/>
  <c r="X58" i="11" a="1"/>
  <c r="X58" i="11" s="1"/>
  <c r="V58" i="11" a="1"/>
  <c r="V58" i="11" s="1"/>
  <c r="T58" i="11"/>
  <c r="T58" i="11" a="1"/>
  <c r="R58" i="11"/>
  <c r="R58" i="11" a="1"/>
  <c r="P58" i="11"/>
  <c r="P58" i="11" a="1"/>
  <c r="N58" i="11"/>
  <c r="N58" i="11" a="1"/>
  <c r="L58" i="11" a="1"/>
  <c r="L58" i="11" s="1"/>
  <c r="J58" i="11" a="1"/>
  <c r="J58" i="11" s="1"/>
  <c r="H58" i="11" a="1"/>
  <c r="H58" i="11" s="1"/>
  <c r="F58" i="11" a="1"/>
  <c r="F58" i="11" s="1"/>
  <c r="D58" i="11"/>
  <c r="D58" i="11" a="1"/>
  <c r="B58" i="11" a="1"/>
  <c r="B58" i="11" s="1"/>
  <c r="AV57" i="11"/>
  <c r="AV57" i="11" a="1"/>
  <c r="AT57" i="11"/>
  <c r="AT57" i="11" a="1"/>
  <c r="AR57" i="11" a="1"/>
  <c r="AR57" i="11" s="1"/>
  <c r="AP57" i="11" a="1"/>
  <c r="AP57" i="11" s="1"/>
  <c r="AN57" i="11" a="1"/>
  <c r="AN57" i="11" s="1"/>
  <c r="AL57" i="11" a="1"/>
  <c r="AL57" i="11" s="1"/>
  <c r="AJ57" i="11"/>
  <c r="AJ57" i="11" a="1"/>
  <c r="AH57" i="11" a="1"/>
  <c r="AH57" i="11" s="1"/>
  <c r="AF57" i="11"/>
  <c r="AF57" i="11" a="1"/>
  <c r="AD57" i="11"/>
  <c r="AD57" i="11" a="1"/>
  <c r="AB57" i="11" a="1"/>
  <c r="AB57" i="11" s="1"/>
  <c r="Z57" i="11" a="1"/>
  <c r="Z57" i="11" s="1"/>
  <c r="X57" i="11" a="1"/>
  <c r="X57" i="11" s="1"/>
  <c r="V57" i="11" a="1"/>
  <c r="V57" i="11" s="1"/>
  <c r="T57" i="11"/>
  <c r="T57" i="11" a="1"/>
  <c r="R57" i="11" a="1"/>
  <c r="R57" i="11" s="1"/>
  <c r="P57" i="11"/>
  <c r="P57" i="11" a="1"/>
  <c r="N57" i="11"/>
  <c r="N57" i="11" a="1"/>
  <c r="L57" i="11" a="1"/>
  <c r="L57" i="11" s="1"/>
  <c r="J57" i="11" a="1"/>
  <c r="J57" i="11" s="1"/>
  <c r="H57" i="11" a="1"/>
  <c r="H57" i="11" s="1"/>
  <c r="F57" i="11" a="1"/>
  <c r="F57" i="11" s="1"/>
  <c r="D57" i="11"/>
  <c r="D57" i="11" a="1"/>
  <c r="B57" i="11" a="1"/>
  <c r="B57" i="11" s="1"/>
  <c r="AV56" i="11"/>
  <c r="AT56" i="11"/>
  <c r="AR56" i="11"/>
  <c r="AP56" i="11"/>
  <c r="AN56" i="11"/>
  <c r="AL56" i="11"/>
  <c r="AJ56" i="11"/>
  <c r="AH56" i="11"/>
  <c r="AF56" i="11"/>
  <c r="AD56" i="11"/>
  <c r="AB56" i="11"/>
  <c r="Z56" i="11"/>
  <c r="X56" i="11"/>
  <c r="V56" i="11"/>
  <c r="T56" i="11"/>
  <c r="R56" i="11"/>
  <c r="P56" i="11"/>
  <c r="N56" i="11"/>
  <c r="L56" i="11"/>
  <c r="J56" i="11"/>
  <c r="H56" i="11"/>
  <c r="F56" i="11"/>
  <c r="D56" i="11"/>
  <c r="B56" i="11"/>
  <c r="AV55" i="11"/>
  <c r="AT55" i="11"/>
  <c r="AT80" i="11" s="1"/>
  <c r="AR55" i="11"/>
  <c r="AP55" i="11"/>
  <c r="AN55" i="11"/>
  <c r="AN80" i="11" s="1"/>
  <c r="AL55" i="11"/>
  <c r="AL80" i="11" s="1"/>
  <c r="AJ55" i="11"/>
  <c r="AJ80" i="11" s="1"/>
  <c r="AH55" i="11"/>
  <c r="AF55" i="11"/>
  <c r="AF80" i="11" s="1"/>
  <c r="AD55" i="11"/>
  <c r="AD80" i="11" s="1"/>
  <c r="AB55" i="11"/>
  <c r="AB80" i="11" s="1"/>
  <c r="Z55" i="11"/>
  <c r="Z80" i="11" s="1"/>
  <c r="X55" i="11"/>
  <c r="X80" i="11" s="1"/>
  <c r="V55" i="11"/>
  <c r="V80" i="11" s="1"/>
  <c r="T55" i="11"/>
  <c r="T80" i="11" s="1"/>
  <c r="R55" i="11"/>
  <c r="R80" i="11" s="1"/>
  <c r="P55" i="11"/>
  <c r="N55" i="11"/>
  <c r="N80" i="11" s="1"/>
  <c r="L55" i="11"/>
  <c r="J55" i="11"/>
  <c r="H55" i="11"/>
  <c r="H80" i="11" s="1"/>
  <c r="F55" i="11"/>
  <c r="F80" i="11" s="1"/>
  <c r="D55" i="11"/>
  <c r="D80" i="11" s="1"/>
  <c r="B55" i="11"/>
  <c r="AV53" i="11" a="1"/>
  <c r="AT53" i="11" a="1"/>
  <c r="AR53" i="11" a="1"/>
  <c r="AP53" i="11" a="1"/>
  <c r="AN53" i="11" a="1"/>
  <c r="AL53" i="11" a="1"/>
  <c r="AJ53" i="11" a="1"/>
  <c r="AH53" i="11" a="1"/>
  <c r="AF53" i="11" a="1"/>
  <c r="AD53" i="11" a="1"/>
  <c r="AB53" i="11" a="1"/>
  <c r="Z53" i="11" a="1"/>
  <c r="X53" i="11" a="1"/>
  <c r="V53" i="11" a="1"/>
  <c r="T53" i="11" a="1"/>
  <c r="R53" i="11" a="1"/>
  <c r="P53" i="11" a="1"/>
  <c r="N53" i="11" a="1"/>
  <c r="L53" i="11" a="1"/>
  <c r="J53" i="11" a="1"/>
  <c r="H53" i="11" a="1"/>
  <c r="F53" i="11" a="1"/>
  <c r="D53" i="11" a="1"/>
  <c r="B53" i="11" a="1"/>
  <c r="AV52" i="11" a="1"/>
  <c r="AT52" i="11" a="1"/>
  <c r="AR52" i="11" a="1"/>
  <c r="AP52" i="11" a="1"/>
  <c r="AN52" i="11" a="1"/>
  <c r="AL52" i="11" a="1"/>
  <c r="AJ52" i="11" a="1"/>
  <c r="AH52" i="11" a="1"/>
  <c r="AF52" i="11" a="1"/>
  <c r="AD52" i="11" a="1"/>
  <c r="AB52" i="11" a="1"/>
  <c r="Z52" i="11" a="1"/>
  <c r="X52" i="11" a="1"/>
  <c r="V52" i="11" a="1"/>
  <c r="T52" i="11" a="1"/>
  <c r="R52" i="11" a="1"/>
  <c r="P52" i="11" a="1"/>
  <c r="N52" i="11" a="1"/>
  <c r="L52" i="11" a="1"/>
  <c r="J52" i="11" a="1"/>
  <c r="H52" i="11" a="1"/>
  <c r="F52" i="11" a="1"/>
  <c r="D52" i="11" a="1"/>
  <c r="B52" i="11" a="1"/>
  <c r="AV51" i="11"/>
  <c r="AV81" i="11" s="1"/>
  <c r="AT51" i="11"/>
  <c r="AT81" i="11" s="1"/>
  <c r="AR51" i="11"/>
  <c r="AR81" i="11" s="1"/>
  <c r="AP51" i="11"/>
  <c r="AP81" i="11" s="1"/>
  <c r="AN51" i="11"/>
  <c r="AN81" i="11" s="1"/>
  <c r="AL51" i="11"/>
  <c r="AL81" i="11" s="1"/>
  <c r="AJ51" i="11"/>
  <c r="AJ81" i="11" s="1"/>
  <c r="AH51" i="11"/>
  <c r="AH81" i="11" s="1"/>
  <c r="AF51" i="11"/>
  <c r="AD51" i="11"/>
  <c r="AD81" i="11" s="1"/>
  <c r="AB51" i="11"/>
  <c r="Z51" i="11"/>
  <c r="X51" i="11"/>
  <c r="X81" i="11" s="1"/>
  <c r="V51" i="11"/>
  <c r="V81" i="11" s="1"/>
  <c r="T51" i="11"/>
  <c r="T81" i="11" s="1"/>
  <c r="R51" i="11"/>
  <c r="R81" i="11" s="1"/>
  <c r="P51" i="11"/>
  <c r="P81" i="11" s="1"/>
  <c r="N51" i="11"/>
  <c r="N81" i="11" s="1"/>
  <c r="L51" i="11"/>
  <c r="L81" i="11" s="1"/>
  <c r="J51" i="11"/>
  <c r="J81" i="11" s="1"/>
  <c r="H51" i="11"/>
  <c r="H81" i="11" s="1"/>
  <c r="F51" i="11"/>
  <c r="F81" i="11" s="1"/>
  <c r="D51" i="11"/>
  <c r="D81" i="11" s="1"/>
  <c r="B51" i="11"/>
  <c r="B81" i="11" s="1"/>
  <c r="AV49" i="11"/>
  <c r="AT49" i="11"/>
  <c r="AR49" i="11"/>
  <c r="AP49" i="11"/>
  <c r="AN49" i="11"/>
  <c r="AL49" i="11"/>
  <c r="AJ49" i="11"/>
  <c r="AH49" i="11"/>
  <c r="AF49" i="11"/>
  <c r="AD49" i="11"/>
  <c r="AB49" i="11"/>
  <c r="Z49" i="11"/>
  <c r="X49" i="11"/>
  <c r="V49" i="11"/>
  <c r="T49" i="11"/>
  <c r="R49" i="11"/>
  <c r="P49" i="11"/>
  <c r="N49" i="11"/>
  <c r="L49" i="11"/>
  <c r="J49" i="11"/>
  <c r="H49" i="11"/>
  <c r="F49" i="11"/>
  <c r="D49" i="11"/>
  <c r="B49" i="11"/>
  <c r="AV48" i="11"/>
  <c r="AT48" i="11"/>
  <c r="AR48" i="11"/>
  <c r="AP48" i="11"/>
  <c r="AN48" i="11"/>
  <c r="AL48" i="11"/>
  <c r="AJ48" i="11"/>
  <c r="AH48" i="11"/>
  <c r="AF48" i="11"/>
  <c r="AD48" i="11"/>
  <c r="AB48" i="11"/>
  <c r="Z48" i="11"/>
  <c r="X48" i="11"/>
  <c r="V48" i="11"/>
  <c r="T48" i="11"/>
  <c r="R48" i="11"/>
  <c r="P48" i="11"/>
  <c r="N48" i="11"/>
  <c r="L48" i="11"/>
  <c r="J48" i="11"/>
  <c r="H48" i="11"/>
  <c r="F48" i="11"/>
  <c r="D48" i="11"/>
  <c r="B48" i="11"/>
  <c r="AV46" i="11"/>
  <c r="AT46" i="11"/>
  <c r="AR46" i="11"/>
  <c r="AP46" i="11"/>
  <c r="AN46" i="11"/>
  <c r="AL46" i="11"/>
  <c r="AJ46" i="11"/>
  <c r="AH46" i="11"/>
  <c r="AF46" i="11"/>
  <c r="AD46" i="11"/>
  <c r="AB46" i="11"/>
  <c r="Z46" i="11"/>
  <c r="X46" i="11"/>
  <c r="V46" i="11"/>
  <c r="T46" i="11"/>
  <c r="R46" i="11"/>
  <c r="P46" i="11"/>
  <c r="N46" i="11"/>
  <c r="L46" i="11"/>
  <c r="J46" i="11"/>
  <c r="H46" i="11"/>
  <c r="F46" i="11"/>
  <c r="D46" i="11"/>
  <c r="B46" i="11"/>
  <c r="AV45" i="11"/>
  <c r="AT45" i="11"/>
  <c r="AR45" i="11"/>
  <c r="AP45" i="11"/>
  <c r="AN45" i="11"/>
  <c r="AL45" i="11"/>
  <c r="AJ45" i="11"/>
  <c r="AH45" i="11"/>
  <c r="AF45" i="11"/>
  <c r="AD45" i="11"/>
  <c r="AB45" i="11"/>
  <c r="Z45" i="11"/>
  <c r="X45" i="11"/>
  <c r="V45" i="11"/>
  <c r="T45" i="11"/>
  <c r="R45" i="11"/>
  <c r="P45" i="11"/>
  <c r="N45" i="11"/>
  <c r="L45" i="11"/>
  <c r="J45" i="11"/>
  <c r="H45" i="11"/>
  <c r="F45" i="11"/>
  <c r="D45" i="11"/>
  <c r="B45" i="11"/>
  <c r="AV44" i="11"/>
  <c r="AT44" i="11"/>
  <c r="AR44" i="11"/>
  <c r="AP44" i="11"/>
  <c r="AN44" i="11"/>
  <c r="AL44" i="11"/>
  <c r="AJ44" i="11"/>
  <c r="AH44" i="11"/>
  <c r="AF44" i="11"/>
  <c r="AD44" i="11"/>
  <c r="AB44" i="11"/>
  <c r="Z44" i="11"/>
  <c r="X44" i="11"/>
  <c r="V44" i="11"/>
  <c r="T44" i="11"/>
  <c r="R44" i="11"/>
  <c r="P44" i="11"/>
  <c r="N44" i="11"/>
  <c r="L44" i="11"/>
  <c r="J44" i="11"/>
  <c r="H44" i="11"/>
  <c r="F44" i="11"/>
  <c r="D44" i="11"/>
  <c r="B44" i="11"/>
  <c r="AV43" i="11"/>
  <c r="AV43" i="11" a="1"/>
  <c r="AT43" i="11" a="1"/>
  <c r="AT43" i="11" s="1"/>
  <c r="AR43" i="11" a="1"/>
  <c r="AR43" i="11" s="1"/>
  <c r="AP43" i="11" a="1"/>
  <c r="AP43" i="11" s="1"/>
  <c r="AN43" i="11" a="1"/>
  <c r="AN43" i="11" s="1"/>
  <c r="AL43" i="11" a="1"/>
  <c r="AL43" i="11" s="1"/>
  <c r="AJ43" i="11" a="1"/>
  <c r="AJ43" i="11" s="1"/>
  <c r="AH43" i="11" a="1"/>
  <c r="AH43" i="11" s="1"/>
  <c r="AF43" i="11"/>
  <c r="AF43" i="11" a="1"/>
  <c r="AD43" i="11" a="1"/>
  <c r="AD43" i="11" s="1"/>
  <c r="AB43" i="11" a="1"/>
  <c r="AB43" i="11" s="1"/>
  <c r="Z43" i="11" a="1"/>
  <c r="Z43" i="11" s="1"/>
  <c r="X43" i="11" a="1"/>
  <c r="X43" i="11" s="1"/>
  <c r="V43" i="11" a="1"/>
  <c r="V43" i="11" s="1"/>
  <c r="T43" i="11" a="1"/>
  <c r="T43" i="11" s="1"/>
  <c r="R43" i="11" a="1"/>
  <c r="R43" i="11" s="1"/>
  <c r="P43" i="11"/>
  <c r="P43" i="11" a="1"/>
  <c r="N43" i="11" a="1"/>
  <c r="N43" i="11" s="1"/>
  <c r="L43" i="11" a="1"/>
  <c r="L43" i="11" s="1"/>
  <c r="J43" i="11" a="1"/>
  <c r="J43" i="11" s="1"/>
  <c r="H43" i="11" a="1"/>
  <c r="H43" i="11" s="1"/>
  <c r="F43" i="11" a="1"/>
  <c r="F43" i="11" s="1"/>
  <c r="D43" i="11" a="1"/>
  <c r="D43" i="11" s="1"/>
  <c r="B43" i="11"/>
  <c r="AV42" i="11"/>
  <c r="AT42" i="11"/>
  <c r="AR42" i="11"/>
  <c r="AP42" i="11"/>
  <c r="AN42" i="11"/>
  <c r="AL42" i="11"/>
  <c r="AJ42" i="11"/>
  <c r="AH42" i="11"/>
  <c r="AF42" i="11"/>
  <c r="AD42" i="11"/>
  <c r="AB42" i="11"/>
  <c r="Z42" i="11"/>
  <c r="X42" i="11"/>
  <c r="V42" i="11"/>
  <c r="T42" i="11"/>
  <c r="R42" i="11"/>
  <c r="P42" i="11"/>
  <c r="N42" i="11"/>
  <c r="L42" i="11"/>
  <c r="J42" i="11"/>
  <c r="H42" i="11"/>
  <c r="F42" i="11"/>
  <c r="D42" i="11"/>
  <c r="B42" i="11"/>
  <c r="W4" i="23"/>
  <c r="Y11" i="23"/>
  <c r="X11" i="23"/>
  <c r="W11" i="23"/>
  <c r="V11" i="23"/>
  <c r="U11" i="23"/>
  <c r="T11" i="23"/>
  <c r="S11" i="23"/>
  <c r="R11" i="23"/>
  <c r="Q11" i="23"/>
  <c r="P11" i="23"/>
  <c r="O11" i="23"/>
  <c r="N11" i="23"/>
  <c r="M11" i="23"/>
  <c r="L11" i="23"/>
  <c r="K11" i="23"/>
  <c r="J11" i="23"/>
  <c r="I11" i="23"/>
  <c r="H11" i="23"/>
  <c r="G11" i="23"/>
  <c r="F11" i="23"/>
  <c r="E11" i="23"/>
  <c r="D11" i="23"/>
  <c r="C11" i="23"/>
  <c r="B11" i="23"/>
  <c r="Y10" i="23"/>
  <c r="X10" i="23"/>
  <c r="W10" i="23"/>
  <c r="V10" i="23"/>
  <c r="U10" i="23"/>
  <c r="T10" i="23"/>
  <c r="S10" i="23"/>
  <c r="R10" i="23"/>
  <c r="Q10" i="23"/>
  <c r="P10" i="23"/>
  <c r="O10" i="23"/>
  <c r="N10" i="23"/>
  <c r="M10" i="23"/>
  <c r="L10" i="23"/>
  <c r="K10" i="23"/>
  <c r="J10" i="23"/>
  <c r="I10" i="23"/>
  <c r="H10" i="23"/>
  <c r="G10" i="23"/>
  <c r="F10" i="23"/>
  <c r="E10" i="23"/>
  <c r="D10" i="23"/>
  <c r="C10" i="23"/>
  <c r="B10" i="23"/>
  <c r="Y9" i="23"/>
  <c r="X9" i="23"/>
  <c r="W9" i="23"/>
  <c r="V9" i="23"/>
  <c r="U9" i="23"/>
  <c r="U8" i="39" s="1"/>
  <c r="T9" i="23"/>
  <c r="T8" i="39" s="1"/>
  <c r="S9" i="23"/>
  <c r="S8" i="39" s="1"/>
  <c r="R9" i="23"/>
  <c r="R8" i="39" s="1"/>
  <c r="Q9" i="23"/>
  <c r="P9" i="23"/>
  <c r="P8" i="39" s="1"/>
  <c r="O9" i="23"/>
  <c r="N9" i="23"/>
  <c r="M9" i="23"/>
  <c r="L9" i="23"/>
  <c r="K9" i="23"/>
  <c r="J9" i="23"/>
  <c r="I9" i="23"/>
  <c r="H9" i="23"/>
  <c r="G9" i="23"/>
  <c r="F9" i="23"/>
  <c r="E9" i="23"/>
  <c r="D9" i="23"/>
  <c r="C9" i="23"/>
  <c r="B9" i="23"/>
  <c r="Y8" i="23"/>
  <c r="X8" i="23"/>
  <c r="W8" i="23"/>
  <c r="V8" i="23"/>
  <c r="U8" i="23"/>
  <c r="T8" i="23"/>
  <c r="S8" i="23"/>
  <c r="R8" i="23"/>
  <c r="Q8" i="23"/>
  <c r="P8" i="23"/>
  <c r="O8" i="23"/>
  <c r="N8" i="23"/>
  <c r="M8" i="23"/>
  <c r="L8" i="23"/>
  <c r="K8" i="23"/>
  <c r="J8" i="23"/>
  <c r="I8" i="23"/>
  <c r="H8" i="23"/>
  <c r="G8" i="23"/>
  <c r="F8" i="23"/>
  <c r="E8" i="23"/>
  <c r="D8" i="23"/>
  <c r="C8" i="23"/>
  <c r="B8" i="23"/>
  <c r="Y7" i="23"/>
  <c r="X7" i="23"/>
  <c r="W7" i="23"/>
  <c r="V7" i="23"/>
  <c r="U7" i="23"/>
  <c r="T7" i="23"/>
  <c r="S7" i="23"/>
  <c r="R7" i="23"/>
  <c r="Q7" i="23"/>
  <c r="P7" i="23"/>
  <c r="O7" i="23"/>
  <c r="N7" i="23"/>
  <c r="M7" i="23"/>
  <c r="L7" i="23"/>
  <c r="K7" i="23"/>
  <c r="J7" i="23"/>
  <c r="I7" i="23"/>
  <c r="H7" i="23"/>
  <c r="G7" i="23"/>
  <c r="F7" i="23"/>
  <c r="E7" i="23"/>
  <c r="D7" i="23"/>
  <c r="C7" i="23"/>
  <c r="B7" i="23"/>
  <c r="Y6" i="23"/>
  <c r="X6" i="23"/>
  <c r="W6" i="23"/>
  <c r="V6" i="23"/>
  <c r="U6" i="23"/>
  <c r="T6" i="23"/>
  <c r="S6" i="23"/>
  <c r="S5" i="39" s="1"/>
  <c r="R6" i="23"/>
  <c r="R5" i="39" s="1"/>
  <c r="Q6" i="23"/>
  <c r="Q5" i="39" s="1"/>
  <c r="P6" i="23"/>
  <c r="P5" i="39" s="1"/>
  <c r="O6" i="23"/>
  <c r="O5" i="39" s="1"/>
  <c r="N6" i="23"/>
  <c r="M6" i="23"/>
  <c r="L6" i="23"/>
  <c r="K6" i="23"/>
  <c r="J6" i="23"/>
  <c r="I6" i="23"/>
  <c r="H6" i="23"/>
  <c r="G6" i="23"/>
  <c r="F6" i="23"/>
  <c r="E6" i="23"/>
  <c r="D6" i="23"/>
  <c r="C6" i="23"/>
  <c r="B6" i="23"/>
  <c r="Y5" i="23"/>
  <c r="X5" i="23"/>
  <c r="W5" i="23"/>
  <c r="V5" i="23"/>
  <c r="U5" i="23"/>
  <c r="T5" i="23"/>
  <c r="S5" i="23"/>
  <c r="R5" i="23"/>
  <c r="Q5" i="23"/>
  <c r="P5" i="23"/>
  <c r="O5" i="23"/>
  <c r="N5" i="23"/>
  <c r="M5" i="23"/>
  <c r="L5" i="23"/>
  <c r="K5" i="23"/>
  <c r="J5" i="23"/>
  <c r="I5" i="23"/>
  <c r="H5" i="23"/>
  <c r="G5" i="23"/>
  <c r="F5" i="23"/>
  <c r="E5" i="23"/>
  <c r="D5" i="23"/>
  <c r="C5" i="23"/>
  <c r="B5" i="23"/>
  <c r="Y4" i="23"/>
  <c r="V4" i="23"/>
  <c r="U4" i="23"/>
  <c r="T4" i="23"/>
  <c r="T3" i="39" s="1"/>
  <c r="S4" i="23"/>
  <c r="S3" i="39" s="1"/>
  <c r="R4" i="23"/>
  <c r="R3" i="39" s="1"/>
  <c r="Q4" i="23"/>
  <c r="Q3" i="39" s="1"/>
  <c r="P4" i="23"/>
  <c r="P3" i="39" s="1"/>
  <c r="O4" i="23"/>
  <c r="O3" i="39" s="1"/>
  <c r="N4" i="23"/>
  <c r="N3" i="39" s="1"/>
  <c r="M4" i="23"/>
  <c r="L4" i="23"/>
  <c r="K4" i="23"/>
  <c r="J4" i="23"/>
  <c r="I4" i="23"/>
  <c r="H4" i="23"/>
  <c r="G4" i="23"/>
  <c r="F4" i="23"/>
  <c r="E4" i="23"/>
  <c r="D4" i="23"/>
  <c r="C4" i="23"/>
  <c r="B4" i="23"/>
  <c r="Y3" i="23"/>
  <c r="X3" i="23"/>
  <c r="W3" i="23"/>
  <c r="V3" i="23"/>
  <c r="U3" i="23"/>
  <c r="T3" i="23"/>
  <c r="S3" i="23"/>
  <c r="R3" i="23"/>
  <c r="Q3" i="23"/>
  <c r="P3" i="23"/>
  <c r="O3" i="23"/>
  <c r="N3" i="23"/>
  <c r="M3" i="23"/>
  <c r="L3" i="23"/>
  <c r="K3" i="23"/>
  <c r="J3" i="23"/>
  <c r="I3" i="23"/>
  <c r="H3" i="23"/>
  <c r="G3" i="23"/>
  <c r="F3" i="23"/>
  <c r="E3" i="23"/>
  <c r="D3" i="23"/>
  <c r="C3" i="23"/>
  <c r="B3" i="23"/>
  <c r="N68" i="35" l="1"/>
  <c r="P68" i="35"/>
  <c r="AP68" i="35"/>
  <c r="J68" i="35"/>
  <c r="L68" i="35"/>
  <c r="AL68" i="35"/>
  <c r="AN68" i="35"/>
  <c r="R68" i="35"/>
  <c r="AR68" i="35"/>
  <c r="V68" i="35"/>
  <c r="AV68" i="35"/>
  <c r="X68" i="35"/>
  <c r="H68" i="38"/>
  <c r="N68" i="38"/>
  <c r="AP68" i="38"/>
  <c r="V68" i="38"/>
  <c r="AB68" i="38"/>
  <c r="AF68" i="38"/>
  <c r="B68" i="21"/>
  <c r="AD68" i="21"/>
  <c r="D68" i="21"/>
  <c r="AF68" i="21"/>
  <c r="F68" i="21"/>
  <c r="AH68" i="21"/>
  <c r="AJ68" i="21"/>
  <c r="AL68" i="21"/>
  <c r="J68" i="21"/>
  <c r="L68" i="21"/>
  <c r="N68" i="21"/>
  <c r="AP68" i="21"/>
  <c r="L68" i="24"/>
  <c r="AN68" i="24"/>
  <c r="X68" i="24"/>
  <c r="AB68" i="24"/>
  <c r="B68" i="24"/>
  <c r="AD68" i="24"/>
  <c r="AH68" i="24"/>
  <c r="Z68" i="24"/>
  <c r="F68" i="24"/>
  <c r="L68" i="18"/>
  <c r="AR68" i="18"/>
  <c r="V68" i="18"/>
  <c r="X68" i="18"/>
  <c r="AD68" i="18"/>
  <c r="AF68" i="18"/>
  <c r="B68" i="18"/>
  <c r="AH68" i="18"/>
  <c r="D68" i="18"/>
  <c r="AJ68" i="18"/>
  <c r="T68" i="22"/>
  <c r="X68" i="22"/>
  <c r="Z68" i="22"/>
  <c r="B68" i="22"/>
  <c r="D68" i="22"/>
  <c r="H68" i="22"/>
  <c r="AJ68" i="22"/>
  <c r="J68" i="22"/>
  <c r="AL68" i="22"/>
  <c r="AN68" i="22"/>
  <c r="L68" i="22"/>
  <c r="N68" i="22"/>
  <c r="AP68" i="22"/>
  <c r="V68" i="12"/>
  <c r="X68" i="12"/>
  <c r="AB68" i="12"/>
  <c r="AD68" i="12"/>
  <c r="F68" i="12"/>
  <c r="AH68" i="12"/>
  <c r="L68" i="12"/>
  <c r="AN68" i="12"/>
  <c r="N68" i="12"/>
  <c r="AP68" i="12"/>
  <c r="AT68" i="12"/>
  <c r="F68" i="11"/>
  <c r="N68" i="11"/>
  <c r="AL68" i="11"/>
  <c r="R68" i="11"/>
  <c r="AR68" i="11"/>
  <c r="AT68" i="11"/>
  <c r="V68" i="11"/>
  <c r="X68" i="11"/>
  <c r="Z68" i="11"/>
  <c r="B1" i="39"/>
  <c r="C1" i="39"/>
  <c r="D1" i="39"/>
  <c r="E1" i="39"/>
  <c r="F1" i="39"/>
  <c r="G1" i="39"/>
  <c r="H1" i="39"/>
  <c r="I1" i="39"/>
  <c r="J1" i="39"/>
  <c r="K1" i="39"/>
  <c r="L1" i="39"/>
  <c r="M1" i="39"/>
  <c r="N1" i="39"/>
  <c r="O1" i="39"/>
  <c r="P1" i="39"/>
  <c r="Q1" i="39"/>
  <c r="R1" i="39"/>
  <c r="S1" i="39"/>
  <c r="T1" i="39"/>
  <c r="U1" i="39"/>
  <c r="V1" i="39"/>
  <c r="W1" i="39"/>
  <c r="X1" i="39"/>
  <c r="Y1" i="39"/>
  <c r="G6" i="39"/>
  <c r="A2" i="39"/>
  <c r="A3" i="39"/>
  <c r="A4" i="39"/>
  <c r="A5" i="39"/>
  <c r="A6" i="39"/>
  <c r="A7" i="39"/>
  <c r="A8" i="39"/>
  <c r="A9" i="39"/>
  <c r="J6" i="39"/>
  <c r="I6" i="39"/>
  <c r="H6" i="39"/>
  <c r="C66" i="1" l="1"/>
  <c r="Y51" i="23"/>
  <c r="Y65" i="23" s="1"/>
  <c r="X51" i="23"/>
  <c r="X65" i="23" s="1"/>
  <c r="W51" i="23"/>
  <c r="W65" i="23" s="1"/>
  <c r="V51" i="23"/>
  <c r="V65" i="23" s="1"/>
  <c r="U51" i="23"/>
  <c r="U65" i="23" s="1"/>
  <c r="T51" i="23"/>
  <c r="T65" i="23" s="1"/>
  <c r="S51" i="23"/>
  <c r="S65" i="23" s="1"/>
  <c r="R51" i="23"/>
  <c r="R65" i="23" s="1"/>
  <c r="Q51" i="23"/>
  <c r="Q65" i="23" s="1"/>
  <c r="P51" i="23"/>
  <c r="P65" i="23" s="1"/>
  <c r="O51" i="23"/>
  <c r="O65" i="23" s="1"/>
  <c r="N51" i="23"/>
  <c r="N65" i="23" s="1"/>
  <c r="M51" i="23"/>
  <c r="M65" i="23" s="1"/>
  <c r="L51" i="23"/>
  <c r="L65" i="23" s="1"/>
  <c r="K51" i="23"/>
  <c r="K65" i="23" s="1"/>
  <c r="J51" i="23"/>
  <c r="I51" i="23"/>
  <c r="H51" i="23"/>
  <c r="G51" i="23"/>
  <c r="F51" i="23"/>
  <c r="E51" i="23"/>
  <c r="D51" i="23"/>
  <c r="C51" i="23"/>
  <c r="Y50" i="23"/>
  <c r="X50" i="23"/>
  <c r="W50" i="23"/>
  <c r="V50" i="23"/>
  <c r="U50" i="23"/>
  <c r="T50" i="23"/>
  <c r="S50" i="23"/>
  <c r="R50" i="23"/>
  <c r="Q50" i="23"/>
  <c r="P50" i="23"/>
  <c r="O50" i="23"/>
  <c r="N50" i="23"/>
  <c r="M50" i="23"/>
  <c r="L50" i="23"/>
  <c r="K50" i="23"/>
  <c r="J50" i="23"/>
  <c r="I50" i="23"/>
  <c r="H50" i="23"/>
  <c r="G50" i="23"/>
  <c r="F50" i="23"/>
  <c r="E50" i="23"/>
  <c r="D50" i="23"/>
  <c r="C50" i="23"/>
  <c r="B50" i="23"/>
  <c r="Y55" i="23"/>
  <c r="Y69" i="23" s="1"/>
  <c r="X55" i="23"/>
  <c r="W55" i="23"/>
  <c r="U55" i="23"/>
  <c r="T55" i="23"/>
  <c r="S55" i="23"/>
  <c r="R55" i="23"/>
  <c r="Q55" i="23"/>
  <c r="P55" i="23"/>
  <c r="O55" i="23"/>
  <c r="N55" i="23"/>
  <c r="L55" i="23"/>
  <c r="K55" i="23"/>
  <c r="J55" i="23"/>
  <c r="I55" i="23"/>
  <c r="H55" i="23"/>
  <c r="G55" i="23"/>
  <c r="F55" i="23"/>
  <c r="E55" i="23"/>
  <c r="D55" i="23"/>
  <c r="C55" i="23"/>
  <c r="S19" i="23"/>
  <c r="T19" i="23"/>
  <c r="U19" i="23"/>
  <c r="V19" i="23"/>
  <c r="W19" i="23"/>
  <c r="X19" i="23"/>
  <c r="Y19" i="23"/>
  <c r="U21" i="23"/>
  <c r="V21" i="23"/>
  <c r="W21" i="23"/>
  <c r="X21" i="23"/>
  <c r="Y21" i="23"/>
  <c r="L22" i="23"/>
  <c r="M22" i="23"/>
  <c r="N22" i="23"/>
  <c r="O22" i="23"/>
  <c r="P22" i="23"/>
  <c r="Q22" i="23"/>
  <c r="R22" i="23"/>
  <c r="S22" i="23"/>
  <c r="T22" i="23"/>
  <c r="U22" i="23"/>
  <c r="V22" i="23"/>
  <c r="W22" i="23"/>
  <c r="X22" i="23"/>
  <c r="Y22" i="23"/>
  <c r="Y23" i="23"/>
  <c r="B26" i="23"/>
  <c r="C26" i="23"/>
  <c r="D26" i="23"/>
  <c r="E26" i="23"/>
  <c r="F26" i="23"/>
  <c r="G26" i="23"/>
  <c r="H26" i="23"/>
  <c r="I26" i="23"/>
  <c r="J26" i="23"/>
  <c r="K26" i="23"/>
  <c r="L26" i="23"/>
  <c r="M26" i="23"/>
  <c r="N26" i="23"/>
  <c r="O26" i="23"/>
  <c r="P26" i="23"/>
  <c r="Q26" i="23"/>
  <c r="R26" i="23"/>
  <c r="S26" i="23"/>
  <c r="T26" i="23"/>
  <c r="U26" i="23"/>
  <c r="V26" i="23"/>
  <c r="W26" i="23"/>
  <c r="X26" i="23"/>
  <c r="Y26" i="23"/>
  <c r="Y36" i="23"/>
  <c r="Y87" i="23" s="1"/>
  <c r="X36" i="23"/>
  <c r="X87" i="23" s="1"/>
  <c r="W36" i="23"/>
  <c r="W87" i="23" s="1"/>
  <c r="V36" i="23"/>
  <c r="V87" i="23" s="1"/>
  <c r="U36" i="23"/>
  <c r="U87" i="23" s="1"/>
  <c r="T36" i="23"/>
  <c r="T87" i="23" s="1"/>
  <c r="S36" i="23"/>
  <c r="S87" i="23" s="1"/>
  <c r="R36" i="23"/>
  <c r="R87" i="23" s="1"/>
  <c r="Q36" i="23"/>
  <c r="Q87" i="23" s="1"/>
  <c r="P36" i="23"/>
  <c r="P87" i="23" s="1"/>
  <c r="O36" i="23"/>
  <c r="O87" i="23" s="1"/>
  <c r="N36" i="23"/>
  <c r="N87" i="23" s="1"/>
  <c r="M36" i="23"/>
  <c r="M87" i="23" s="1"/>
  <c r="L36" i="23"/>
  <c r="L87" i="23" s="1"/>
  <c r="K36" i="23"/>
  <c r="K87" i="23" s="1"/>
  <c r="J36" i="23"/>
  <c r="J87" i="23" s="1"/>
  <c r="I36" i="23"/>
  <c r="I87" i="23" s="1"/>
  <c r="H36" i="23"/>
  <c r="H87" i="23" s="1"/>
  <c r="G36" i="23"/>
  <c r="G87" i="23" s="1"/>
  <c r="F36" i="23"/>
  <c r="F87" i="23" s="1"/>
  <c r="E36" i="23"/>
  <c r="E87" i="23" s="1"/>
  <c r="D36" i="23"/>
  <c r="D87" i="23" s="1"/>
  <c r="C36" i="23"/>
  <c r="C87" i="23" s="1"/>
  <c r="B36" i="23"/>
  <c r="B87" i="23" s="1"/>
  <c r="Y35" i="23"/>
  <c r="Y86" i="23" s="1"/>
  <c r="X35" i="23"/>
  <c r="X86" i="23" s="1"/>
  <c r="W35" i="23"/>
  <c r="W86" i="23" s="1"/>
  <c r="V35" i="23"/>
  <c r="V86" i="23" s="1"/>
  <c r="U35" i="23"/>
  <c r="U86" i="23" s="1"/>
  <c r="T35" i="23"/>
  <c r="T86" i="23" s="1"/>
  <c r="S35" i="23"/>
  <c r="S86" i="23" s="1"/>
  <c r="R35" i="23"/>
  <c r="R86" i="23" s="1"/>
  <c r="Q35" i="23"/>
  <c r="Q86" i="23" s="1"/>
  <c r="P35" i="23"/>
  <c r="P86" i="23" s="1"/>
  <c r="O35" i="23"/>
  <c r="O86" i="23" s="1"/>
  <c r="N35" i="23"/>
  <c r="N86" i="23" s="1"/>
  <c r="M35" i="23"/>
  <c r="M86" i="23" s="1"/>
  <c r="L35" i="23"/>
  <c r="L86" i="23" s="1"/>
  <c r="K35" i="23"/>
  <c r="K86" i="23" s="1"/>
  <c r="J35" i="23"/>
  <c r="J86" i="23" s="1"/>
  <c r="I35" i="23"/>
  <c r="I86" i="23" s="1"/>
  <c r="H35" i="23"/>
  <c r="H86" i="23" s="1"/>
  <c r="G35" i="23"/>
  <c r="G86" i="23" s="1"/>
  <c r="F35" i="23"/>
  <c r="F86" i="23" s="1"/>
  <c r="E35" i="23"/>
  <c r="E86" i="23" s="1"/>
  <c r="D35" i="23"/>
  <c r="D86" i="23" s="1"/>
  <c r="C35" i="23"/>
  <c r="C86" i="23" s="1"/>
  <c r="B35" i="23"/>
  <c r="B86" i="23" s="1"/>
  <c r="C84" i="23"/>
  <c r="D84" i="23"/>
  <c r="E84" i="23"/>
  <c r="F84" i="23"/>
  <c r="G84" i="23"/>
  <c r="H84" i="23"/>
  <c r="I84" i="23"/>
  <c r="J84" i="23"/>
  <c r="K84" i="23"/>
  <c r="L84" i="23"/>
  <c r="M84" i="23"/>
  <c r="N84" i="23"/>
  <c r="O84" i="23"/>
  <c r="P84" i="23"/>
  <c r="Q84" i="23"/>
  <c r="R84" i="23"/>
  <c r="S84" i="23"/>
  <c r="T84" i="23"/>
  <c r="U84" i="23"/>
  <c r="V84" i="23"/>
  <c r="W84" i="23"/>
  <c r="X84" i="23"/>
  <c r="Y84" i="23"/>
  <c r="B84" i="23"/>
  <c r="A86" i="23"/>
  <c r="A87" i="23"/>
  <c r="A88" i="23"/>
  <c r="A89" i="23"/>
  <c r="A90" i="23"/>
  <c r="A91" i="23"/>
  <c r="A92" i="23"/>
  <c r="A93" i="23"/>
  <c r="A85" i="23"/>
  <c r="Y38" i="23"/>
  <c r="Y89" i="23" s="1"/>
  <c r="Y41" i="23"/>
  <c r="Y92" i="23" s="1"/>
  <c r="X41" i="23"/>
  <c r="X92" i="23" s="1"/>
  <c r="W41" i="23"/>
  <c r="W92" i="23" s="1"/>
  <c r="V41" i="23"/>
  <c r="V92" i="23" s="1"/>
  <c r="U41" i="23"/>
  <c r="U92" i="23" s="1"/>
  <c r="T41" i="23"/>
  <c r="T92" i="23" s="1"/>
  <c r="S41" i="23"/>
  <c r="S92" i="23" s="1"/>
  <c r="R41" i="23"/>
  <c r="R92" i="23" s="1"/>
  <c r="Q41" i="23"/>
  <c r="Q92" i="23" s="1"/>
  <c r="P41" i="23"/>
  <c r="P92" i="23" s="1"/>
  <c r="O41" i="23"/>
  <c r="O92" i="23" s="1"/>
  <c r="N41" i="23"/>
  <c r="N92" i="23" s="1"/>
  <c r="M41" i="23"/>
  <c r="M92" i="23" s="1"/>
  <c r="L41" i="23"/>
  <c r="L92" i="23" s="1"/>
  <c r="K41" i="23"/>
  <c r="K92" i="23" s="1"/>
  <c r="J41" i="23"/>
  <c r="J92" i="23" s="1"/>
  <c r="I41" i="23"/>
  <c r="I92" i="23" s="1"/>
  <c r="H41" i="23"/>
  <c r="H92" i="23" s="1"/>
  <c r="G41" i="23"/>
  <c r="G92" i="23" s="1"/>
  <c r="F41" i="23"/>
  <c r="F92" i="23" s="1"/>
  <c r="E41" i="23"/>
  <c r="E92" i="23" s="1"/>
  <c r="D41" i="23"/>
  <c r="D92" i="23" s="1"/>
  <c r="C41" i="23"/>
  <c r="C92" i="23" s="1"/>
  <c r="B41" i="23"/>
  <c r="B92" i="23" s="1"/>
  <c r="Y40" i="23"/>
  <c r="Y91" i="23" s="1"/>
  <c r="X40" i="23"/>
  <c r="X91" i="23" s="1"/>
  <c r="W40" i="23"/>
  <c r="W91" i="23" s="1"/>
  <c r="V40" i="23"/>
  <c r="V91" i="23" s="1"/>
  <c r="U40" i="23"/>
  <c r="U91" i="23" s="1"/>
  <c r="T40" i="23"/>
  <c r="T91" i="23" s="1"/>
  <c r="S40" i="23"/>
  <c r="S91" i="23" s="1"/>
  <c r="R40" i="23"/>
  <c r="R91" i="23" s="1"/>
  <c r="Q40" i="23"/>
  <c r="Q91" i="23" s="1"/>
  <c r="P40" i="23"/>
  <c r="P91" i="23" s="1"/>
  <c r="O40" i="23"/>
  <c r="O91" i="23" s="1"/>
  <c r="N40" i="23"/>
  <c r="N91" i="23" s="1"/>
  <c r="M40" i="23"/>
  <c r="M91" i="23" s="1"/>
  <c r="L40" i="23"/>
  <c r="L91" i="23" s="1"/>
  <c r="K40" i="23"/>
  <c r="K91" i="23" s="1"/>
  <c r="J40" i="23"/>
  <c r="J91" i="23" s="1"/>
  <c r="I40" i="23"/>
  <c r="I91" i="23" s="1"/>
  <c r="H40" i="23"/>
  <c r="H91" i="23" s="1"/>
  <c r="G40" i="23"/>
  <c r="G91" i="23" s="1"/>
  <c r="F40" i="23"/>
  <c r="F91" i="23" s="1"/>
  <c r="E40" i="23"/>
  <c r="E91" i="23" s="1"/>
  <c r="D40" i="23"/>
  <c r="D91" i="23" s="1"/>
  <c r="C40" i="23"/>
  <c r="C91" i="23" s="1"/>
  <c r="B40" i="23"/>
  <c r="B91" i="23" s="1"/>
  <c r="Y39" i="23"/>
  <c r="Y90" i="23" s="1"/>
  <c r="X39" i="23"/>
  <c r="X90" i="23" s="1"/>
  <c r="W39" i="23"/>
  <c r="W90" i="23" s="1"/>
  <c r="V39" i="23"/>
  <c r="V90" i="23" s="1"/>
  <c r="U39" i="23"/>
  <c r="U90" i="23" s="1"/>
  <c r="T39" i="23"/>
  <c r="T90" i="23" s="1"/>
  <c r="S39" i="23"/>
  <c r="S90" i="23" s="1"/>
  <c r="R39" i="23"/>
  <c r="R90" i="23" s="1"/>
  <c r="Q39" i="23"/>
  <c r="Q90" i="23" s="1"/>
  <c r="P39" i="23"/>
  <c r="P90" i="23" s="1"/>
  <c r="O39" i="23"/>
  <c r="O90" i="23" s="1"/>
  <c r="N39" i="23"/>
  <c r="N90" i="23" s="1"/>
  <c r="M39" i="23"/>
  <c r="M90" i="23" s="1"/>
  <c r="L39" i="23"/>
  <c r="L90" i="23" s="1"/>
  <c r="K39" i="23"/>
  <c r="K90" i="23" s="1"/>
  <c r="J39" i="23"/>
  <c r="J90" i="23" s="1"/>
  <c r="I39" i="23"/>
  <c r="I90" i="23" s="1"/>
  <c r="H39" i="23"/>
  <c r="H90" i="23" s="1"/>
  <c r="G39" i="23"/>
  <c r="G90" i="23" s="1"/>
  <c r="F39" i="23"/>
  <c r="F90" i="23" s="1"/>
  <c r="E39" i="23"/>
  <c r="E90" i="23" s="1"/>
  <c r="D39" i="23"/>
  <c r="D90" i="23" s="1"/>
  <c r="C39" i="23"/>
  <c r="C90" i="23" s="1"/>
  <c r="B39" i="23"/>
  <c r="B90" i="23" s="1"/>
  <c r="B34" i="23"/>
  <c r="B85" i="23" s="1"/>
  <c r="A35" i="23"/>
  <c r="A36" i="23"/>
  <c r="A37" i="23"/>
  <c r="A38" i="23"/>
  <c r="A39" i="23"/>
  <c r="A40" i="23"/>
  <c r="A41" i="23"/>
  <c r="A42" i="23"/>
  <c r="A34" i="23"/>
  <c r="V55" i="23"/>
  <c r="M55" i="23"/>
  <c r="A50" i="23"/>
  <c r="Y52" i="23"/>
  <c r="X52" i="23"/>
  <c r="W52" i="23"/>
  <c r="V52" i="23"/>
  <c r="U52" i="23"/>
  <c r="T52" i="23"/>
  <c r="P52" i="38" l="1"/>
  <c r="P82" i="38" s="1"/>
  <c r="AJ52" i="38"/>
  <c r="AJ82" i="38" s="1"/>
  <c r="AF52" i="38"/>
  <c r="AF82" i="38" s="1"/>
  <c r="D52" i="38"/>
  <c r="D82" i="38" s="1"/>
  <c r="AV52" i="38"/>
  <c r="AV82" i="38" s="1"/>
  <c r="T52" i="38"/>
  <c r="T82" i="38" s="1"/>
  <c r="V52" i="38"/>
  <c r="V82" i="38" s="1"/>
  <c r="J52" i="38"/>
  <c r="J82" i="38" s="1"/>
  <c r="R52" i="38"/>
  <c r="R82" i="38" s="1"/>
  <c r="AR52" i="38"/>
  <c r="AR82" i="38" s="1"/>
  <c r="X52" i="38"/>
  <c r="X82" i="38" s="1"/>
  <c r="AT52" i="38"/>
  <c r="AT82" i="38" s="1"/>
  <c r="L52" i="38"/>
  <c r="L82" i="38" s="1"/>
  <c r="Z52" i="38"/>
  <c r="Z82" i="38" s="1"/>
  <c r="B52" i="38"/>
  <c r="B82" i="38" s="1"/>
  <c r="N52" i="38"/>
  <c r="N82" i="38" s="1"/>
  <c r="AD52" i="38"/>
  <c r="AD82" i="38" s="1"/>
  <c r="AN52" i="38"/>
  <c r="AN82" i="38" s="1"/>
  <c r="H52" i="38"/>
  <c r="H82" i="38" s="1"/>
  <c r="AH52" i="38"/>
  <c r="AH82" i="38" s="1"/>
  <c r="AL52" i="38"/>
  <c r="AL82" i="38" s="1"/>
  <c r="AP52" i="38"/>
  <c r="AP82" i="38" s="1"/>
  <c r="AB52" i="38"/>
  <c r="AB82" i="38" s="1"/>
  <c r="F52" i="38"/>
  <c r="F82" i="38" s="1"/>
  <c r="AJ52" i="21"/>
  <c r="AJ82" i="21" s="1"/>
  <c r="AF52" i="21"/>
  <c r="AF82" i="21" s="1"/>
  <c r="D52" i="21"/>
  <c r="D82" i="21" s="1"/>
  <c r="AV52" i="21"/>
  <c r="AV82" i="21" s="1"/>
  <c r="P52" i="21"/>
  <c r="P82" i="21" s="1"/>
  <c r="T52" i="21"/>
  <c r="T82" i="21" s="1"/>
  <c r="R52" i="21"/>
  <c r="R82" i="21" s="1"/>
  <c r="B52" i="21"/>
  <c r="B82" i="21" s="1"/>
  <c r="F52" i="21"/>
  <c r="F82" i="21" s="1"/>
  <c r="L52" i="21"/>
  <c r="L82" i="21" s="1"/>
  <c r="AL52" i="21"/>
  <c r="AL82" i="21" s="1"/>
  <c r="AT52" i="21"/>
  <c r="AT82" i="21" s="1"/>
  <c r="AN52" i="21"/>
  <c r="AN82" i="21" s="1"/>
  <c r="X52" i="21"/>
  <c r="X82" i="21" s="1"/>
  <c r="AR52" i="21"/>
  <c r="AR82" i="21" s="1"/>
  <c r="H52" i="21"/>
  <c r="H82" i="21" s="1"/>
  <c r="AH52" i="21"/>
  <c r="AH82" i="21" s="1"/>
  <c r="J52" i="21"/>
  <c r="J82" i="21" s="1"/>
  <c r="Z52" i="21"/>
  <c r="Z82" i="21" s="1"/>
  <c r="AD52" i="21"/>
  <c r="AD82" i="21" s="1"/>
  <c r="AP52" i="21"/>
  <c r="AP82" i="21" s="1"/>
  <c r="N52" i="21"/>
  <c r="N82" i="21" s="1"/>
  <c r="AB52" i="21"/>
  <c r="AB82" i="21" s="1"/>
  <c r="V52" i="21"/>
  <c r="V82" i="21" s="1"/>
  <c r="AV52" i="24"/>
  <c r="AV82" i="24" s="1"/>
  <c r="T52" i="24"/>
  <c r="T82" i="24" s="1"/>
  <c r="D52" i="24"/>
  <c r="D82" i="24" s="1"/>
  <c r="AF52" i="24"/>
  <c r="AF82" i="24" s="1"/>
  <c r="P52" i="24"/>
  <c r="P82" i="24" s="1"/>
  <c r="AJ52" i="24"/>
  <c r="AJ82" i="24" s="1"/>
  <c r="X52" i="24"/>
  <c r="X82" i="24" s="1"/>
  <c r="AP52" i="24"/>
  <c r="AP82" i="24" s="1"/>
  <c r="V52" i="24"/>
  <c r="V82" i="24" s="1"/>
  <c r="Z52" i="24"/>
  <c r="Z82" i="24" s="1"/>
  <c r="F52" i="24"/>
  <c r="F82" i="24" s="1"/>
  <c r="H52" i="24"/>
  <c r="H82" i="24" s="1"/>
  <c r="AB52" i="24"/>
  <c r="AB82" i="24" s="1"/>
  <c r="J52" i="24"/>
  <c r="J82" i="24" s="1"/>
  <c r="AD52" i="24"/>
  <c r="AD82" i="24" s="1"/>
  <c r="R52" i="24"/>
  <c r="R82" i="24" s="1"/>
  <c r="L52" i="24"/>
  <c r="L82" i="24" s="1"/>
  <c r="AR52" i="24"/>
  <c r="AR82" i="24" s="1"/>
  <c r="N52" i="24"/>
  <c r="N82" i="24" s="1"/>
  <c r="AH52" i="24"/>
  <c r="AH82" i="24" s="1"/>
  <c r="AT52" i="24"/>
  <c r="AT82" i="24" s="1"/>
  <c r="B52" i="24"/>
  <c r="B82" i="24" s="1"/>
  <c r="AL52" i="24"/>
  <c r="AL82" i="24" s="1"/>
  <c r="AN52" i="24"/>
  <c r="AN82" i="24" s="1"/>
  <c r="P52" i="18"/>
  <c r="P82" i="18" s="1"/>
  <c r="AV52" i="18"/>
  <c r="AV82" i="18" s="1"/>
  <c r="AJ52" i="18"/>
  <c r="AJ82" i="18" s="1"/>
  <c r="AF52" i="18"/>
  <c r="AF82" i="18" s="1"/>
  <c r="D52" i="18"/>
  <c r="D82" i="18" s="1"/>
  <c r="T52" i="18"/>
  <c r="T82" i="18" s="1"/>
  <c r="R52" i="18"/>
  <c r="R82" i="18" s="1"/>
  <c r="AP52" i="18"/>
  <c r="AP82" i="18" s="1"/>
  <c r="L52" i="18"/>
  <c r="L82" i="18" s="1"/>
  <c r="AD52" i="18"/>
  <c r="AD82" i="18" s="1"/>
  <c r="F52" i="18"/>
  <c r="F82" i="18" s="1"/>
  <c r="H52" i="18"/>
  <c r="H82" i="18" s="1"/>
  <c r="AR52" i="18"/>
  <c r="AR82" i="18" s="1"/>
  <c r="J52" i="18"/>
  <c r="J82" i="18" s="1"/>
  <c r="Z52" i="18"/>
  <c r="Z82" i="18" s="1"/>
  <c r="V52" i="18"/>
  <c r="V82" i="18" s="1"/>
  <c r="AB52" i="18"/>
  <c r="AB82" i="18" s="1"/>
  <c r="AN52" i="18"/>
  <c r="AN82" i="18" s="1"/>
  <c r="AT52" i="18"/>
  <c r="AT82" i="18" s="1"/>
  <c r="B52" i="18"/>
  <c r="B82" i="18" s="1"/>
  <c r="N52" i="18"/>
  <c r="N82" i="18" s="1"/>
  <c r="AH52" i="18"/>
  <c r="AH82" i="18" s="1"/>
  <c r="AL52" i="18"/>
  <c r="AL82" i="18" s="1"/>
  <c r="X52" i="18"/>
  <c r="X82" i="18" s="1"/>
  <c r="AR52" i="22"/>
  <c r="AR82" i="22" s="1"/>
  <c r="AF52" i="22"/>
  <c r="AF82" i="22" s="1"/>
  <c r="AB52" i="22"/>
  <c r="AB82" i="22" s="1"/>
  <c r="D52" i="22"/>
  <c r="D82" i="22" s="1"/>
  <c r="T52" i="22"/>
  <c r="T82" i="22" s="1"/>
  <c r="AV52" i="22"/>
  <c r="AV82" i="22" s="1"/>
  <c r="P52" i="22"/>
  <c r="P82" i="22" s="1"/>
  <c r="AJ52" i="22"/>
  <c r="AJ82" i="22" s="1"/>
  <c r="L52" i="22"/>
  <c r="L82" i="22" s="1"/>
  <c r="AN52" i="22"/>
  <c r="AN82" i="22" s="1"/>
  <c r="AT52" i="22"/>
  <c r="AT82" i="22" s="1"/>
  <c r="X52" i="22"/>
  <c r="X82" i="22" s="1"/>
  <c r="AD52" i="22"/>
  <c r="AD82" i="22" s="1"/>
  <c r="N52" i="22"/>
  <c r="N82" i="22" s="1"/>
  <c r="V52" i="22"/>
  <c r="V82" i="22" s="1"/>
  <c r="H52" i="22"/>
  <c r="H82" i="22" s="1"/>
  <c r="B52" i="22"/>
  <c r="B82" i="22" s="1"/>
  <c r="Z52" i="22"/>
  <c r="Z82" i="22" s="1"/>
  <c r="J52" i="22"/>
  <c r="J82" i="22" s="1"/>
  <c r="R52" i="22"/>
  <c r="R82" i="22" s="1"/>
  <c r="AH52" i="22"/>
  <c r="AH82" i="22" s="1"/>
  <c r="AP52" i="22"/>
  <c r="AP82" i="22" s="1"/>
  <c r="AL52" i="22"/>
  <c r="AL82" i="22" s="1"/>
  <c r="F52" i="22"/>
  <c r="F82" i="22" s="1"/>
  <c r="J52" i="12"/>
  <c r="J82" i="12" s="1"/>
  <c r="AB52" i="12"/>
  <c r="AB82" i="12" s="1"/>
  <c r="AV52" i="12"/>
  <c r="AV82" i="12" s="1"/>
  <c r="AR52" i="12"/>
  <c r="AR82" i="12" s="1"/>
  <c r="AP52" i="12"/>
  <c r="AP82" i="12" s="1"/>
  <c r="T52" i="12"/>
  <c r="T82" i="12" s="1"/>
  <c r="P52" i="12"/>
  <c r="P82" i="12" s="1"/>
  <c r="AJ52" i="12"/>
  <c r="AJ82" i="12" s="1"/>
  <c r="L52" i="12"/>
  <c r="L82" i="12" s="1"/>
  <c r="D52" i="12"/>
  <c r="D82" i="12" s="1"/>
  <c r="AF52" i="12"/>
  <c r="AF82" i="12" s="1"/>
  <c r="Z52" i="12"/>
  <c r="Z82" i="12" s="1"/>
  <c r="AT52" i="12"/>
  <c r="AT82" i="12" s="1"/>
  <c r="F52" i="12"/>
  <c r="F82" i="12" s="1"/>
  <c r="N52" i="12"/>
  <c r="N82" i="12" s="1"/>
  <c r="H52" i="12"/>
  <c r="H82" i="12" s="1"/>
  <c r="AD52" i="12"/>
  <c r="AD82" i="12" s="1"/>
  <c r="V52" i="12"/>
  <c r="V82" i="12" s="1"/>
  <c r="B52" i="12"/>
  <c r="B82" i="12" s="1"/>
  <c r="AH52" i="12"/>
  <c r="AH82" i="12" s="1"/>
  <c r="AN52" i="12"/>
  <c r="AN82" i="12" s="1"/>
  <c r="AL52" i="12"/>
  <c r="AL82" i="12" s="1"/>
  <c r="X52" i="12"/>
  <c r="X82" i="12" s="1"/>
  <c r="R52" i="12"/>
  <c r="R82" i="12" s="1"/>
  <c r="AV52" i="11"/>
  <c r="AV82" i="11" s="1"/>
  <c r="P52" i="11"/>
  <c r="P82" i="11" s="1"/>
  <c r="AF52" i="11"/>
  <c r="AF82" i="11" s="1"/>
  <c r="X52" i="11"/>
  <c r="X82" i="11" s="1"/>
  <c r="F52" i="11"/>
  <c r="F82" i="11" s="1"/>
  <c r="AH52" i="11"/>
  <c r="AH82" i="11" s="1"/>
  <c r="AR52" i="11"/>
  <c r="AR82" i="11" s="1"/>
  <c r="AT52" i="11"/>
  <c r="AT82" i="11" s="1"/>
  <c r="AB52" i="11"/>
  <c r="AB82" i="11" s="1"/>
  <c r="H52" i="11"/>
  <c r="H82" i="11" s="1"/>
  <c r="AJ52" i="11"/>
  <c r="AJ82" i="11" s="1"/>
  <c r="J52" i="11"/>
  <c r="J82" i="11" s="1"/>
  <c r="R52" i="11"/>
  <c r="R82" i="11" s="1"/>
  <c r="AL52" i="11"/>
  <c r="AL82" i="11" s="1"/>
  <c r="T52" i="11"/>
  <c r="T82" i="11" s="1"/>
  <c r="V52" i="11"/>
  <c r="V82" i="11" s="1"/>
  <c r="D52" i="11"/>
  <c r="D82" i="11" s="1"/>
  <c r="L52" i="11"/>
  <c r="L82" i="11" s="1"/>
  <c r="AN52" i="11"/>
  <c r="AN82" i="11" s="1"/>
  <c r="Z52" i="11"/>
  <c r="Z82" i="11" s="1"/>
  <c r="AD52" i="11"/>
  <c r="AD82" i="11" s="1"/>
  <c r="B52" i="11"/>
  <c r="B82" i="11" s="1"/>
  <c r="AP52" i="11"/>
  <c r="AP82" i="11" s="1"/>
  <c r="N52" i="11"/>
  <c r="N82" i="11" s="1"/>
  <c r="E57" i="1" l="1"/>
  <c r="G8" i="1" l="1"/>
  <c r="F8" i="1"/>
  <c r="A17" i="23" l="1"/>
  <c r="A18" i="23"/>
  <c r="A19" i="23"/>
  <c r="A20" i="23"/>
  <c r="A21" i="23"/>
  <c r="A22" i="23"/>
  <c r="A23" i="23"/>
  <c r="A24" i="23"/>
  <c r="A25" i="23"/>
  <c r="A26" i="23"/>
  <c r="A16" i="23"/>
  <c r="R19" i="23"/>
  <c r="Q19" i="23"/>
  <c r="P19" i="23"/>
  <c r="O19" i="23"/>
  <c r="B19" i="23" l="1"/>
  <c r="B3" i="39"/>
  <c r="C19" i="23"/>
  <c r="C3" i="39"/>
  <c r="I19" i="23"/>
  <c r="I3" i="39"/>
  <c r="N19" i="23"/>
  <c r="D19" i="23"/>
  <c r="D3" i="39"/>
  <c r="E19" i="23"/>
  <c r="E3" i="39"/>
  <c r="F19" i="23"/>
  <c r="F3" i="39"/>
  <c r="G19" i="23"/>
  <c r="G3" i="39"/>
  <c r="H19" i="23"/>
  <c r="H3" i="39"/>
  <c r="J19" i="23"/>
  <c r="J3" i="39"/>
  <c r="K19" i="23"/>
  <c r="K3" i="39"/>
  <c r="L19" i="23"/>
  <c r="L3" i="39"/>
  <c r="M19" i="23"/>
  <c r="M3" i="39"/>
  <c r="Y20" i="23"/>
  <c r="Y4" i="39"/>
  <c r="V20" i="23"/>
  <c r="V4" i="39"/>
  <c r="X20" i="23"/>
  <c r="X4" i="39"/>
  <c r="M20" i="23"/>
  <c r="M4" i="39"/>
  <c r="S20" i="23"/>
  <c r="S4" i="39"/>
  <c r="G20" i="23"/>
  <c r="G4" i="39"/>
  <c r="H20" i="23"/>
  <c r="H4" i="39"/>
  <c r="I20" i="23"/>
  <c r="I4" i="39"/>
  <c r="K20" i="23"/>
  <c r="K4" i="39"/>
  <c r="L20" i="23"/>
  <c r="L4" i="39"/>
  <c r="O20" i="23"/>
  <c r="O4" i="39"/>
  <c r="Q20" i="23"/>
  <c r="Q4" i="39"/>
  <c r="R20" i="23"/>
  <c r="R4" i="39"/>
  <c r="T20" i="23"/>
  <c r="T4" i="39"/>
  <c r="F20" i="23"/>
  <c r="F4" i="39"/>
  <c r="W20" i="23"/>
  <c r="W4" i="39"/>
  <c r="J20" i="23"/>
  <c r="J4" i="39"/>
  <c r="N20" i="23"/>
  <c r="N4" i="39"/>
  <c r="P20" i="23"/>
  <c r="P4" i="39"/>
  <c r="B20" i="23"/>
  <c r="B4" i="39"/>
  <c r="C20" i="23"/>
  <c r="C4" i="39"/>
  <c r="D20" i="23"/>
  <c r="D4" i="39"/>
  <c r="E20" i="23"/>
  <c r="E4" i="39"/>
  <c r="U20" i="23"/>
  <c r="U4" i="39"/>
  <c r="B51" i="3"/>
  <c r="B81" i="3" s="1"/>
  <c r="AV79" i="3" a="1"/>
  <c r="AV79" i="3" s="1"/>
  <c r="AT79" i="3" a="1"/>
  <c r="AT79" i="3" s="1"/>
  <c r="AR79" i="3" a="1"/>
  <c r="AR79" i="3" s="1"/>
  <c r="AP79" i="3" a="1"/>
  <c r="AP79" i="3" s="1"/>
  <c r="AN79" i="3" a="1"/>
  <c r="AN79" i="3" s="1"/>
  <c r="AL79" i="3" a="1"/>
  <c r="AL79" i="3" s="1"/>
  <c r="AJ79" i="3" a="1"/>
  <c r="AJ79" i="3" s="1"/>
  <c r="AH79" i="3" a="1"/>
  <c r="AH79" i="3" s="1"/>
  <c r="AF79" i="3" a="1"/>
  <c r="AF79" i="3" s="1"/>
  <c r="AD79" i="3" a="1"/>
  <c r="AD79" i="3" s="1"/>
  <c r="AB79" i="3" a="1"/>
  <c r="AB79" i="3" s="1"/>
  <c r="Z79" i="3" a="1"/>
  <c r="Z79" i="3" s="1"/>
  <c r="X79" i="3" a="1"/>
  <c r="X79" i="3" s="1"/>
  <c r="V79" i="3" a="1"/>
  <c r="V79" i="3" s="1"/>
  <c r="T79" i="3" a="1"/>
  <c r="T79" i="3" s="1"/>
  <c r="R79" i="3" a="1"/>
  <c r="R79" i="3" s="1"/>
  <c r="P79" i="3" a="1"/>
  <c r="P79" i="3" s="1"/>
  <c r="N79" i="3" a="1"/>
  <c r="N79" i="3" s="1"/>
  <c r="L79" i="3" a="1"/>
  <c r="L79" i="3" s="1"/>
  <c r="J79" i="3" a="1"/>
  <c r="J79" i="3" s="1"/>
  <c r="H79" i="3" a="1"/>
  <c r="H79" i="3" s="1"/>
  <c r="F79" i="3" a="1"/>
  <c r="F79" i="3" s="1"/>
  <c r="D79" i="3" a="1"/>
  <c r="D79" i="3" s="1"/>
  <c r="B79" i="3" a="1"/>
  <c r="B79" i="3" s="1"/>
  <c r="AV78" i="3" a="1"/>
  <c r="AV78" i="3" s="1"/>
  <c r="AT78" i="3" a="1"/>
  <c r="AT78" i="3" s="1"/>
  <c r="AR78" i="3" a="1"/>
  <c r="AR78" i="3" s="1"/>
  <c r="AP78" i="3" a="1"/>
  <c r="AP78" i="3" s="1"/>
  <c r="AN78" i="3" a="1"/>
  <c r="AN78" i="3" s="1"/>
  <c r="AL78" i="3" a="1"/>
  <c r="AL78" i="3" s="1"/>
  <c r="AJ78" i="3" a="1"/>
  <c r="AJ78" i="3" s="1"/>
  <c r="AH78" i="3" a="1"/>
  <c r="AH78" i="3" s="1"/>
  <c r="AF78" i="3" a="1"/>
  <c r="AF78" i="3" s="1"/>
  <c r="AD78" i="3" a="1"/>
  <c r="AD78" i="3" s="1"/>
  <c r="AB78" i="3" a="1"/>
  <c r="AB78" i="3" s="1"/>
  <c r="Z78" i="3" a="1"/>
  <c r="Z78" i="3" s="1"/>
  <c r="X78" i="3" a="1"/>
  <c r="X78" i="3" s="1"/>
  <c r="V78" i="3"/>
  <c r="V78" i="3" a="1"/>
  <c r="T78" i="3" a="1"/>
  <c r="T78" i="3" s="1"/>
  <c r="R78" i="3" a="1"/>
  <c r="R78" i="3" s="1"/>
  <c r="P78" i="3" a="1"/>
  <c r="P78" i="3" s="1"/>
  <c r="N78" i="3" a="1"/>
  <c r="N78" i="3" s="1"/>
  <c r="L78" i="3" a="1"/>
  <c r="L78" i="3" s="1"/>
  <c r="J78" i="3" a="1"/>
  <c r="J78" i="3" s="1"/>
  <c r="H78" i="3" a="1"/>
  <c r="H78" i="3" s="1"/>
  <c r="F78" i="3" a="1"/>
  <c r="F78" i="3" s="1"/>
  <c r="D78" i="3" a="1"/>
  <c r="D78" i="3" s="1"/>
  <c r="B78" i="3" a="1"/>
  <c r="B78" i="3" s="1"/>
  <c r="AV77" i="3" a="1"/>
  <c r="AV77" i="3" s="1"/>
  <c r="AT77" i="3" a="1"/>
  <c r="AT77" i="3" s="1"/>
  <c r="AR77" i="3" a="1"/>
  <c r="AR77" i="3" s="1"/>
  <c r="AP77" i="3" a="1"/>
  <c r="AP77" i="3" s="1"/>
  <c r="AN77" i="3" a="1"/>
  <c r="AN77" i="3" s="1"/>
  <c r="AL77" i="3" a="1"/>
  <c r="AL77" i="3" s="1"/>
  <c r="AJ77" i="3" a="1"/>
  <c r="AJ77" i="3" s="1"/>
  <c r="AH77" i="3" a="1"/>
  <c r="AH77" i="3" s="1"/>
  <c r="AF77" i="3" a="1"/>
  <c r="AF77" i="3" s="1"/>
  <c r="AD77" i="3" a="1"/>
  <c r="AD77" i="3" s="1"/>
  <c r="AB77" i="3" a="1"/>
  <c r="AB77" i="3" s="1"/>
  <c r="Z77" i="3" a="1"/>
  <c r="Z77" i="3" s="1"/>
  <c r="X77" i="3" a="1"/>
  <c r="X77" i="3" s="1"/>
  <c r="V77" i="3" a="1"/>
  <c r="V77" i="3" s="1"/>
  <c r="T77" i="3" a="1"/>
  <c r="T77" i="3" s="1"/>
  <c r="R77" i="3" a="1"/>
  <c r="R77" i="3" s="1"/>
  <c r="P77" i="3" a="1"/>
  <c r="P77" i="3" s="1"/>
  <c r="N77" i="3" a="1"/>
  <c r="N77" i="3" s="1"/>
  <c r="L77" i="3" a="1"/>
  <c r="L77" i="3" s="1"/>
  <c r="J77" i="3" a="1"/>
  <c r="J77" i="3" s="1"/>
  <c r="H77" i="3" a="1"/>
  <c r="H77" i="3" s="1"/>
  <c r="F77" i="3" a="1"/>
  <c r="F77" i="3" s="1"/>
  <c r="D77" i="3" a="1"/>
  <c r="D77" i="3" s="1"/>
  <c r="B77" i="3" a="1"/>
  <c r="B77" i="3" s="1"/>
  <c r="AV76" i="3" a="1"/>
  <c r="AV76" i="3" s="1"/>
  <c r="AT76" i="3" a="1"/>
  <c r="AT76" i="3" s="1"/>
  <c r="AR76" i="3" a="1"/>
  <c r="AR76" i="3" s="1"/>
  <c r="AP76" i="3" a="1"/>
  <c r="AP76" i="3" s="1"/>
  <c r="AN76" i="3" a="1"/>
  <c r="AN76" i="3" s="1"/>
  <c r="AL76" i="3" a="1"/>
  <c r="AL76" i="3" s="1"/>
  <c r="AJ76" i="3" a="1"/>
  <c r="AJ76" i="3" s="1"/>
  <c r="AH76" i="3" a="1"/>
  <c r="AH76" i="3" s="1"/>
  <c r="AF76" i="3" a="1"/>
  <c r="AF76" i="3" s="1"/>
  <c r="AD76" i="3" a="1"/>
  <c r="AD76" i="3" s="1"/>
  <c r="AB76" i="3" a="1"/>
  <c r="AB76" i="3" s="1"/>
  <c r="Z76" i="3" a="1"/>
  <c r="Z76" i="3" s="1"/>
  <c r="X76" i="3" a="1"/>
  <c r="X76" i="3" s="1"/>
  <c r="V76" i="3"/>
  <c r="V76" i="3" a="1"/>
  <c r="T76" i="3" a="1"/>
  <c r="T76" i="3" s="1"/>
  <c r="R76" i="3" a="1"/>
  <c r="R76" i="3" s="1"/>
  <c r="P76" i="3" a="1"/>
  <c r="P76" i="3" s="1"/>
  <c r="N76" i="3" a="1"/>
  <c r="N76" i="3" s="1"/>
  <c r="L76" i="3" a="1"/>
  <c r="L76" i="3" s="1"/>
  <c r="J76" i="3" a="1"/>
  <c r="J76" i="3" s="1"/>
  <c r="H76" i="3" a="1"/>
  <c r="H76" i="3" s="1"/>
  <c r="F76" i="3" a="1"/>
  <c r="F76" i="3" s="1"/>
  <c r="D76" i="3" a="1"/>
  <c r="D76" i="3" s="1"/>
  <c r="B76" i="3" a="1"/>
  <c r="B76" i="3" s="1"/>
  <c r="AV75" i="3" a="1"/>
  <c r="AV75" i="3" s="1"/>
  <c r="AT75" i="3" a="1"/>
  <c r="AT75" i="3" s="1"/>
  <c r="AR75" i="3" a="1"/>
  <c r="AR75" i="3" s="1"/>
  <c r="AP75" i="3" a="1"/>
  <c r="AP75" i="3" s="1"/>
  <c r="AN75" i="3" a="1"/>
  <c r="AN75" i="3" s="1"/>
  <c r="AL75" i="3"/>
  <c r="AL75" i="3" a="1"/>
  <c r="AJ75" i="3" a="1"/>
  <c r="AJ75" i="3" s="1"/>
  <c r="AH75" i="3" a="1"/>
  <c r="AH75" i="3" s="1"/>
  <c r="AF75" i="3" a="1"/>
  <c r="AF75" i="3" s="1"/>
  <c r="AD75" i="3" a="1"/>
  <c r="AD75" i="3" s="1"/>
  <c r="AB75" i="3" a="1"/>
  <c r="AB75" i="3" s="1"/>
  <c r="Z75" i="3" a="1"/>
  <c r="Z75" i="3" s="1"/>
  <c r="X75" i="3" a="1"/>
  <c r="X75" i="3" s="1"/>
  <c r="V75" i="3" a="1"/>
  <c r="V75" i="3" s="1"/>
  <c r="T75" i="3" a="1"/>
  <c r="T75" i="3" s="1"/>
  <c r="R75" i="3" a="1"/>
  <c r="R75" i="3" s="1"/>
  <c r="P75" i="3" a="1"/>
  <c r="P75" i="3" s="1"/>
  <c r="N75" i="3" a="1"/>
  <c r="N75" i="3" s="1"/>
  <c r="L75" i="3" a="1"/>
  <c r="L75" i="3" s="1"/>
  <c r="J75" i="3" a="1"/>
  <c r="J75" i="3" s="1"/>
  <c r="H75" i="3" a="1"/>
  <c r="H75" i="3" s="1"/>
  <c r="F75" i="3" a="1"/>
  <c r="F75" i="3" s="1"/>
  <c r="D75" i="3" a="1"/>
  <c r="D75" i="3" s="1"/>
  <c r="B75" i="3" a="1"/>
  <c r="B75" i="3" s="1"/>
  <c r="AV74" i="3" a="1"/>
  <c r="AV74" i="3" s="1"/>
  <c r="AT74" i="3" a="1"/>
  <c r="AT74" i="3" s="1"/>
  <c r="AR74" i="3" a="1"/>
  <c r="AR74" i="3" s="1"/>
  <c r="AP74" i="3" a="1"/>
  <c r="AP74" i="3" s="1"/>
  <c r="AN74" i="3" a="1"/>
  <c r="AN74" i="3" s="1"/>
  <c r="AL74" i="3" a="1"/>
  <c r="AL74" i="3" s="1"/>
  <c r="AJ74" i="3" a="1"/>
  <c r="AJ74" i="3" s="1"/>
  <c r="AH74" i="3" a="1"/>
  <c r="AH74" i="3" s="1"/>
  <c r="AF74" i="3" a="1"/>
  <c r="AF74" i="3" s="1"/>
  <c r="AD74" i="3" a="1"/>
  <c r="AD74" i="3" s="1"/>
  <c r="AB74" i="3" a="1"/>
  <c r="AB74" i="3" s="1"/>
  <c r="Z74" i="3" a="1"/>
  <c r="Z74" i="3" s="1"/>
  <c r="X74" i="3" a="1"/>
  <c r="X74" i="3" s="1"/>
  <c r="V74" i="3" a="1"/>
  <c r="V74" i="3" s="1"/>
  <c r="T74" i="3" a="1"/>
  <c r="T74" i="3" s="1"/>
  <c r="R74" i="3" a="1"/>
  <c r="R74" i="3" s="1"/>
  <c r="P74" i="3" a="1"/>
  <c r="P74" i="3" s="1"/>
  <c r="N74" i="3" a="1"/>
  <c r="N74" i="3" s="1"/>
  <c r="L74" i="3" a="1"/>
  <c r="L74" i="3" s="1"/>
  <c r="J74" i="3" a="1"/>
  <c r="J74" i="3" s="1"/>
  <c r="H74" i="3" a="1"/>
  <c r="H74" i="3" s="1"/>
  <c r="F74" i="3" a="1"/>
  <c r="F74" i="3" s="1"/>
  <c r="D74" i="3" a="1"/>
  <c r="D74" i="3" s="1"/>
  <c r="B74" i="3" a="1"/>
  <c r="B74" i="3" s="1"/>
  <c r="AV73" i="3" a="1"/>
  <c r="AV73" i="3" s="1"/>
  <c r="AT73" i="3" a="1"/>
  <c r="AT73" i="3" s="1"/>
  <c r="AR73" i="3" a="1"/>
  <c r="AR73" i="3" s="1"/>
  <c r="AP73" i="3" a="1"/>
  <c r="AP73" i="3" s="1"/>
  <c r="AN73" i="3" a="1"/>
  <c r="AN73" i="3" s="1"/>
  <c r="AL73" i="3"/>
  <c r="AL73" i="3" a="1"/>
  <c r="AJ73" i="3" a="1"/>
  <c r="AJ73" i="3" s="1"/>
  <c r="AH73" i="3" a="1"/>
  <c r="AH73" i="3" s="1"/>
  <c r="AF73" i="3" a="1"/>
  <c r="AF73" i="3" s="1"/>
  <c r="AD73" i="3" a="1"/>
  <c r="AD73" i="3" s="1"/>
  <c r="AB73" i="3" a="1"/>
  <c r="AB73" i="3" s="1"/>
  <c r="Z73" i="3" a="1"/>
  <c r="Z73" i="3" s="1"/>
  <c r="X73" i="3" a="1"/>
  <c r="X73" i="3" s="1"/>
  <c r="V73" i="3" a="1"/>
  <c r="V73" i="3" s="1"/>
  <c r="T73" i="3" a="1"/>
  <c r="T73" i="3" s="1"/>
  <c r="R73" i="3" a="1"/>
  <c r="R73" i="3" s="1"/>
  <c r="P73" i="3" a="1"/>
  <c r="P73" i="3" s="1"/>
  <c r="N73" i="3" a="1"/>
  <c r="N73" i="3" s="1"/>
  <c r="L73" i="3" a="1"/>
  <c r="L73" i="3" s="1"/>
  <c r="J73" i="3" a="1"/>
  <c r="J73" i="3" s="1"/>
  <c r="H73" i="3" a="1"/>
  <c r="H73" i="3" s="1"/>
  <c r="F73" i="3"/>
  <c r="F73" i="3" a="1"/>
  <c r="D73" i="3" a="1"/>
  <c r="D73" i="3" s="1"/>
  <c r="B73" i="3" a="1"/>
  <c r="B73" i="3" s="1"/>
  <c r="AV72" i="3"/>
  <c r="AT72" i="3"/>
  <c r="AR72" i="3"/>
  <c r="AP72" i="3"/>
  <c r="AN72" i="3"/>
  <c r="AL72" i="3"/>
  <c r="AJ72" i="3"/>
  <c r="AH72" i="3"/>
  <c r="AF72" i="3"/>
  <c r="AD72" i="3"/>
  <c r="AB72" i="3"/>
  <c r="Z72" i="3"/>
  <c r="X72" i="3"/>
  <c r="V72" i="3"/>
  <c r="T72" i="3"/>
  <c r="R72" i="3"/>
  <c r="P72" i="3"/>
  <c r="N72" i="3"/>
  <c r="L72" i="3"/>
  <c r="J72" i="3"/>
  <c r="H72" i="3"/>
  <c r="F72" i="3"/>
  <c r="D72" i="3"/>
  <c r="B72" i="3"/>
  <c r="AV71" i="3"/>
  <c r="AT71" i="3"/>
  <c r="AR71" i="3"/>
  <c r="AP71" i="3"/>
  <c r="AN71" i="3"/>
  <c r="AL71" i="3"/>
  <c r="AJ71" i="3"/>
  <c r="AH71" i="3"/>
  <c r="AF71" i="3"/>
  <c r="AD71" i="3"/>
  <c r="AB71" i="3"/>
  <c r="Z71" i="3"/>
  <c r="X71" i="3"/>
  <c r="V71" i="3"/>
  <c r="T71" i="3"/>
  <c r="R71" i="3"/>
  <c r="P71" i="3"/>
  <c r="N71" i="3"/>
  <c r="L71" i="3"/>
  <c r="J71" i="3"/>
  <c r="H71" i="3"/>
  <c r="F71" i="3"/>
  <c r="D71" i="3"/>
  <c r="B71" i="3"/>
  <c r="AV70" i="3"/>
  <c r="AT70" i="3"/>
  <c r="AR70" i="3"/>
  <c r="AP70" i="3"/>
  <c r="AN70" i="3"/>
  <c r="AL70" i="3"/>
  <c r="AJ70" i="3"/>
  <c r="AH70" i="3"/>
  <c r="AF70" i="3"/>
  <c r="AD70" i="3"/>
  <c r="AB70" i="3"/>
  <c r="Z70" i="3"/>
  <c r="X70" i="3"/>
  <c r="V70" i="3"/>
  <c r="T70" i="3"/>
  <c r="R70" i="3"/>
  <c r="P70" i="3"/>
  <c r="N70" i="3"/>
  <c r="L70" i="3"/>
  <c r="J70" i="3"/>
  <c r="H70" i="3"/>
  <c r="F70" i="3"/>
  <c r="D70" i="3"/>
  <c r="B70" i="3"/>
  <c r="AV67" i="3"/>
  <c r="AV67" i="3" a="1"/>
  <c r="AT67" i="3" a="1"/>
  <c r="AT67" i="3" s="1"/>
  <c r="AR67" i="3" a="1"/>
  <c r="AR67" i="3" s="1"/>
  <c r="AP67" i="3" a="1"/>
  <c r="AP67" i="3" s="1"/>
  <c r="AN67" i="3" a="1"/>
  <c r="AN67" i="3" s="1"/>
  <c r="AL67" i="3" a="1"/>
  <c r="AL67" i="3" s="1"/>
  <c r="AJ67" i="3" a="1"/>
  <c r="AJ67" i="3" s="1"/>
  <c r="AH67" i="3" a="1"/>
  <c r="AH67" i="3" s="1"/>
  <c r="AF67" i="3" a="1"/>
  <c r="AF67" i="3" s="1"/>
  <c r="AD67" i="3" a="1"/>
  <c r="AD67" i="3" s="1"/>
  <c r="AB67" i="3" a="1"/>
  <c r="AB67" i="3" s="1"/>
  <c r="Z67" i="3" a="1"/>
  <c r="Z67" i="3" s="1"/>
  <c r="X67" i="3"/>
  <c r="X67" i="3" a="1"/>
  <c r="V67" i="3" a="1"/>
  <c r="V67" i="3" s="1"/>
  <c r="T67" i="3" a="1"/>
  <c r="T67" i="3" s="1"/>
  <c r="R67" i="3" a="1"/>
  <c r="R67" i="3" s="1"/>
  <c r="P67" i="3" a="1"/>
  <c r="P67" i="3" s="1"/>
  <c r="N67" i="3" a="1"/>
  <c r="N67" i="3" s="1"/>
  <c r="L67" i="3" a="1"/>
  <c r="L67" i="3" s="1"/>
  <c r="J67" i="3" a="1"/>
  <c r="J67" i="3" s="1"/>
  <c r="H67" i="3" a="1"/>
  <c r="H67" i="3" s="1"/>
  <c r="F67" i="3" a="1"/>
  <c r="F67" i="3" s="1"/>
  <c r="D67" i="3" a="1"/>
  <c r="D67" i="3" s="1"/>
  <c r="B67" i="3" a="1"/>
  <c r="B67" i="3" s="1"/>
  <c r="AV66" i="3" a="1"/>
  <c r="AV66" i="3" s="1"/>
  <c r="AT66" i="3"/>
  <c r="AT66" i="3" a="1"/>
  <c r="AR66" i="3" a="1"/>
  <c r="AR66" i="3" s="1"/>
  <c r="AP66" i="3" a="1"/>
  <c r="AP66" i="3" s="1"/>
  <c r="AN66" i="3" a="1"/>
  <c r="AN66" i="3" s="1"/>
  <c r="AL66" i="3" a="1"/>
  <c r="AL66" i="3" s="1"/>
  <c r="AJ66" i="3" a="1"/>
  <c r="AJ66" i="3" s="1"/>
  <c r="AH66" i="3" a="1"/>
  <c r="AH66" i="3" s="1"/>
  <c r="AF66" i="3" a="1"/>
  <c r="AF66" i="3" s="1"/>
  <c r="AD66" i="3" a="1"/>
  <c r="AD66" i="3" s="1"/>
  <c r="AB66" i="3" a="1"/>
  <c r="AB66" i="3" s="1"/>
  <c r="Z66" i="3" a="1"/>
  <c r="Z66" i="3" s="1"/>
  <c r="X66" i="3" a="1"/>
  <c r="X66" i="3" s="1"/>
  <c r="V66" i="3" a="1"/>
  <c r="V66" i="3" s="1"/>
  <c r="T66" i="3" a="1"/>
  <c r="T66" i="3" s="1"/>
  <c r="R66" i="3" a="1"/>
  <c r="R66" i="3" s="1"/>
  <c r="P66" i="3" a="1"/>
  <c r="P66" i="3" s="1"/>
  <c r="N66" i="3" a="1"/>
  <c r="N66" i="3" s="1"/>
  <c r="L66" i="3" a="1"/>
  <c r="L66" i="3" s="1"/>
  <c r="J66" i="3" a="1"/>
  <c r="J66" i="3" s="1"/>
  <c r="H66" i="3" a="1"/>
  <c r="H66" i="3" s="1"/>
  <c r="F66" i="3" a="1"/>
  <c r="F66" i="3" s="1"/>
  <c r="D66" i="3" a="1"/>
  <c r="D66" i="3" s="1"/>
  <c r="B66" i="3" a="1"/>
  <c r="B66" i="3" s="1"/>
  <c r="AV65" i="3" a="1"/>
  <c r="AV65" i="3" s="1"/>
  <c r="AV69" i="3" s="1"/>
  <c r="AT65" i="3" a="1"/>
  <c r="AT65" i="3" s="1"/>
  <c r="AT69" i="3" s="1"/>
  <c r="AR65" i="3" a="1"/>
  <c r="AR65" i="3" s="1"/>
  <c r="AR69" i="3" s="1"/>
  <c r="AP65" i="3" a="1"/>
  <c r="AP65" i="3" s="1"/>
  <c r="AP69" i="3" s="1"/>
  <c r="AN65" i="3" a="1"/>
  <c r="AN65" i="3" s="1"/>
  <c r="AN69" i="3" s="1"/>
  <c r="AL65" i="3" a="1"/>
  <c r="AL65" i="3" s="1"/>
  <c r="AL69" i="3" s="1"/>
  <c r="AJ65" i="3" a="1"/>
  <c r="AJ65" i="3" s="1"/>
  <c r="AJ69" i="3" s="1"/>
  <c r="AH65" i="3" a="1"/>
  <c r="AH65" i="3" s="1"/>
  <c r="AH69" i="3" s="1"/>
  <c r="AF65" i="3" a="1"/>
  <c r="AF65" i="3" s="1"/>
  <c r="AF69" i="3" s="1"/>
  <c r="AD65" i="3" a="1"/>
  <c r="AD65" i="3" s="1"/>
  <c r="AD69" i="3" s="1"/>
  <c r="AB65" i="3" a="1"/>
  <c r="AB65" i="3" s="1"/>
  <c r="AB69" i="3" s="1"/>
  <c r="Z65" i="3" a="1"/>
  <c r="Z65" i="3" s="1"/>
  <c r="Z69" i="3" s="1"/>
  <c r="X65" i="3" a="1"/>
  <c r="X65" i="3" s="1"/>
  <c r="X69" i="3" s="1"/>
  <c r="V65" i="3" a="1"/>
  <c r="V65" i="3" s="1"/>
  <c r="V69" i="3" s="1"/>
  <c r="T65" i="3" a="1"/>
  <c r="T65" i="3" s="1"/>
  <c r="T69" i="3" s="1"/>
  <c r="R65" i="3" a="1"/>
  <c r="R65" i="3" s="1"/>
  <c r="R69" i="3" s="1"/>
  <c r="P65" i="3" a="1"/>
  <c r="P65" i="3" s="1"/>
  <c r="P69" i="3" s="1"/>
  <c r="N65" i="3" a="1"/>
  <c r="N65" i="3" s="1"/>
  <c r="N69" i="3" s="1"/>
  <c r="L65" i="3" a="1"/>
  <c r="L65" i="3" s="1"/>
  <c r="L69" i="3" s="1"/>
  <c r="J65" i="3" a="1"/>
  <c r="J65" i="3" s="1"/>
  <c r="J69" i="3" s="1"/>
  <c r="H65" i="3" a="1"/>
  <c r="H65" i="3" s="1"/>
  <c r="H69" i="3" s="1"/>
  <c r="F65" i="3" a="1"/>
  <c r="F65" i="3" s="1"/>
  <c r="F69" i="3" s="1"/>
  <c r="D65" i="3" a="1"/>
  <c r="D65" i="3" s="1"/>
  <c r="D69" i="3" s="1"/>
  <c r="B65" i="3"/>
  <c r="B69" i="3" s="1"/>
  <c r="X68" i="3" l="1"/>
  <c r="Z68" i="3"/>
  <c r="V68" i="3"/>
  <c r="AF68" i="3"/>
  <c r="AT68" i="3"/>
  <c r="B68" i="3"/>
  <c r="AH68" i="3"/>
  <c r="AJ68" i="3"/>
  <c r="AP68" i="3"/>
  <c r="AV68" i="3"/>
  <c r="R68" i="3"/>
  <c r="N68" i="3"/>
  <c r="L68" i="3"/>
  <c r="AD68" i="3"/>
  <c r="T68" i="3"/>
  <c r="P68" i="3"/>
  <c r="F68" i="3"/>
  <c r="AL68" i="3"/>
  <c r="H68" i="3"/>
  <c r="D68" i="3"/>
  <c r="J68" i="3"/>
  <c r="AR68" i="3"/>
  <c r="AB68" i="3"/>
  <c r="AN68" i="3"/>
  <c r="AV62" i="3" l="1"/>
  <c r="AT62" i="3"/>
  <c r="AR62" i="3"/>
  <c r="AP62" i="3"/>
  <c r="AN62" i="3"/>
  <c r="AL62" i="3"/>
  <c r="AJ62" i="3"/>
  <c r="AH62" i="3"/>
  <c r="AF62" i="3"/>
  <c r="AD62" i="3"/>
  <c r="AB62" i="3"/>
  <c r="Z62" i="3"/>
  <c r="X62" i="3"/>
  <c r="V62" i="3"/>
  <c r="T62" i="3"/>
  <c r="R62" i="3"/>
  <c r="P62" i="3"/>
  <c r="N62" i="3"/>
  <c r="L62" i="3"/>
  <c r="J62" i="3"/>
  <c r="H62" i="3"/>
  <c r="F62" i="3"/>
  <c r="D62" i="3"/>
  <c r="B62" i="3"/>
  <c r="AV59" i="3" l="1"/>
  <c r="AT59" i="3"/>
  <c r="AR59" i="3"/>
  <c r="AP59" i="3"/>
  <c r="AN59" i="3"/>
  <c r="AL59" i="3"/>
  <c r="AJ59" i="3"/>
  <c r="AH59" i="3"/>
  <c r="AF59" i="3"/>
  <c r="AD59" i="3"/>
  <c r="AB59" i="3"/>
  <c r="Z59" i="3"/>
  <c r="X59" i="3"/>
  <c r="V59" i="3"/>
  <c r="T59" i="3"/>
  <c r="R59" i="3"/>
  <c r="P59" i="3"/>
  <c r="N59" i="3"/>
  <c r="L59" i="3"/>
  <c r="J59" i="3"/>
  <c r="H59" i="3"/>
  <c r="F59" i="3"/>
  <c r="D59" i="3"/>
  <c r="B59" i="3"/>
  <c r="B43" i="3" l="1"/>
  <c r="AV55" i="3"/>
  <c r="AV80" i="3" s="1"/>
  <c r="AT55" i="3"/>
  <c r="AT80" i="3" s="1"/>
  <c r="AR55" i="3"/>
  <c r="AR80" i="3" s="1"/>
  <c r="AP55" i="3"/>
  <c r="AP80" i="3" s="1"/>
  <c r="AN55" i="3"/>
  <c r="AN80" i="3" s="1"/>
  <c r="AL55" i="3"/>
  <c r="AL80" i="3" s="1"/>
  <c r="AJ55" i="3"/>
  <c r="AJ80" i="3" s="1"/>
  <c r="AH55" i="3"/>
  <c r="AH80" i="3" s="1"/>
  <c r="AF55" i="3"/>
  <c r="AF80" i="3" s="1"/>
  <c r="AD55" i="3"/>
  <c r="AD80" i="3" s="1"/>
  <c r="AB55" i="3"/>
  <c r="AB80" i="3" s="1"/>
  <c r="Z55" i="3"/>
  <c r="Z80" i="3" s="1"/>
  <c r="X55" i="3"/>
  <c r="X80" i="3" s="1"/>
  <c r="V55" i="3"/>
  <c r="V80" i="3" s="1"/>
  <c r="T55" i="3"/>
  <c r="T80" i="3" s="1"/>
  <c r="R55" i="3"/>
  <c r="R80" i="3" s="1"/>
  <c r="P55" i="3"/>
  <c r="P80" i="3" s="1"/>
  <c r="N55" i="3"/>
  <c r="N80" i="3" s="1"/>
  <c r="L55" i="3"/>
  <c r="L80" i="3" s="1"/>
  <c r="J55" i="3"/>
  <c r="J80" i="3" s="1"/>
  <c r="H55" i="3"/>
  <c r="H80" i="3" s="1"/>
  <c r="F55" i="3"/>
  <c r="F80" i="3" s="1"/>
  <c r="D55" i="3"/>
  <c r="D80" i="3" s="1"/>
  <c r="B55" i="3"/>
  <c r="B80" i="3" s="1"/>
  <c r="AV52" i="3" a="1"/>
  <c r="AT52" i="3" a="1"/>
  <c r="AR52" i="3" a="1"/>
  <c r="AP52" i="3" a="1"/>
  <c r="AN52" i="3" a="1"/>
  <c r="AL52" i="3" a="1"/>
  <c r="AJ52" i="3" a="1"/>
  <c r="AH52" i="3" a="1"/>
  <c r="AF52" i="3" a="1"/>
  <c r="AD52" i="3" a="1"/>
  <c r="AB52" i="3" a="1"/>
  <c r="Z52" i="3" a="1"/>
  <c r="X52" i="3" a="1"/>
  <c r="V52" i="3" a="1"/>
  <c r="T52" i="3" a="1"/>
  <c r="R52" i="3" a="1"/>
  <c r="P52" i="3" a="1"/>
  <c r="N52" i="3" a="1"/>
  <c r="L52" i="3" a="1"/>
  <c r="J52" i="3" a="1"/>
  <c r="H52" i="3" a="1"/>
  <c r="F52" i="3" a="1"/>
  <c r="D52" i="3" a="1"/>
  <c r="B52" i="3" a="1"/>
  <c r="AV51" i="3"/>
  <c r="AV81" i="3" s="1"/>
  <c r="AT51" i="3"/>
  <c r="AT81" i="3" s="1"/>
  <c r="AR51" i="3"/>
  <c r="AR81" i="3" s="1"/>
  <c r="AP51" i="3"/>
  <c r="AP81" i="3" s="1"/>
  <c r="AN51" i="3"/>
  <c r="AN81" i="3" s="1"/>
  <c r="AL51" i="3"/>
  <c r="AL81" i="3" s="1"/>
  <c r="AJ51" i="3"/>
  <c r="AJ81" i="3" s="1"/>
  <c r="AH51" i="3"/>
  <c r="AH81" i="3" s="1"/>
  <c r="AF51" i="3"/>
  <c r="AF81" i="3" s="1"/>
  <c r="AD51" i="3"/>
  <c r="AD81" i="3" s="1"/>
  <c r="AB51" i="3"/>
  <c r="AB81" i="3" s="1"/>
  <c r="Z51" i="3"/>
  <c r="Z81" i="3" s="1"/>
  <c r="X51" i="3"/>
  <c r="X81" i="3" s="1"/>
  <c r="V51" i="3"/>
  <c r="V81" i="3" s="1"/>
  <c r="T51" i="3"/>
  <c r="T81" i="3" s="1"/>
  <c r="R51" i="3"/>
  <c r="R81" i="3" s="1"/>
  <c r="P51" i="3"/>
  <c r="P81" i="3" s="1"/>
  <c r="N51" i="3"/>
  <c r="N81" i="3" s="1"/>
  <c r="L51" i="3"/>
  <c r="L81" i="3" s="1"/>
  <c r="J51" i="3"/>
  <c r="J81" i="3" s="1"/>
  <c r="H51" i="3"/>
  <c r="H81" i="3" s="1"/>
  <c r="F51" i="3"/>
  <c r="F81" i="3" s="1"/>
  <c r="D51" i="3"/>
  <c r="D81" i="3" s="1"/>
  <c r="B44" i="3"/>
  <c r="Y56" i="23" l="1"/>
  <c r="Y70" i="23" s="1"/>
  <c r="X56" i="23"/>
  <c r="X70" i="23" s="1"/>
  <c r="W56" i="23"/>
  <c r="W70" i="23" s="1"/>
  <c r="V56" i="23"/>
  <c r="V70" i="23" s="1"/>
  <c r="U56" i="23"/>
  <c r="U70" i="23" s="1"/>
  <c r="T56" i="23"/>
  <c r="T70" i="23" s="1"/>
  <c r="S56" i="23"/>
  <c r="S70" i="23" s="1"/>
  <c r="R56" i="23"/>
  <c r="R70" i="23" s="1"/>
  <c r="Q56" i="23"/>
  <c r="Q70" i="23" s="1"/>
  <c r="P56" i="23"/>
  <c r="P70" i="23" s="1"/>
  <c r="O56" i="23"/>
  <c r="O70" i="23" s="1"/>
  <c r="N56" i="23"/>
  <c r="N70" i="23" s="1"/>
  <c r="M56" i="23"/>
  <c r="M70" i="23" s="1"/>
  <c r="L56" i="23"/>
  <c r="L70" i="23" s="1"/>
  <c r="K56" i="23"/>
  <c r="J56" i="23"/>
  <c r="I56" i="23"/>
  <c r="H56" i="23"/>
  <c r="G56" i="23"/>
  <c r="F56" i="23"/>
  <c r="E56" i="23"/>
  <c r="D56" i="23"/>
  <c r="C56" i="23"/>
  <c r="B56" i="23"/>
  <c r="X69" i="23"/>
  <c r="B55" i="23"/>
  <c r="Y54" i="23"/>
  <c r="X54" i="23"/>
  <c r="W54" i="23"/>
  <c r="V54" i="23"/>
  <c r="U54" i="23"/>
  <c r="T54" i="23"/>
  <c r="S54" i="23"/>
  <c r="R54" i="23"/>
  <c r="Q54" i="23"/>
  <c r="P54" i="23"/>
  <c r="O54" i="23"/>
  <c r="N54" i="23"/>
  <c r="M54" i="23"/>
  <c r="L54" i="23"/>
  <c r="K54" i="23"/>
  <c r="J54" i="23"/>
  <c r="I54" i="23"/>
  <c r="H54" i="23"/>
  <c r="G54" i="23"/>
  <c r="F54" i="23"/>
  <c r="E54" i="23"/>
  <c r="D54" i="23"/>
  <c r="C54" i="23"/>
  <c r="B54" i="23"/>
  <c r="Y53" i="23"/>
  <c r="X53" i="23"/>
  <c r="W53" i="23"/>
  <c r="V53" i="23"/>
  <c r="U53" i="23"/>
  <c r="T53" i="23"/>
  <c r="S53" i="23"/>
  <c r="R53" i="23"/>
  <c r="Q53" i="23"/>
  <c r="P53" i="23"/>
  <c r="O53" i="23"/>
  <c r="N53" i="23"/>
  <c r="M53" i="23"/>
  <c r="L53" i="23"/>
  <c r="K53" i="23"/>
  <c r="J53" i="23"/>
  <c r="I53" i="23"/>
  <c r="H53" i="23"/>
  <c r="G53" i="23"/>
  <c r="F53" i="23"/>
  <c r="E53" i="23"/>
  <c r="D53" i="23"/>
  <c r="C53" i="23"/>
  <c r="B53" i="23"/>
  <c r="S52" i="23"/>
  <c r="R52" i="23"/>
  <c r="R66" i="23" s="1"/>
  <c r="Q52" i="23"/>
  <c r="P52" i="23"/>
  <c r="O52" i="23"/>
  <c r="N52" i="23"/>
  <c r="M52" i="23"/>
  <c r="L52" i="23"/>
  <c r="K52" i="23"/>
  <c r="J52" i="23"/>
  <c r="I52" i="23"/>
  <c r="H52" i="23"/>
  <c r="G52" i="23"/>
  <c r="F52" i="23"/>
  <c r="E52" i="23"/>
  <c r="D52" i="23"/>
  <c r="C52" i="23"/>
  <c r="B52" i="23"/>
  <c r="B51" i="23"/>
  <c r="Y49" i="23"/>
  <c r="Y63" i="23" s="1"/>
  <c r="X49" i="23"/>
  <c r="X63" i="23" s="1"/>
  <c r="W49" i="23"/>
  <c r="V49" i="23"/>
  <c r="U49" i="23"/>
  <c r="T49" i="23"/>
  <c r="S49" i="23"/>
  <c r="R49" i="23"/>
  <c r="Q49" i="23"/>
  <c r="P49" i="23"/>
  <c r="O49" i="23"/>
  <c r="N49" i="23"/>
  <c r="M49" i="23"/>
  <c r="L49" i="23"/>
  <c r="K49" i="23"/>
  <c r="J49" i="23"/>
  <c r="I49" i="23"/>
  <c r="H49" i="23"/>
  <c r="G49" i="23"/>
  <c r="F49" i="23"/>
  <c r="E49" i="23"/>
  <c r="D49" i="23"/>
  <c r="C49" i="23"/>
  <c r="B49" i="23"/>
  <c r="Y81" i="23" l="1"/>
  <c r="X81" i="23"/>
  <c r="W81" i="23"/>
  <c r="V81" i="23"/>
  <c r="U81" i="23"/>
  <c r="T81" i="23"/>
  <c r="S81" i="23"/>
  <c r="R81" i="23"/>
  <c r="Q81" i="23"/>
  <c r="P81" i="23"/>
  <c r="O81" i="23"/>
  <c r="N81" i="23"/>
  <c r="M81" i="23"/>
  <c r="L81" i="23"/>
  <c r="K81" i="23"/>
  <c r="J81" i="23"/>
  <c r="I81" i="23"/>
  <c r="H81" i="23"/>
  <c r="G81" i="23"/>
  <c r="F81" i="23"/>
  <c r="E81" i="23"/>
  <c r="D81" i="23"/>
  <c r="C81" i="23"/>
  <c r="B81" i="23"/>
  <c r="Y80" i="23"/>
  <c r="X80" i="23"/>
  <c r="W80" i="23"/>
  <c r="V80" i="23"/>
  <c r="U80" i="23"/>
  <c r="T80" i="23"/>
  <c r="S80" i="23"/>
  <c r="R80" i="23"/>
  <c r="Q80" i="23"/>
  <c r="P80" i="23"/>
  <c r="O80" i="23"/>
  <c r="N80" i="23"/>
  <c r="M80" i="23"/>
  <c r="L80" i="23"/>
  <c r="K80" i="23"/>
  <c r="J80" i="23"/>
  <c r="I80" i="23"/>
  <c r="H80" i="23"/>
  <c r="G80" i="23"/>
  <c r="F80" i="23"/>
  <c r="E80" i="23"/>
  <c r="D80" i="23"/>
  <c r="C80" i="23"/>
  <c r="B80" i="23"/>
  <c r="Y79" i="23"/>
  <c r="X79" i="23"/>
  <c r="W79" i="23"/>
  <c r="V79" i="23"/>
  <c r="U79" i="23"/>
  <c r="T79" i="23"/>
  <c r="S79" i="23"/>
  <c r="R79" i="23"/>
  <c r="Q79" i="23"/>
  <c r="P79" i="23"/>
  <c r="O79" i="23"/>
  <c r="N79" i="23"/>
  <c r="M79" i="23"/>
  <c r="L79" i="23"/>
  <c r="K79" i="23"/>
  <c r="J79" i="23"/>
  <c r="I79" i="23"/>
  <c r="H79" i="23"/>
  <c r="G79" i="23"/>
  <c r="F79" i="23"/>
  <c r="E79" i="23"/>
  <c r="D79" i="23"/>
  <c r="C79" i="23"/>
  <c r="B79" i="23"/>
  <c r="Y78" i="23"/>
  <c r="X78" i="23"/>
  <c r="W78" i="23"/>
  <c r="V78" i="23"/>
  <c r="U78" i="23"/>
  <c r="T78" i="23"/>
  <c r="S78" i="23"/>
  <c r="R78" i="23"/>
  <c r="Q78" i="23"/>
  <c r="P78" i="23"/>
  <c r="O78" i="23"/>
  <c r="N78" i="23"/>
  <c r="M78" i="23"/>
  <c r="L78" i="23"/>
  <c r="K78" i="23"/>
  <c r="J78" i="23"/>
  <c r="I78" i="23"/>
  <c r="H78" i="23"/>
  <c r="G78" i="23"/>
  <c r="F78" i="23"/>
  <c r="E78" i="23"/>
  <c r="D78" i="23"/>
  <c r="C78" i="23"/>
  <c r="B78" i="23"/>
  <c r="Y77" i="23"/>
  <c r="X77" i="23"/>
  <c r="W77" i="23"/>
  <c r="V77" i="23"/>
  <c r="U77" i="23"/>
  <c r="T77" i="23"/>
  <c r="S77" i="23"/>
  <c r="R77" i="23"/>
  <c r="Q77" i="23"/>
  <c r="P77" i="23"/>
  <c r="O77" i="23"/>
  <c r="N77" i="23"/>
  <c r="M77" i="23"/>
  <c r="L77" i="23"/>
  <c r="K77" i="23"/>
  <c r="J77" i="23"/>
  <c r="I77" i="23"/>
  <c r="H77" i="23"/>
  <c r="G77" i="23"/>
  <c r="F77" i="23"/>
  <c r="E77" i="23"/>
  <c r="D77" i="23"/>
  <c r="C77" i="23"/>
  <c r="B77" i="23"/>
  <c r="Y76" i="23"/>
  <c r="X76" i="23"/>
  <c r="W76" i="23"/>
  <c r="V76" i="23"/>
  <c r="U76" i="23"/>
  <c r="T76" i="23"/>
  <c r="S76" i="23"/>
  <c r="R76" i="23"/>
  <c r="Q76" i="23"/>
  <c r="P76" i="23"/>
  <c r="O76" i="23"/>
  <c r="N76" i="23"/>
  <c r="M76" i="23"/>
  <c r="L76" i="23"/>
  <c r="K76" i="23"/>
  <c r="J76" i="23"/>
  <c r="I76" i="23"/>
  <c r="H76" i="23"/>
  <c r="G76" i="23"/>
  <c r="F76" i="23"/>
  <c r="E76" i="23"/>
  <c r="D76" i="23"/>
  <c r="C76" i="23"/>
  <c r="B76" i="23"/>
  <c r="Y75" i="23"/>
  <c r="X75" i="23"/>
  <c r="W75" i="23"/>
  <c r="V75" i="23"/>
  <c r="U75" i="23"/>
  <c r="T75" i="23"/>
  <c r="S75" i="23"/>
  <c r="R75" i="23"/>
  <c r="Q75" i="23"/>
  <c r="P75" i="23"/>
  <c r="O75" i="23"/>
  <c r="N75" i="23"/>
  <c r="M75" i="23"/>
  <c r="L75" i="23"/>
  <c r="K75" i="23"/>
  <c r="J75" i="23"/>
  <c r="I75" i="23"/>
  <c r="H75" i="23"/>
  <c r="G75" i="23"/>
  <c r="F75" i="23"/>
  <c r="E75" i="23"/>
  <c r="D75" i="23"/>
  <c r="C75" i="23"/>
  <c r="B75" i="23"/>
  <c r="Y74" i="23"/>
  <c r="X74" i="23"/>
  <c r="W74" i="23"/>
  <c r="V74" i="23"/>
  <c r="U74" i="23"/>
  <c r="T74" i="23"/>
  <c r="S74" i="23"/>
  <c r="R74" i="23"/>
  <c r="Q74" i="23"/>
  <c r="P74" i="23"/>
  <c r="O74" i="23"/>
  <c r="N74" i="23"/>
  <c r="M74" i="23"/>
  <c r="L74" i="23"/>
  <c r="K74" i="23"/>
  <c r="J74" i="23"/>
  <c r="I74" i="23"/>
  <c r="H74" i="23"/>
  <c r="G74" i="23"/>
  <c r="F74" i="23"/>
  <c r="E74" i="23"/>
  <c r="D74" i="23"/>
  <c r="C74" i="23"/>
  <c r="B74" i="23"/>
  <c r="AT52" i="3" l="1"/>
  <c r="AT82" i="3" s="1"/>
  <c r="AB52" i="3"/>
  <c r="AB82" i="3" s="1"/>
  <c r="J52" i="3"/>
  <c r="J82" i="3" s="1"/>
  <c r="L52" i="3"/>
  <c r="L82" i="3" s="1"/>
  <c r="B52" i="3"/>
  <c r="B82" i="3" s="1"/>
  <c r="AJ52" i="3"/>
  <c r="AJ82" i="3" s="1"/>
  <c r="R52" i="3"/>
  <c r="R82" i="3" s="1"/>
  <c r="AD52" i="3"/>
  <c r="AD82" i="3" s="1"/>
  <c r="T52" i="3"/>
  <c r="T82" i="3" s="1"/>
  <c r="AR52" i="3"/>
  <c r="AR82" i="3" s="1"/>
  <c r="Z52" i="3"/>
  <c r="Z82" i="3" s="1"/>
  <c r="AH52" i="3"/>
  <c r="AH82" i="3" s="1"/>
  <c r="F52" i="3"/>
  <c r="F82" i="3" s="1"/>
  <c r="AL52" i="3"/>
  <c r="AL82" i="3" s="1"/>
  <c r="AP52" i="3"/>
  <c r="AP82" i="3" s="1"/>
  <c r="N52" i="3"/>
  <c r="N82" i="3" s="1"/>
  <c r="V52" i="3"/>
  <c r="V82" i="3" s="1"/>
  <c r="D52" i="3"/>
  <c r="D82" i="3" s="1"/>
  <c r="X52" i="3"/>
  <c r="X82" i="3" s="1"/>
  <c r="AN52" i="3"/>
  <c r="AN82" i="3" s="1"/>
  <c r="H52" i="3"/>
  <c r="H82" i="3" s="1"/>
  <c r="AF52" i="3"/>
  <c r="AF82" i="3" s="1"/>
  <c r="AV52" i="3"/>
  <c r="AV82" i="3" s="1"/>
  <c r="P52" i="3"/>
  <c r="P82" i="3" s="1"/>
  <c r="AV46" i="3"/>
  <c r="AV45" i="3"/>
  <c r="AV44" i="3"/>
  <c r="AV43" i="3" a="1"/>
  <c r="AV43" i="3" s="1"/>
  <c r="AV42" i="3"/>
  <c r="AT42" i="3"/>
  <c r="AR42" i="3"/>
  <c r="AP42" i="3"/>
  <c r="AN42" i="3"/>
  <c r="AL42" i="3"/>
  <c r="AJ42" i="3"/>
  <c r="AH42" i="3"/>
  <c r="AF42" i="3"/>
  <c r="AD42" i="3"/>
  <c r="AB42" i="3"/>
  <c r="Z42" i="3"/>
  <c r="X42" i="3"/>
  <c r="V42" i="3"/>
  <c r="T42" i="3"/>
  <c r="R42" i="3"/>
  <c r="P42" i="3"/>
  <c r="N42" i="3"/>
  <c r="L42" i="3"/>
  <c r="J42" i="3"/>
  <c r="H42" i="3"/>
  <c r="F42" i="3"/>
  <c r="D42" i="3"/>
  <c r="B42" i="3"/>
  <c r="AV49" i="3" l="1"/>
  <c r="AT49" i="3"/>
  <c r="AR49" i="3"/>
  <c r="AP49" i="3"/>
  <c r="AN49" i="3"/>
  <c r="AL49" i="3"/>
  <c r="AJ49" i="3"/>
  <c r="AH49" i="3"/>
  <c r="AF49" i="3"/>
  <c r="AD49" i="3"/>
  <c r="AB49" i="3"/>
  <c r="Z49" i="3"/>
  <c r="X49" i="3"/>
  <c r="V49" i="3"/>
  <c r="T49" i="3"/>
  <c r="R49" i="3"/>
  <c r="P49" i="3"/>
  <c r="N49" i="3"/>
  <c r="L49" i="3"/>
  <c r="J49" i="3"/>
  <c r="H49" i="3"/>
  <c r="F49" i="3"/>
  <c r="D49" i="3"/>
  <c r="B49" i="3"/>
  <c r="AV48" i="3"/>
  <c r="AT48" i="3"/>
  <c r="AR48" i="3"/>
  <c r="AP48" i="3"/>
  <c r="AN48" i="3"/>
  <c r="AL48" i="3"/>
  <c r="AJ48" i="3"/>
  <c r="AH48" i="3"/>
  <c r="AF48" i="3"/>
  <c r="AD48" i="3"/>
  <c r="AB48" i="3"/>
  <c r="Z48" i="3"/>
  <c r="X48" i="3"/>
  <c r="V48" i="3"/>
  <c r="T48" i="3"/>
  <c r="R48" i="3"/>
  <c r="P48" i="3"/>
  <c r="N48" i="3"/>
  <c r="L48" i="3"/>
  <c r="J48" i="3"/>
  <c r="H48" i="3"/>
  <c r="F48" i="3"/>
  <c r="D48" i="3"/>
  <c r="B48" i="3"/>
  <c r="AV45" i="36" l="1"/>
  <c r="AT45" i="36"/>
  <c r="AR45" i="36"/>
  <c r="AP45" i="36"/>
  <c r="AN45" i="36"/>
  <c r="AL45" i="36"/>
  <c r="AJ45" i="36"/>
  <c r="AH45" i="36"/>
  <c r="AF45" i="36"/>
  <c r="AD45" i="36"/>
  <c r="AB45" i="36"/>
  <c r="Z45" i="36"/>
  <c r="X45" i="36"/>
  <c r="V45" i="36"/>
  <c r="T45" i="36"/>
  <c r="R45" i="36"/>
  <c r="P45" i="36"/>
  <c r="N45" i="36"/>
  <c r="L45" i="36"/>
  <c r="J45" i="36"/>
  <c r="H45" i="36"/>
  <c r="F45" i="36"/>
  <c r="D45" i="36"/>
  <c r="B45" i="36"/>
  <c r="AT44" i="36"/>
  <c r="AR44" i="36"/>
  <c r="AP44" i="36"/>
  <c r="AN44" i="36"/>
  <c r="AL44" i="36"/>
  <c r="AJ44" i="36"/>
  <c r="AH44" i="36"/>
  <c r="AF44" i="36"/>
  <c r="AD44" i="36"/>
  <c r="AB44" i="36"/>
  <c r="Z44" i="36"/>
  <c r="X44" i="36"/>
  <c r="V44" i="36"/>
  <c r="T44" i="36"/>
  <c r="R44" i="36"/>
  <c r="P44" i="36"/>
  <c r="N44" i="36"/>
  <c r="L44" i="36"/>
  <c r="J44" i="36"/>
  <c r="H44" i="36"/>
  <c r="F44" i="36"/>
  <c r="D44" i="36"/>
  <c r="B44" i="36"/>
  <c r="AT43" i="36"/>
  <c r="AR43" i="36"/>
  <c r="AP43" i="36"/>
  <c r="AN43" i="36"/>
  <c r="AL43" i="36"/>
  <c r="AJ43" i="36"/>
  <c r="AH43" i="36"/>
  <c r="AF43" i="36"/>
  <c r="AD43" i="36"/>
  <c r="AB43" i="36"/>
  <c r="Z43" i="36"/>
  <c r="X43" i="36"/>
  <c r="V43" i="36"/>
  <c r="T43" i="36"/>
  <c r="R43" i="36"/>
  <c r="P43" i="36"/>
  <c r="N43" i="36"/>
  <c r="L43" i="36"/>
  <c r="J43" i="36"/>
  <c r="H43" i="36"/>
  <c r="F43" i="36"/>
  <c r="D43" i="36"/>
  <c r="B43" i="36"/>
  <c r="AT42" i="36" a="1"/>
  <c r="AT42" i="36" s="1"/>
  <c r="AR42" i="36" a="1"/>
  <c r="AR42" i="36" s="1"/>
  <c r="AP42" i="36" a="1"/>
  <c r="AP42" i="36" s="1"/>
  <c r="AN42" i="36" a="1"/>
  <c r="AN42" i="36" s="1"/>
  <c r="AL42" i="36" a="1"/>
  <c r="AL42" i="36" s="1"/>
  <c r="AJ42" i="36" a="1"/>
  <c r="AJ42" i="36" s="1"/>
  <c r="AH42" i="36" a="1"/>
  <c r="AH42" i="36" s="1"/>
  <c r="AF42" i="36" a="1"/>
  <c r="AF42" i="36" s="1"/>
  <c r="AD42" i="36" a="1"/>
  <c r="AD42" i="36" s="1"/>
  <c r="AB42" i="36" a="1"/>
  <c r="AB42" i="36" s="1"/>
  <c r="Z42" i="36" a="1"/>
  <c r="Z42" i="36" s="1"/>
  <c r="X42" i="36" a="1"/>
  <c r="X42" i="36" s="1"/>
  <c r="V42" i="36" a="1"/>
  <c r="V42" i="36" s="1"/>
  <c r="T42" i="36" a="1"/>
  <c r="T42" i="36" s="1"/>
  <c r="R42" i="36" a="1"/>
  <c r="R42" i="36" s="1"/>
  <c r="P42" i="36" a="1"/>
  <c r="P42" i="36" s="1"/>
  <c r="N42" i="36" a="1"/>
  <c r="N42" i="36" s="1"/>
  <c r="L42" i="36" a="1"/>
  <c r="L42" i="36" s="1"/>
  <c r="J42" i="36" a="1"/>
  <c r="J42" i="36" s="1"/>
  <c r="H42" i="36" a="1"/>
  <c r="H42" i="36" s="1"/>
  <c r="F42" i="36" a="1"/>
  <c r="F42" i="36" s="1"/>
  <c r="D42" i="36" a="1"/>
  <c r="D42" i="36" s="1"/>
  <c r="B42" i="36" a="1"/>
  <c r="B42" i="36" s="1"/>
  <c r="AT41" i="36"/>
  <c r="AR41" i="36"/>
  <c r="AP41" i="36"/>
  <c r="AN41" i="36"/>
  <c r="AL41" i="36"/>
  <c r="AJ41" i="36"/>
  <c r="AH41" i="36"/>
  <c r="AF41" i="36"/>
  <c r="AD41" i="36"/>
  <c r="AB41" i="36"/>
  <c r="Z41" i="36"/>
  <c r="X41" i="36"/>
  <c r="V41" i="36"/>
  <c r="T41" i="36"/>
  <c r="R41" i="36"/>
  <c r="P41" i="36"/>
  <c r="N41" i="36"/>
  <c r="L41" i="36"/>
  <c r="J41" i="36"/>
  <c r="H41" i="36"/>
  <c r="F41" i="36"/>
  <c r="D41" i="36"/>
  <c r="B41" i="36"/>
  <c r="D52" i="2" l="1"/>
  <c r="AT46" i="3" l="1"/>
  <c r="AR46" i="3"/>
  <c r="AP46" i="3"/>
  <c r="AN46" i="3"/>
  <c r="AL46" i="3"/>
  <c r="AJ46" i="3"/>
  <c r="AH46" i="3"/>
  <c r="AF46" i="3"/>
  <c r="AD46" i="3"/>
  <c r="AB46" i="3"/>
  <c r="Z46" i="3"/>
  <c r="X46" i="3"/>
  <c r="V46" i="3"/>
  <c r="T46" i="3"/>
  <c r="R46" i="3"/>
  <c r="P46" i="3"/>
  <c r="N46" i="3"/>
  <c r="L46" i="3"/>
  <c r="J46" i="3"/>
  <c r="H46" i="3"/>
  <c r="F46" i="3"/>
  <c r="D46" i="3"/>
  <c r="B46" i="3"/>
  <c r="K25" i="23" l="1"/>
  <c r="K9" i="39"/>
  <c r="R25" i="23"/>
  <c r="R9" i="39"/>
  <c r="J25" i="23"/>
  <c r="J9" i="39"/>
  <c r="L25" i="23"/>
  <c r="L9" i="39"/>
  <c r="N25" i="23"/>
  <c r="N9" i="39"/>
  <c r="P25" i="23"/>
  <c r="P9" i="39"/>
  <c r="B25" i="23"/>
  <c r="B9" i="39"/>
  <c r="S25" i="23"/>
  <c r="S9" i="39"/>
  <c r="T25" i="23"/>
  <c r="T9" i="39"/>
  <c r="U25" i="23"/>
  <c r="U9" i="39"/>
  <c r="V25" i="23"/>
  <c r="V9" i="39"/>
  <c r="X25" i="23"/>
  <c r="X9" i="39"/>
  <c r="M25" i="23"/>
  <c r="M9" i="39"/>
  <c r="O25" i="23"/>
  <c r="O9" i="39"/>
  <c r="Q25" i="23"/>
  <c r="Q9" i="39"/>
  <c r="C25" i="23"/>
  <c r="C9" i="39"/>
  <c r="D25" i="23"/>
  <c r="D9" i="39"/>
  <c r="E25" i="23"/>
  <c r="E9" i="39"/>
  <c r="F25" i="23"/>
  <c r="F9" i="39"/>
  <c r="G25" i="23"/>
  <c r="G9" i="39"/>
  <c r="W25" i="23"/>
  <c r="W9" i="39"/>
  <c r="H25" i="23"/>
  <c r="H9" i="39"/>
  <c r="I25" i="23"/>
  <c r="I9" i="39"/>
  <c r="Y25" i="23"/>
  <c r="Y9" i="39"/>
  <c r="C43" i="2"/>
  <c r="C52" i="1" l="1" a="1"/>
  <c r="C52" i="1" s="1"/>
  <c r="D52" i="1" l="1"/>
  <c r="H25" i="1" s="1" a="1"/>
  <c r="C52" i="2"/>
  <c r="V24" i="23" l="1"/>
  <c r="H24" i="23"/>
  <c r="H8" i="39"/>
  <c r="C24" i="23"/>
  <c r="C8" i="39"/>
  <c r="N24" i="23"/>
  <c r="N8" i="39"/>
  <c r="W24" i="23"/>
  <c r="X24" i="23"/>
  <c r="Y24" i="23"/>
  <c r="J24" i="23"/>
  <c r="J8" i="39"/>
  <c r="K24" i="23"/>
  <c r="K8" i="39"/>
  <c r="M24" i="23"/>
  <c r="M8" i="39"/>
  <c r="O24" i="23"/>
  <c r="O8" i="39"/>
  <c r="D24" i="23"/>
  <c r="D8" i="39"/>
  <c r="F24" i="23"/>
  <c r="F8" i="39"/>
  <c r="G24" i="23"/>
  <c r="G8" i="39"/>
  <c r="I24" i="23"/>
  <c r="I8" i="39"/>
  <c r="B24" i="23"/>
  <c r="B8" i="39"/>
  <c r="L24" i="23"/>
  <c r="L8" i="39"/>
  <c r="P24" i="23"/>
  <c r="Q24" i="23"/>
  <c r="Q8" i="39"/>
  <c r="R24" i="23"/>
  <c r="S24" i="23"/>
  <c r="T24" i="23"/>
  <c r="E24" i="23"/>
  <c r="E8" i="39"/>
  <c r="U24" i="23"/>
  <c r="H27" i="1" a="1"/>
  <c r="H27" i="1" s="1"/>
  <c r="H28" i="1" a="1"/>
  <c r="H28" i="1" s="1"/>
  <c r="H29" i="1" a="1"/>
  <c r="H29" i="1" s="1"/>
  <c r="F39" i="1" a="1"/>
  <c r="F39" i="1" s="1"/>
  <c r="H26" i="1"/>
  <c r="I25" i="1"/>
  <c r="H25" i="1"/>
  <c r="I26" i="1"/>
  <c r="C43" i="1" a="1"/>
  <c r="C42" i="1" a="1"/>
  <c r="I29" i="1"/>
  <c r="I28" i="1"/>
  <c r="I27" i="1"/>
  <c r="AV60" i="3"/>
  <c r="AF60" i="3"/>
  <c r="P60" i="3"/>
  <c r="B56" i="3"/>
  <c r="N60" i="3"/>
  <c r="Z60" i="3"/>
  <c r="X60" i="3"/>
  <c r="V60" i="3"/>
  <c r="AH60" i="3"/>
  <c r="AT60" i="3"/>
  <c r="AD60" i="3"/>
  <c r="AB60" i="3"/>
  <c r="J60" i="3"/>
  <c r="H60" i="3"/>
  <c r="AJ60" i="3"/>
  <c r="B60" i="3"/>
  <c r="AR60" i="3"/>
  <c r="L60" i="3"/>
  <c r="AN60" i="3"/>
  <c r="D60" i="3"/>
  <c r="AP60" i="3"/>
  <c r="AL60" i="3"/>
  <c r="F60" i="3"/>
  <c r="R60" i="3"/>
  <c r="T60" i="3"/>
  <c r="AJ56" i="3"/>
  <c r="T56" i="3"/>
  <c r="D56" i="3"/>
  <c r="V56" i="3"/>
  <c r="AH56" i="3"/>
  <c r="R56" i="3"/>
  <c r="H56" i="3"/>
  <c r="AV56" i="3"/>
  <c r="AF56" i="3"/>
  <c r="P56" i="3"/>
  <c r="AT56" i="3"/>
  <c r="AD56" i="3"/>
  <c r="N56" i="3"/>
  <c r="AL56" i="3"/>
  <c r="AR56" i="3"/>
  <c r="AB56" i="3"/>
  <c r="L56" i="3"/>
  <c r="X56" i="3"/>
  <c r="AP56" i="3"/>
  <c r="Z56" i="3"/>
  <c r="J56" i="3"/>
  <c r="AN56" i="3"/>
  <c r="F56" i="3"/>
  <c r="D120" i="1"/>
  <c r="C41" i="1" a="1"/>
  <c r="W69" i="23"/>
  <c r="V69" i="23"/>
  <c r="U69" i="23"/>
  <c r="T69" i="23"/>
  <c r="S69" i="23"/>
  <c r="R69" i="23"/>
  <c r="Q69" i="23"/>
  <c r="P69" i="23"/>
  <c r="O69" i="23"/>
  <c r="N69" i="23"/>
  <c r="M69" i="23"/>
  <c r="L69" i="23"/>
  <c r="K69" i="23"/>
  <c r="J69" i="23"/>
  <c r="I69" i="23"/>
  <c r="H69" i="23"/>
  <c r="G69" i="23"/>
  <c r="F69" i="23"/>
  <c r="E69" i="23"/>
  <c r="D69" i="23"/>
  <c r="C69" i="23"/>
  <c r="B69" i="23"/>
  <c r="K70" i="23"/>
  <c r="J70" i="23"/>
  <c r="I70" i="23"/>
  <c r="H70" i="23"/>
  <c r="G70" i="23"/>
  <c r="F70" i="23"/>
  <c r="E70" i="23"/>
  <c r="D70" i="23"/>
  <c r="C70" i="23"/>
  <c r="B70" i="23"/>
  <c r="N68" i="23"/>
  <c r="M68" i="23"/>
  <c r="L68" i="23"/>
  <c r="K68" i="23"/>
  <c r="I68" i="23"/>
  <c r="H68" i="23"/>
  <c r="G68" i="23"/>
  <c r="F68" i="23"/>
  <c r="E68" i="23"/>
  <c r="D68" i="23"/>
  <c r="C68" i="23"/>
  <c r="B68" i="23"/>
  <c r="A64" i="23"/>
  <c r="A51" i="23"/>
  <c r="A65" i="23" s="1"/>
  <c r="A52" i="23"/>
  <c r="A66" i="23" s="1"/>
  <c r="A53" i="23"/>
  <c r="A67" i="23" s="1"/>
  <c r="A54" i="23"/>
  <c r="A68" i="23" s="1"/>
  <c r="A69" i="23"/>
  <c r="A70" i="23"/>
  <c r="A49" i="23"/>
  <c r="A63" i="23" s="1"/>
  <c r="K67" i="23"/>
  <c r="J67" i="23"/>
  <c r="I67" i="23"/>
  <c r="H67" i="23"/>
  <c r="G67" i="23"/>
  <c r="F67" i="23"/>
  <c r="E67" i="23"/>
  <c r="D67" i="23"/>
  <c r="C67" i="23"/>
  <c r="B67" i="23"/>
  <c r="Q66" i="23"/>
  <c r="P66" i="23"/>
  <c r="O66" i="23"/>
  <c r="N66" i="23"/>
  <c r="M66" i="23"/>
  <c r="L66" i="23"/>
  <c r="K66" i="23"/>
  <c r="J66" i="23"/>
  <c r="I66" i="23"/>
  <c r="H66" i="23"/>
  <c r="G66" i="23"/>
  <c r="F66" i="23"/>
  <c r="E66" i="23"/>
  <c r="D66" i="23"/>
  <c r="C66" i="23"/>
  <c r="B66" i="23"/>
  <c r="J65" i="23"/>
  <c r="I65" i="23"/>
  <c r="H65" i="23"/>
  <c r="G65" i="23"/>
  <c r="F65" i="23"/>
  <c r="E65" i="23"/>
  <c r="D65" i="23"/>
  <c r="C65" i="23"/>
  <c r="B65" i="23"/>
  <c r="Q64" i="23"/>
  <c r="P64" i="23"/>
  <c r="O64" i="23"/>
  <c r="N64" i="23"/>
  <c r="M64" i="23"/>
  <c r="L64" i="23"/>
  <c r="K64" i="23"/>
  <c r="J64" i="23"/>
  <c r="I64" i="23"/>
  <c r="H64" i="23"/>
  <c r="G64" i="23"/>
  <c r="F64" i="23"/>
  <c r="E64" i="23"/>
  <c r="D64" i="23"/>
  <c r="C64" i="23"/>
  <c r="B64" i="23"/>
  <c r="W63" i="23"/>
  <c r="V63" i="23"/>
  <c r="U63" i="23"/>
  <c r="T63" i="23"/>
  <c r="S63" i="23"/>
  <c r="R63" i="23"/>
  <c r="Q63" i="23"/>
  <c r="P63" i="23"/>
  <c r="O63" i="23"/>
  <c r="N63" i="23"/>
  <c r="M63" i="23"/>
  <c r="L63" i="23"/>
  <c r="K63" i="23"/>
  <c r="I63" i="23"/>
  <c r="H63" i="23"/>
  <c r="G63" i="23"/>
  <c r="F63" i="23"/>
  <c r="E63" i="23"/>
  <c r="D63" i="23"/>
  <c r="C63" i="23"/>
  <c r="B63" i="23"/>
  <c r="J68" i="23"/>
  <c r="G39" i="1" l="1"/>
  <c r="C43" i="1"/>
  <c r="D43" i="1"/>
  <c r="C41" i="1"/>
  <c r="D41" i="1"/>
  <c r="D42" i="1"/>
  <c r="C42" i="1"/>
  <c r="J63" i="23"/>
  <c r="X23" i="23"/>
  <c r="K22" i="23"/>
  <c r="J22" i="23"/>
  <c r="I22" i="23"/>
  <c r="H22" i="23"/>
  <c r="G22" i="23"/>
  <c r="T21" i="23"/>
  <c r="S21" i="23"/>
  <c r="R21" i="23"/>
  <c r="Q21" i="23"/>
  <c r="P21" i="23"/>
  <c r="O21" i="23"/>
  <c r="L21" i="23" l="1"/>
  <c r="L5" i="39"/>
  <c r="M21" i="23"/>
  <c r="M5" i="39"/>
  <c r="N21" i="23"/>
  <c r="N5" i="39"/>
  <c r="B21" i="23"/>
  <c r="B5" i="39"/>
  <c r="C21" i="23"/>
  <c r="C5" i="39"/>
  <c r="D21" i="23"/>
  <c r="D5" i="39"/>
  <c r="E21" i="23"/>
  <c r="E5" i="39"/>
  <c r="F21" i="23"/>
  <c r="F5" i="39"/>
  <c r="G21" i="23"/>
  <c r="G5" i="39"/>
  <c r="H21" i="23"/>
  <c r="H5" i="39"/>
  <c r="I21" i="23"/>
  <c r="I5" i="39"/>
  <c r="J21" i="23"/>
  <c r="J5" i="39"/>
  <c r="K21" i="23"/>
  <c r="K5" i="39"/>
  <c r="Q23" i="23"/>
  <c r="B23" i="23"/>
  <c r="B7" i="39"/>
  <c r="R23" i="23"/>
  <c r="C23" i="23"/>
  <c r="C7" i="39"/>
  <c r="S23" i="23"/>
  <c r="D23" i="23"/>
  <c r="D7" i="39"/>
  <c r="T23" i="23"/>
  <c r="E23" i="23"/>
  <c r="E7" i="39"/>
  <c r="U23" i="23"/>
  <c r="F23" i="23"/>
  <c r="F7" i="39"/>
  <c r="V23" i="23"/>
  <c r="G23" i="23"/>
  <c r="G7" i="39"/>
  <c r="W23" i="23"/>
  <c r="H23" i="23"/>
  <c r="H7" i="39"/>
  <c r="I23" i="23"/>
  <c r="I7" i="39"/>
  <c r="J23" i="23"/>
  <c r="K23" i="23"/>
  <c r="L23" i="23"/>
  <c r="M23" i="23"/>
  <c r="N23" i="23"/>
  <c r="O23" i="23"/>
  <c r="P23" i="23"/>
  <c r="D22" i="23"/>
  <c r="D6" i="39"/>
  <c r="C22" i="23"/>
  <c r="C6" i="39"/>
  <c r="F22" i="23"/>
  <c r="F6" i="39"/>
  <c r="B22" i="23"/>
  <c r="B6" i="39"/>
  <c r="E22" i="23"/>
  <c r="E6" i="39"/>
  <c r="F18" i="23"/>
  <c r="F2" i="39"/>
  <c r="W18" i="23"/>
  <c r="W2" i="39"/>
  <c r="H18" i="23"/>
  <c r="H2" i="39"/>
  <c r="I18" i="23"/>
  <c r="I2" i="39"/>
  <c r="K18" i="23"/>
  <c r="K2" i="39"/>
  <c r="L18" i="23"/>
  <c r="L2" i="39"/>
  <c r="M18" i="23"/>
  <c r="M2" i="39"/>
  <c r="P18" i="23"/>
  <c r="P2" i="39"/>
  <c r="B18" i="23"/>
  <c r="B2" i="39"/>
  <c r="T18" i="23"/>
  <c r="T2" i="39"/>
  <c r="V18" i="23"/>
  <c r="V2" i="39"/>
  <c r="G18" i="23"/>
  <c r="G2" i="39"/>
  <c r="X18" i="23"/>
  <c r="X2" i="39"/>
  <c r="Y18" i="23"/>
  <c r="Y2" i="39"/>
  <c r="J18" i="23"/>
  <c r="J2" i="39"/>
  <c r="N18" i="23"/>
  <c r="N2" i="39"/>
  <c r="O18" i="23"/>
  <c r="O2" i="39"/>
  <c r="Q18" i="23"/>
  <c r="Q2" i="39"/>
  <c r="R18" i="23"/>
  <c r="R2" i="39"/>
  <c r="C18" i="23"/>
  <c r="C2" i="39"/>
  <c r="S18" i="23"/>
  <c r="S2" i="39"/>
  <c r="D18" i="23"/>
  <c r="D2" i="39"/>
  <c r="E18" i="23"/>
  <c r="E2" i="39"/>
  <c r="U18" i="23"/>
  <c r="U2" i="39"/>
  <c r="AT45" i="3"/>
  <c r="AR45" i="3"/>
  <c r="AP45" i="3"/>
  <c r="AN45" i="3"/>
  <c r="AL45" i="3"/>
  <c r="AJ45" i="3"/>
  <c r="AH45" i="3"/>
  <c r="AF45" i="3"/>
  <c r="AD45" i="3"/>
  <c r="AB45" i="3"/>
  <c r="Z45" i="3"/>
  <c r="X45" i="3"/>
  <c r="V45" i="3"/>
  <c r="T45" i="3"/>
  <c r="R45" i="3"/>
  <c r="P45" i="3"/>
  <c r="N45" i="3"/>
  <c r="L45" i="3"/>
  <c r="J45" i="3"/>
  <c r="H45" i="3"/>
  <c r="F45" i="3"/>
  <c r="D45" i="3"/>
  <c r="B45" i="3"/>
  <c r="AT44" i="3"/>
  <c r="AR44" i="3"/>
  <c r="AP44" i="3"/>
  <c r="AN44" i="3"/>
  <c r="AL44" i="3"/>
  <c r="AJ44" i="3"/>
  <c r="AH44" i="3"/>
  <c r="AF44" i="3"/>
  <c r="AD44" i="3"/>
  <c r="AB44" i="3"/>
  <c r="Z44" i="3"/>
  <c r="X44" i="3"/>
  <c r="V44" i="3"/>
  <c r="T44" i="3"/>
  <c r="R44" i="3"/>
  <c r="P44" i="3"/>
  <c r="N44" i="3"/>
  <c r="L44" i="3"/>
  <c r="J44" i="3"/>
  <c r="H44" i="3"/>
  <c r="F44" i="3"/>
  <c r="D44" i="3"/>
  <c r="C118" i="1" l="1" a="1"/>
  <c r="C118" i="1" s="1"/>
  <c r="C45" i="2" a="1"/>
  <c r="D45" i="2" s="1"/>
  <c r="C34" i="2" a="1"/>
  <c r="C34" i="2" s="1"/>
  <c r="D118" i="1" l="1"/>
  <c r="C45" i="2"/>
  <c r="D34" i="2"/>
  <c r="C37" i="2" l="1" a="1"/>
  <c r="C37" i="2" s="1"/>
  <c r="D37" i="2" l="1"/>
  <c r="C80" i="1" a="1"/>
  <c r="C80" i="1" s="1"/>
  <c r="C115" i="1" a="1"/>
  <c r="D115" i="1" s="1"/>
  <c r="C46" i="1" a="1"/>
  <c r="C46" i="1" s="1"/>
  <c r="D80" i="1" l="1"/>
  <c r="C115" i="1"/>
  <c r="D46" i="1"/>
  <c r="AT43" i="3" l="1" a="1"/>
  <c r="AT43" i="3" s="1"/>
  <c r="AR43" i="3" a="1"/>
  <c r="AR43" i="3" s="1"/>
  <c r="AP43" i="3" a="1"/>
  <c r="AP43" i="3" s="1"/>
  <c r="AN43" i="3" a="1"/>
  <c r="AN43" i="3" s="1"/>
  <c r="AL43" i="3" a="1"/>
  <c r="AL43" i="3" s="1"/>
  <c r="C33" i="2" l="1"/>
  <c r="C31" i="2"/>
  <c r="D31" i="2" l="1"/>
  <c r="D33" i="2"/>
  <c r="C23" i="2" a="1"/>
  <c r="C38" i="1" l="1" a="1"/>
  <c r="C38" i="1" s="1"/>
  <c r="C30" i="1" a="1"/>
  <c r="C30" i="1" s="1"/>
  <c r="H30" i="1" a="1"/>
  <c r="H30" i="1" s="1"/>
  <c r="C100" i="1" a="1"/>
  <c r="D100" i="1" s="1"/>
  <c r="D38" i="1" l="1"/>
  <c r="D30" i="1"/>
  <c r="C44" i="1" s="1" a="1"/>
  <c r="I30" i="1"/>
  <c r="C100" i="1"/>
  <c r="C44" i="1" l="1"/>
  <c r="D44" i="1"/>
  <c r="L9" i="1" a="1"/>
  <c r="C22" i="2" a="1"/>
  <c r="C22" i="2" s="1"/>
  <c r="L9" i="1" l="1"/>
  <c r="M9" i="1"/>
  <c r="D22" i="2"/>
  <c r="C30" i="2" s="1" a="1"/>
  <c r="AJ43" i="3" a="1"/>
  <c r="AJ43" i="3" s="1"/>
  <c r="AH43" i="3" a="1"/>
  <c r="AH43" i="3" s="1"/>
  <c r="AF43" i="3" a="1"/>
  <c r="AF43" i="3" s="1"/>
  <c r="AD43" i="3" a="1"/>
  <c r="AD43" i="3" s="1"/>
  <c r="AB43" i="3" a="1"/>
  <c r="AB43" i="3" s="1"/>
  <c r="Z43" i="3" a="1"/>
  <c r="Z43" i="3" s="1"/>
  <c r="X43" i="3" a="1"/>
  <c r="X43" i="3" s="1"/>
  <c r="V43" i="3" a="1"/>
  <c r="V43" i="3" s="1"/>
  <c r="T43" i="3" a="1"/>
  <c r="T43" i="3" s="1"/>
  <c r="R43" i="3" a="1"/>
  <c r="R43" i="3" s="1"/>
  <c r="P43" i="3" a="1"/>
  <c r="P43" i="3" s="1"/>
  <c r="N43" i="3" a="1"/>
  <c r="N43" i="3" s="1"/>
  <c r="L43" i="3" a="1"/>
  <c r="L43" i="3" s="1"/>
  <c r="J43" i="3" a="1"/>
  <c r="J43" i="3" s="1"/>
  <c r="H43" i="3" a="1"/>
  <c r="H43" i="3" s="1"/>
  <c r="F43" i="3" a="1"/>
  <c r="F43" i="3" s="1"/>
  <c r="D43" i="3" a="1"/>
  <c r="D43" i="3" s="1"/>
  <c r="D30" i="2" l="1"/>
  <c r="C30" i="2"/>
  <c r="C39" i="2" l="1" a="1"/>
  <c r="C21" i="2" a="1"/>
  <c r="C116" i="1" a="1"/>
  <c r="C116" i="1" s="1"/>
  <c r="C114" i="1" a="1"/>
  <c r="D114" i="1" s="1"/>
  <c r="D116" i="1" l="1"/>
  <c r="C114" i="1"/>
  <c r="X38" i="23" l="1"/>
  <c r="X89" i="23" s="1"/>
  <c r="W38" i="23"/>
  <c r="W89" i="23" s="1"/>
  <c r="V38" i="23"/>
  <c r="V89" i="23" s="1"/>
  <c r="U38" i="23"/>
  <c r="U89" i="23" s="1"/>
  <c r="T38" i="23"/>
  <c r="T89" i="23" s="1"/>
  <c r="AT22" i="23" l="1"/>
  <c r="AB23" i="23"/>
  <c r="AY23" i="23"/>
  <c r="AX23" i="23"/>
  <c r="AW23" i="23"/>
  <c r="AV23" i="23"/>
  <c r="AU23" i="23"/>
  <c r="AT23" i="23"/>
  <c r="AS23" i="23"/>
  <c r="AR23" i="23"/>
  <c r="AQ23" i="23"/>
  <c r="AP23" i="23"/>
  <c r="AO23" i="23"/>
  <c r="AN23" i="23"/>
  <c r="AM23" i="23"/>
  <c r="AL23" i="23"/>
  <c r="AK23" i="23"/>
  <c r="AJ23" i="23"/>
  <c r="AI23" i="23"/>
  <c r="AH23" i="23"/>
  <c r="AG23" i="23"/>
  <c r="AF23" i="23"/>
  <c r="AE23" i="23"/>
  <c r="AD23" i="23"/>
  <c r="AC23" i="23"/>
  <c r="S38" i="23"/>
  <c r="S89" i="23" s="1"/>
  <c r="R38" i="23"/>
  <c r="R89" i="23" s="1"/>
  <c r="Q38" i="23"/>
  <c r="Q89" i="23" s="1"/>
  <c r="P38" i="23"/>
  <c r="P89" i="23" s="1"/>
  <c r="O38" i="23"/>
  <c r="O89" i="23" s="1"/>
  <c r="N38" i="23"/>
  <c r="N89" i="23" s="1"/>
  <c r="M38" i="23"/>
  <c r="M89" i="23" s="1"/>
  <c r="L38" i="23"/>
  <c r="L89" i="23" s="1"/>
  <c r="K38" i="23"/>
  <c r="K89" i="23" s="1"/>
  <c r="J38" i="23"/>
  <c r="J89" i="23" s="1"/>
  <c r="I38" i="23"/>
  <c r="I89" i="23" s="1"/>
  <c r="H38" i="23"/>
  <c r="H89" i="23" s="1"/>
  <c r="G38" i="23"/>
  <c r="G89" i="23" s="1"/>
  <c r="F38" i="23"/>
  <c r="F89" i="23" s="1"/>
  <c r="E38" i="23"/>
  <c r="E89" i="23" s="1"/>
  <c r="D38" i="23"/>
  <c r="D89" i="23" s="1"/>
  <c r="C38" i="23"/>
  <c r="C89" i="23" s="1"/>
  <c r="B38" i="23"/>
  <c r="B89" i="23" s="1"/>
  <c r="Y37" i="23"/>
  <c r="Y88" i="23" s="1"/>
  <c r="X37" i="23"/>
  <c r="X88" i="23" s="1"/>
  <c r="W37" i="23"/>
  <c r="W88" i="23" s="1"/>
  <c r="V37" i="23"/>
  <c r="V88" i="23" s="1"/>
  <c r="U37" i="23"/>
  <c r="U88" i="23" s="1"/>
  <c r="T37" i="23"/>
  <c r="T88" i="23" s="1"/>
  <c r="S37" i="23"/>
  <c r="S88" i="23" s="1"/>
  <c r="R37" i="23"/>
  <c r="R88" i="23" s="1"/>
  <c r="Q37" i="23"/>
  <c r="Q88" i="23" s="1"/>
  <c r="P37" i="23"/>
  <c r="P88" i="23" s="1"/>
  <c r="O37" i="23"/>
  <c r="O88" i="23" s="1"/>
  <c r="N37" i="23"/>
  <c r="N88" i="23" s="1"/>
  <c r="M37" i="23"/>
  <c r="M88" i="23" s="1"/>
  <c r="L37" i="23"/>
  <c r="L88" i="23" s="1"/>
  <c r="K37" i="23"/>
  <c r="K88" i="23" s="1"/>
  <c r="J37" i="23"/>
  <c r="J88" i="23" s="1"/>
  <c r="I37" i="23"/>
  <c r="I88" i="23" s="1"/>
  <c r="H37" i="23"/>
  <c r="H88" i="23" s="1"/>
  <c r="G37" i="23"/>
  <c r="G88" i="23" s="1"/>
  <c r="F37" i="23"/>
  <c r="F88" i="23" s="1"/>
  <c r="E37" i="23"/>
  <c r="E88" i="23" s="1"/>
  <c r="D37" i="23"/>
  <c r="D88" i="23" s="1"/>
  <c r="C37" i="23"/>
  <c r="C88" i="23" s="1"/>
  <c r="B37" i="23"/>
  <c r="B88" i="23" s="1"/>
  <c r="Y34" i="23"/>
  <c r="Y85" i="23" s="1"/>
  <c r="X34" i="23"/>
  <c r="X85" i="23" s="1"/>
  <c r="W34" i="23"/>
  <c r="W85" i="23" s="1"/>
  <c r="V34" i="23"/>
  <c r="V85" i="23" s="1"/>
  <c r="U34" i="23"/>
  <c r="U85" i="23" s="1"/>
  <c r="T34" i="23"/>
  <c r="T85" i="23" s="1"/>
  <c r="S34" i="23"/>
  <c r="S85" i="23" s="1"/>
  <c r="R34" i="23"/>
  <c r="R85" i="23" s="1"/>
  <c r="Q34" i="23"/>
  <c r="Q85" i="23" s="1"/>
  <c r="P34" i="23"/>
  <c r="P85" i="23" s="1"/>
  <c r="O34" i="23"/>
  <c r="O85" i="23" s="1"/>
  <c r="N34" i="23"/>
  <c r="N85" i="23" s="1"/>
  <c r="M34" i="23"/>
  <c r="M85" i="23" s="1"/>
  <c r="L34" i="23"/>
  <c r="L85" i="23" s="1"/>
  <c r="K34" i="23"/>
  <c r="K85" i="23" s="1"/>
  <c r="J34" i="23"/>
  <c r="J85" i="23" s="1"/>
  <c r="I34" i="23"/>
  <c r="I85" i="23" s="1"/>
  <c r="H34" i="23"/>
  <c r="H85" i="23" s="1"/>
  <c r="G34" i="23"/>
  <c r="G85" i="23" s="1"/>
  <c r="F34" i="23"/>
  <c r="F85" i="23" s="1"/>
  <c r="E34" i="23"/>
  <c r="E85" i="23" s="1"/>
  <c r="D34" i="23"/>
  <c r="D85" i="23" s="1"/>
  <c r="C34" i="23"/>
  <c r="C85" i="23" s="1"/>
  <c r="AS22" i="23"/>
  <c r="AR22" i="23"/>
  <c r="AQ22" i="23"/>
  <c r="AP22" i="23"/>
  <c r="AO22" i="23"/>
  <c r="AN22" i="23"/>
  <c r="AM22" i="23"/>
  <c r="AL22" i="23"/>
  <c r="AK22" i="23"/>
  <c r="AJ22" i="23"/>
  <c r="AI22" i="23"/>
  <c r="AH22" i="23"/>
  <c r="AG22" i="23"/>
  <c r="AF22" i="23"/>
  <c r="AE22" i="23"/>
  <c r="AD22" i="23"/>
  <c r="AC22" i="23"/>
  <c r="AB22" i="23"/>
  <c r="AP21" i="23"/>
  <c r="AO21" i="23"/>
  <c r="AN21" i="23"/>
  <c r="AM21" i="23"/>
  <c r="AL21" i="23"/>
  <c r="AK21" i="23"/>
  <c r="AJ21" i="23"/>
  <c r="AI21" i="23"/>
  <c r="AH21" i="23"/>
  <c r="AG21" i="23"/>
  <c r="AF21" i="23"/>
  <c r="AE21" i="23"/>
  <c r="AD21" i="23"/>
  <c r="AC21" i="23"/>
  <c r="AB21" i="23"/>
  <c r="AY18" i="23"/>
  <c r="AX18" i="23"/>
  <c r="AW18" i="23"/>
  <c r="AV18" i="23"/>
  <c r="AU18" i="23"/>
  <c r="AT18" i="23"/>
  <c r="AS18" i="23"/>
  <c r="AR18" i="23"/>
  <c r="AQ18" i="23"/>
  <c r="AP18" i="23"/>
  <c r="AO18" i="23"/>
  <c r="AN18" i="23"/>
  <c r="AM18" i="23"/>
  <c r="AL18" i="23"/>
  <c r="AK18" i="23"/>
  <c r="AJ18" i="23"/>
  <c r="AI18" i="23"/>
  <c r="AH18" i="23"/>
  <c r="AG18" i="23"/>
  <c r="AF18" i="23"/>
  <c r="AE18" i="23"/>
  <c r="AD18" i="23"/>
  <c r="AC18" i="23"/>
  <c r="AB18" i="23"/>
  <c r="AT20" i="23"/>
  <c r="AS20" i="23"/>
  <c r="AR20" i="23"/>
  <c r="AQ20" i="23"/>
  <c r="AP20" i="23"/>
  <c r="AO20" i="23"/>
  <c r="AN20" i="23"/>
  <c r="AM20" i="23"/>
  <c r="AL20" i="23"/>
  <c r="AK20" i="23"/>
  <c r="AJ20" i="23"/>
  <c r="AI20" i="23"/>
  <c r="AH20" i="23"/>
  <c r="AG20" i="23"/>
  <c r="AF20" i="23"/>
  <c r="AE20" i="23"/>
  <c r="AD20" i="23"/>
  <c r="AC20" i="23"/>
  <c r="AB20" i="23"/>
  <c r="AY19" i="23"/>
  <c r="AX19" i="23"/>
  <c r="AW19" i="23"/>
  <c r="AV19" i="23"/>
  <c r="AU19" i="23"/>
  <c r="AT19" i="23"/>
  <c r="AS19" i="23"/>
  <c r="AR19" i="23"/>
  <c r="AQ19" i="23"/>
  <c r="AP19" i="23"/>
  <c r="AO19" i="23"/>
  <c r="AN19" i="23"/>
  <c r="AM19" i="23"/>
  <c r="AL19" i="23"/>
  <c r="AK19" i="23"/>
  <c r="AJ19" i="23"/>
  <c r="AI19" i="23"/>
  <c r="AH19" i="23"/>
  <c r="AG19" i="23"/>
  <c r="AF19" i="23"/>
  <c r="AE19" i="23"/>
  <c r="AD19" i="23"/>
  <c r="AC19" i="23"/>
  <c r="AB19" i="23"/>
  <c r="C3" i="2" l="1" a="1"/>
  <c r="C10" i="2" l="1"/>
  <c r="C6" i="2"/>
  <c r="D11" i="2"/>
  <c r="D9" i="2"/>
  <c r="D7" i="2"/>
  <c r="D5" i="2"/>
  <c r="D10" i="2"/>
  <c r="D8" i="2"/>
  <c r="D6" i="2"/>
  <c r="C8" i="2"/>
  <c r="C11" i="2"/>
  <c r="C9" i="2"/>
  <c r="C7" i="2"/>
  <c r="C5" i="2"/>
  <c r="C45" i="1" l="1" a="1"/>
  <c r="C45" i="1" s="1"/>
  <c r="D45" i="1" l="1"/>
  <c r="L5" i="1" s="1" a="1"/>
  <c r="W56" i="2" l="1"/>
  <c r="U56" i="2"/>
  <c r="Y56" i="2"/>
  <c r="C122" i="1" a="1"/>
  <c r="L5" i="1"/>
  <c r="M5" i="1"/>
  <c r="C122" i="1" l="1"/>
  <c r="D122" i="1"/>
  <c r="C90" i="1" a="1"/>
  <c r="D90" i="1" s="1"/>
  <c r="C85" i="1" a="1"/>
  <c r="D85" i="1" s="1"/>
  <c r="C90" i="1" l="1"/>
  <c r="C85" i="1"/>
  <c r="C32" i="1" l="1" a="1"/>
  <c r="C32" i="1" l="1"/>
  <c r="C47" i="1" s="1" a="1"/>
  <c r="D32" i="1"/>
  <c r="D47" i="1" l="1"/>
  <c r="C47" i="1"/>
  <c r="E3" i="2" a="1"/>
  <c r="C48" i="1" l="1" a="1"/>
  <c r="D48" i="1" s="1"/>
  <c r="C55" i="1" a="1"/>
  <c r="C55" i="1" s="1"/>
  <c r="C48" i="1" l="1"/>
  <c r="C57" i="1"/>
  <c r="C121" i="1" s="1"/>
  <c r="C95" i="1" l="1" a="1"/>
  <c r="C95" i="1" s="1"/>
  <c r="D95" i="1" l="1"/>
  <c r="L8" i="1" l="1" a="1"/>
  <c r="C117" i="1" a="1"/>
  <c r="I57" i="1" a="1"/>
  <c r="I57" i="1" s="1"/>
  <c r="L57" i="1" s="1"/>
  <c r="C83" i="1" a="1"/>
  <c r="C82" i="1" a="1"/>
  <c r="M8" i="1" l="1"/>
  <c r="L8" i="1"/>
  <c r="C117" i="1"/>
  <c r="D117" i="1"/>
  <c r="C83" i="1"/>
  <c r="D83" i="1"/>
  <c r="D82" i="1"/>
  <c r="C82" i="1"/>
  <c r="N33" i="1" s="1" a="1"/>
  <c r="N33" i="1" l="1"/>
  <c r="O33" i="1"/>
  <c r="N32" i="1" a="1"/>
  <c r="H34" i="1" a="1"/>
  <c r="I34" i="1" s="1"/>
  <c r="O32" i="1" l="1"/>
  <c r="N32" i="1"/>
  <c r="H34" i="1"/>
  <c r="F82" i="1" a="1"/>
  <c r="F82" i="1" s="1"/>
  <c r="K34" i="1" l="1" a="1"/>
  <c r="K34" i="1" s="1"/>
  <c r="G82" i="1"/>
  <c r="F83" i="1" s="1" a="1"/>
  <c r="L34" i="1" l="1"/>
  <c r="F83" i="1"/>
  <c r="G83" i="1"/>
  <c r="C3" i="2" l="1"/>
  <c r="F12" i="1"/>
  <c r="F3" i="2"/>
  <c r="G4" i="2"/>
  <c r="E4" i="2"/>
  <c r="C59" i="1"/>
  <c r="H3" i="2"/>
  <c r="D3" i="2"/>
  <c r="C4" i="2"/>
  <c r="D4" i="2"/>
  <c r="F4" i="2"/>
  <c r="G3" i="2"/>
  <c r="I4" i="1"/>
  <c r="D12" i="1"/>
  <c r="E3" i="2"/>
  <c r="H4" i="2"/>
  <c r="I3" i="1"/>
  <c r="G12" i="1"/>
  <c r="C12" i="1"/>
  <c r="C37" i="1" l="1" a="1"/>
  <c r="D37" i="1" s="1"/>
  <c r="D12" i="2"/>
  <c r="D14" i="1"/>
  <c r="G12" i="2"/>
  <c r="F12" i="2"/>
  <c r="C14" i="1"/>
  <c r="C12" i="2"/>
  <c r="I4" i="2"/>
  <c r="D14" i="2" s="1"/>
  <c r="I3" i="2"/>
  <c r="C14" i="2" l="1"/>
  <c r="C37" i="1"/>
  <c r="C70" i="1" s="1" a="1"/>
  <c r="D70" i="1" l="1"/>
  <c r="C70" i="1"/>
  <c r="D71" i="1"/>
  <c r="C71" i="1"/>
  <c r="C123" i="1" a="1"/>
  <c r="C51" i="1" a="1"/>
  <c r="H72" i="1" a="1"/>
  <c r="C72" i="1" a="1"/>
  <c r="H73" i="1" a="1"/>
  <c r="C73" i="1" a="1"/>
  <c r="O12" i="1" a="1"/>
  <c r="C123" i="1" l="1"/>
  <c r="D123" i="1"/>
  <c r="C51" i="1"/>
  <c r="D51" i="1"/>
  <c r="C73" i="1"/>
  <c r="D73" i="1"/>
  <c r="I73" i="1"/>
  <c r="H73" i="1"/>
  <c r="P12" i="1"/>
  <c r="O12" i="1"/>
  <c r="D72" i="1"/>
  <c r="C72" i="1"/>
  <c r="H72" i="1"/>
  <c r="I72" i="1"/>
  <c r="K73" i="1" l="1" a="1"/>
  <c r="L73" i="1" s="1"/>
  <c r="L7" i="1" a="1"/>
  <c r="C50" i="1" a="1"/>
  <c r="H45" i="1" a="1"/>
  <c r="H46" i="1" a="1"/>
  <c r="C51" i="2" a="1"/>
  <c r="K72" i="1" a="1"/>
  <c r="K73" i="1" l="1"/>
  <c r="M7" i="1"/>
  <c r="L7" i="1"/>
  <c r="C51" i="2"/>
  <c r="D51" i="2"/>
  <c r="I46" i="1"/>
  <c r="H46" i="1"/>
  <c r="K72" i="1"/>
  <c r="L72" i="1"/>
  <c r="I45" i="1"/>
  <c r="H45" i="1"/>
  <c r="D50" i="1"/>
  <c r="C50" i="1"/>
  <c r="AJ58" i="3" l="1" a="1"/>
  <c r="AJ58" i="3" s="1"/>
  <c r="D58" i="3" a="1"/>
  <c r="AF58" i="3" a="1"/>
  <c r="AF58" i="3" s="1"/>
  <c r="AB58" i="3" a="1"/>
  <c r="Z58" i="3" a="1"/>
  <c r="Z58" i="3" s="1"/>
  <c r="X58" i="3" a="1"/>
  <c r="X58" i="3" s="1"/>
  <c r="V58" i="3" a="1"/>
  <c r="V58" i="3" s="1"/>
  <c r="T58" i="3" a="1"/>
  <c r="T58" i="3" s="1"/>
  <c r="R58" i="3" a="1"/>
  <c r="R58" i="3" s="1"/>
  <c r="AV58" i="3" a="1"/>
  <c r="AT58" i="3" a="1"/>
  <c r="AT58" i="3" s="1"/>
  <c r="AR58" i="3" a="1"/>
  <c r="AR58" i="3" s="1"/>
  <c r="J58" i="3" a="1"/>
  <c r="J58" i="3" s="1"/>
  <c r="H58" i="3" a="1"/>
  <c r="H58" i="3" s="1"/>
  <c r="AL58" i="3" a="1"/>
  <c r="AL58" i="3" s="1"/>
  <c r="AH58" i="3" a="1"/>
  <c r="AH58" i="3" s="1"/>
  <c r="B58" i="3" a="1"/>
  <c r="B58" i="3" s="1"/>
  <c r="AD58" i="3" a="1"/>
  <c r="AD58" i="3" s="1"/>
  <c r="P58" i="3" a="1"/>
  <c r="N58" i="3" a="1"/>
  <c r="L58" i="3" a="1"/>
  <c r="AP58" i="3" a="1"/>
  <c r="AP58" i="3" s="1"/>
  <c r="AN58" i="3" a="1"/>
  <c r="AN58" i="3" s="1"/>
  <c r="F58" i="3" a="1"/>
  <c r="F58" i="3" s="1"/>
  <c r="AB58" i="3"/>
  <c r="P58" i="3"/>
  <c r="N58" i="3"/>
  <c r="L58" i="3"/>
  <c r="AV58" i="3"/>
  <c r="D58" i="3"/>
  <c r="L6" i="1" a="1"/>
  <c r="L6" i="1" s="1"/>
  <c r="K45" i="1" a="1"/>
  <c r="L45" i="1" s="1"/>
  <c r="K46" i="1" a="1"/>
  <c r="L46" i="1" s="1"/>
  <c r="H32" i="1" a="1"/>
  <c r="C50" i="2" a="1"/>
  <c r="M6" i="1" l="1"/>
  <c r="K45" i="1"/>
  <c r="K46" i="1"/>
  <c r="I32" i="1"/>
  <c r="H32" i="1"/>
  <c r="D50" i="2"/>
  <c r="C50" i="2"/>
  <c r="T57" i="3" l="1" a="1"/>
  <c r="AV57" i="3" a="1"/>
  <c r="N57" i="3" a="1"/>
  <c r="N57" i="3" s="1"/>
  <c r="AR57" i="3" a="1"/>
  <c r="AR57" i="3" s="1"/>
  <c r="J57" i="3" a="1"/>
  <c r="J57" i="3" s="1"/>
  <c r="AN57" i="3" a="1"/>
  <c r="AN57" i="3" s="1"/>
  <c r="AL57" i="3" a="1"/>
  <c r="AJ57" i="3" a="1"/>
  <c r="AJ57" i="3" s="1"/>
  <c r="AH57" i="3" a="1"/>
  <c r="AH57" i="3" s="1"/>
  <c r="Z57" i="3" a="1"/>
  <c r="X57" i="3" a="1"/>
  <c r="X57" i="3" s="1"/>
  <c r="R57" i="3" a="1"/>
  <c r="R57" i="3" s="1"/>
  <c r="P57" i="3" a="1"/>
  <c r="P57" i="3" s="1"/>
  <c r="AT57" i="3" a="1"/>
  <c r="AT57" i="3" s="1"/>
  <c r="L57" i="3" a="1"/>
  <c r="L57" i="3" s="1"/>
  <c r="AP57" i="3" a="1"/>
  <c r="AP57" i="3" s="1"/>
  <c r="H57" i="3" a="1"/>
  <c r="H57" i="3" s="1"/>
  <c r="F57" i="3" a="1"/>
  <c r="D57" i="3" a="1"/>
  <c r="B57" i="3" a="1"/>
  <c r="B57" i="3" s="1"/>
  <c r="AF57" i="3" a="1"/>
  <c r="AF57" i="3" s="1"/>
  <c r="AD57" i="3" a="1"/>
  <c r="AD57" i="3" s="1"/>
  <c r="AB57" i="3" a="1"/>
  <c r="V57" i="3" a="1"/>
  <c r="V57" i="3" s="1"/>
  <c r="AV57" i="3"/>
  <c r="F57" i="3"/>
  <c r="AL57" i="3"/>
  <c r="D57" i="3"/>
  <c r="Z57" i="3"/>
  <c r="T57" i="3"/>
  <c r="AB57" i="3"/>
  <c r="K32" i="1" a="1"/>
  <c r="K32" i="1" s="1"/>
  <c r="K30" i="1" a="1"/>
  <c r="Q3" i="1" a="1"/>
  <c r="Q4" i="1" s="1"/>
  <c r="C32" i="2" a="1"/>
  <c r="L32" i="1" l="1"/>
  <c r="Q3" i="1"/>
  <c r="L30" i="1"/>
  <c r="K30" i="1"/>
  <c r="C25" i="1" l="1" a="1"/>
  <c r="D25" i="1" l="1"/>
  <c r="C25" i="1"/>
  <c r="C26" i="1" l="1"/>
  <c r="C93" i="1" s="1" a="1"/>
  <c r="D26" i="1"/>
  <c r="K25" i="1" l="1" a="1"/>
  <c r="C88" i="1" a="1"/>
  <c r="D88" i="1" s="1"/>
  <c r="C87" i="1" a="1"/>
  <c r="C87" i="1" s="1"/>
  <c r="C92" i="1" a="1"/>
  <c r="D92" i="1" s="1"/>
  <c r="L3" i="1" a="1"/>
  <c r="L4" i="1" s="1"/>
  <c r="C93" i="1"/>
  <c r="D93" i="1"/>
  <c r="C92" i="1" l="1"/>
  <c r="H70" i="1" s="1" a="1"/>
  <c r="I70" i="1" s="1"/>
  <c r="M3" i="1"/>
  <c r="L3" i="1"/>
  <c r="D87" i="1"/>
  <c r="M4" i="1"/>
  <c r="C88" i="1"/>
  <c r="H71" i="1" s="1" a="1"/>
  <c r="I71" i="1" l="1"/>
  <c r="H70" i="1"/>
  <c r="H71" i="1"/>
  <c r="H21" i="1" a="1"/>
  <c r="H48" i="1" a="1"/>
  <c r="F92" i="1" a="1"/>
  <c r="F87" i="1" a="1"/>
  <c r="H47" i="1" a="1"/>
  <c r="H35" i="1" a="1"/>
  <c r="K70" i="1" l="1" a="1"/>
  <c r="L70" i="1" s="1"/>
  <c r="H47" i="1"/>
  <c r="I47" i="1"/>
  <c r="G92" i="1"/>
  <c r="F92" i="1"/>
  <c r="I48" i="1"/>
  <c r="H48" i="1"/>
  <c r="H21" i="1"/>
  <c r="I21" i="1"/>
  <c r="I35" i="1"/>
  <c r="H35" i="1"/>
  <c r="G87" i="1"/>
  <c r="F87" i="1"/>
  <c r="K71" i="1" l="1"/>
  <c r="K70" i="1"/>
  <c r="L71" i="1"/>
  <c r="K21" i="1" a="1"/>
  <c r="L21" i="1" s="1"/>
  <c r="K48" i="1" a="1"/>
  <c r="L48" i="1" s="1"/>
  <c r="F88" i="1" a="1"/>
  <c r="F88" i="1" s="1"/>
  <c r="F93" i="1" a="1"/>
  <c r="F93" i="1" s="1"/>
  <c r="K35" i="1" a="1"/>
  <c r="K35" i="1" s="1"/>
  <c r="K47" i="1" a="1"/>
  <c r="L47" i="1" s="1"/>
  <c r="K21" i="1" l="1"/>
  <c r="K47" i="1"/>
  <c r="G93" i="1"/>
  <c r="K48" i="1"/>
  <c r="L35" i="1"/>
  <c r="G88" i="1"/>
  <c r="K26" i="1" l="1"/>
  <c r="K25" i="1" l="1"/>
  <c r="L25" i="1"/>
  <c r="C27" i="1" a="1"/>
  <c r="C39" i="1" a="1"/>
  <c r="C120" i="1"/>
  <c r="H39" i="1" a="1"/>
  <c r="L26" i="1"/>
  <c r="I39" i="1" l="1"/>
  <c r="H39" i="1"/>
  <c r="D39" i="1"/>
  <c r="C39" i="1"/>
  <c r="C27" i="1"/>
  <c r="D27" i="1"/>
  <c r="L10" i="1" l="1" a="1"/>
  <c r="M10" i="1" s="1"/>
  <c r="H55" i="1" a="1"/>
  <c r="H55" i="1" s="1"/>
  <c r="C40" i="1" a="1"/>
  <c r="C119" i="1" a="1"/>
  <c r="H23" i="1" a="1"/>
  <c r="K39" i="1" a="1"/>
  <c r="K27" i="1" a="1"/>
  <c r="L27" i="1" s="1"/>
  <c r="C29" i="1" a="1"/>
  <c r="C29" i="1" s="1"/>
  <c r="C28" i="1" a="1"/>
  <c r="C28" i="1" s="1"/>
  <c r="N3" i="1" a="1"/>
  <c r="K27" i="1"/>
  <c r="L10" i="1" l="1"/>
  <c r="I23" i="1"/>
  <c r="H23" i="1"/>
  <c r="K23" i="1" s="1" a="1"/>
  <c r="C119" i="1"/>
  <c r="D119" i="1"/>
  <c r="K39" i="1"/>
  <c r="L39" i="1"/>
  <c r="C40" i="1"/>
  <c r="D40" i="1"/>
  <c r="D28" i="1"/>
  <c r="D29" i="1"/>
  <c r="K29" i="1" s="1" a="1"/>
  <c r="C107" i="1"/>
  <c r="N4" i="1"/>
  <c r="N3" i="1"/>
  <c r="C77" i="1" l="1" a="1"/>
  <c r="C78" i="1" a="1"/>
  <c r="C104" i="1"/>
  <c r="C105" i="1"/>
  <c r="L23" i="1"/>
  <c r="K23" i="1"/>
  <c r="H57" i="1" a="1"/>
  <c r="H57" i="1" s="1"/>
  <c r="K57" i="1" s="1"/>
  <c r="K29" i="1"/>
  <c r="L29" i="1"/>
  <c r="K28" i="1" a="1"/>
  <c r="C58" i="1" a="1"/>
  <c r="C58" i="1" s="1"/>
  <c r="C62" i="1" a="1"/>
  <c r="C62" i="1" s="1"/>
  <c r="H42" i="1" s="1" a="1"/>
  <c r="H42" i="1" s="1"/>
  <c r="P3" i="1" a="1"/>
  <c r="P3" i="1" s="1"/>
  <c r="C97" i="1" a="1"/>
  <c r="C98" i="1" a="1"/>
  <c r="C64" i="1" a="1"/>
  <c r="C64" i="1" s="1"/>
  <c r="C63" i="1" a="1"/>
  <c r="C63" i="1" s="1"/>
  <c r="C63" i="2" s="1"/>
  <c r="O3" i="1" a="1"/>
  <c r="O4" i="1" s="1"/>
  <c r="H43" i="1" l="1" a="1"/>
  <c r="H43" i="1" s="1"/>
  <c r="I41" i="1"/>
  <c r="H41" i="1" a="1"/>
  <c r="H41" i="1" s="1"/>
  <c r="F104" i="1"/>
  <c r="D78" i="1"/>
  <c r="C78" i="1"/>
  <c r="D77" i="1"/>
  <c r="C77" i="1"/>
  <c r="P4" i="1"/>
  <c r="R4" i="1" s="1"/>
  <c r="C62" i="2"/>
  <c r="K55" i="1" a="1"/>
  <c r="K55" i="1" s="1"/>
  <c r="K28" i="1"/>
  <c r="L28" i="1"/>
  <c r="K42" i="1" a="1"/>
  <c r="L42" i="1" s="1"/>
  <c r="O3" i="1"/>
  <c r="R3" i="1" s="1"/>
  <c r="M12" i="1"/>
  <c r="L12" i="1"/>
  <c r="F77" i="1" l="1" a="1"/>
  <c r="H40" i="1" a="1"/>
  <c r="H38" i="1" a="1"/>
  <c r="C66" i="2"/>
  <c r="M14" i="1"/>
  <c r="K43" i="1" a="1"/>
  <c r="L43" i="1" s="1"/>
  <c r="K42" i="1"/>
  <c r="L14" i="1"/>
  <c r="F105" i="1" a="1"/>
  <c r="F105" i="1" s="1"/>
  <c r="K41" i="1" a="1"/>
  <c r="K41" i="1" s="1"/>
  <c r="C98" i="1"/>
  <c r="C97" i="1"/>
  <c r="D97" i="1"/>
  <c r="D98" i="1"/>
  <c r="C65" i="1" l="1" a="1"/>
  <c r="C65" i="1" s="1"/>
  <c r="C67" i="2"/>
  <c r="H38" i="1"/>
  <c r="I38" i="1"/>
  <c r="H40" i="1"/>
  <c r="I40" i="1"/>
  <c r="F77" i="1"/>
  <c r="G77" i="1"/>
  <c r="H44" i="1" a="1"/>
  <c r="H44" i="1" s="1"/>
  <c r="L41" i="1"/>
  <c r="N21" i="1" a="1"/>
  <c r="N21" i="1" s="1"/>
  <c r="H24" i="1" a="1"/>
  <c r="H24" i="1" s="1"/>
  <c r="F97" i="1" a="1"/>
  <c r="F97" i="1" s="1"/>
  <c r="H37" i="1" a="1"/>
  <c r="I37" i="1" s="1"/>
  <c r="K43" i="1"/>
  <c r="AV53" i="38" l="1"/>
  <c r="AV83" i="38" s="1"/>
  <c r="T53" i="38"/>
  <c r="T83" i="38" s="1"/>
  <c r="P53" i="38"/>
  <c r="P83" i="38" s="1"/>
  <c r="D53" i="38"/>
  <c r="D83" i="38" s="1"/>
  <c r="AJ53" i="38"/>
  <c r="AJ83" i="38" s="1"/>
  <c r="AF53" i="38"/>
  <c r="AF83" i="38" s="1"/>
  <c r="X53" i="38"/>
  <c r="X83" i="38" s="1"/>
  <c r="J53" i="38"/>
  <c r="J83" i="38" s="1"/>
  <c r="AT53" i="38"/>
  <c r="AT83" i="38" s="1"/>
  <c r="Z53" i="38"/>
  <c r="Z83" i="38" s="1"/>
  <c r="N53" i="38"/>
  <c r="N83" i="38" s="1"/>
  <c r="AL53" i="38"/>
  <c r="AL83" i="38" s="1"/>
  <c r="B53" i="38"/>
  <c r="B83" i="38" s="1"/>
  <c r="V53" i="38"/>
  <c r="V83" i="38" s="1"/>
  <c r="AN53" i="38"/>
  <c r="AN83" i="38" s="1"/>
  <c r="AD53" i="38"/>
  <c r="AD83" i="38" s="1"/>
  <c r="AP53" i="38"/>
  <c r="AP83" i="38" s="1"/>
  <c r="F53" i="38"/>
  <c r="F83" i="38" s="1"/>
  <c r="R53" i="38"/>
  <c r="R83" i="38" s="1"/>
  <c r="AB53" i="38"/>
  <c r="AB83" i="38" s="1"/>
  <c r="H53" i="38"/>
  <c r="H83" i="38" s="1"/>
  <c r="AH53" i="38"/>
  <c r="AH83" i="38" s="1"/>
  <c r="AR53" i="38"/>
  <c r="AR83" i="38" s="1"/>
  <c r="L53" i="38"/>
  <c r="L83" i="38" s="1"/>
  <c r="AP53" i="21"/>
  <c r="AP83" i="21" s="1"/>
  <c r="D53" i="21"/>
  <c r="D83" i="21" s="1"/>
  <c r="P53" i="21"/>
  <c r="P83" i="21" s="1"/>
  <c r="AJ53" i="21"/>
  <c r="AJ83" i="21" s="1"/>
  <c r="AF53" i="21"/>
  <c r="AF83" i="21" s="1"/>
  <c r="AV53" i="21"/>
  <c r="AV83" i="21" s="1"/>
  <c r="T53" i="21"/>
  <c r="T83" i="21" s="1"/>
  <c r="H53" i="21"/>
  <c r="H83" i="21" s="1"/>
  <c r="B53" i="21"/>
  <c r="B83" i="21" s="1"/>
  <c r="AB53" i="21"/>
  <c r="AB83" i="21" s="1"/>
  <c r="Z53" i="21"/>
  <c r="Z83" i="21" s="1"/>
  <c r="AH53" i="21"/>
  <c r="AH83" i="21" s="1"/>
  <c r="V53" i="21"/>
  <c r="V83" i="21" s="1"/>
  <c r="R53" i="21"/>
  <c r="R83" i="21" s="1"/>
  <c r="J53" i="21"/>
  <c r="J83" i="21" s="1"/>
  <c r="L53" i="21"/>
  <c r="L83" i="21" s="1"/>
  <c r="AN53" i="21"/>
  <c r="AN83" i="21" s="1"/>
  <c r="AT53" i="21"/>
  <c r="AT83" i="21" s="1"/>
  <c r="AD53" i="21"/>
  <c r="AD83" i="21" s="1"/>
  <c r="X53" i="21"/>
  <c r="X83" i="21" s="1"/>
  <c r="AL53" i="21"/>
  <c r="AL83" i="21" s="1"/>
  <c r="N53" i="21"/>
  <c r="N83" i="21" s="1"/>
  <c r="AR53" i="21"/>
  <c r="AR83" i="21" s="1"/>
  <c r="F53" i="21"/>
  <c r="F83" i="21" s="1"/>
  <c r="AV53" i="24"/>
  <c r="AV83" i="24" s="1"/>
  <c r="AJ53" i="24"/>
  <c r="AJ83" i="24" s="1"/>
  <c r="T53" i="24"/>
  <c r="T83" i="24" s="1"/>
  <c r="P53" i="24"/>
  <c r="P83" i="24" s="1"/>
  <c r="AF53" i="24"/>
  <c r="AF83" i="24" s="1"/>
  <c r="D53" i="24"/>
  <c r="D83" i="24" s="1"/>
  <c r="AR53" i="24"/>
  <c r="AR83" i="24" s="1"/>
  <c r="AT53" i="24"/>
  <c r="AT83" i="24" s="1"/>
  <c r="B53" i="24"/>
  <c r="B83" i="24" s="1"/>
  <c r="X53" i="24"/>
  <c r="X83" i="24" s="1"/>
  <c r="AB53" i="24"/>
  <c r="AB83" i="24" s="1"/>
  <c r="H53" i="24"/>
  <c r="H83" i="24" s="1"/>
  <c r="Z53" i="24"/>
  <c r="Z83" i="24" s="1"/>
  <c r="AD53" i="24"/>
  <c r="AD83" i="24" s="1"/>
  <c r="L53" i="24"/>
  <c r="L83" i="24" s="1"/>
  <c r="AL53" i="24"/>
  <c r="AL83" i="24" s="1"/>
  <c r="F53" i="24"/>
  <c r="F83" i="24" s="1"/>
  <c r="AN53" i="24"/>
  <c r="AN83" i="24" s="1"/>
  <c r="AH53" i="24"/>
  <c r="AH83" i="24" s="1"/>
  <c r="N53" i="24"/>
  <c r="N83" i="24" s="1"/>
  <c r="R53" i="24"/>
  <c r="R83" i="24" s="1"/>
  <c r="V53" i="24"/>
  <c r="V83" i="24" s="1"/>
  <c r="J53" i="24"/>
  <c r="J83" i="24" s="1"/>
  <c r="AP53" i="24"/>
  <c r="AP83" i="24" s="1"/>
  <c r="P53" i="18"/>
  <c r="P83" i="18" s="1"/>
  <c r="AJ53" i="18"/>
  <c r="AJ83" i="18" s="1"/>
  <c r="AF53" i="18"/>
  <c r="AF83" i="18" s="1"/>
  <c r="D53" i="18"/>
  <c r="D83" i="18" s="1"/>
  <c r="T53" i="18"/>
  <c r="T83" i="18" s="1"/>
  <c r="AV53" i="18"/>
  <c r="AV83" i="18" s="1"/>
  <c r="L53" i="18"/>
  <c r="L83" i="18" s="1"/>
  <c r="AB53" i="18"/>
  <c r="AB83" i="18" s="1"/>
  <c r="F53" i="18"/>
  <c r="F83" i="18" s="1"/>
  <c r="N53" i="18"/>
  <c r="N83" i="18" s="1"/>
  <c r="AT53" i="18"/>
  <c r="AT83" i="18" s="1"/>
  <c r="B53" i="18"/>
  <c r="B83" i="18" s="1"/>
  <c r="AL53" i="18"/>
  <c r="AL83" i="18" s="1"/>
  <c r="AH53" i="18"/>
  <c r="AH83" i="18" s="1"/>
  <c r="AR53" i="18"/>
  <c r="AR83" i="18" s="1"/>
  <c r="V53" i="18"/>
  <c r="V83" i="18" s="1"/>
  <c r="Z53" i="18"/>
  <c r="Z83" i="18" s="1"/>
  <c r="AN53" i="18"/>
  <c r="AN83" i="18" s="1"/>
  <c r="AP53" i="18"/>
  <c r="AP83" i="18" s="1"/>
  <c r="J53" i="18"/>
  <c r="J83" i="18" s="1"/>
  <c r="X53" i="18"/>
  <c r="X83" i="18" s="1"/>
  <c r="AD53" i="18"/>
  <c r="AD83" i="18" s="1"/>
  <c r="R53" i="18"/>
  <c r="R83" i="18" s="1"/>
  <c r="H53" i="18"/>
  <c r="H83" i="18" s="1"/>
  <c r="AF53" i="22"/>
  <c r="AF83" i="22" s="1"/>
  <c r="P53" i="22"/>
  <c r="P83" i="22" s="1"/>
  <c r="AB53" i="22"/>
  <c r="AB83" i="22" s="1"/>
  <c r="D53" i="22"/>
  <c r="D83" i="22" s="1"/>
  <c r="T53" i="22"/>
  <c r="T83" i="22" s="1"/>
  <c r="AR53" i="22"/>
  <c r="AR83" i="22" s="1"/>
  <c r="AV53" i="22"/>
  <c r="AV83" i="22" s="1"/>
  <c r="AJ53" i="22"/>
  <c r="AJ83" i="22" s="1"/>
  <c r="L53" i="22"/>
  <c r="L83" i="22" s="1"/>
  <c r="N53" i="22"/>
  <c r="N83" i="22" s="1"/>
  <c r="V53" i="22"/>
  <c r="V83" i="22" s="1"/>
  <c r="B53" i="22"/>
  <c r="B83" i="22" s="1"/>
  <c r="H53" i="22"/>
  <c r="H83" i="22" s="1"/>
  <c r="R53" i="22"/>
  <c r="R83" i="22" s="1"/>
  <c r="AL53" i="22"/>
  <c r="AL83" i="22" s="1"/>
  <c r="AT53" i="22"/>
  <c r="AT83" i="22" s="1"/>
  <c r="Z53" i="22"/>
  <c r="Z83" i="22" s="1"/>
  <c r="J53" i="22"/>
  <c r="J83" i="22" s="1"/>
  <c r="F53" i="22"/>
  <c r="F83" i="22" s="1"/>
  <c r="AD53" i="22"/>
  <c r="AD83" i="22" s="1"/>
  <c r="X53" i="22"/>
  <c r="X83" i="22" s="1"/>
  <c r="AP53" i="22"/>
  <c r="AP83" i="22" s="1"/>
  <c r="AH53" i="22"/>
  <c r="AH83" i="22" s="1"/>
  <c r="AN53" i="22"/>
  <c r="AN83" i="22" s="1"/>
  <c r="Z53" i="12"/>
  <c r="Z83" i="12" s="1"/>
  <c r="D53" i="12"/>
  <c r="D83" i="12" s="1"/>
  <c r="AR53" i="12"/>
  <c r="AR83" i="12" s="1"/>
  <c r="T53" i="12"/>
  <c r="T83" i="12" s="1"/>
  <c r="AP53" i="12"/>
  <c r="AP83" i="12" s="1"/>
  <c r="P53" i="12"/>
  <c r="P83" i="12" s="1"/>
  <c r="AJ53" i="12"/>
  <c r="AJ83" i="12" s="1"/>
  <c r="L53" i="12"/>
  <c r="L83" i="12" s="1"/>
  <c r="AF53" i="12"/>
  <c r="AF83" i="12" s="1"/>
  <c r="J53" i="12"/>
  <c r="J83" i="12" s="1"/>
  <c r="AB53" i="12"/>
  <c r="AB83" i="12" s="1"/>
  <c r="AV53" i="12"/>
  <c r="AV83" i="12" s="1"/>
  <c r="F53" i="12"/>
  <c r="F83" i="12" s="1"/>
  <c r="H53" i="12"/>
  <c r="H83" i="12" s="1"/>
  <c r="V53" i="12"/>
  <c r="V83" i="12" s="1"/>
  <c r="B53" i="12"/>
  <c r="B83" i="12" s="1"/>
  <c r="X53" i="12"/>
  <c r="X83" i="12" s="1"/>
  <c r="AH53" i="12"/>
  <c r="AH83" i="12" s="1"/>
  <c r="N53" i="12"/>
  <c r="N83" i="12" s="1"/>
  <c r="AN53" i="12"/>
  <c r="AN83" i="12" s="1"/>
  <c r="AD53" i="12"/>
  <c r="AD83" i="12" s="1"/>
  <c r="AT53" i="12"/>
  <c r="AT83" i="12" s="1"/>
  <c r="R53" i="12"/>
  <c r="R83" i="12" s="1"/>
  <c r="AL53" i="12"/>
  <c r="AL83" i="12" s="1"/>
  <c r="AV53" i="11"/>
  <c r="AV83" i="11" s="1"/>
  <c r="AT53" i="11"/>
  <c r="AT83" i="11" s="1"/>
  <c r="P53" i="11"/>
  <c r="P83" i="11" s="1"/>
  <c r="N53" i="11"/>
  <c r="N83" i="11" s="1"/>
  <c r="AF53" i="11"/>
  <c r="AF83" i="11" s="1"/>
  <c r="AD53" i="11"/>
  <c r="AD83" i="11" s="1"/>
  <c r="T53" i="11"/>
  <c r="T83" i="11" s="1"/>
  <c r="D53" i="11"/>
  <c r="D83" i="11" s="1"/>
  <c r="F53" i="11"/>
  <c r="F83" i="11" s="1"/>
  <c r="AN53" i="11"/>
  <c r="AN83" i="11" s="1"/>
  <c r="X53" i="11"/>
  <c r="X83" i="11" s="1"/>
  <c r="Z53" i="11"/>
  <c r="Z83" i="11" s="1"/>
  <c r="B53" i="11"/>
  <c r="B83" i="11" s="1"/>
  <c r="AR53" i="11"/>
  <c r="AR83" i="11" s="1"/>
  <c r="AB53" i="11"/>
  <c r="AB83" i="11" s="1"/>
  <c r="J53" i="11"/>
  <c r="J83" i="11" s="1"/>
  <c r="AL53" i="11"/>
  <c r="AL83" i="11" s="1"/>
  <c r="H53" i="11"/>
  <c r="H83" i="11" s="1"/>
  <c r="AH53" i="11"/>
  <c r="AH83" i="11" s="1"/>
  <c r="AP53" i="11"/>
  <c r="AP83" i="11" s="1"/>
  <c r="R53" i="11"/>
  <c r="R83" i="11" s="1"/>
  <c r="L53" i="11"/>
  <c r="L83" i="11" s="1"/>
  <c r="V53" i="11"/>
  <c r="V83" i="11" s="1"/>
  <c r="AJ53" i="11"/>
  <c r="AJ83" i="11" s="1"/>
  <c r="AJ53" i="3" a="1"/>
  <c r="AJ53" i="3" s="1"/>
  <c r="AJ83" i="3" s="1"/>
  <c r="D53" i="3" a="1"/>
  <c r="AB53" i="3" a="1"/>
  <c r="Z53" i="3" a="1"/>
  <c r="T53" i="3" a="1"/>
  <c r="R53" i="3" a="1"/>
  <c r="R53" i="3" s="1"/>
  <c r="R83" i="3" s="1"/>
  <c r="P53" i="3" a="1"/>
  <c r="AT53" i="3" a="1"/>
  <c r="AT53" i="3" s="1"/>
  <c r="AT83" i="3" s="1"/>
  <c r="L53" i="3" a="1"/>
  <c r="L53" i="3" s="1"/>
  <c r="L83" i="3" s="1"/>
  <c r="J53" i="3" a="1"/>
  <c r="J53" i="3" s="1"/>
  <c r="J83" i="3" s="1"/>
  <c r="H53" i="3" a="1"/>
  <c r="H53" i="3" s="1"/>
  <c r="H83" i="3" s="1"/>
  <c r="AL53" i="3" a="1"/>
  <c r="AL53" i="3" s="1"/>
  <c r="AL83" i="3" s="1"/>
  <c r="AH53" i="3" a="1"/>
  <c r="AH53" i="3" s="1"/>
  <c r="AH83" i="3" s="1"/>
  <c r="B53" i="3" a="1"/>
  <c r="B53" i="3" s="1"/>
  <c r="B83" i="3" s="1"/>
  <c r="AF53" i="3" a="1"/>
  <c r="AF53" i="3" s="1"/>
  <c r="AF83" i="3" s="1"/>
  <c r="AD53" i="3" a="1"/>
  <c r="AD53" i="3" s="1"/>
  <c r="AD83" i="3" s="1"/>
  <c r="X53" i="3" a="1"/>
  <c r="X53" i="3" s="1"/>
  <c r="X83" i="3" s="1"/>
  <c r="V53" i="3" a="1"/>
  <c r="AV53" i="3" a="1"/>
  <c r="AV53" i="3" s="1"/>
  <c r="AV83" i="3" s="1"/>
  <c r="N53" i="3" a="1"/>
  <c r="N53" i="3" s="1"/>
  <c r="N83" i="3" s="1"/>
  <c r="AR53" i="3" a="1"/>
  <c r="AP53" i="3" a="1"/>
  <c r="AP53" i="3" s="1"/>
  <c r="AP83" i="3" s="1"/>
  <c r="AN53" i="3" a="1"/>
  <c r="AN53" i="3" s="1"/>
  <c r="AN83" i="3" s="1"/>
  <c r="F53" i="3" a="1"/>
  <c r="K65" i="1"/>
  <c r="AR53" i="3"/>
  <c r="AR83" i="3" s="1"/>
  <c r="Z53" i="3"/>
  <c r="Z83" i="3" s="1"/>
  <c r="AB53" i="3"/>
  <c r="AB83" i="3" s="1"/>
  <c r="F53" i="3"/>
  <c r="F83" i="3" s="1"/>
  <c r="V53" i="3"/>
  <c r="V83" i="3" s="1"/>
  <c r="D53" i="3"/>
  <c r="D83" i="3" s="1"/>
  <c r="T53" i="3"/>
  <c r="T83" i="3" s="1"/>
  <c r="P53" i="3"/>
  <c r="P83" i="3" s="1"/>
  <c r="C65" i="2"/>
  <c r="K59" i="2" s="1" a="1"/>
  <c r="F78" i="1" a="1"/>
  <c r="G78" i="1" s="1"/>
  <c r="O21" i="1"/>
  <c r="I44" i="1"/>
  <c r="G97" i="1"/>
  <c r="F98" i="1" s="1" a="1"/>
  <c r="F98" i="1" s="1"/>
  <c r="H37" i="1"/>
  <c r="K37" i="1" s="1" a="1"/>
  <c r="I24" i="1"/>
  <c r="K44" i="1" a="1"/>
  <c r="K44" i="1" s="1"/>
  <c r="F78" i="1" l="1"/>
  <c r="K37" i="1"/>
  <c r="K38" i="1" a="1"/>
  <c r="K38" i="1" s="1"/>
  <c r="G98" i="1"/>
  <c r="L37" i="1"/>
  <c r="L44" i="1"/>
  <c r="K24" i="1" a="1"/>
  <c r="K24" i="1" s="1"/>
  <c r="K40" i="1" a="1"/>
  <c r="L40" i="1" s="1"/>
  <c r="L38" i="1" l="1"/>
  <c r="K40" i="1"/>
  <c r="L24" i="1"/>
  <c r="D39" i="2" l="1"/>
  <c r="K41" i="2" s="1"/>
  <c r="D32" i="2"/>
  <c r="C57" i="2"/>
  <c r="D21" i="2"/>
  <c r="D23" i="2"/>
  <c r="C21" i="2"/>
  <c r="C23" i="2"/>
  <c r="C39" i="2"/>
  <c r="C29" i="2" l="1" a="1"/>
  <c r="D29" i="2" s="1"/>
  <c r="C27" i="2" a="1"/>
  <c r="D27" i="2" s="1"/>
  <c r="C28" i="2" a="1"/>
  <c r="C28" i="2" s="1"/>
  <c r="L10" i="2" a="1"/>
  <c r="M10" i="2" s="1"/>
  <c r="O12" i="2" a="1"/>
  <c r="P12" i="2" s="1"/>
  <c r="L7" i="2" a="1"/>
  <c r="L7" i="2" s="1"/>
  <c r="C55" i="2" a="1"/>
  <c r="C55" i="2" s="1"/>
  <c r="C24" i="2" a="1"/>
  <c r="D24" i="2" s="1"/>
  <c r="C25" i="2" a="1"/>
  <c r="C27" i="2"/>
  <c r="C32" i="2"/>
  <c r="C29" i="2" l="1"/>
  <c r="K55" i="2" s="1"/>
  <c r="D28" i="2"/>
  <c r="AK58" i="2" a="1"/>
  <c r="O12" i="2"/>
  <c r="L10" i="2"/>
  <c r="M7" i="2"/>
  <c r="C24" i="2"/>
  <c r="C40" i="2" s="1" a="1"/>
  <c r="D40" i="2" s="1"/>
  <c r="H23" i="2" a="1"/>
  <c r="C26" i="2"/>
  <c r="D26" i="2"/>
  <c r="D25" i="2"/>
  <c r="C25" i="2"/>
  <c r="C42" i="2" a="1"/>
  <c r="C42" i="2" s="1"/>
  <c r="AE58" i="2" a="1"/>
  <c r="W59" i="2" a="1"/>
  <c r="Y58" i="2" a="1"/>
  <c r="AC58" i="2" a="1"/>
  <c r="AA56" i="2" a="1"/>
  <c r="AI55" i="2" a="1"/>
  <c r="Q34" i="2" a="1"/>
  <c r="R34" i="2" s="1"/>
  <c r="AC58" i="2" l="1"/>
  <c r="Y58" i="2"/>
  <c r="W59" i="2"/>
  <c r="AE58" i="2"/>
  <c r="P3" i="2" a="1"/>
  <c r="P3" i="2" s="1"/>
  <c r="AI55" i="2"/>
  <c r="AK58" i="2"/>
  <c r="AA56" i="2"/>
  <c r="C38" i="2" a="1"/>
  <c r="D38" i="2" s="1"/>
  <c r="T21" i="2" a="1"/>
  <c r="U21" i="2" s="1"/>
  <c r="C44" i="2" a="1"/>
  <c r="H23" i="2"/>
  <c r="I23" i="2"/>
  <c r="Q34" i="2"/>
  <c r="C40" i="2"/>
  <c r="O3" i="2" a="1"/>
  <c r="O3" i="2" s="1"/>
  <c r="P4" i="2" l="1"/>
  <c r="C38" i="2"/>
  <c r="L9" i="2" s="1" a="1"/>
  <c r="M9" i="2" s="1"/>
  <c r="C44" i="2"/>
  <c r="D44" i="2"/>
  <c r="H37" i="2" a="1"/>
  <c r="T21" i="2"/>
  <c r="Q38" i="2" a="1"/>
  <c r="R38" i="2" s="1"/>
  <c r="Q23" i="2" a="1"/>
  <c r="O4" i="2"/>
  <c r="C35" i="2" a="1"/>
  <c r="L9" i="2" l="1"/>
  <c r="H37" i="2"/>
  <c r="I37" i="2"/>
  <c r="K23" i="2" a="1"/>
  <c r="Q3" i="2" a="1"/>
  <c r="C59" i="2" a="1"/>
  <c r="C59" i="2" s="1"/>
  <c r="Q38" i="2"/>
  <c r="C58" i="2" a="1"/>
  <c r="R23" i="2"/>
  <c r="Q23" i="2"/>
  <c r="K37" i="2" a="1"/>
  <c r="C64" i="2" l="1" a="1"/>
  <c r="AG57" i="2"/>
  <c r="C58" i="2"/>
  <c r="D41" i="2" s="1"/>
  <c r="L37" i="2"/>
  <c r="W57" i="2"/>
  <c r="C64" i="2"/>
  <c r="Y57" i="2"/>
  <c r="AK57" i="2"/>
  <c r="Q4" i="2"/>
  <c r="Q3" i="2"/>
  <c r="L23" i="2"/>
  <c r="K23" i="2"/>
  <c r="AA57" i="2"/>
  <c r="U57" i="2"/>
  <c r="AC57" i="2"/>
  <c r="AE57" i="2"/>
  <c r="K37" i="2"/>
  <c r="C41" i="2" l="1"/>
  <c r="N3" i="2" s="1" a="1"/>
  <c r="N4" i="2" s="1"/>
  <c r="C60" i="2" l="1" a="1"/>
  <c r="C60" i="2" s="1"/>
  <c r="K56" i="2" s="1"/>
  <c r="Q58" i="2" a="1"/>
  <c r="Q58" i="2" s="1"/>
  <c r="Q57" i="2" a="1"/>
  <c r="Q57" i="2" s="1"/>
  <c r="C56" i="2"/>
  <c r="N3" i="2"/>
  <c r="AG56" i="2" l="1" a="1"/>
  <c r="AG56" i="2" s="1"/>
  <c r="AI56" i="2" a="1"/>
  <c r="AI56" i="2" s="1"/>
  <c r="AK56" i="2" a="1"/>
  <c r="AK56" i="2" s="1"/>
  <c r="AE56" i="2" a="1"/>
  <c r="AE56" i="2" s="1"/>
  <c r="AC56" i="2" a="1"/>
  <c r="AC56" i="2" s="1"/>
  <c r="C35" i="2"/>
  <c r="D35" i="2"/>
  <c r="C70" i="2" l="1" a="1"/>
  <c r="C70" i="2" s="1"/>
  <c r="N21" i="2" a="1"/>
  <c r="O35" i="2" s="1"/>
  <c r="C48" i="2" a="1"/>
  <c r="D48" i="2" s="1"/>
  <c r="H21" i="2" a="1"/>
  <c r="H21" i="2" s="1"/>
  <c r="N35" i="2" l="1"/>
  <c r="I21" i="2"/>
  <c r="D70" i="2"/>
  <c r="C48" i="2"/>
  <c r="O33" i="2"/>
  <c r="O29" i="2"/>
  <c r="O25" i="2"/>
  <c r="O24" i="2"/>
  <c r="N29" i="2"/>
  <c r="O32" i="2"/>
  <c r="O31" i="2"/>
  <c r="O30" i="2"/>
  <c r="N31" i="2"/>
  <c r="N28" i="2"/>
  <c r="N25" i="2"/>
  <c r="N30" i="2"/>
  <c r="N24" i="2"/>
  <c r="N27" i="2"/>
  <c r="N32" i="2"/>
  <c r="N22" i="2"/>
  <c r="N23" i="2"/>
  <c r="O27" i="2"/>
  <c r="O26" i="2"/>
  <c r="O22" i="2"/>
  <c r="O28" i="2"/>
  <c r="O21" i="2"/>
  <c r="N21" i="2"/>
  <c r="N26" i="2"/>
  <c r="O23" i="2"/>
  <c r="N33" i="2"/>
  <c r="O34" i="2"/>
  <c r="N34" i="2"/>
  <c r="Q21" i="2" l="1" a="1"/>
  <c r="Q21" i="2" s="1"/>
  <c r="Q37" i="2" a="1"/>
  <c r="C71" i="2" a="1"/>
  <c r="C47" i="2" a="1"/>
  <c r="K21" i="2" a="1"/>
  <c r="K21" i="2" s="1"/>
  <c r="R21" i="2" l="1"/>
  <c r="L21" i="2"/>
  <c r="C47" i="2"/>
  <c r="K58" i="2" s="1"/>
  <c r="D47" i="2"/>
  <c r="L58" i="2" s="1"/>
  <c r="C71" i="2"/>
  <c r="D71" i="2"/>
  <c r="Q37" i="2"/>
  <c r="R37" i="2"/>
  <c r="AG58" i="2" l="1" a="1"/>
  <c r="AG58" i="2" s="1"/>
  <c r="AL58" i="2"/>
  <c r="AI58" i="2" a="1"/>
  <c r="AJ58" i="2" s="1"/>
  <c r="AA58" i="2" a="1"/>
  <c r="AA58" i="2" s="1"/>
  <c r="U58" i="2" a="1"/>
  <c r="V58" i="2" s="1"/>
  <c r="AF58" i="2"/>
  <c r="AD58" i="2"/>
  <c r="Z58" i="2"/>
  <c r="W58" i="2" a="1"/>
  <c r="Q32" i="2" a="1"/>
  <c r="R32" i="2" s="1"/>
  <c r="Q45" i="2" a="1"/>
  <c r="R45" i="2" s="1"/>
  <c r="C46" i="2" a="1"/>
  <c r="Q48" i="2" a="1"/>
  <c r="Q35" i="2" a="1"/>
  <c r="H39" i="2" a="1"/>
  <c r="L3" i="2" a="1"/>
  <c r="AH58" i="2" l="1"/>
  <c r="AI58" i="2"/>
  <c r="U58" i="2"/>
  <c r="AB58" i="2"/>
  <c r="X58" i="2"/>
  <c r="W58" i="2"/>
  <c r="Q32" i="2"/>
  <c r="Q45" i="2"/>
  <c r="C46" i="2"/>
  <c r="D46" i="2"/>
  <c r="I39" i="2"/>
  <c r="H39" i="2"/>
  <c r="Q48" i="2"/>
  <c r="R48" i="2"/>
  <c r="L3" i="2"/>
  <c r="M3" i="2"/>
  <c r="L4" i="2"/>
  <c r="M4" i="2"/>
  <c r="Q35" i="2"/>
  <c r="R35" i="2"/>
  <c r="K57" i="2" l="1"/>
  <c r="K59" i="2"/>
  <c r="Y59" i="2" a="1"/>
  <c r="Y59" i="2" s="1"/>
  <c r="AG55" i="2" a="1"/>
  <c r="AG55" i="2" s="1"/>
  <c r="AG59" i="2" a="1"/>
  <c r="AG59" i="2" s="1"/>
  <c r="R3" i="2" a="1"/>
  <c r="R3" i="2" s="1"/>
  <c r="R4" i="2" a="1"/>
  <c r="R4" i="2" s="1"/>
  <c r="AK55" i="2"/>
  <c r="AI57" i="2" a="1"/>
  <c r="AI57" i="2" s="1"/>
  <c r="AE55" i="2"/>
  <c r="AC55" i="2"/>
  <c r="U55" i="2"/>
  <c r="AA55" i="2"/>
  <c r="Y55" i="2"/>
  <c r="W55" i="2"/>
  <c r="Q33" i="2" a="1"/>
  <c r="Q33" i="2" s="1"/>
  <c r="Q46" i="2" a="1"/>
  <c r="R46" i="2" s="1"/>
  <c r="L5" i="2" a="1"/>
  <c r="L6" i="2" a="1"/>
  <c r="C72" i="2" a="1"/>
  <c r="N37" i="2" a="1"/>
  <c r="Q47" i="2" a="1"/>
  <c r="C73" i="2" a="1"/>
  <c r="K34" i="2" a="1"/>
  <c r="K39" i="2" a="1"/>
  <c r="L39" i="2" s="1"/>
  <c r="AK59" i="2" l="1" a="1"/>
  <c r="AK59" i="2" s="1"/>
  <c r="AE59" i="2" a="1"/>
  <c r="AE59" i="2" s="1"/>
  <c r="U59" i="2" a="1"/>
  <c r="U59" i="2" s="1"/>
  <c r="AA59" i="2" a="1"/>
  <c r="AA59" i="2" s="1"/>
  <c r="AC59" i="2" a="1"/>
  <c r="AC59" i="2" s="1"/>
  <c r="AI59" i="2" a="1"/>
  <c r="AI59" i="2" s="1"/>
  <c r="R33" i="2"/>
  <c r="K39" i="2"/>
  <c r="Q46" i="2"/>
  <c r="N55" i="2" a="1"/>
  <c r="D72" i="2"/>
  <c r="C72" i="2"/>
  <c r="N39" i="2"/>
  <c r="O41" i="2"/>
  <c r="N40" i="2"/>
  <c r="N41" i="2"/>
  <c r="O42" i="2"/>
  <c r="N38" i="2"/>
  <c r="O38" i="2"/>
  <c r="O37" i="2"/>
  <c r="O39" i="2"/>
  <c r="O44" i="2"/>
  <c r="O43" i="2"/>
  <c r="O40" i="2"/>
  <c r="N43" i="2"/>
  <c r="N44" i="2"/>
  <c r="N37" i="2"/>
  <c r="N42" i="2"/>
  <c r="N48" i="2"/>
  <c r="O48" i="2"/>
  <c r="N47" i="2"/>
  <c r="O47" i="2"/>
  <c r="O45" i="2"/>
  <c r="N46" i="2"/>
  <c r="N45" i="2"/>
  <c r="O46" i="2"/>
  <c r="L6" i="2"/>
  <c r="M6" i="2"/>
  <c r="K34" i="2"/>
  <c r="L34" i="2"/>
  <c r="R47" i="2"/>
  <c r="Q47" i="2"/>
  <c r="L5" i="2"/>
  <c r="M5" i="2"/>
  <c r="D73" i="2"/>
  <c r="C73" i="2"/>
  <c r="R57" i="2" a="1"/>
  <c r="R57" i="2" s="1"/>
  <c r="L8" i="2" l="1" a="1"/>
  <c r="M8" i="2" s="1"/>
  <c r="M12" i="2" s="1"/>
  <c r="L17" i="2"/>
  <c r="N70" i="2" a="1"/>
  <c r="O72" i="2" s="1"/>
  <c r="N57" i="2"/>
  <c r="N59" i="2"/>
  <c r="N58" i="2"/>
  <c r="N56" i="2"/>
  <c r="N55" i="2"/>
  <c r="M14" i="2" l="1" a="1"/>
  <c r="M14" i="2" s="1"/>
  <c r="L8" i="2"/>
  <c r="L12" i="2" s="1"/>
  <c r="N70" i="2"/>
  <c r="O70" i="2"/>
  <c r="N71" i="2"/>
  <c r="O71" i="2"/>
  <c r="O73" i="2"/>
  <c r="N73" i="2"/>
  <c r="N72" i="2"/>
  <c r="L14" i="2" l="1" a="1"/>
  <c r="L14"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Frédéric Ghersi</author>
    <author>tc={C96615DD-9C03-4E40-B6D8-F4143B40B058}</author>
    <author>tc={D3DFF277-FA45-464F-847A-E2B29A5F813E}</author>
  </authors>
  <commentList>
    <comment ref="E57" authorId="0" shapeId="0" xr:uid="{00000000-0006-0000-0000-000001000000}">
      <text>
        <r>
          <rPr>
            <b/>
            <sz val="9"/>
            <color indexed="81"/>
            <rFont val="Tahoma"/>
            <family val="2"/>
          </rPr>
          <t>Frédéric Ghersi:</t>
        </r>
        <r>
          <rPr>
            <sz val="9"/>
            <color indexed="81"/>
            <rFont val="Tahoma"/>
            <family val="2"/>
          </rPr>
          <t xml:space="preserve">
PIB UE en dollars x PIB France en euros / PIB France en dollars, 2019. Extrait le 16 février 2024.</t>
        </r>
      </text>
    </comment>
    <comment ref="C66" authorId="0" shapeId="0" xr:uid="{00000000-0006-0000-0000-000002000000}">
      <text>
        <r>
          <rPr>
            <b/>
            <sz val="9"/>
            <color indexed="81"/>
            <rFont val="Tahoma"/>
            <family val="2"/>
          </rPr>
          <t>Frédéric Ghersi:</t>
        </r>
        <r>
          <rPr>
            <sz val="9"/>
            <color indexed="81"/>
            <rFont val="Tahoma"/>
            <family val="2"/>
          </rPr>
          <t xml:space="preserve">
Le taux est déterminé par solveur. Il est élevé parce que les dépenses publiques dépassent largement T, donc le déficit d'épargne publique est élevé. Une part des épargnes élevées sL et sK couvre en fait les impôts directs. Ou encore : les taux s'appliquent au revenu brut.</t>
        </r>
      </text>
    </comment>
    <comment ref="C97" authorId="1" shapeId="0" xr:uid="{00000000-0006-0000-0000-00000300000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Calibrage des coefficients de la CET</t>
      </text>
    </comment>
    <comment ref="B99" authorId="2" shapeId="0" xr:uid="{00000000-0006-0000-0000-00000400000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Elasticité CET</t>
      </text>
    </comment>
    <comment ref="C106" authorId="0" shapeId="0" xr:uid="{00000000-0006-0000-0000-000005000000}">
      <text>
        <r>
          <rPr>
            <b/>
            <sz val="9"/>
            <color indexed="81"/>
            <rFont val="Tahoma"/>
            <family val="2"/>
          </rPr>
          <t>Frédéric Ghersi:</t>
        </r>
        <r>
          <rPr>
            <sz val="9"/>
            <color indexed="81"/>
            <rFont val="Tahoma"/>
            <family val="2"/>
          </rPr>
          <t xml:space="preserve">
The long-term estimate from Lecca, P., McGregor, P. G., Swales, J. K., &amp; Turner, K. (2014). The added value from a general equilibrium analysis of increased efficiency in household energy use. Ecological economics, 100, 51-62.</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Frédéric Ghersi</author>
  </authors>
  <commentList>
    <comment ref="C46" authorId="0" shapeId="0" xr:uid="{00000000-0006-0000-0100-000001000000}">
      <text>
        <r>
          <rPr>
            <b/>
            <sz val="9"/>
            <color indexed="81"/>
            <rFont val="Tahoma"/>
            <family val="2"/>
          </rPr>
          <t>Frédéric Ghersi:</t>
        </r>
        <r>
          <rPr>
            <sz val="9"/>
            <color indexed="81"/>
            <rFont val="Tahoma"/>
            <family val="2"/>
          </rPr>
          <t xml:space="preserve">
This flows from KL being a CES of K and L.</t>
        </r>
      </text>
    </comment>
    <comment ref="Y54" authorId="0" shapeId="0" xr:uid="{00000000-0006-0000-0100-000002000000}">
      <text>
        <r>
          <rPr>
            <b/>
            <sz val="9"/>
            <color indexed="81"/>
            <rFont val="Tahoma"/>
            <family val="2"/>
          </rPr>
          <t>Frédéric Ghersi:</t>
        </r>
        <r>
          <rPr>
            <sz val="9"/>
            <color indexed="81"/>
            <rFont val="Tahoma"/>
            <family val="2"/>
          </rPr>
          <t xml:space="preserve">
La constance de l'effort d'épargne ne change rien par rapport à Johansen (seule différence) puisque elle est mécaniquement induite par les constances de sI et sB dans Johansen. Donc Kaldor va chercher la rémunération des facteurs qui correspond strictement à celle de Johansen.</t>
        </r>
      </text>
    </comment>
    <comment ref="AA54" authorId="0" shapeId="0" xr:uid="{00000000-0006-0000-0100-000003000000}">
      <text>
        <r>
          <rPr>
            <b/>
            <sz val="9"/>
            <color indexed="81"/>
            <rFont val="Tahoma"/>
            <family val="2"/>
          </rPr>
          <t>Frédéric Ghersi:</t>
        </r>
        <r>
          <rPr>
            <sz val="9"/>
            <color indexed="81"/>
            <rFont val="Tahoma"/>
            <family val="2"/>
          </rPr>
          <t xml:space="preserve">
Par rapport au néoclassique, on substitue la contrainte de l'effort d'investissement à celle de la dotation en travail. Comme le prix des immobilisations progresse moins vite que celui du PIB (car le PIB comporte les consommations d'énergie), le volume d'investissement progresse plus vite que le PIB et produit un effet relance par la demande.</t>
        </r>
      </text>
    </comment>
    <comment ref="AK54" authorId="0" shapeId="0" xr:uid="{00000000-0006-0000-0100-000004000000}">
      <text>
        <r>
          <rPr>
            <b/>
            <sz val="9"/>
            <color indexed="81"/>
            <rFont val="Tahoma"/>
            <family val="2"/>
          </rPr>
          <t>Frédéric Ghersi:</t>
        </r>
        <r>
          <rPr>
            <sz val="9"/>
            <color indexed="81"/>
            <rFont val="Tahoma"/>
            <family val="2"/>
          </rPr>
          <t xml:space="preserve">
Option viciée ! Solutions multiples.</t>
        </r>
      </text>
    </comment>
    <comment ref="U58" authorId="0" shapeId="0" xr:uid="{00000000-0006-0000-0100-000006000000}">
      <text>
        <r>
          <rPr>
            <b/>
            <sz val="9"/>
            <color indexed="81"/>
            <rFont val="Tahoma"/>
            <family val="2"/>
          </rPr>
          <t>Frédéric Ghersi:</t>
        </r>
        <r>
          <rPr>
            <sz val="9"/>
            <color indexed="81"/>
            <rFont val="Tahoma"/>
            <family val="2"/>
          </rPr>
          <t xml:space="preserve">
This is optimal L input into KL CES considering pK and pL.</t>
        </r>
      </text>
    </comment>
    <comment ref="Z58" authorId="0" shapeId="0" xr:uid="{00000000-0006-0000-0100-000007000000}">
      <text>
        <r>
          <rPr>
            <b/>
            <sz val="9"/>
            <color indexed="81"/>
            <rFont val="Tahoma"/>
            <family val="2"/>
          </rPr>
          <t>Frédéric Ghersi:</t>
        </r>
        <r>
          <rPr>
            <sz val="9"/>
            <color indexed="81"/>
            <rFont val="Tahoma"/>
            <family val="2"/>
          </rPr>
          <t xml:space="preserve">
This is forcing the L intensity of KL to evolve in parallel in both sectors.</t>
        </r>
      </text>
    </comment>
  </commentList>
</comments>
</file>

<file path=xl/sharedStrings.xml><?xml version="1.0" encoding="utf-8"?>
<sst xmlns="http://schemas.openxmlformats.org/spreadsheetml/2006/main" count="1133" uniqueCount="199">
  <si>
    <t>X</t>
  </si>
  <si>
    <t>L net</t>
  </si>
  <si>
    <t>K</t>
  </si>
  <si>
    <t>M</t>
  </si>
  <si>
    <t>VAT</t>
  </si>
  <si>
    <t>EXCISE</t>
  </si>
  <si>
    <t>C</t>
  </si>
  <si>
    <t>G</t>
  </si>
  <si>
    <t>I</t>
  </si>
  <si>
    <t>L taxes</t>
  </si>
  <si>
    <t>Ouput taxes</t>
  </si>
  <si>
    <t>Distributed output</t>
  </si>
  <si>
    <t>pY</t>
  </si>
  <si>
    <t>pIC</t>
  </si>
  <si>
    <t>pC</t>
  </si>
  <si>
    <t>pG</t>
  </si>
  <si>
    <t>pX</t>
  </si>
  <si>
    <t>w</t>
  </si>
  <si>
    <t>pK</t>
  </si>
  <si>
    <t>Y</t>
  </si>
  <si>
    <t>tauY</t>
  </si>
  <si>
    <t>alpha</t>
  </si>
  <si>
    <t>lambda</t>
  </si>
  <si>
    <t>kappa</t>
  </si>
  <si>
    <t>COMPOSITE</t>
  </si>
  <si>
    <t>ENERGY</t>
  </si>
  <si>
    <t>tauL</t>
  </si>
  <si>
    <t>Labour</t>
  </si>
  <si>
    <t>Consumption</t>
  </si>
  <si>
    <t>pI</t>
  </si>
  <si>
    <t>Uses-Resources</t>
  </si>
  <si>
    <t>aKL</t>
  </si>
  <si>
    <t>bKL</t>
  </si>
  <si>
    <t>sigmaKL</t>
  </si>
  <si>
    <t>rhoKL</t>
  </si>
  <si>
    <t>KL</t>
  </si>
  <si>
    <t>pL</t>
  </si>
  <si>
    <t>aY</t>
  </si>
  <si>
    <t>bY</t>
  </si>
  <si>
    <t>sigmaY</t>
  </si>
  <si>
    <t>rhoY</t>
  </si>
  <si>
    <t>(pEY)</t>
  </si>
  <si>
    <t>Consistency check</t>
  </si>
  <si>
    <t>aU</t>
  </si>
  <si>
    <t>bU</t>
  </si>
  <si>
    <t>sigmaU</t>
  </si>
  <si>
    <t>rhoU</t>
  </si>
  <si>
    <t>U</t>
  </si>
  <si>
    <t>T</t>
  </si>
  <si>
    <t>aKLE</t>
  </si>
  <si>
    <t>bKLE</t>
  </si>
  <si>
    <t>sigmaKLE</t>
  </si>
  <si>
    <t>rhoKLE</t>
  </si>
  <si>
    <t>KLE</t>
  </si>
  <si>
    <t>Revenue</t>
  </si>
  <si>
    <t>(R, not allowed per XL naming conventions)</t>
  </si>
  <si>
    <t>(r, not allowed per XL naming conventions)</t>
  </si>
  <si>
    <t>(C, not allowed per XL naming conventions)</t>
  </si>
  <si>
    <t>(L, not allowed per XL naming conventions)</t>
  </si>
  <si>
    <t>Error</t>
  </si>
  <si>
    <t>Equation</t>
  </si>
  <si>
    <t>pKL</t>
  </si>
  <si>
    <t>pKLE</t>
  </si>
  <si>
    <t>(pMY)</t>
  </si>
  <si>
    <t>GDP</t>
  </si>
  <si>
    <t>Max error</t>
  </si>
  <si>
    <t>sigmaX</t>
  </si>
  <si>
    <t>Target</t>
  </si>
  <si>
    <t>Calibration</t>
  </si>
  <si>
    <t>ERROR1</t>
  </si>
  <si>
    <t>ERROR2</t>
  </si>
  <si>
    <t>ERROR3</t>
  </si>
  <si>
    <t>ERROR4</t>
  </si>
  <si>
    <t>ERROR5</t>
  </si>
  <si>
    <t>ERROR6</t>
  </si>
  <si>
    <t>B</t>
  </si>
  <si>
    <t>D</t>
  </si>
  <si>
    <t>pD</t>
  </si>
  <si>
    <t>IPC</t>
  </si>
  <si>
    <t>Variable</t>
  </si>
  <si>
    <t>Domestic saving rate</t>
  </si>
  <si>
    <t>Public spending effort</t>
  </si>
  <si>
    <t>Investment effort</t>
  </si>
  <si>
    <t>Saving rate on K income</t>
  </si>
  <si>
    <t>sK</t>
  </si>
  <si>
    <t>sL</t>
  </si>
  <si>
    <t>Model</t>
  </si>
  <si>
    <t>En rouge variable du solveur</t>
  </si>
  <si>
    <t>ERROR7</t>
  </si>
  <si>
    <t>Neoclassical</t>
  </si>
  <si>
    <t>Johansen</t>
  </si>
  <si>
    <t>Calibration!sL</t>
  </si>
  <si>
    <t>Marshall-Sen</t>
  </si>
  <si>
    <t>Kaldor-pL</t>
  </si>
  <si>
    <t>Keynes-pL</t>
  </si>
  <si>
    <t>Keynes-Kaldor-pL</t>
  </si>
  <si>
    <t>Total Reduction</t>
  </si>
  <si>
    <t>Utility</t>
  </si>
  <si>
    <t>sD</t>
  </si>
  <si>
    <t>Tax</t>
  </si>
  <si>
    <t>Profit Share</t>
  </si>
  <si>
    <t>Utility Loss</t>
  </si>
  <si>
    <t>Structuralist - Phillips Curve (pL)</t>
  </si>
  <si>
    <t>Structuralist - Keynes (pK)</t>
  </si>
  <si>
    <t>Structuralist - Keynes (pL)</t>
  </si>
  <si>
    <t>Structuralist - Phillips Curve (pK)</t>
  </si>
  <si>
    <t>Solver variables</t>
  </si>
  <si>
    <t>Unemployment</t>
  </si>
  <si>
    <t>Profit share</t>
  </si>
  <si>
    <t>Saving rate on L income</t>
  </si>
  <si>
    <t>sigmaw</t>
  </si>
  <si>
    <t>omegaG</t>
  </si>
  <si>
    <t>omegaI</t>
  </si>
  <si>
    <t>Aggregate domestic saving rate</t>
  </si>
  <si>
    <t>Saving rate on capital income</t>
  </si>
  <si>
    <t>Saving rate on labour income</t>
  </si>
  <si>
    <t>pW</t>
  </si>
  <si>
    <t>aX</t>
  </si>
  <si>
    <t>bX</t>
  </si>
  <si>
    <t>rhoX</t>
  </si>
  <si>
    <t>ERROR10</t>
  </si>
  <si>
    <t>ERROR11</t>
  </si>
  <si>
    <t>Armington aggregate of D and M</t>
  </si>
  <si>
    <t>sG</t>
  </si>
  <si>
    <t>Output directed to Domestic markets</t>
  </si>
  <si>
    <t>Total output</t>
  </si>
  <si>
    <t>Imports</t>
  </si>
  <si>
    <t>S</t>
  </si>
  <si>
    <t>pS</t>
  </si>
  <si>
    <t>aS</t>
  </si>
  <si>
    <t>bS</t>
  </si>
  <si>
    <t>sigmaS</t>
  </si>
  <si>
    <t>rhoS</t>
  </si>
  <si>
    <t>(Relative to pKL)</t>
  </si>
  <si>
    <t>ERROR12</t>
  </si>
  <si>
    <t>Only for neoclassical production</t>
  </si>
  <si>
    <t>ERROR8&amp;9</t>
  </si>
  <si>
    <t>Capital market</t>
  </si>
  <si>
    <t>Labour market</t>
  </si>
  <si>
    <t>Trade balance</t>
  </si>
  <si>
    <t>Factor payments</t>
  </si>
  <si>
    <t>Savings/investment</t>
  </si>
  <si>
    <t>Domestic s</t>
  </si>
  <si>
    <t>Kaldor</t>
  </si>
  <si>
    <t>Keynes-Marshall</t>
  </si>
  <si>
    <t>Keynes</t>
  </si>
  <si>
    <t>Keynes-Kaldor</t>
  </si>
  <si>
    <t>Fossil energy control</t>
  </si>
  <si>
    <t>Keynes-I</t>
  </si>
  <si>
    <t>Neoclassical - hetero s</t>
  </si>
  <si>
    <t>T&amp;S</t>
  </si>
  <si>
    <t>tauTVA2</t>
  </si>
  <si>
    <t>tauTS</t>
  </si>
  <si>
    <t>Saving rate on budget surplus</t>
  </si>
  <si>
    <t>sK-sL</t>
  </si>
  <si>
    <t>tauTSE</t>
  </si>
  <si>
    <t>Absorption</t>
  </si>
  <si>
    <t>Neo-K2</t>
  </si>
  <si>
    <t>Neo-K1</t>
  </si>
  <si>
    <t>Real investment</t>
  </si>
  <si>
    <t>Real wage</t>
  </si>
  <si>
    <t>CPI</t>
  </si>
  <si>
    <t>Keynesian</t>
  </si>
  <si>
    <t>Kaldorian</t>
  </si>
  <si>
    <t>tauTS2</t>
  </si>
  <si>
    <t>Investment volume</t>
  </si>
  <si>
    <t>Public S</t>
  </si>
  <si>
    <t>Labour S</t>
  </si>
  <si>
    <t>Capital S</t>
  </si>
  <si>
    <t>T in GDP</t>
  </si>
  <si>
    <t>Sales tax in GDP</t>
  </si>
  <si>
    <t>L tax in GDP</t>
  </si>
  <si>
    <t>Y tax in GDP</t>
  </si>
  <si>
    <t>E sales tax in GDP</t>
  </si>
  <si>
    <t>Q sales tax in GDP</t>
  </si>
  <si>
    <t>w/pK</t>
  </si>
  <si>
    <t>GDP price index</t>
  </si>
  <si>
    <t>Real GDP</t>
  </si>
  <si>
    <t>Non-E output</t>
  </si>
  <si>
    <t>E output</t>
  </si>
  <si>
    <t>E imports</t>
  </si>
  <si>
    <t>REER</t>
  </si>
  <si>
    <t>C price index</t>
  </si>
  <si>
    <t>M price index</t>
  </si>
  <si>
    <t>C in GDP</t>
  </si>
  <si>
    <t>G in GDP</t>
  </si>
  <si>
    <t>I in GDP</t>
  </si>
  <si>
    <t>X in GDP</t>
  </si>
  <si>
    <t>M in GDP</t>
  </si>
  <si>
    <t>wL in GDP</t>
  </si>
  <si>
    <t>rK in GDP</t>
  </si>
  <si>
    <t>S_G in GDP</t>
  </si>
  <si>
    <t>S_L in GDP</t>
  </si>
  <si>
    <t>S_K in GDP</t>
  </si>
  <si>
    <t>Output taxes</t>
  </si>
  <si>
    <t>Copier-Coller du tableau UE 2019 - Fichier Matrice Europe Figaro 18sep23</t>
  </si>
  <si>
    <t>WorldBank WDI</t>
  </si>
  <si>
    <t>Carbon Tax</t>
  </si>
  <si>
    <t>Closure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</si>
</sst>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164" formatCode="_-* #,##0.00\ _€_-;\-* #,##0.00\ _€_-;_-* &quot;-&quot;??\ _€_-;_-@_-"/>
    <numFmt numFmtId="165" formatCode="#,##0;\-#,##0;\-"/>
    <numFmt numFmtId="166" formatCode="0E+00"/>
    <numFmt numFmtId="167" formatCode="\+0.0%;\-0.0%;\i\d."/>
    <numFmt numFmtId="168" formatCode="#,##0.000"/>
    <numFmt numFmtId="169" formatCode="0.0000"/>
    <numFmt numFmtId="170" formatCode="0.000%"/>
    <numFmt numFmtId="171" formatCode="0.0%"/>
    <numFmt numFmtId="172" formatCode="0.000"/>
  </numFmts>
  <fonts count="15" x14ac:knownFonts="1">
    <font>
      <sz val="8"/>
      <color theme="1"/>
      <name val="Arial"/>
      <family val="2"/>
    </font>
    <font>
      <sz val="8"/>
      <name val="Arial"/>
      <family val="2"/>
    </font>
    <font>
      <sz val="8"/>
      <color theme="1"/>
      <name val="Arial"/>
      <family val="2"/>
    </font>
    <font>
      <sz val="8"/>
      <color theme="0"/>
      <name val="Arial"/>
      <family val="2"/>
    </font>
    <font>
      <sz val="8"/>
      <name val="Arial"/>
      <family val="2"/>
    </font>
    <font>
      <b/>
      <sz val="8"/>
      <name val="Arial"/>
      <family val="2"/>
    </font>
    <font>
      <sz val="8"/>
      <color indexed="9"/>
      <name val="Arial"/>
      <family val="2"/>
    </font>
    <font>
      <sz val="8"/>
      <color rgb="FFFF0000"/>
      <name val="Arial"/>
      <family val="2"/>
    </font>
    <font>
      <b/>
      <sz val="8"/>
      <color theme="1"/>
      <name val="Arial"/>
      <family val="2"/>
    </font>
    <font>
      <sz val="10"/>
      <name val="Arial"/>
      <family val="2"/>
    </font>
    <font>
      <sz val="8"/>
      <color rgb="FF000000"/>
      <name val="Arial"/>
      <family val="2"/>
    </font>
    <font>
      <b/>
      <sz val="8"/>
      <color theme="0"/>
      <name val="Arial"/>
      <family val="2"/>
    </font>
    <font>
      <b/>
      <sz val="8"/>
      <color rgb="FFFF0000"/>
      <name val="Arial"/>
      <family val="2"/>
    </font>
    <font>
      <sz val="9"/>
      <color indexed="81"/>
      <name val="Tahoma"/>
      <family val="2"/>
    </font>
    <font>
      <b/>
      <sz val="9"/>
      <color indexed="81"/>
      <name val="Tahoma"/>
      <family val="2"/>
    </font>
  </fonts>
  <fills count="7">
    <fill>
      <patternFill patternType="none"/>
    </fill>
    <fill>
      <patternFill patternType="gray125"/>
    </fill>
    <fill>
      <patternFill patternType="solid">
        <fgColor rgb="FF666699"/>
        <bgColor indexed="64"/>
      </patternFill>
    </fill>
    <fill>
      <patternFill patternType="solid">
        <fgColor indexed="22"/>
        <bgColor indexed="64"/>
      </patternFill>
    </fill>
    <fill>
      <patternFill patternType="solid">
        <fgColor theme="1"/>
        <bgColor indexed="64"/>
      </patternFill>
    </fill>
    <fill>
      <patternFill patternType="solid">
        <fgColor rgb="FF438787"/>
        <bgColor indexed="64"/>
      </patternFill>
    </fill>
    <fill>
      <patternFill patternType="solid">
        <fgColor theme="5" tint="-0.249977111117893"/>
        <bgColor indexed="64"/>
      </patternFill>
    </fill>
  </fills>
  <borders count="16">
    <border>
      <left/>
      <right/>
      <top/>
      <bottom/>
      <diagonal/>
    </border>
    <border>
      <left style="thin">
        <color indexed="64"/>
      </left>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s>
  <cellStyleXfs count="5">
    <xf numFmtId="0" fontId="0" fillId="0" borderId="0"/>
    <xf numFmtId="164" fontId="2" fillId="0" borderId="0" applyFont="0" applyFill="0" applyBorder="0" applyAlignment="0" applyProtection="0"/>
    <xf numFmtId="9" fontId="2" fillId="0" borderId="0" applyFont="0" applyFill="0" applyBorder="0" applyAlignment="0" applyProtection="0"/>
    <xf numFmtId="165" fontId="4" fillId="0" borderId="0" applyFill="0" applyBorder="0" applyProtection="0">
      <alignment vertical="center"/>
    </xf>
    <xf numFmtId="0" fontId="9" fillId="0" borderId="0"/>
  </cellStyleXfs>
  <cellXfs count="241">
    <xf numFmtId="0" fontId="0" fillId="0" borderId="0" xfId="0"/>
    <xf numFmtId="0" fontId="4" fillId="0" borderId="0" xfId="0" applyFont="1"/>
    <xf numFmtId="0" fontId="4" fillId="0" borderId="1" xfId="0" applyFont="1" applyBorder="1"/>
    <xf numFmtId="0" fontId="4" fillId="0" borderId="2" xfId="0" applyFont="1" applyBorder="1"/>
    <xf numFmtId="0" fontId="4" fillId="0" borderId="3" xfId="0" applyFont="1" applyBorder="1"/>
    <xf numFmtId="0" fontId="4" fillId="0" borderId="4" xfId="0" applyFont="1" applyBorder="1"/>
    <xf numFmtId="0" fontId="4" fillId="0" borderId="5" xfId="0" applyFont="1" applyBorder="1"/>
    <xf numFmtId="165" fontId="3" fillId="2" borderId="7" xfId="0" applyNumberFormat="1" applyFont="1" applyFill="1" applyBorder="1"/>
    <xf numFmtId="0" fontId="3" fillId="2" borderId="8" xfId="0" applyFont="1" applyFill="1" applyBorder="1"/>
    <xf numFmtId="3" fontId="5" fillId="0" borderId="9" xfId="0" applyNumberFormat="1" applyFont="1" applyBorder="1"/>
    <xf numFmtId="0" fontId="4" fillId="0" borderId="7" xfId="0" applyFont="1" applyBorder="1"/>
    <xf numFmtId="3" fontId="5" fillId="0" borderId="13" xfId="0" applyNumberFormat="1" applyFont="1" applyBorder="1"/>
    <xf numFmtId="0" fontId="4" fillId="0" borderId="9" xfId="0" applyFont="1" applyBorder="1"/>
    <xf numFmtId="3" fontId="4" fillId="0" borderId="0" xfId="0" applyNumberFormat="1" applyFont="1"/>
    <xf numFmtId="0" fontId="4" fillId="0" borderId="14" xfId="0" applyFont="1" applyBorder="1"/>
    <xf numFmtId="0" fontId="4" fillId="0" borderId="10" xfId="0" applyFont="1" applyBorder="1"/>
    <xf numFmtId="3" fontId="4" fillId="0" borderId="6" xfId="1" applyNumberFormat="1" applyFont="1" applyFill="1" applyBorder="1" applyAlignment="1" applyProtection="1">
      <alignment vertical="center"/>
      <protection locked="0"/>
    </xf>
    <xf numFmtId="165" fontId="5" fillId="0" borderId="3" xfId="0" applyNumberFormat="1" applyFont="1" applyBorder="1"/>
    <xf numFmtId="165" fontId="5" fillId="0" borderId="5" xfId="0" applyNumberFormat="1" applyFont="1" applyBorder="1"/>
    <xf numFmtId="3" fontId="4" fillId="0" borderId="0" xfId="0" applyNumberFormat="1" applyFont="1" applyAlignment="1">
      <alignment horizontal="right"/>
    </xf>
    <xf numFmtId="3" fontId="4" fillId="0" borderId="3" xfId="0" applyNumberFormat="1" applyFont="1" applyBorder="1"/>
    <xf numFmtId="3" fontId="4" fillId="0" borderId="5" xfId="0" applyNumberFormat="1" applyFont="1" applyBorder="1"/>
    <xf numFmtId="0" fontId="5" fillId="0" borderId="0" xfId="0" applyFont="1" applyAlignment="1">
      <alignment horizontal="right"/>
    </xf>
    <xf numFmtId="166" fontId="6" fillId="3" borderId="3" xfId="0" applyNumberFormat="1" applyFont="1" applyFill="1" applyBorder="1" applyAlignment="1">
      <alignment horizontal="center"/>
    </xf>
    <xf numFmtId="166" fontId="6" fillId="3" borderId="5" xfId="0" applyNumberFormat="1" applyFont="1" applyFill="1" applyBorder="1" applyAlignment="1">
      <alignment horizontal="center"/>
    </xf>
    <xf numFmtId="3" fontId="4" fillId="0" borderId="0" xfId="2" applyNumberFormat="1" applyFont="1" applyAlignment="1">
      <alignment horizontal="right"/>
    </xf>
    <xf numFmtId="3" fontId="4" fillId="0" borderId="0" xfId="2" applyNumberFormat="1" applyFont="1" applyFill="1" applyAlignment="1">
      <alignment horizontal="center"/>
    </xf>
    <xf numFmtId="3" fontId="4" fillId="0" borderId="0" xfId="2" applyNumberFormat="1" applyFont="1"/>
    <xf numFmtId="0" fontId="3" fillId="2" borderId="0" xfId="0" applyFont="1" applyFill="1"/>
    <xf numFmtId="3" fontId="0" fillId="0" borderId="0" xfId="0" applyNumberFormat="1"/>
    <xf numFmtId="0" fontId="3" fillId="2" borderId="7" xfId="0" applyFont="1" applyFill="1" applyBorder="1"/>
    <xf numFmtId="3" fontId="3" fillId="2" borderId="7" xfId="0" applyNumberFormat="1" applyFont="1" applyFill="1" applyBorder="1"/>
    <xf numFmtId="3" fontId="3" fillId="2" borderId="8" xfId="0" applyNumberFormat="1" applyFont="1" applyFill="1" applyBorder="1"/>
    <xf numFmtId="3" fontId="0" fillId="0" borderId="1" xfId="0" applyNumberFormat="1" applyBorder="1"/>
    <xf numFmtId="3" fontId="0" fillId="0" borderId="6" xfId="0" applyNumberFormat="1" applyBorder="1"/>
    <xf numFmtId="3" fontId="0" fillId="0" borderId="10" xfId="0" applyNumberFormat="1" applyBorder="1"/>
    <xf numFmtId="3" fontId="0" fillId="0" borderId="11" xfId="0" applyNumberFormat="1" applyBorder="1"/>
    <xf numFmtId="2" fontId="0" fillId="0" borderId="1" xfId="0" applyNumberFormat="1" applyBorder="1"/>
    <xf numFmtId="2" fontId="0" fillId="0" borderId="6" xfId="0" applyNumberFormat="1" applyBorder="1"/>
    <xf numFmtId="2" fontId="0" fillId="0" borderId="10" xfId="0" applyNumberFormat="1" applyBorder="1"/>
    <xf numFmtId="2" fontId="0" fillId="0" borderId="11" xfId="0" applyNumberFormat="1" applyBorder="1"/>
    <xf numFmtId="3" fontId="0" fillId="0" borderId="7" xfId="0" applyNumberFormat="1" applyBorder="1"/>
    <xf numFmtId="3" fontId="0" fillId="0" borderId="8" xfId="0" applyNumberFormat="1" applyBorder="1"/>
    <xf numFmtId="9" fontId="0" fillId="0" borderId="1" xfId="2" applyFont="1" applyBorder="1"/>
    <xf numFmtId="9" fontId="0" fillId="0" borderId="6" xfId="2" applyFont="1" applyBorder="1"/>
    <xf numFmtId="9" fontId="0" fillId="0" borderId="10" xfId="2" applyFont="1" applyBorder="1"/>
    <xf numFmtId="9" fontId="0" fillId="0" borderId="11" xfId="2" applyFont="1" applyBorder="1"/>
    <xf numFmtId="9" fontId="0" fillId="0" borderId="7" xfId="2" applyFont="1" applyBorder="1"/>
    <xf numFmtId="9" fontId="0" fillId="0" borderId="8" xfId="2" applyFont="1" applyBorder="1"/>
    <xf numFmtId="3" fontId="4" fillId="0" borderId="11" xfId="0" applyNumberFormat="1" applyFont="1" applyBorder="1"/>
    <xf numFmtId="3" fontId="4" fillId="0" borderId="1" xfId="0" applyNumberFormat="1" applyFont="1" applyBorder="1"/>
    <xf numFmtId="165" fontId="4" fillId="0" borderId="1" xfId="0" applyNumberFormat="1" applyFont="1" applyBorder="1"/>
    <xf numFmtId="165" fontId="4" fillId="0" borderId="6" xfId="0" applyNumberFormat="1" applyFont="1" applyBorder="1"/>
    <xf numFmtId="165" fontId="4" fillId="0" borderId="7" xfId="0" applyNumberFormat="1" applyFont="1" applyBorder="1"/>
    <xf numFmtId="165" fontId="4" fillId="0" borderId="0" xfId="0" applyNumberFormat="1" applyFont="1"/>
    <xf numFmtId="165" fontId="4" fillId="0" borderId="10" xfId="0" applyNumberFormat="1" applyFont="1" applyBorder="1"/>
    <xf numFmtId="165" fontId="4" fillId="0" borderId="11" xfId="0" applyNumberFormat="1" applyFont="1" applyBorder="1"/>
    <xf numFmtId="165" fontId="4" fillId="0" borderId="12" xfId="0" applyNumberFormat="1" applyFont="1" applyBorder="1"/>
    <xf numFmtId="165" fontId="4" fillId="0" borderId="8" xfId="0" applyNumberFormat="1" applyFont="1" applyBorder="1"/>
    <xf numFmtId="3" fontId="4" fillId="0" borderId="7" xfId="0" applyNumberFormat="1" applyFont="1" applyBorder="1"/>
    <xf numFmtId="3" fontId="4" fillId="0" borderId="8" xfId="0" applyNumberFormat="1" applyFont="1" applyBorder="1"/>
    <xf numFmtId="3" fontId="4" fillId="0" borderId="10" xfId="0" applyNumberFormat="1" applyFont="1" applyBorder="1"/>
    <xf numFmtId="0" fontId="0" fillId="0" borderId="0" xfId="0" applyAlignment="1">
      <alignment horizontal="right"/>
    </xf>
    <xf numFmtId="3" fontId="0" fillId="0" borderId="3" xfId="0" applyNumberFormat="1" applyBorder="1"/>
    <xf numFmtId="3" fontId="0" fillId="0" borderId="5" xfId="0" applyNumberFormat="1" applyBorder="1"/>
    <xf numFmtId="3" fontId="0" fillId="0" borderId="15" xfId="0" applyNumberFormat="1" applyBorder="1"/>
    <xf numFmtId="2" fontId="0" fillId="0" borderId="9" xfId="0" applyNumberFormat="1" applyBorder="1"/>
    <xf numFmtId="2" fontId="0" fillId="0" borderId="14" xfId="0" applyNumberFormat="1" applyBorder="1"/>
    <xf numFmtId="2" fontId="0" fillId="0" borderId="13" xfId="0" applyNumberFormat="1" applyBorder="1"/>
    <xf numFmtId="3" fontId="0" fillId="0" borderId="9" xfId="0" applyNumberFormat="1" applyBorder="1"/>
    <xf numFmtId="3" fontId="0" fillId="0" borderId="13" xfId="0" applyNumberFormat="1" applyBorder="1"/>
    <xf numFmtId="167" fontId="0" fillId="0" borderId="1" xfId="0" applyNumberFormat="1" applyBorder="1"/>
    <xf numFmtId="167" fontId="0" fillId="0" borderId="6" xfId="0" applyNumberFormat="1" applyBorder="1"/>
    <xf numFmtId="167" fontId="0" fillId="0" borderId="7" xfId="0" applyNumberFormat="1" applyBorder="1"/>
    <xf numFmtId="167" fontId="0" fillId="0" borderId="8" xfId="0" applyNumberFormat="1" applyBorder="1"/>
    <xf numFmtId="167" fontId="0" fillId="0" borderId="10" xfId="0" applyNumberFormat="1" applyBorder="1"/>
    <xf numFmtId="167" fontId="0" fillId="0" borderId="11" xfId="0" applyNumberFormat="1" applyBorder="1"/>
    <xf numFmtId="167" fontId="0" fillId="0" borderId="9" xfId="0" applyNumberFormat="1" applyBorder="1"/>
    <xf numFmtId="167" fontId="0" fillId="0" borderId="14" xfId="0" applyNumberFormat="1" applyBorder="1"/>
    <xf numFmtId="167" fontId="0" fillId="0" borderId="13" xfId="0" applyNumberFormat="1" applyBorder="1"/>
    <xf numFmtId="168" fontId="0" fillId="0" borderId="14" xfId="0" applyNumberFormat="1" applyBorder="1"/>
    <xf numFmtId="0" fontId="0" fillId="0" borderId="0" xfId="0" applyAlignment="1">
      <alignment horizontal="center"/>
    </xf>
    <xf numFmtId="3" fontId="7" fillId="0" borderId="7" xfId="0" applyNumberFormat="1" applyFont="1" applyBorder="1" applyAlignment="1">
      <alignment horizontal="right"/>
    </xf>
    <xf numFmtId="3" fontId="7" fillId="0" borderId="8" xfId="0" applyNumberFormat="1" applyFont="1" applyBorder="1" applyAlignment="1">
      <alignment horizontal="right"/>
    </xf>
    <xf numFmtId="3" fontId="7" fillId="0" borderId="1" xfId="0" applyNumberFormat="1" applyFont="1" applyBorder="1"/>
    <xf numFmtId="3" fontId="7" fillId="0" borderId="6" xfId="0" applyNumberFormat="1" applyFont="1" applyBorder="1"/>
    <xf numFmtId="165" fontId="7" fillId="0" borderId="14" xfId="0" applyNumberFormat="1" applyFont="1" applyBorder="1"/>
    <xf numFmtId="3" fontId="0" fillId="0" borderId="1" xfId="0" applyNumberFormat="1" applyBorder="1" applyAlignment="1">
      <alignment horizontal="right"/>
    </xf>
    <xf numFmtId="3" fontId="0" fillId="0" borderId="6" xfId="0" applyNumberFormat="1" applyBorder="1" applyAlignment="1">
      <alignment horizontal="right"/>
    </xf>
    <xf numFmtId="3" fontId="0" fillId="0" borderId="7" xfId="0" applyNumberFormat="1" applyBorder="1" applyAlignment="1">
      <alignment horizontal="right"/>
    </xf>
    <xf numFmtId="3" fontId="0" fillId="0" borderId="8" xfId="0" applyNumberFormat="1" applyBorder="1" applyAlignment="1">
      <alignment horizontal="right"/>
    </xf>
    <xf numFmtId="9" fontId="3" fillId="5" borderId="1" xfId="2" applyFont="1" applyFill="1" applyBorder="1"/>
    <xf numFmtId="9" fontId="3" fillId="5" borderId="6" xfId="2" applyFont="1" applyFill="1" applyBorder="1"/>
    <xf numFmtId="9" fontId="3" fillId="5" borderId="10" xfId="2" applyFont="1" applyFill="1" applyBorder="1"/>
    <xf numFmtId="9" fontId="3" fillId="2" borderId="15" xfId="0" applyNumberFormat="1" applyFont="1" applyFill="1" applyBorder="1"/>
    <xf numFmtId="3" fontId="7" fillId="0" borderId="15" xfId="0" applyNumberFormat="1" applyFont="1" applyBorder="1"/>
    <xf numFmtId="0" fontId="8" fillId="0" borderId="0" xfId="0" applyFont="1"/>
    <xf numFmtId="3" fontId="7" fillId="0" borderId="7" xfId="0" applyNumberFormat="1" applyFont="1" applyBorder="1"/>
    <xf numFmtId="3" fontId="7" fillId="0" borderId="8" xfId="0" applyNumberFormat="1" applyFont="1" applyBorder="1"/>
    <xf numFmtId="10" fontId="7" fillId="0" borderId="10" xfId="2" applyNumberFormat="1" applyFont="1" applyFill="1" applyBorder="1"/>
    <xf numFmtId="10" fontId="7" fillId="0" borderId="11" xfId="2" applyNumberFormat="1" applyFont="1" applyFill="1" applyBorder="1"/>
    <xf numFmtId="3" fontId="3" fillId="5" borderId="7" xfId="0" applyNumberFormat="1" applyFont="1" applyFill="1" applyBorder="1"/>
    <xf numFmtId="3" fontId="3" fillId="5" borderId="8" xfId="0" applyNumberFormat="1" applyFont="1" applyFill="1" applyBorder="1"/>
    <xf numFmtId="3" fontId="1" fillId="0" borderId="0" xfId="0" applyNumberFormat="1" applyFont="1"/>
    <xf numFmtId="3" fontId="1" fillId="0" borderId="1" xfId="0" applyNumberFormat="1" applyFont="1" applyBorder="1"/>
    <xf numFmtId="3" fontId="1" fillId="0" borderId="6" xfId="1" applyNumberFormat="1" applyFont="1" applyFill="1" applyBorder="1" applyAlignment="1" applyProtection="1">
      <alignment vertical="center"/>
      <protection locked="0"/>
    </xf>
    <xf numFmtId="3" fontId="1" fillId="0" borderId="0" xfId="0" applyNumberFormat="1" applyFont="1" applyAlignment="1">
      <alignment horizontal="right"/>
    </xf>
    <xf numFmtId="3" fontId="1" fillId="0" borderId="3" xfId="0" applyNumberFormat="1" applyFont="1" applyBorder="1"/>
    <xf numFmtId="3" fontId="1" fillId="0" borderId="5" xfId="0" applyNumberFormat="1" applyFont="1" applyBorder="1"/>
    <xf numFmtId="0" fontId="1" fillId="0" borderId="0" xfId="0" applyFont="1"/>
    <xf numFmtId="165" fontId="5" fillId="0" borderId="10" xfId="0" applyNumberFormat="1" applyFont="1" applyBorder="1"/>
    <xf numFmtId="165" fontId="5" fillId="0" borderId="11" xfId="0" applyNumberFormat="1" applyFont="1" applyBorder="1"/>
    <xf numFmtId="0" fontId="7" fillId="0" borderId="0" xfId="0" applyFont="1"/>
    <xf numFmtId="0" fontId="8" fillId="0" borderId="0" xfId="0" applyFont="1" applyAlignment="1">
      <alignment horizontal="right"/>
    </xf>
    <xf numFmtId="9" fontId="4" fillId="0" borderId="0" xfId="2" applyFont="1" applyFill="1"/>
    <xf numFmtId="169" fontId="0" fillId="0" borderId="0" xfId="0" applyNumberFormat="1"/>
    <xf numFmtId="3" fontId="1" fillId="0" borderId="7" xfId="0" applyNumberFormat="1" applyFont="1" applyBorder="1"/>
    <xf numFmtId="3" fontId="0" fillId="0" borderId="14" xfId="0" applyNumberFormat="1" applyBorder="1"/>
    <xf numFmtId="3" fontId="7" fillId="0" borderId="9" xfId="0" applyNumberFormat="1" applyFont="1" applyBorder="1"/>
    <xf numFmtId="3" fontId="1" fillId="0" borderId="9" xfId="0" applyNumberFormat="1" applyFont="1" applyBorder="1"/>
    <xf numFmtId="166" fontId="1" fillId="3" borderId="0" xfId="4" quotePrefix="1" applyNumberFormat="1" applyFont="1" applyFill="1"/>
    <xf numFmtId="166" fontId="3" fillId="3" borderId="3" xfId="4" quotePrefix="1" applyNumberFormat="1" applyFont="1" applyFill="1" applyBorder="1"/>
    <xf numFmtId="166" fontId="3" fillId="3" borderId="5" xfId="4" quotePrefix="1" applyNumberFormat="1" applyFont="1" applyFill="1" applyBorder="1"/>
    <xf numFmtId="166" fontId="1" fillId="3" borderId="15" xfId="4" quotePrefix="1" applyNumberFormat="1" applyFont="1" applyFill="1" applyBorder="1"/>
    <xf numFmtId="165" fontId="0" fillId="0" borderId="0" xfId="0" applyNumberFormat="1"/>
    <xf numFmtId="166" fontId="0" fillId="0" borderId="0" xfId="0" applyNumberFormat="1"/>
    <xf numFmtId="0" fontId="5" fillId="0" borderId="0" xfId="0" applyFont="1"/>
    <xf numFmtId="165" fontId="4" fillId="0" borderId="3" xfId="0" applyNumberFormat="1" applyFont="1" applyBorder="1"/>
    <xf numFmtId="165" fontId="4" fillId="0" borderId="5" xfId="0" applyNumberFormat="1" applyFont="1" applyBorder="1"/>
    <xf numFmtId="166" fontId="1" fillId="3" borderId="3" xfId="4" quotePrefix="1" applyNumberFormat="1" applyFont="1" applyFill="1" applyBorder="1"/>
    <xf numFmtId="166" fontId="1" fillId="3" borderId="5" xfId="4" quotePrefix="1" applyNumberFormat="1" applyFont="1" applyFill="1" applyBorder="1"/>
    <xf numFmtId="166" fontId="3" fillId="4" borderId="0" xfId="0" applyNumberFormat="1" applyFont="1" applyFill="1"/>
    <xf numFmtId="0" fontId="3" fillId="2" borderId="14" xfId="0" applyFont="1" applyFill="1" applyBorder="1"/>
    <xf numFmtId="165" fontId="0" fillId="0" borderId="14" xfId="0" applyNumberFormat="1" applyBorder="1"/>
    <xf numFmtId="167" fontId="0" fillId="0" borderId="0" xfId="0" applyNumberFormat="1"/>
    <xf numFmtId="2" fontId="0" fillId="0" borderId="0" xfId="0" applyNumberFormat="1"/>
    <xf numFmtId="0" fontId="8" fillId="0" borderId="0" xfId="0" applyFont="1" applyAlignment="1">
      <alignment horizontal="center"/>
    </xf>
    <xf numFmtId="9" fontId="3" fillId="0" borderId="0" xfId="2" applyFont="1" applyFill="1" applyBorder="1"/>
    <xf numFmtId="168" fontId="0" fillId="0" borderId="0" xfId="0" applyNumberFormat="1"/>
    <xf numFmtId="9" fontId="3" fillId="0" borderId="0" xfId="0" applyNumberFormat="1" applyFont="1"/>
    <xf numFmtId="170" fontId="0" fillId="0" borderId="0" xfId="0" applyNumberFormat="1"/>
    <xf numFmtId="165" fontId="3" fillId="2" borderId="0" xfId="0" applyNumberFormat="1" applyFont="1" applyFill="1"/>
    <xf numFmtId="0" fontId="4" fillId="0" borderId="6" xfId="0" applyFont="1" applyBorder="1"/>
    <xf numFmtId="165" fontId="3" fillId="2" borderId="1" xfId="0" applyNumberFormat="1" applyFont="1" applyFill="1" applyBorder="1"/>
    <xf numFmtId="165" fontId="3" fillId="2" borderId="2" xfId="0" applyNumberFormat="1" applyFont="1" applyFill="1" applyBorder="1"/>
    <xf numFmtId="165" fontId="3" fillId="2" borderId="9" xfId="0" applyNumberFormat="1" applyFont="1" applyFill="1" applyBorder="1"/>
    <xf numFmtId="165" fontId="3" fillId="2" borderId="10" xfId="0" applyNumberFormat="1" applyFont="1" applyFill="1" applyBorder="1"/>
    <xf numFmtId="165" fontId="3" fillId="2" borderId="12" xfId="0" applyNumberFormat="1" applyFont="1" applyFill="1" applyBorder="1"/>
    <xf numFmtId="165" fontId="3" fillId="2" borderId="13" xfId="0" applyNumberFormat="1" applyFont="1" applyFill="1" applyBorder="1"/>
    <xf numFmtId="165" fontId="3" fillId="2" borderId="6" xfId="0" applyNumberFormat="1" applyFont="1" applyFill="1" applyBorder="1"/>
    <xf numFmtId="165" fontId="3" fillId="2" borderId="8" xfId="0" applyNumberFormat="1" applyFont="1" applyFill="1" applyBorder="1"/>
    <xf numFmtId="165" fontId="3" fillId="2" borderId="11" xfId="0" applyNumberFormat="1" applyFont="1" applyFill="1" applyBorder="1"/>
    <xf numFmtId="165" fontId="3" fillId="2" borderId="3" xfId="0" applyNumberFormat="1" applyFont="1" applyFill="1" applyBorder="1"/>
    <xf numFmtId="165" fontId="3" fillId="2" borderId="5" xfId="0" applyNumberFormat="1" applyFont="1" applyFill="1" applyBorder="1"/>
    <xf numFmtId="3" fontId="7" fillId="0" borderId="10" xfId="2" applyNumberFormat="1" applyFont="1" applyFill="1" applyBorder="1"/>
    <xf numFmtId="3" fontId="7" fillId="0" borderId="11" xfId="2" applyNumberFormat="1" applyFont="1" applyFill="1" applyBorder="1"/>
    <xf numFmtId="3" fontId="7" fillId="0" borderId="7" xfId="2" applyNumberFormat="1" applyFont="1" applyFill="1" applyBorder="1"/>
    <xf numFmtId="3" fontId="7" fillId="0" borderId="8" xfId="2" applyNumberFormat="1" applyFont="1" applyFill="1" applyBorder="1"/>
    <xf numFmtId="165" fontId="7" fillId="0" borderId="10" xfId="0" applyNumberFormat="1" applyFont="1" applyBorder="1"/>
    <xf numFmtId="165" fontId="7" fillId="0" borderId="7" xfId="0" applyNumberFormat="1" applyFont="1" applyBorder="1"/>
    <xf numFmtId="0" fontId="0" fillId="0" borderId="8" xfId="0" applyBorder="1"/>
    <xf numFmtId="165" fontId="7" fillId="0" borderId="11" xfId="0" applyNumberFormat="1" applyFont="1" applyBorder="1"/>
    <xf numFmtId="9" fontId="0" fillId="0" borderId="0" xfId="2" applyFont="1" applyBorder="1"/>
    <xf numFmtId="171" fontId="0" fillId="0" borderId="9" xfId="2" applyNumberFormat="1" applyFont="1" applyBorder="1"/>
    <xf numFmtId="171" fontId="1" fillId="0" borderId="14" xfId="2" applyNumberFormat="1" applyFont="1" applyFill="1" applyBorder="1"/>
    <xf numFmtId="171" fontId="3" fillId="2" borderId="15" xfId="2" applyNumberFormat="1" applyFont="1" applyFill="1" applyBorder="1"/>
    <xf numFmtId="11" fontId="0" fillId="0" borderId="0" xfId="0" applyNumberFormat="1"/>
    <xf numFmtId="165" fontId="7" fillId="0" borderId="8" xfId="0" applyNumberFormat="1" applyFont="1" applyBorder="1"/>
    <xf numFmtId="3" fontId="1" fillId="0" borderId="10" xfId="0" applyNumberFormat="1" applyFont="1" applyBorder="1"/>
    <xf numFmtId="3" fontId="1" fillId="0" borderId="11" xfId="0" applyNumberFormat="1" applyFont="1" applyBorder="1"/>
    <xf numFmtId="3" fontId="3" fillId="2" borderId="10" xfId="0" applyNumberFormat="1" applyFont="1" applyFill="1" applyBorder="1"/>
    <xf numFmtId="3" fontId="3" fillId="2" borderId="11" xfId="0" applyNumberFormat="1" applyFont="1" applyFill="1" applyBorder="1"/>
    <xf numFmtId="3" fontId="3" fillId="2" borderId="1" xfId="0" applyNumberFormat="1" applyFont="1" applyFill="1" applyBorder="1"/>
    <xf numFmtId="3" fontId="3" fillId="2" borderId="6" xfId="0" applyNumberFormat="1" applyFont="1" applyFill="1" applyBorder="1"/>
    <xf numFmtId="3" fontId="1" fillId="0" borderId="8" xfId="0" applyNumberFormat="1" applyFont="1" applyBorder="1"/>
    <xf numFmtId="3" fontId="1" fillId="0" borderId="11" xfId="2" applyNumberFormat="1" applyFont="1" applyFill="1" applyBorder="1"/>
    <xf numFmtId="171" fontId="3" fillId="6" borderId="0" xfId="0" applyNumberFormat="1" applyFont="1" applyFill="1"/>
    <xf numFmtId="171" fontId="0" fillId="0" borderId="0" xfId="2" applyNumberFormat="1" applyFont="1" applyBorder="1"/>
    <xf numFmtId="3" fontId="3" fillId="2" borderId="10" xfId="2" applyNumberFormat="1" applyFont="1" applyFill="1" applyBorder="1"/>
    <xf numFmtId="3" fontId="3" fillId="2" borderId="11" xfId="2" applyNumberFormat="1" applyFont="1" applyFill="1" applyBorder="1"/>
    <xf numFmtId="172" fontId="3" fillId="2" borderId="7" xfId="0" applyNumberFormat="1" applyFont="1" applyFill="1" applyBorder="1"/>
    <xf numFmtId="172" fontId="3" fillId="2" borderId="8" xfId="0" applyNumberFormat="1" applyFont="1" applyFill="1" applyBorder="1"/>
    <xf numFmtId="171" fontId="0" fillId="0" borderId="13" xfId="2" applyNumberFormat="1" applyFont="1" applyBorder="1"/>
    <xf numFmtId="172" fontId="0" fillId="0" borderId="1" xfId="0" applyNumberFormat="1" applyBorder="1"/>
    <xf numFmtId="172" fontId="0" fillId="0" borderId="6" xfId="0" applyNumberFormat="1" applyBorder="1"/>
    <xf numFmtId="172" fontId="0" fillId="0" borderId="7" xfId="0" applyNumberFormat="1" applyBorder="1"/>
    <xf numFmtId="172" fontId="0" fillId="0" borderId="8" xfId="0" applyNumberFormat="1" applyBorder="1"/>
    <xf numFmtId="172" fontId="3" fillId="2" borderId="3" xfId="1" applyNumberFormat="1" applyFont="1" applyFill="1" applyBorder="1"/>
    <xf numFmtId="172" fontId="3" fillId="2" borderId="5" xfId="1" applyNumberFormat="1" applyFont="1" applyFill="1" applyBorder="1"/>
    <xf numFmtId="172" fontId="0" fillId="0" borderId="10" xfId="0" applyNumberFormat="1" applyBorder="1"/>
    <xf numFmtId="172" fontId="0" fillId="0" borderId="11" xfId="0" applyNumberFormat="1" applyBorder="1"/>
    <xf numFmtId="172" fontId="0" fillId="0" borderId="0" xfId="0" applyNumberFormat="1"/>
    <xf numFmtId="171" fontId="3" fillId="5" borderId="14" xfId="2" applyNumberFormat="1" applyFont="1" applyFill="1" applyBorder="1"/>
    <xf numFmtId="171" fontId="0" fillId="0" borderId="0" xfId="2" applyNumberFormat="1" applyFont="1"/>
    <xf numFmtId="0" fontId="5" fillId="0" borderId="0" xfId="0" applyFont="1" applyAlignment="1">
      <alignment horizontal="center"/>
    </xf>
    <xf numFmtId="171" fontId="0" fillId="0" borderId="14" xfId="2" applyNumberFormat="1" applyFont="1" applyBorder="1"/>
    <xf numFmtId="9" fontId="11" fillId="2" borderId="15" xfId="0" applyNumberFormat="1" applyFont="1" applyFill="1" applyBorder="1"/>
    <xf numFmtId="3" fontId="12" fillId="0" borderId="1" xfId="0" applyNumberFormat="1" applyFont="1" applyBorder="1"/>
    <xf numFmtId="3" fontId="12" fillId="0" borderId="6" xfId="0" applyNumberFormat="1" applyFont="1" applyBorder="1"/>
    <xf numFmtId="3" fontId="11" fillId="5" borderId="7" xfId="0" applyNumberFormat="1" applyFont="1" applyFill="1" applyBorder="1"/>
    <xf numFmtId="3" fontId="11" fillId="5" borderId="8" xfId="0" applyNumberFormat="1" applyFont="1" applyFill="1" applyBorder="1"/>
    <xf numFmtId="3" fontId="8" fillId="0" borderId="7" xfId="0" applyNumberFormat="1" applyFont="1" applyBorder="1"/>
    <xf numFmtId="3" fontId="8" fillId="0" borderId="8" xfId="0" applyNumberFormat="1" applyFont="1" applyBorder="1"/>
    <xf numFmtId="3" fontId="8" fillId="0" borderId="1" xfId="0" applyNumberFormat="1" applyFont="1" applyBorder="1"/>
    <xf numFmtId="3" fontId="8" fillId="0" borderId="6" xfId="0" applyNumberFormat="1" applyFont="1" applyBorder="1"/>
    <xf numFmtId="3" fontId="8" fillId="0" borderId="10" xfId="0" applyNumberFormat="1" applyFont="1" applyBorder="1"/>
    <xf numFmtId="3" fontId="8" fillId="0" borderId="11" xfId="0" applyNumberFormat="1" applyFont="1" applyBorder="1"/>
    <xf numFmtId="3" fontId="12" fillId="0" borderId="7" xfId="0" applyNumberFormat="1" applyFont="1" applyBorder="1"/>
    <xf numFmtId="3" fontId="12" fillId="0" borderId="8" xfId="0" applyNumberFormat="1" applyFont="1" applyBorder="1"/>
    <xf numFmtId="3" fontId="12" fillId="0" borderId="10" xfId="2" applyNumberFormat="1" applyFont="1" applyFill="1" applyBorder="1"/>
    <xf numFmtId="3" fontId="12" fillId="0" borderId="11" xfId="2" applyNumberFormat="1" applyFont="1" applyFill="1" applyBorder="1"/>
    <xf numFmtId="3" fontId="12" fillId="0" borderId="7" xfId="0" applyNumberFormat="1" applyFont="1" applyBorder="1" applyAlignment="1">
      <alignment horizontal="right"/>
    </xf>
    <xf numFmtId="3" fontId="12" fillId="0" borderId="8" xfId="0" applyNumberFormat="1" applyFont="1" applyBorder="1" applyAlignment="1">
      <alignment horizontal="right"/>
    </xf>
    <xf numFmtId="3" fontId="5" fillId="0" borderId="7" xfId="0" applyNumberFormat="1" applyFont="1" applyBorder="1"/>
    <xf numFmtId="0" fontId="11" fillId="2" borderId="8" xfId="0" applyFont="1" applyFill="1" applyBorder="1"/>
    <xf numFmtId="168" fontId="8" fillId="0" borderId="14" xfId="0" applyNumberFormat="1" applyFont="1" applyBorder="1"/>
    <xf numFmtId="165" fontId="12" fillId="0" borderId="14" xfId="0" applyNumberFormat="1" applyFont="1" applyBorder="1"/>
    <xf numFmtId="2" fontId="8" fillId="0" borderId="6" xfId="0" applyNumberFormat="1" applyFont="1" applyBorder="1"/>
    <xf numFmtId="3" fontId="8" fillId="0" borderId="14" xfId="0" applyNumberFormat="1" applyFont="1" applyBorder="1"/>
    <xf numFmtId="2" fontId="8" fillId="0" borderId="11" xfId="0" applyNumberFormat="1" applyFont="1" applyBorder="1"/>
    <xf numFmtId="3" fontId="8" fillId="0" borderId="13" xfId="0" applyNumberFormat="1" applyFont="1" applyBorder="1"/>
    <xf numFmtId="2" fontId="8" fillId="0" borderId="1" xfId="0" applyNumberFormat="1" applyFont="1" applyBorder="1"/>
    <xf numFmtId="2" fontId="8" fillId="0" borderId="10" xfId="0" applyNumberFormat="1" applyFont="1" applyBorder="1"/>
    <xf numFmtId="0" fontId="1" fillId="0" borderId="1" xfId="0" applyFont="1" applyBorder="1"/>
    <xf numFmtId="9" fontId="7" fillId="0" borderId="8" xfId="2" applyFont="1" applyFill="1" applyBorder="1"/>
    <xf numFmtId="9" fontId="7" fillId="0" borderId="11" xfId="2" applyFont="1" applyFill="1" applyBorder="1"/>
    <xf numFmtId="10" fontId="7" fillId="0" borderId="15" xfId="0" applyNumberFormat="1" applyFont="1" applyBorder="1"/>
    <xf numFmtId="10" fontId="0" fillId="0" borderId="0" xfId="0" applyNumberFormat="1" applyAlignment="1">
      <alignment horizontal="center"/>
    </xf>
    <xf numFmtId="10" fontId="0" fillId="0" borderId="0" xfId="0" applyNumberFormat="1"/>
    <xf numFmtId="0" fontId="0" fillId="0" borderId="0" xfId="0" applyAlignment="1">
      <alignment horizontal="left"/>
    </xf>
    <xf numFmtId="10" fontId="12" fillId="0" borderId="15" xfId="0" applyNumberFormat="1" applyFont="1" applyBorder="1"/>
    <xf numFmtId="10" fontId="8" fillId="0" borderId="0" xfId="0" applyNumberFormat="1" applyFont="1" applyAlignment="1">
      <alignment horizontal="center"/>
    </xf>
    <xf numFmtId="172" fontId="0" fillId="0" borderId="13" xfId="0" applyNumberFormat="1" applyBorder="1"/>
    <xf numFmtId="168" fontId="0" fillId="0" borderId="13" xfId="0" applyNumberFormat="1" applyBorder="1"/>
    <xf numFmtId="10" fontId="3" fillId="5" borderId="7" xfId="2" applyNumberFormat="1" applyFont="1" applyFill="1" applyBorder="1"/>
    <xf numFmtId="10" fontId="3" fillId="5" borderId="8" xfId="2" applyNumberFormat="1" applyFont="1" applyFill="1" applyBorder="1"/>
    <xf numFmtId="171" fontId="0" fillId="0" borderId="0" xfId="0" applyNumberFormat="1"/>
    <xf numFmtId="0" fontId="1" fillId="0" borderId="14" xfId="0" applyFont="1" applyBorder="1"/>
    <xf numFmtId="2" fontId="3" fillId="2" borderId="14" xfId="0" applyNumberFormat="1" applyFont="1" applyFill="1" applyBorder="1"/>
    <xf numFmtId="171" fontId="3" fillId="5" borderId="15" xfId="2" applyNumberFormat="1" applyFont="1" applyFill="1" applyBorder="1"/>
    <xf numFmtId="9" fontId="0" fillId="0" borderId="0" xfId="0" applyNumberFormat="1"/>
  </cellXfs>
  <cellStyles count="5">
    <cellStyle name="Milliers" xfId="1" builtinId="3"/>
    <cellStyle name="Motif" xfId="3" xr:uid="{00000000-0005-0000-0000-000001000000}"/>
    <cellStyle name="Motif 2" xfId="4" xr:uid="{00000000-0005-0000-0000-000002000000}"/>
    <cellStyle name="Normal" xfId="0" builtinId="0"/>
    <cellStyle name="Pourcentage" xfId="2" builtinId="5"/>
  </cellStyles>
  <dxfs count="109">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auto="1"/>
      </font>
      <fill>
        <patternFill>
          <bgColor theme="5" tint="0.59996337778862885"/>
        </patternFill>
      </fill>
    </dxf>
    <dxf>
      <font>
        <color auto="1"/>
      </font>
      <fill>
        <patternFill>
          <bgColor theme="5" tint="0.59996337778862885"/>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s>
  <tableStyles count="1" defaultTableStyle="TableStyleMedium9" defaultPivotStyle="PivotStyleLight16">
    <tableStyle name="Invisible" pivot="0" table="0" count="0" xr9:uid="{638D0D31-3D9A-4F1C-B3CA-528F3AE3E056}"/>
  </tableStyles>
  <colors>
    <mruColors>
      <color rgb="FF438787"/>
      <color rgb="FF666699"/>
      <color rgb="FF41898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7.xml"/><Relationship Id="rId13" Type="http://schemas.openxmlformats.org/officeDocument/2006/relationships/worksheet" Target="worksheets/sheet12.xml"/><Relationship Id="rId18" Type="http://schemas.openxmlformats.org/officeDocument/2006/relationships/worksheet" Target="worksheets/sheet15.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6.xml"/><Relationship Id="rId12" Type="http://schemas.openxmlformats.org/officeDocument/2006/relationships/worksheet" Target="worksheets/sheet11.xml"/><Relationship Id="rId17" Type="http://schemas.openxmlformats.org/officeDocument/2006/relationships/chartsheet" Target="chartsheets/sheet3.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hartsheet" Target="chartsheets/sheet2.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5.xml"/><Relationship Id="rId11" Type="http://schemas.openxmlformats.org/officeDocument/2006/relationships/worksheet" Target="worksheets/sheet10.xml"/><Relationship Id="rId24" Type="http://schemas.openxmlformats.org/officeDocument/2006/relationships/customXml" Target="../customXml/item1.xml"/><Relationship Id="rId5" Type="http://schemas.openxmlformats.org/officeDocument/2006/relationships/worksheet" Target="worksheets/sheet4.xml"/><Relationship Id="rId15" Type="http://schemas.openxmlformats.org/officeDocument/2006/relationships/worksheet" Target="worksheets/sheet14.xml"/><Relationship Id="rId23" Type="http://schemas.openxmlformats.org/officeDocument/2006/relationships/calcChain" Target="calcChain.xml"/><Relationship Id="rId10" Type="http://schemas.openxmlformats.org/officeDocument/2006/relationships/worksheet" Target="worksheets/sheet9.xml"/><Relationship Id="rId19" Type="http://schemas.openxmlformats.org/officeDocument/2006/relationships/theme" Target="theme/theme1.xml"/><Relationship Id="rId4" Type="http://schemas.openxmlformats.org/officeDocument/2006/relationships/chartsheet" Target="chartsheets/sheet1.xml"/><Relationship Id="rId9" Type="http://schemas.openxmlformats.org/officeDocument/2006/relationships/worksheet" Target="worksheets/sheet8.xml"/><Relationship Id="rId14" Type="http://schemas.openxmlformats.org/officeDocument/2006/relationships/worksheet" Target="worksheets/sheet13.xml"/><Relationship Id="rId22" Type="http://schemas.microsoft.com/office/2017/10/relationships/person" Target="persons/perso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1670199786774999E-2"/>
          <c:y val="5.0489076522019991E-2"/>
          <c:w val="0.90131583007947491"/>
          <c:h val="0.86934076835108043"/>
        </c:manualLayout>
      </c:layout>
      <c:scatterChart>
        <c:scatterStyle val="smoothMarker"/>
        <c:varyColors val="0"/>
        <c:ser>
          <c:idx val="0"/>
          <c:order val="0"/>
          <c:tx>
            <c:strRef>
              <c:f>'Diagnosis Indicators'!$A$3</c:f>
              <c:strCache>
                <c:ptCount val="1"/>
                <c:pt idx="0">
                  <c:v>Neoclassical</c:v>
                </c:pt>
              </c:strCache>
            </c:strRef>
          </c:tx>
          <c:spPr>
            <a:ln w="19050" cap="rnd">
              <a:solidFill>
                <a:schemeClr val="accent1"/>
              </a:solidFill>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Indicators'!$B$3:$Y$3</c:f>
              <c:numCache>
                <c:formatCode>#,##0.000</c:formatCode>
                <c:ptCount val="24"/>
                <c:pt idx="0">
                  <c:v>1</c:v>
                </c:pt>
                <c:pt idx="1">
                  <c:v>0.99334584998173547</c:v>
                </c:pt>
                <c:pt idx="2">
                  <c:v>0.98618977343658798</c:v>
                </c:pt>
                <c:pt idx="3">
                  <c:v>0.97846476991396281</c:v>
                </c:pt>
                <c:pt idx="4">
                  <c:v>0.97009051426869153</c:v>
                </c:pt>
                <c:pt idx="5">
                  <c:v>0.96096860580254162</c:v>
                </c:pt>
                <c:pt idx="6">
                  <c:v>0.95097837942777186</c:v>
                </c:pt>
                <c:pt idx="7">
                  <c:v>0.93996707159343196</c:v>
                </c:pt>
                <c:pt idx="8">
                  <c:v>0.92773797072118225</c:v>
                </c:pt>
                <c:pt idx="9">
                  <c:v>0.91403084987320837</c:v>
                </c:pt>
                <c:pt idx="10">
                  <c:v>0.89848994911744717</c:v>
                </c:pt>
                <c:pt idx="11">
                  <c:v>0.8806107233647793</c:v>
                </c:pt>
                <c:pt idx="12">
                  <c:v>0.85964600692326598</c:v>
                </c:pt>
                <c:pt idx="13">
                  <c:v>0.83443539228920049</c:v>
                </c:pt>
                <c:pt idx="14">
                  <c:v>0.80308548988928385</c:v>
                </c:pt>
                <c:pt idx="15">
                  <c:v>0.76237915418844926</c:v>
                </c:pt>
                <c:pt idx="16">
                  <c:v>0.70677779099265736</c:v>
                </c:pt>
                <c:pt idx="17">
                  <c:v>0.62694262650855104</c:v>
                </c:pt>
                <c:pt idx="18">
                  <c:v>0.50641103504755847</c:v>
                </c:pt>
                <c:pt idx="19">
                  <c:v>0.30856575829341004</c:v>
                </c:pt>
                <c:pt idx="20">
                  <c:v>0.25315476989376873</c:v>
                </c:pt>
                <c:pt idx="21">
                  <c:v>0.19045780743679727</c:v>
                </c:pt>
                <c:pt idx="22">
                  <c:v>0.12045670284524095</c:v>
                </c:pt>
                <c:pt idx="23">
                  <c:v>4.74023306442896E-2</c:v>
                </c:pt>
              </c:numCache>
            </c:numRef>
          </c:yVal>
          <c:smooth val="1"/>
          <c:extLst>
            <c:ext xmlns:c16="http://schemas.microsoft.com/office/drawing/2014/chart" uri="{C3380CC4-5D6E-409C-BE32-E72D297353CC}">
              <c16:uniqueId val="{00000000-C093-4C38-8D34-BC5EA4637B9C}"/>
            </c:ext>
          </c:extLst>
        </c:ser>
        <c:ser>
          <c:idx val="5"/>
          <c:order val="1"/>
          <c:tx>
            <c:strRef>
              <c:f>'Diagnosis Indicators'!$A$4</c:f>
              <c:strCache>
                <c:ptCount val="1"/>
                <c:pt idx="0">
                  <c:v>Kaldorian</c:v>
                </c:pt>
              </c:strCache>
            </c:strRef>
          </c:tx>
          <c:spPr>
            <a:ln w="57150" cap="rnd">
              <a:solidFill>
                <a:schemeClr val="tx1"/>
              </a:solidFill>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Indicators'!$B$4:$Y$4</c:f>
              <c:numCache>
                <c:formatCode>#,##0.000</c:formatCode>
                <c:ptCount val="24"/>
                <c:pt idx="0">
                  <c:v>1</c:v>
                </c:pt>
                <c:pt idx="1">
                  <c:v>0.99788368140043981</c:v>
                </c:pt>
                <c:pt idx="2">
                  <c:v>0.99535612734382217</c:v>
                </c:pt>
                <c:pt idx="3">
                  <c:v>0.99236133040867369</c:v>
                </c:pt>
                <c:pt idx="4">
                  <c:v>0.9888320177857487</c:v>
                </c:pt>
                <c:pt idx="5">
                  <c:v>0.98468578252174277</c:v>
                </c:pt>
                <c:pt idx="6">
                  <c:v>0.97982154341510375</c:v>
                </c:pt>
                <c:pt idx="7">
                  <c:v>0.97411188133862336</c:v>
                </c:pt>
                <c:pt idx="8">
                  <c:v>0.96739367724745629</c:v>
                </c:pt>
                <c:pt idx="9">
                  <c:v>0.95945306294149713</c:v>
                </c:pt>
                <c:pt idx="10">
                  <c:v>0.95000128453192823</c:v>
                </c:pt>
                <c:pt idx="11">
                  <c:v>0.93863497103888704</c:v>
                </c:pt>
                <c:pt idx="12">
                  <c:v>0.92476673826325395</c:v>
                </c:pt>
                <c:pt idx="13">
                  <c:v>0.90749835942629564</c:v>
                </c:pt>
                <c:pt idx="14">
                  <c:v>0.88537705665485622</c:v>
                </c:pt>
                <c:pt idx="15">
                  <c:v>0.85591385990003432</c:v>
                </c:pt>
                <c:pt idx="16">
                  <c:v>0.81463038708727298</c:v>
                </c:pt>
                <c:pt idx="17">
                  <c:v>0.75313380478232672</c:v>
                </c:pt>
                <c:pt idx="18">
                  <c:v>0.65403919764976615</c:v>
                </c:pt>
                <c:pt idx="19">
                  <c:v>0</c:v>
                </c:pt>
                <c:pt idx="20">
                  <c:v>0</c:v>
                </c:pt>
                <c:pt idx="21">
                  <c:v>0</c:v>
                </c:pt>
                <c:pt idx="22">
                  <c:v>0</c:v>
                </c:pt>
                <c:pt idx="23">
                  <c:v>0</c:v>
                </c:pt>
              </c:numCache>
            </c:numRef>
          </c:yVal>
          <c:smooth val="1"/>
          <c:extLst xmlns:c15="http://schemas.microsoft.com/office/drawing/2012/chart">
            <c:ext xmlns:c16="http://schemas.microsoft.com/office/drawing/2014/chart" uri="{C3380CC4-5D6E-409C-BE32-E72D297353CC}">
              <c16:uniqueId val="{00000005-C093-4C38-8D34-BC5EA4637B9C}"/>
            </c:ext>
          </c:extLst>
        </c:ser>
        <c:ser>
          <c:idx val="1"/>
          <c:order val="2"/>
          <c:tx>
            <c:strRef>
              <c:f>'Diagnosis Indicators'!$A$5</c:f>
              <c:strCache>
                <c:ptCount val="1"/>
                <c:pt idx="0">
                  <c:v>Johansen</c:v>
                </c:pt>
              </c:strCache>
            </c:strRef>
          </c:tx>
          <c:spPr>
            <a:ln w="19050" cap="rnd">
              <a:solidFill>
                <a:schemeClr val="accent2"/>
              </a:solidFill>
              <a:prstDash val="lgDash"/>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Indicators'!$B$5:$Y$5</c:f>
              <c:numCache>
                <c:formatCode>#,##0.000</c:formatCode>
                <c:ptCount val="24"/>
                <c:pt idx="0">
                  <c:v>1</c:v>
                </c:pt>
                <c:pt idx="1">
                  <c:v>0.99790882036410855</c:v>
                </c:pt>
                <c:pt idx="2">
                  <c:v>0.99540690123397912</c:v>
                </c:pt>
                <c:pt idx="3">
                  <c:v>0.99243833821989336</c:v>
                </c:pt>
                <c:pt idx="4">
                  <c:v>0.98893585337614343</c:v>
                </c:pt>
                <c:pt idx="5">
                  <c:v>0.98481710031934966</c:v>
                </c:pt>
                <c:pt idx="6">
                  <c:v>0.9799808955374264</c:v>
                </c:pt>
                <c:pt idx="7">
                  <c:v>0.97429957077697626</c:v>
                </c:pt>
                <c:pt idx="8">
                  <c:v>0.96760949638762861</c:v>
                </c:pt>
                <c:pt idx="9">
                  <c:v>0.95969591390644571</c:v>
                </c:pt>
                <c:pt idx="10">
                  <c:v>0.95026852554015206</c:v>
                </c:pt>
                <c:pt idx="11">
                  <c:v>0.93892145382248393</c:v>
                </c:pt>
                <c:pt idx="12">
                  <c:v>0.92506338602011196</c:v>
                </c:pt>
                <c:pt idx="13">
                  <c:v>0.90778998530987409</c:v>
                </c:pt>
                <c:pt idx="14">
                  <c:v>0.8856401792812294</c:v>
                </c:pt>
                <c:pt idx="15">
                  <c:v>0.85611700108401989</c:v>
                </c:pt>
                <c:pt idx="16">
                  <c:v>0.81474716811209136</c:v>
                </c:pt>
                <c:pt idx="17">
                  <c:v>0.75317323063134423</c:v>
                </c:pt>
                <c:pt idx="18">
                  <c:v>0.65404469415223732</c:v>
                </c:pt>
                <c:pt idx="19">
                  <c:v>0.47087601861925815</c:v>
                </c:pt>
                <c:pt idx="20">
                  <c:v>0.41360171552680919</c:v>
                </c:pt>
                <c:pt idx="21">
                  <c:v>0.34415582479330664</c:v>
                </c:pt>
                <c:pt idx="22">
                  <c:v>0.25789089494595729</c:v>
                </c:pt>
                <c:pt idx="23">
                  <c:v>0.14734260508684568</c:v>
                </c:pt>
              </c:numCache>
            </c:numRef>
          </c:yVal>
          <c:smooth val="1"/>
          <c:extLst>
            <c:ext xmlns:c16="http://schemas.microsoft.com/office/drawing/2014/chart" uri="{C3380CC4-5D6E-409C-BE32-E72D297353CC}">
              <c16:uniqueId val="{00000001-C093-4C38-8D34-BC5EA4637B9C}"/>
            </c:ext>
          </c:extLst>
        </c:ser>
        <c:ser>
          <c:idx val="4"/>
          <c:order val="3"/>
          <c:tx>
            <c:strRef>
              <c:f>'Diagnosis Indicators'!$A$6</c:f>
              <c:strCache>
                <c:ptCount val="1"/>
                <c:pt idx="0">
                  <c:v>Keynes-Kaldor</c:v>
                </c:pt>
              </c:strCache>
            </c:strRef>
          </c:tx>
          <c:spPr>
            <a:ln w="19050" cap="rnd">
              <a:solidFill>
                <a:schemeClr val="accent5"/>
              </a:solidFill>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Indicators'!$B$6:$Y$6</c:f>
              <c:numCache>
                <c:formatCode>#,##0.000</c:formatCode>
                <c:ptCount val="24"/>
                <c:pt idx="0">
                  <c:v>1</c:v>
                </c:pt>
                <c:pt idx="1">
                  <c:v>1.0026726888818545</c:v>
                </c:pt>
                <c:pt idx="2">
                  <c:v>1.0044367459298218</c:v>
                </c:pt>
                <c:pt idx="3">
                  <c:v>1.0051967385567597</c:v>
                </c:pt>
                <c:pt idx="4">
                  <c:v>1.0048351141510672</c:v>
                </c:pt>
                <c:pt idx="5">
                  <c:v>1.0032067383371734</c:v>
                </c:pt>
                <c:pt idx="6">
                  <c:v>1.0001310002502084</c:v>
                </c:pt>
                <c:pt idx="7">
                  <c:v>0.99538106347390498</c:v>
                </c:pt>
                <c:pt idx="8">
                  <c:v>0.98866825311936657</c:v>
                </c:pt>
                <c:pt idx="9">
                  <c:v>0.97961904720878634</c:v>
                </c:pt>
                <c:pt idx="10">
                  <c:v>0.96773990477718808</c:v>
                </c:pt>
                <c:pt idx="11">
                  <c:v>0.95236122587028915</c:v>
                </c:pt>
                <c:pt idx="12">
                  <c:v>0.93254489996725065</c:v>
                </c:pt>
                <c:pt idx="13">
                  <c:v>0.90692367470879987</c:v>
                </c:pt>
                <c:pt idx="14">
                  <c:v>0.87341283962892458</c:v>
                </c:pt>
                <c:pt idx="15">
                  <c:v>0.82868008800656112</c:v>
                </c:pt>
                <c:pt idx="16">
                  <c:v>0.76719307767810863</c:v>
                </c:pt>
                <c:pt idx="17">
                  <c:v>0.67965318040275113</c:v>
                </c:pt>
                <c:pt idx="18">
                  <c:v>0.55042310554219798</c:v>
                </c:pt>
                <c:pt idx="19">
                  <c:v>0</c:v>
                </c:pt>
                <c:pt idx="20">
                  <c:v>0</c:v>
                </c:pt>
                <c:pt idx="21">
                  <c:v>0</c:v>
                </c:pt>
                <c:pt idx="22">
                  <c:v>0</c:v>
                </c:pt>
                <c:pt idx="23">
                  <c:v>0</c:v>
                </c:pt>
              </c:numCache>
            </c:numRef>
          </c:yVal>
          <c:smooth val="1"/>
          <c:extLst>
            <c:ext xmlns:c16="http://schemas.microsoft.com/office/drawing/2014/chart" uri="{C3380CC4-5D6E-409C-BE32-E72D297353CC}">
              <c16:uniqueId val="{00000004-C093-4C38-8D34-BC5EA4637B9C}"/>
            </c:ext>
          </c:extLst>
        </c:ser>
        <c:ser>
          <c:idx val="2"/>
          <c:order val="4"/>
          <c:tx>
            <c:strRef>
              <c:f>'Diagnosis Indicators'!$A$7</c:f>
              <c:strCache>
                <c:ptCount val="1"/>
                <c:pt idx="0">
                  <c:v>Keynes-Marshall</c:v>
                </c:pt>
              </c:strCache>
            </c:strRef>
          </c:tx>
          <c:spPr>
            <a:ln w="19050" cap="rnd">
              <a:solidFill>
                <a:schemeClr val="accent3"/>
              </a:solidFill>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Indicators'!$B$7:$Y$7</c:f>
              <c:numCache>
                <c:formatCode>#,##0.000</c:formatCode>
                <c:ptCount val="24"/>
                <c:pt idx="0">
                  <c:v>1</c:v>
                </c:pt>
                <c:pt idx="1">
                  <c:v>1.0857076806079833</c:v>
                </c:pt>
                <c:pt idx="2">
                  <c:v>1.1693860787829622</c:v>
                </c:pt>
                <c:pt idx="3">
                  <c:v>1.253820185264279</c:v>
                </c:pt>
                <c:pt idx="4">
                  <c:v>1.3420397873961951</c:v>
                </c:pt>
                <c:pt idx="5">
                  <c:v>1.438600393272343</c:v>
                </c:pt>
                <c:pt idx="6">
                  <c:v>1.5521696208281579</c:v>
                </c:pt>
                <c:pt idx="7">
                  <c:v>1.703799056422501</c:v>
                </c:pt>
                <c:pt idx="8">
                  <c:v>1.9699531939386277</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yVal>
          <c:smooth val="1"/>
          <c:extLst>
            <c:ext xmlns:c16="http://schemas.microsoft.com/office/drawing/2014/chart" uri="{C3380CC4-5D6E-409C-BE32-E72D297353CC}">
              <c16:uniqueId val="{00000000-C850-4F38-B604-CD5347F209EA}"/>
            </c:ext>
          </c:extLst>
        </c:ser>
        <c:ser>
          <c:idx val="3"/>
          <c:order val="5"/>
          <c:tx>
            <c:strRef>
              <c:f>'Diagnosis Indicators'!$A$8</c:f>
              <c:strCache>
                <c:ptCount val="1"/>
                <c:pt idx="0">
                  <c:v>Keynesian</c:v>
                </c:pt>
              </c:strCache>
            </c:strRef>
          </c:tx>
          <c:spPr>
            <a:ln w="19050" cap="rnd">
              <a:solidFill>
                <a:schemeClr val="accent6"/>
              </a:solidFill>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Indicators'!$B$8:$Y$8</c:f>
              <c:numCache>
                <c:formatCode>#,##0.000</c:formatCode>
                <c:ptCount val="24"/>
                <c:pt idx="0">
                  <c:v>1</c:v>
                </c:pt>
                <c:pt idx="1">
                  <c:v>0.97804571325299594</c:v>
                </c:pt>
                <c:pt idx="2">
                  <c:v>0.95478545441819773</c:v>
                </c:pt>
                <c:pt idx="3">
                  <c:v>0.93010651634955155</c:v>
                </c:pt>
                <c:pt idx="4">
                  <c:v>0.90388166300851625</c:v>
                </c:pt>
                <c:pt idx="5">
                  <c:v>0.87596655409340685</c:v>
                </c:pt>
                <c:pt idx="6">
                  <c:v>0.84619692916094658</c:v>
                </c:pt>
                <c:pt idx="7">
                  <c:v>0.81438515047467286</c:v>
                </c:pt>
                <c:pt idx="8">
                  <c:v>0.78031623615223711</c:v>
                </c:pt>
                <c:pt idx="9">
                  <c:v>0.74374309978950648</c:v>
                </c:pt>
                <c:pt idx="10">
                  <c:v>0.70438200458992628</c:v>
                </c:pt>
                <c:pt idx="11">
                  <c:v>0.66190837457886331</c:v>
                </c:pt>
                <c:pt idx="12">
                  <c:v>0.61595689996820657</c:v>
                </c:pt>
                <c:pt idx="13">
                  <c:v>0.56613551422586694</c:v>
                </c:pt>
                <c:pt idx="14">
                  <c:v>0.51208871183369942</c:v>
                </c:pt>
                <c:pt idx="15">
                  <c:v>0.45376689951647786</c:v>
                </c:pt>
                <c:pt idx="16">
                  <c:v>0.39287974893122263</c:v>
                </c:pt>
                <c:pt idx="17">
                  <c:v>0</c:v>
                </c:pt>
                <c:pt idx="18">
                  <c:v>0</c:v>
                </c:pt>
                <c:pt idx="19">
                  <c:v>0</c:v>
                </c:pt>
                <c:pt idx="20">
                  <c:v>0</c:v>
                </c:pt>
                <c:pt idx="21">
                  <c:v>0</c:v>
                </c:pt>
                <c:pt idx="22">
                  <c:v>0</c:v>
                </c:pt>
                <c:pt idx="23">
                  <c:v>0</c:v>
                </c:pt>
              </c:numCache>
            </c:numRef>
          </c:yVal>
          <c:smooth val="1"/>
          <c:extLst>
            <c:ext xmlns:c16="http://schemas.microsoft.com/office/drawing/2014/chart" uri="{C3380CC4-5D6E-409C-BE32-E72D297353CC}">
              <c16:uniqueId val="{00000003-C093-4C38-8D34-BC5EA4637B9C}"/>
            </c:ext>
          </c:extLst>
        </c:ser>
        <c:ser>
          <c:idx val="7"/>
          <c:order val="6"/>
          <c:tx>
            <c:strRef>
              <c:f>'Diagnosis Indicators'!$A$9</c:f>
              <c:strCache>
                <c:ptCount val="1"/>
                <c:pt idx="0">
                  <c:v>Neo-K2</c:v>
                </c:pt>
              </c:strCache>
            </c:strRef>
          </c:tx>
          <c:spPr>
            <a:ln w="19050" cap="rnd">
              <a:solidFill>
                <a:schemeClr val="accent3"/>
              </a:solidFill>
              <a:prstDash val="dash"/>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Indicators'!$B$9:$Y$9</c:f>
              <c:numCache>
                <c:formatCode>#,##0.000</c:formatCode>
                <c:ptCount val="24"/>
                <c:pt idx="0">
                  <c:v>1</c:v>
                </c:pt>
                <c:pt idx="1">
                  <c:v>0.98445458147058551</c:v>
                </c:pt>
                <c:pt idx="2">
                  <c:v>0.96744361971376969</c:v>
                </c:pt>
                <c:pt idx="3">
                  <c:v>0.94874358893099486</c:v>
                </c:pt>
                <c:pt idx="4">
                  <c:v>0.92809169472654585</c:v>
                </c:pt>
                <c:pt idx="5">
                  <c:v>0.90517987083574414</c:v>
                </c:pt>
                <c:pt idx="6">
                  <c:v>0.8796520794398498</c:v>
                </c:pt>
                <c:pt idx="7">
                  <c:v>0.85110530395563699</c:v>
                </c:pt>
                <c:pt idx="8">
                  <c:v>0.81909939241785024</c:v>
                </c:pt>
                <c:pt idx="9">
                  <c:v>0.78318293078408419</c:v>
                </c:pt>
                <c:pt idx="10">
                  <c:v>0.74294595537032082</c:v>
                </c:pt>
                <c:pt idx="11">
                  <c:v>0.69811185432067502</c:v>
                </c:pt>
                <c:pt idx="12">
                  <c:v>0.64867085005087521</c:v>
                </c:pt>
                <c:pt idx="13">
                  <c:v>0.59503525520361533</c:v>
                </c:pt>
                <c:pt idx="14">
                  <c:v>0.53811976613826473</c:v>
                </c:pt>
                <c:pt idx="15">
                  <c:v>0.47914836695629887</c:v>
                </c:pt>
                <c:pt idx="16">
                  <c:v>0.41895215985973411</c:v>
                </c:pt>
                <c:pt idx="17">
                  <c:v>0.35666825971668559</c:v>
                </c:pt>
                <c:pt idx="18">
                  <c:v>0.2878326546843708</c:v>
                </c:pt>
                <c:pt idx="19">
                  <c:v>0.19982944513960627</c:v>
                </c:pt>
                <c:pt idx="20">
                  <c:v>0.17701255133431149</c:v>
                </c:pt>
                <c:pt idx="21">
                  <c:v>0.1508229426374407</c:v>
                </c:pt>
                <c:pt idx="22">
                  <c:v>0.11946200850484039</c:v>
                </c:pt>
                <c:pt idx="23">
                  <c:v>7.8679685803707156E-2</c:v>
                </c:pt>
              </c:numCache>
            </c:numRef>
          </c:yVal>
          <c:smooth val="1"/>
          <c:extLst>
            <c:ext xmlns:c16="http://schemas.microsoft.com/office/drawing/2014/chart" uri="{C3380CC4-5D6E-409C-BE32-E72D297353CC}">
              <c16:uniqueId val="{00000002-C850-4F38-B604-CD5347F209EA}"/>
            </c:ext>
          </c:extLst>
        </c:ser>
        <c:ser>
          <c:idx val="6"/>
          <c:order val="7"/>
          <c:tx>
            <c:strRef>
              <c:f>'Diagnosis Indicators'!$A$10</c:f>
              <c:strCache>
                <c:ptCount val="1"/>
                <c:pt idx="0">
                  <c:v>Neo-K1</c:v>
                </c:pt>
              </c:strCache>
            </c:strRef>
          </c:tx>
          <c:spPr>
            <a:ln w="19050" cap="rnd">
              <a:solidFill>
                <a:schemeClr val="accent3"/>
              </a:solidFill>
              <a:prstDash val="lgDashDotDot"/>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Indicators'!$B$10:$Y$10</c:f>
              <c:numCache>
                <c:formatCode>#,##0.000</c:formatCode>
                <c:ptCount val="24"/>
                <c:pt idx="0">
                  <c:v>1</c:v>
                </c:pt>
                <c:pt idx="1">
                  <c:v>0.98755014238399486</c:v>
                </c:pt>
                <c:pt idx="2">
                  <c:v>0.97402792407145244</c:v>
                </c:pt>
                <c:pt idx="3">
                  <c:v>0.95927484684485664</c:v>
                </c:pt>
                <c:pt idx="4">
                  <c:v>0.94309994748299208</c:v>
                </c:pt>
                <c:pt idx="5">
                  <c:v>0.92527091613971868</c:v>
                </c:pt>
                <c:pt idx="6">
                  <c:v>0.90550348050905749</c:v>
                </c:pt>
                <c:pt idx="7">
                  <c:v>0.88344696199351991</c:v>
                </c:pt>
                <c:pt idx="8">
                  <c:v>0.85866562387470258</c:v>
                </c:pt>
                <c:pt idx="9">
                  <c:v>0.8306154625383283</c:v>
                </c:pt>
                <c:pt idx="10">
                  <c:v>0.79861453011935857</c:v>
                </c:pt>
                <c:pt idx="11">
                  <c:v>0.76181008900230651</c:v>
                </c:pt>
                <c:pt idx="12">
                  <c:v>0.71914419658787154</c:v>
                </c:pt>
                <c:pt idx="13">
                  <c:v>0.66932958133524556</c:v>
                </c:pt>
                <c:pt idx="14">
                  <c:v>0.61085604387615666</c:v>
                </c:pt>
                <c:pt idx="15">
                  <c:v>0.54205907298262268</c:v>
                </c:pt>
                <c:pt idx="16">
                  <c:v>0.46128268259274002</c:v>
                </c:pt>
                <c:pt idx="17">
                  <c:v>0.36713963053806725</c:v>
                </c:pt>
                <c:pt idx="18">
                  <c:v>0.2588029914906691</c:v>
                </c:pt>
                <c:pt idx="19">
                  <c:v>0.13619980152950534</c:v>
                </c:pt>
                <c:pt idx="20">
                  <c:v>0.1100148911785061</c:v>
                </c:pt>
                <c:pt idx="21">
                  <c:v>8.3292825746948407E-2</c:v>
                </c:pt>
                <c:pt idx="22">
                  <c:v>5.6042938978986809E-2</c:v>
                </c:pt>
                <c:pt idx="23">
                  <c:v>2.8275134168512409E-2</c:v>
                </c:pt>
              </c:numCache>
            </c:numRef>
          </c:yVal>
          <c:smooth val="1"/>
          <c:extLst>
            <c:ext xmlns:c16="http://schemas.microsoft.com/office/drawing/2014/chart" uri="{C3380CC4-5D6E-409C-BE32-E72D297353CC}">
              <c16:uniqueId val="{00000001-C850-4F38-B604-CD5347F209EA}"/>
            </c:ext>
          </c:extLst>
        </c:ser>
        <c:dLbls>
          <c:showLegendKey val="0"/>
          <c:showVal val="0"/>
          <c:showCatName val="0"/>
          <c:showSerName val="0"/>
          <c:showPercent val="0"/>
          <c:showBubbleSize val="0"/>
        </c:dLbls>
        <c:axId val="844946399"/>
        <c:axId val="844953055"/>
        <c:extLst>
          <c:ext xmlns:c15="http://schemas.microsoft.com/office/drawing/2012/chart" uri="{02D57815-91ED-43cb-92C2-25804820EDAC}">
            <c15:filteredScatterSeries>
              <c15:ser>
                <c:idx val="8"/>
                <c:order val="8"/>
                <c:tx>
                  <c:strRef>
                    <c:extLst>
                      <c:ext uri="{02D57815-91ED-43cb-92C2-25804820EDAC}">
                        <c15:formulaRef>
                          <c15:sqref>'Diagnosis Indicators'!$A$11</c15:sqref>
                        </c15:formulaRef>
                      </c:ext>
                    </c:extLst>
                    <c:strCache>
                      <c:ptCount val="1"/>
                      <c:pt idx="0">
                        <c:v>Neoclassical - hetero s</c:v>
                      </c:pt>
                    </c:strCache>
                  </c:strRef>
                </c:tx>
                <c:spPr>
                  <a:ln w="19050" cap="rnd">
                    <a:solidFill>
                      <a:schemeClr val="accent3">
                        <a:lumMod val="60000"/>
                      </a:schemeClr>
                    </a:solidFill>
                    <a:round/>
                  </a:ln>
                  <a:effectLst/>
                </c:spPr>
                <c:marker>
                  <c:symbol val="none"/>
                </c:marker>
                <c:xVal>
                  <c:numRef>
                    <c:extLst>
                      <c:ext uri="{02D57815-91ED-43cb-92C2-25804820EDAC}">
                        <c15:formulaRef>
                          <c15:sqref>'Diagnosis Indicators'!$B$2:$Y$2</c15:sqref>
                        </c15:formulaRef>
                      </c:ext>
                    </c:extLst>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extLst>
                      <c:ext uri="{02D57815-91ED-43cb-92C2-25804820EDAC}">
                        <c15:formulaRef>
                          <c15:sqref>'Diagnosis Indicators'!$B$11:$Y$11</c15:sqref>
                        </c15:formulaRef>
                      </c:ext>
                    </c:extLst>
                    <c:numCache>
                      <c:formatCode>#,##0.000</c:formatCode>
                      <c:ptCount val="24"/>
                      <c:pt idx="0">
                        <c:v>0.99999999999999956</c:v>
                      </c:pt>
                      <c:pt idx="1">
                        <c:v>0.99444591610775457</c:v>
                      </c:pt>
                      <c:pt idx="2">
                        <c:v>0.98832398885785544</c:v>
                      </c:pt>
                      <c:pt idx="3">
                        <c:v>0.98155485786275998</c:v>
                      </c:pt>
                      <c:pt idx="4">
                        <c:v>0.97404297476950719</c:v>
                      </c:pt>
                      <c:pt idx="5">
                        <c:v>0.96567204220783953</c:v>
                      </c:pt>
                      <c:pt idx="6">
                        <c:v>0.95629799805413807</c:v>
                      </c:pt>
                      <c:pt idx="7">
                        <c:v>0.94573972610617074</c:v>
                      </c:pt>
                      <c:pt idx="8">
                        <c:v>0.93376390646056395</c:v>
                      </c:pt>
                      <c:pt idx="9">
                        <c:v>0.92006316660733312</c:v>
                      </c:pt>
                      <c:pt idx="10">
                        <c:v>0.90421972939464912</c:v>
                      </c:pt>
                      <c:pt idx="11">
                        <c:v>0.88564636602078417</c:v>
                      </c:pt>
                      <c:pt idx="12">
                        <c:v>0.86348466526882439</c:v>
                      </c:pt>
                      <c:pt idx="13">
                        <c:v>0.83642519107603419</c:v>
                      </c:pt>
                      <c:pt idx="14">
                        <c:v>0.80238481689363084</c:v>
                      </c:pt>
                      <c:pt idx="15">
                        <c:v>0.75794214216834832</c:v>
                      </c:pt>
                      <c:pt idx="16">
                        <c:v>0.69744648234885309</c:v>
                      </c:pt>
                      <c:pt idx="17">
                        <c:v>0.61173763947405335</c:v>
                      </c:pt>
                      <c:pt idx="18">
                        <c:v>0.48516789846608083</c:v>
                      </c:pt>
                      <c:pt idx="19">
                        <c:v>0.28500358745058368</c:v>
                      </c:pt>
                      <c:pt idx="20">
                        <c:v>0.23086212220297583</c:v>
                      </c:pt>
                      <c:pt idx="21">
                        <c:v>0.17080624919208309</c:v>
                      </c:pt>
                      <c:pt idx="22">
                        <c:v>0.10553097572575747</c:v>
                      </c:pt>
                      <c:pt idx="23">
                        <c:v>4.0042490619631235E-2</c:v>
                      </c:pt>
                    </c:numCache>
                  </c:numRef>
                </c:yVal>
                <c:smooth val="1"/>
                <c:extLst>
                  <c:ext xmlns:c16="http://schemas.microsoft.com/office/drawing/2014/chart" uri="{C3380CC4-5D6E-409C-BE32-E72D297353CC}">
                    <c16:uniqueId val="{00000000-A801-406B-8D2B-155AC302105A}"/>
                  </c:ext>
                </c:extLst>
              </c15:ser>
            </c15:filteredScatterSeries>
          </c:ext>
        </c:extLst>
      </c:scatterChart>
      <c:valAx>
        <c:axId val="844946399"/>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fr-FR" sz="1200"/>
                  <a:t>Energy demand control</a:t>
                </a:r>
              </a:p>
            </c:rich>
          </c:tx>
          <c:layout>
            <c:manualLayout>
              <c:xMode val="edge"/>
              <c:yMode val="edge"/>
              <c:x val="0.44665217932555212"/>
              <c:y val="0.9597134749809676"/>
            </c:manualLayout>
          </c:layout>
          <c:overlay val="0"/>
          <c:spPr>
            <a:solidFill>
              <a:schemeClr val="bg1">
                <a:alpha val="70000"/>
              </a:schemeClr>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fr-FR"/>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fr-FR"/>
          </a:p>
        </c:txPr>
        <c:crossAx val="844953055"/>
        <c:crosses val="autoZero"/>
        <c:crossBetween val="midCat"/>
      </c:valAx>
      <c:valAx>
        <c:axId val="844953055"/>
        <c:scaling>
          <c:orientation val="minMax"/>
          <c:max val="1.5"/>
          <c:min val="0"/>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defRPr sz="1800" b="0" i="0" u="none" strike="noStrike" kern="1200" baseline="0">
                    <a:solidFill>
                      <a:schemeClr val="tx1">
                        <a:lumMod val="65000"/>
                        <a:lumOff val="35000"/>
                      </a:schemeClr>
                    </a:solidFill>
                    <a:latin typeface="+mn-lt"/>
                    <a:ea typeface="+mn-ea"/>
                    <a:cs typeface="+mn-cs"/>
                  </a:defRPr>
                </a:pPr>
                <a:r>
                  <a:rPr lang="en-US" sz="1800"/>
                  <a:t>Welfare</a:t>
                </a:r>
              </a:p>
            </c:rich>
          </c:tx>
          <c:layout>
            <c:manualLayout>
              <c:xMode val="edge"/>
              <c:yMode val="edge"/>
              <c:x val="9.5680516491133769E-3"/>
              <c:y val="8.3596354547425828E-3"/>
            </c:manualLayout>
          </c:layout>
          <c:overlay val="0"/>
          <c:spPr>
            <a:solidFill>
              <a:schemeClr val="bg1">
                <a:alpha val="70000"/>
              </a:schemeClr>
            </a:solidFill>
            <a:ln>
              <a:noFill/>
            </a:ln>
            <a:effectLst/>
          </c:spPr>
          <c:txPr>
            <a:bodyPr rot="0" spcFirstLastPara="1" vertOverflow="ellipsis"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fr-FR"/>
            </a:p>
          </c:txPr>
        </c:title>
        <c:numFmt formatCode="#\ ##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fr-FR"/>
          </a:p>
        </c:txPr>
        <c:crossAx val="844946399"/>
        <c:crosses val="autoZero"/>
        <c:crossBetween val="midCat"/>
      </c:valAx>
      <c:spPr>
        <a:noFill/>
        <a:ln>
          <a:noFill/>
        </a:ln>
        <a:effectLst/>
      </c:spPr>
    </c:plotArea>
    <c:legend>
      <c:legendPos val="r"/>
      <c:layout>
        <c:manualLayout>
          <c:xMode val="edge"/>
          <c:yMode val="edge"/>
          <c:x val="7.7558359529985993E-2"/>
          <c:y val="0.50069788772209378"/>
          <c:w val="0.18780620873946458"/>
          <c:h val="0.388424492201007"/>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legend>
    <c:plotVisOnly val="0"/>
    <c:dispBlanksAs val="gap"/>
    <c:showDLblsOverMax val="0"/>
  </c:chart>
  <c:spPr>
    <a:noFill/>
    <a:ln w="9525" cap="flat" cmpd="sng" algn="ctr">
      <a:noFill/>
      <a:round/>
    </a:ln>
    <a:effectLst/>
  </c:spPr>
  <c:txPr>
    <a:bodyPr/>
    <a:lstStyle/>
    <a:p>
      <a:pPr>
        <a:defRPr/>
      </a:pPr>
      <a:endParaRPr lang="fr-FR"/>
    </a:p>
  </c:txPr>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8939229634350809E-2"/>
          <c:y val="7.7694712997173468E-2"/>
          <c:w val="0.91954496211515768"/>
          <c:h val="0.84004231632441195"/>
        </c:manualLayout>
      </c:layout>
      <c:scatterChart>
        <c:scatterStyle val="smoothMarker"/>
        <c:varyColors val="0"/>
        <c:ser>
          <c:idx val="0"/>
          <c:order val="0"/>
          <c:tx>
            <c:strRef>
              <c:f>'Diagnosis Indicators'!$A$63</c:f>
              <c:strCache>
                <c:ptCount val="1"/>
                <c:pt idx="0">
                  <c:v>Neoclassical</c:v>
                </c:pt>
              </c:strCache>
            </c:strRef>
          </c:tx>
          <c:spPr>
            <a:ln w="19050" cap="rnd">
              <a:solidFill>
                <a:schemeClr val="accent1"/>
              </a:solidFill>
              <a:round/>
            </a:ln>
            <a:effectLst/>
          </c:spPr>
          <c:marker>
            <c:symbol val="none"/>
          </c:marker>
          <c:xVal>
            <c:numRef>
              <c:f>'Diagnosis Indicators'!$B$62:$Y$62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Indicators'!$B$63:$Y$63</c:f>
              <c:numCache>
                <c:formatCode>0.0%</c:formatCode>
                <c:ptCount val="24"/>
                <c:pt idx="0">
                  <c:v>0.56058995943839174</c:v>
                </c:pt>
                <c:pt idx="1">
                  <c:v>0.56647938056425984</c:v>
                </c:pt>
                <c:pt idx="2">
                  <c:v>0.5657570235516538</c:v>
                </c:pt>
                <c:pt idx="3">
                  <c:v>0.56503321577433252</c:v>
                </c:pt>
                <c:pt idx="4">
                  <c:v>0.56430769472722109</c:v>
                </c:pt>
                <c:pt idx="5">
                  <c:v>0.5635803648476202</c:v>
                </c:pt>
                <c:pt idx="6">
                  <c:v>0.56285116264939083</c:v>
                </c:pt>
                <c:pt idx="7">
                  <c:v>0.56212037855878494</c:v>
                </c:pt>
                <c:pt idx="8">
                  <c:v>0.56138880268227254</c:v>
                </c:pt>
                <c:pt idx="9">
                  <c:v>0.5606580821126369</c:v>
                </c:pt>
                <c:pt idx="10">
                  <c:v>0.55993135602113031</c:v>
                </c:pt>
                <c:pt idx="11">
                  <c:v>0.5592142276452855</c:v>
                </c:pt>
                <c:pt idx="12">
                  <c:v>0.55851640244935452</c:v>
                </c:pt>
                <c:pt idx="13">
                  <c:v>0.55785425768146935</c:v>
                </c:pt>
                <c:pt idx="14">
                  <c:v>0.55725450314880043</c:v>
                </c:pt>
                <c:pt idx="15">
                  <c:v>0.55675712578269498</c:v>
                </c:pt>
                <c:pt idx="16">
                  <c:v>0.55640910067443805</c:v>
                </c:pt>
                <c:pt idx="17">
                  <c:v>0.55623137966797798</c:v>
                </c:pt>
                <c:pt idx="18">
                  <c:v>0.55617789606442225</c:v>
                </c:pt>
                <c:pt idx="19">
                  <c:v>0.55617096465843208</c:v>
                </c:pt>
                <c:pt idx="20">
                  <c:v>0.55617084374213732</c:v>
                </c:pt>
                <c:pt idx="21">
                  <c:v>0.55617079973056549</c:v>
                </c:pt>
                <c:pt idx="22">
                  <c:v>0.55617078738159043</c:v>
                </c:pt>
                <c:pt idx="23">
                  <c:v>0.55617078458362879</c:v>
                </c:pt>
              </c:numCache>
            </c:numRef>
          </c:yVal>
          <c:smooth val="1"/>
          <c:extLst>
            <c:ext xmlns:c16="http://schemas.microsoft.com/office/drawing/2014/chart" uri="{C3380CC4-5D6E-409C-BE32-E72D297353CC}">
              <c16:uniqueId val="{00000000-A1C7-4647-B998-449E9F32F971}"/>
            </c:ext>
          </c:extLst>
        </c:ser>
        <c:ser>
          <c:idx val="1"/>
          <c:order val="1"/>
          <c:tx>
            <c:strRef>
              <c:f>'Diagnosis Indicators'!$A$64</c:f>
              <c:strCache>
                <c:ptCount val="1"/>
                <c:pt idx="0">
                  <c:v>Kaldorian</c:v>
                </c:pt>
              </c:strCache>
            </c:strRef>
          </c:tx>
          <c:spPr>
            <a:ln w="19050" cap="rnd">
              <a:solidFill>
                <a:schemeClr val="accent2"/>
              </a:solidFill>
              <a:prstDash val="lgDash"/>
              <a:round/>
            </a:ln>
            <a:effectLst/>
          </c:spPr>
          <c:marker>
            <c:symbol val="none"/>
          </c:marker>
          <c:xVal>
            <c:numRef>
              <c:f>'Diagnosis Indicators'!$B$62:$Y$62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Indicators'!$B$64:$Y$64</c:f>
              <c:numCache>
                <c:formatCode>0.0%</c:formatCode>
                <c:ptCount val="24"/>
                <c:pt idx="0">
                  <c:v>0.56058995943839174</c:v>
                </c:pt>
                <c:pt idx="1">
                  <c:v>0.5614291053688254</c:v>
                </c:pt>
                <c:pt idx="2">
                  <c:v>0.55542364239412634</c:v>
                </c:pt>
                <c:pt idx="3">
                  <c:v>0.54914868835860486</c:v>
                </c:pt>
                <c:pt idx="4">
                  <c:v>0.54256072934431432</c:v>
                </c:pt>
                <c:pt idx="5">
                  <c:v>0.53560548559004473</c:v>
                </c:pt>
                <c:pt idx="6">
                  <c:v>0.52821343627809991</c:v>
                </c:pt>
                <c:pt idx="7">
                  <c:v>0.52029354325471289</c:v>
                </c:pt>
                <c:pt idx="8">
                  <c:v>0.51172239728195579</c:v>
                </c:pt>
                <c:pt idx="9">
                  <c:v>0.50232635889907851</c:v>
                </c:pt>
                <c:pt idx="10">
                  <c:v>0.49184969442366711</c:v>
                </c:pt>
                <c:pt idx="11">
                  <c:v>0.4798960192558907</c:v>
                </c:pt>
                <c:pt idx="12">
                  <c:v>0.46581407316711931</c:v>
                </c:pt>
                <c:pt idx="13">
                  <c:v>0.44846275305698857</c:v>
                </c:pt>
                <c:pt idx="14">
                  <c:v>0.42570062360513344</c:v>
                </c:pt>
                <c:pt idx="15">
                  <c:v>0.39322933734513671</c:v>
                </c:pt>
              </c:numCache>
            </c:numRef>
          </c:yVal>
          <c:smooth val="1"/>
          <c:extLst>
            <c:ext xmlns:c16="http://schemas.microsoft.com/office/drawing/2014/chart" uri="{C3380CC4-5D6E-409C-BE32-E72D297353CC}">
              <c16:uniqueId val="{00000001-A1C7-4647-B998-449E9F32F971}"/>
            </c:ext>
          </c:extLst>
        </c:ser>
        <c:ser>
          <c:idx val="5"/>
          <c:order val="2"/>
          <c:tx>
            <c:strRef>
              <c:f>'Diagnosis Indicators'!$A$65</c:f>
              <c:strCache>
                <c:ptCount val="1"/>
                <c:pt idx="0">
                  <c:v>Johansen</c:v>
                </c:pt>
              </c:strCache>
            </c:strRef>
          </c:tx>
          <c:spPr>
            <a:ln w="19050" cap="rnd">
              <a:solidFill>
                <a:schemeClr val="accent6"/>
              </a:solidFill>
              <a:round/>
            </a:ln>
            <a:effectLst/>
          </c:spPr>
          <c:marker>
            <c:symbol val="none"/>
          </c:marker>
          <c:xVal>
            <c:numRef>
              <c:f>'Diagnosis Indicators'!$B$62:$Y$62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Indicators'!$B$65:$Y$65</c:f>
              <c:numCache>
                <c:formatCode>0.0%</c:formatCode>
                <c:ptCount val="24"/>
                <c:pt idx="0">
                  <c:v>0.56058995943839174</c:v>
                </c:pt>
                <c:pt idx="1">
                  <c:v>0.56647355960775014</c:v>
                </c:pt>
                <c:pt idx="2">
                  <c:v>0.56574513289307238</c:v>
                </c:pt>
                <c:pt idx="3">
                  <c:v>0.56501495593718276</c:v>
                </c:pt>
                <c:pt idx="4">
                  <c:v>0.56428276666085364</c:v>
                </c:pt>
                <c:pt idx="5">
                  <c:v>0.5635484080002684</c:v>
                </c:pt>
                <c:pt idx="6">
                  <c:v>0.56281182677192554</c:v>
                </c:pt>
                <c:pt idx="7">
                  <c:v>0.5620733483796837</c:v>
                </c:pt>
                <c:pt idx="8">
                  <c:v>0.56133386614783753</c:v>
                </c:pt>
                <c:pt idx="9">
                  <c:v>0.56059523658174926</c:v>
                </c:pt>
                <c:pt idx="10">
                  <c:v>0.5598609879396379</c:v>
                </c:pt>
                <c:pt idx="11">
                  <c:v>0.55913739421318598</c:v>
                </c:pt>
                <c:pt idx="12">
                  <c:v>0.55843526759913487</c:v>
                </c:pt>
                <c:pt idx="13">
                  <c:v>0.55777275751520139</c:v>
                </c:pt>
                <c:pt idx="14">
                  <c:v>0.55717912559829208</c:v>
                </c:pt>
                <c:pt idx="15">
                  <c:v>0.55669705910168621</c:v>
                </c:pt>
                <c:pt idx="16">
                  <c:v>0.55637291847905135</c:v>
                </c:pt>
                <c:pt idx="17">
                  <c:v>0.55621821061611953</c:v>
                </c:pt>
                <c:pt idx="18">
                  <c:v>0.55617582669724852</c:v>
                </c:pt>
                <c:pt idx="19">
                  <c:v>0.55617089994561908</c:v>
                </c:pt>
                <c:pt idx="20">
                  <c:v>0.55617082204407009</c:v>
                </c:pt>
                <c:pt idx="21">
                  <c:v>0.55617079414429971</c:v>
                </c:pt>
                <c:pt idx="22">
                  <c:v>0.55617078615685589</c:v>
                </c:pt>
                <c:pt idx="23">
                  <c:v>0.55617078466092262</c:v>
                </c:pt>
              </c:numCache>
            </c:numRef>
          </c:yVal>
          <c:smooth val="1"/>
          <c:extLst>
            <c:ext xmlns:c16="http://schemas.microsoft.com/office/drawing/2014/chart" uri="{C3380CC4-5D6E-409C-BE32-E72D297353CC}">
              <c16:uniqueId val="{00000002-A1C7-4647-B998-449E9F32F971}"/>
            </c:ext>
          </c:extLst>
        </c:ser>
        <c:ser>
          <c:idx val="2"/>
          <c:order val="3"/>
          <c:tx>
            <c:strRef>
              <c:f>'Diagnosis Indicators'!$A$66</c:f>
              <c:strCache>
                <c:ptCount val="1"/>
                <c:pt idx="0">
                  <c:v>Keynes-Kaldor</c:v>
                </c:pt>
              </c:strCache>
            </c:strRef>
          </c:tx>
          <c:spPr>
            <a:ln w="19050" cap="rnd">
              <a:solidFill>
                <a:schemeClr val="accent3"/>
              </a:solidFill>
              <a:round/>
            </a:ln>
            <a:effectLst/>
          </c:spPr>
          <c:marker>
            <c:symbol val="none"/>
          </c:marker>
          <c:xVal>
            <c:numRef>
              <c:f>'Diagnosis Indicators'!$B$62:$Y$62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Indicators'!$B$66:$Y$66</c:f>
              <c:numCache>
                <c:formatCode>0.0%</c:formatCode>
                <c:ptCount val="24"/>
                <c:pt idx="0">
                  <c:v>0.56058995943839174</c:v>
                </c:pt>
                <c:pt idx="1">
                  <c:v>0.5609707958771748</c:v>
                </c:pt>
                <c:pt idx="2">
                  <c:v>0.5545517892770937</c:v>
                </c:pt>
                <c:pt idx="3">
                  <c:v>0.54790873368076987</c:v>
                </c:pt>
                <c:pt idx="4">
                  <c:v>0.54099986895825103</c:v>
                </c:pt>
                <c:pt idx="5">
                  <c:v>0.53377410174080508</c:v>
                </c:pt>
                <c:pt idx="6">
                  <c:v>0.5261670949853311</c:v>
                </c:pt>
                <c:pt idx="7">
                  <c:v>0.51809559767057545</c:v>
                </c:pt>
                <c:pt idx="8">
                  <c:v>0.50944826833455248</c:v>
                </c:pt>
                <c:pt idx="9">
                  <c:v>0.50007084574724725</c:v>
                </c:pt>
                <c:pt idx="10">
                  <c:v>0.48974069905522516</c:v>
                </c:pt>
                <c:pt idx="11">
                  <c:v>0.47812255123525366</c:v>
                </c:pt>
                <c:pt idx="12">
                  <c:v>0.46468755298968378</c:v>
                </c:pt>
                <c:pt idx="13">
                  <c:v>0.44856019082940624</c:v>
                </c:pt>
                <c:pt idx="14">
                  <c:v>0.42821994906637251</c:v>
                </c:pt>
                <c:pt idx="15">
                  <c:v>0.40091395753917353</c:v>
                </c:pt>
                <c:pt idx="16">
                  <c:v>0.36152279379884084</c:v>
                </c:pt>
              </c:numCache>
            </c:numRef>
          </c:yVal>
          <c:smooth val="1"/>
          <c:extLst>
            <c:ext xmlns:c16="http://schemas.microsoft.com/office/drawing/2014/chart" uri="{C3380CC4-5D6E-409C-BE32-E72D297353CC}">
              <c16:uniqueId val="{00000003-A1C7-4647-B998-449E9F32F971}"/>
            </c:ext>
          </c:extLst>
        </c:ser>
        <c:ser>
          <c:idx val="3"/>
          <c:order val="4"/>
          <c:tx>
            <c:strRef>
              <c:f>'Diagnosis Indicators'!$A$67</c:f>
              <c:strCache>
                <c:ptCount val="1"/>
                <c:pt idx="0">
                  <c:v>Keynes-Marshall</c:v>
                </c:pt>
              </c:strCache>
            </c:strRef>
          </c:tx>
          <c:spPr>
            <a:ln w="19050" cap="rnd">
              <a:solidFill>
                <a:schemeClr val="accent4"/>
              </a:solidFill>
              <a:round/>
            </a:ln>
            <a:effectLst/>
          </c:spPr>
          <c:marker>
            <c:symbol val="none"/>
          </c:marker>
          <c:xVal>
            <c:numRef>
              <c:f>'Diagnosis Indicators'!$B$62:$Y$62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Indicators'!$B$67:$Y$67</c:f>
              <c:numCache>
                <c:formatCode>0.0%</c:formatCode>
                <c:ptCount val="24"/>
                <c:pt idx="0">
                  <c:v>0.56058995943839174</c:v>
                </c:pt>
                <c:pt idx="1">
                  <c:v>0.59390673288419493</c:v>
                </c:pt>
                <c:pt idx="2">
                  <c:v>0.61944014764663879</c:v>
                </c:pt>
                <c:pt idx="3">
                  <c:v>0.64484688671102564</c:v>
                </c:pt>
                <c:pt idx="4">
                  <c:v>0.67117149859786662</c:v>
                </c:pt>
                <c:pt idx="5">
                  <c:v>0.69985913461804994</c:v>
                </c:pt>
                <c:pt idx="6">
                  <c:v>0.73348783116829563</c:v>
                </c:pt>
                <c:pt idx="7">
                  <c:v>0.77801439157479135</c:v>
                </c:pt>
                <c:pt idx="8">
                  <c:v>0.85407622695191587</c:v>
                </c:pt>
                <c:pt idx="9">
                  <c:v>0</c:v>
                </c:pt>
              </c:numCache>
            </c:numRef>
          </c:yVal>
          <c:smooth val="1"/>
          <c:extLst>
            <c:ext xmlns:c16="http://schemas.microsoft.com/office/drawing/2014/chart" uri="{C3380CC4-5D6E-409C-BE32-E72D297353CC}">
              <c16:uniqueId val="{00000004-A1C7-4647-B998-449E9F32F971}"/>
            </c:ext>
          </c:extLst>
        </c:ser>
        <c:ser>
          <c:idx val="4"/>
          <c:order val="5"/>
          <c:tx>
            <c:strRef>
              <c:f>'Diagnosis Indicators'!$A$68</c:f>
              <c:strCache>
                <c:ptCount val="1"/>
                <c:pt idx="0">
                  <c:v>Keynesian</c:v>
                </c:pt>
              </c:strCache>
            </c:strRef>
          </c:tx>
          <c:spPr>
            <a:ln w="19050" cap="rnd">
              <a:solidFill>
                <a:schemeClr val="accent5"/>
              </a:solidFill>
              <a:round/>
            </a:ln>
            <a:effectLst/>
          </c:spPr>
          <c:marker>
            <c:symbol val="none"/>
          </c:marker>
          <c:xVal>
            <c:numRef>
              <c:f>'Diagnosis Indicators'!$B$62:$Y$62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Indicators'!$B$68:$Y$68</c:f>
              <c:numCache>
                <c:formatCode>0.0%</c:formatCode>
                <c:ptCount val="24"/>
                <c:pt idx="0">
                  <c:v>0.56058995943839174</c:v>
                </c:pt>
                <c:pt idx="1">
                  <c:v>0.57469940583023382</c:v>
                </c:pt>
                <c:pt idx="2">
                  <c:v>0.58238164582140506</c:v>
                </c:pt>
                <c:pt idx="3">
                  <c:v>0.59026113874772501</c:v>
                </c:pt>
                <c:pt idx="4">
                  <c:v>0.59835353893370491</c:v>
                </c:pt>
                <c:pt idx="5">
                  <c:v>0.60667623488482769</c:v>
                </c:pt>
                <c:pt idx="6">
                  <c:v>0.61524870400665466</c:v>
                </c:pt>
                <c:pt idx="7">
                  <c:v>0.62409287821153059</c:v>
                </c:pt>
                <c:pt idx="8">
                  <c:v>0.63323385701486223</c:v>
                </c:pt>
                <c:pt idx="9">
                  <c:v>0.64269907371332791</c:v>
                </c:pt>
                <c:pt idx="10">
                  <c:v>0.65251905645710373</c:v>
                </c:pt>
                <c:pt idx="11">
                  <c:v>0.66272691280113061</c:v>
                </c:pt>
                <c:pt idx="12">
                  <c:v>0.6733550458542793</c:v>
                </c:pt>
              </c:numCache>
            </c:numRef>
          </c:yVal>
          <c:smooth val="1"/>
          <c:extLst>
            <c:ext xmlns:c16="http://schemas.microsoft.com/office/drawing/2014/chart" uri="{C3380CC4-5D6E-409C-BE32-E72D297353CC}">
              <c16:uniqueId val="{00000005-A1C7-4647-B998-449E9F32F971}"/>
            </c:ext>
          </c:extLst>
        </c:ser>
        <c:ser>
          <c:idx val="6"/>
          <c:order val="6"/>
          <c:tx>
            <c:strRef>
              <c:f>'Diagnosis Indicators'!$A$69</c:f>
              <c:strCache>
                <c:ptCount val="1"/>
                <c:pt idx="0">
                  <c:v>Neo-K1</c:v>
                </c:pt>
              </c:strCache>
            </c:strRef>
          </c:tx>
          <c:spPr>
            <a:ln w="19050" cap="rnd">
              <a:solidFill>
                <a:schemeClr val="accent1">
                  <a:lumMod val="60000"/>
                </a:schemeClr>
              </a:solidFill>
              <a:round/>
            </a:ln>
            <a:effectLst/>
          </c:spPr>
          <c:marker>
            <c:symbol val="none"/>
          </c:marker>
          <c:xVal>
            <c:numRef>
              <c:f>'Diagnosis Indicators'!$B$62:$Y$62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Indicators'!$B$69:$Y$69</c:f>
              <c:numCache>
                <c:formatCode>0.0%</c:formatCode>
                <c:ptCount val="24"/>
                <c:pt idx="0">
                  <c:v>0.56058995943839174</c:v>
                </c:pt>
                <c:pt idx="1">
                  <c:v>0.56673757498886679</c:v>
                </c:pt>
                <c:pt idx="2">
                  <c:v>0.56626961600345904</c:v>
                </c:pt>
                <c:pt idx="3">
                  <c:v>0.56579502436646378</c:v>
                </c:pt>
                <c:pt idx="4">
                  <c:v>0.56531175349486251</c:v>
                </c:pt>
                <c:pt idx="5">
                  <c:v>0.5648172611031832</c:v>
                </c:pt>
                <c:pt idx="6">
                  <c:v>0.56430838172691522</c:v>
                </c:pt>
                <c:pt idx="7">
                  <c:v>0.56378119150873496</c:v>
                </c:pt>
                <c:pt idx="8">
                  <c:v>0.5632308568614165</c:v>
                </c:pt>
                <c:pt idx="9">
                  <c:v>0.56265148697840617</c:v>
                </c:pt>
                <c:pt idx="10">
                  <c:v>0.5620359957028126</c:v>
                </c:pt>
                <c:pt idx="11">
                  <c:v>0.56137607290913705</c:v>
                </c:pt>
                <c:pt idx="12">
                  <c:v>0.56066236370096167</c:v>
                </c:pt>
                <c:pt idx="13">
                  <c:v>0.55988504978385045</c:v>
                </c:pt>
                <c:pt idx="14">
                  <c:v>0.55903506762906507</c:v>
                </c:pt>
                <c:pt idx="15">
                  <c:v>0.55810617034048615</c:v>
                </c:pt>
                <c:pt idx="16">
                  <c:v>0.55709769929336983</c:v>
                </c:pt>
                <c:pt idx="17">
                  <c:v>0.55601717442872334</c:v>
                </c:pt>
                <c:pt idx="18">
                  <c:v>0.55488120311201361</c:v>
                </c:pt>
                <c:pt idx="19">
                  <c:v>0.5537134344319169</c:v>
                </c:pt>
                <c:pt idx="20">
                  <c:v>0.5534783824165489</c:v>
                </c:pt>
                <c:pt idx="21">
                  <c:v>0.55324332293559231</c:v>
                </c:pt>
                <c:pt idx="22">
                  <c:v>0.55300844438211905</c:v>
                </c:pt>
                <c:pt idx="23">
                  <c:v>0.55277395382276551</c:v>
                </c:pt>
              </c:numCache>
            </c:numRef>
          </c:yVal>
          <c:smooth val="1"/>
          <c:extLst>
            <c:ext xmlns:c16="http://schemas.microsoft.com/office/drawing/2014/chart" uri="{C3380CC4-5D6E-409C-BE32-E72D297353CC}">
              <c16:uniqueId val="{00000006-A1C7-4647-B998-449E9F32F971}"/>
            </c:ext>
          </c:extLst>
        </c:ser>
        <c:ser>
          <c:idx val="7"/>
          <c:order val="7"/>
          <c:tx>
            <c:strRef>
              <c:f>'Diagnosis Indicators'!$A$70</c:f>
              <c:strCache>
                <c:ptCount val="1"/>
                <c:pt idx="0">
                  <c:v>Neo-K2</c:v>
                </c:pt>
              </c:strCache>
            </c:strRef>
          </c:tx>
          <c:spPr>
            <a:ln w="19050" cap="rnd">
              <a:solidFill>
                <a:schemeClr val="accent2">
                  <a:lumMod val="60000"/>
                </a:schemeClr>
              </a:solidFill>
              <a:round/>
            </a:ln>
            <a:effectLst/>
          </c:spPr>
          <c:marker>
            <c:symbol val="none"/>
          </c:marker>
          <c:xVal>
            <c:numRef>
              <c:f>'Diagnosis Indicators'!$B$62:$Y$62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Indicators'!$B$70:$Y$70</c:f>
              <c:numCache>
                <c:formatCode>0.0%</c:formatCode>
                <c:ptCount val="24"/>
                <c:pt idx="0">
                  <c:v>0.56058995943839174</c:v>
                </c:pt>
                <c:pt idx="1">
                  <c:v>0.56727372413117216</c:v>
                </c:pt>
                <c:pt idx="2">
                  <c:v>0.56737852909973296</c:v>
                </c:pt>
                <c:pt idx="3">
                  <c:v>0.56751810054965757</c:v>
                </c:pt>
                <c:pt idx="4">
                  <c:v>0.56769572714738403</c:v>
                </c:pt>
                <c:pt idx="5">
                  <c:v>0.56791475457072504</c:v>
                </c:pt>
                <c:pt idx="6">
                  <c:v>0.56817833248370431</c:v>
                </c:pt>
                <c:pt idx="7">
                  <c:v>0.56848901550610387</c:v>
                </c:pt>
                <c:pt idx="8">
                  <c:v>0.56884800778405353</c:v>
                </c:pt>
                <c:pt idx="9">
                  <c:v>0.56925407687780472</c:v>
                </c:pt>
                <c:pt idx="10">
                  <c:v>0.56970136639125613</c:v>
                </c:pt>
                <c:pt idx="11">
                  <c:v>0.57017600846793914</c:v>
                </c:pt>
                <c:pt idx="12">
                  <c:v>0.5706505747445676</c:v>
                </c:pt>
                <c:pt idx="13">
                  <c:v>0.57107571420582415</c:v>
                </c:pt>
                <c:pt idx="14">
                  <c:v>0.571369034530959</c:v>
                </c:pt>
                <c:pt idx="15">
                  <c:v>0.5714015783265548</c:v>
                </c:pt>
                <c:pt idx="16">
                  <c:v>0.57097204684619951</c:v>
                </c:pt>
                <c:pt idx="17">
                  <c:v>0.56969654752451249</c:v>
                </c:pt>
                <c:pt idx="18">
                  <c:v>0.56646389765334149</c:v>
                </c:pt>
                <c:pt idx="19">
                  <c:v>0.55655196131480245</c:v>
                </c:pt>
                <c:pt idx="20">
                  <c:v>0.55215889637536186</c:v>
                </c:pt>
                <c:pt idx="21">
                  <c:v>0.54565080329187987</c:v>
                </c:pt>
                <c:pt idx="22">
                  <c:v>0.53493265113199084</c:v>
                </c:pt>
                <c:pt idx="23">
                  <c:v>0.51289634274254225</c:v>
                </c:pt>
              </c:numCache>
            </c:numRef>
          </c:yVal>
          <c:smooth val="1"/>
          <c:extLst>
            <c:ext xmlns:c16="http://schemas.microsoft.com/office/drawing/2014/chart" uri="{C3380CC4-5D6E-409C-BE32-E72D297353CC}">
              <c16:uniqueId val="{00000007-A1C7-4647-B998-449E9F32F971}"/>
            </c:ext>
          </c:extLst>
        </c:ser>
        <c:dLbls>
          <c:showLegendKey val="0"/>
          <c:showVal val="0"/>
          <c:showCatName val="0"/>
          <c:showSerName val="0"/>
          <c:showPercent val="0"/>
          <c:showBubbleSize val="0"/>
        </c:dLbls>
        <c:axId val="844946399"/>
        <c:axId val="844953055"/>
      </c:scatterChart>
      <c:valAx>
        <c:axId val="844946399"/>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fr-FR" sz="1200"/>
                  <a:t>Fossil energy control</a:t>
                </a:r>
              </a:p>
            </c:rich>
          </c:tx>
          <c:layout>
            <c:manualLayout>
              <c:xMode val="edge"/>
              <c:yMode val="edge"/>
              <c:x val="0.43708696202780883"/>
              <c:y val="0.96180622155430084"/>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fr-FR"/>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fr-FR"/>
          </a:p>
        </c:txPr>
        <c:crossAx val="844953055"/>
        <c:crosses val="autoZero"/>
        <c:crossBetween val="midCat"/>
      </c:valAx>
      <c:valAx>
        <c:axId val="844953055"/>
        <c:scaling>
          <c:orientation val="minMax"/>
          <c:max val="1"/>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defRPr sz="2000" b="0" i="0" u="none" strike="noStrike" kern="1200" baseline="0">
                    <a:solidFill>
                      <a:schemeClr val="tx1">
                        <a:lumMod val="65000"/>
                        <a:lumOff val="35000"/>
                      </a:schemeClr>
                    </a:solidFill>
                    <a:latin typeface="+mn-lt"/>
                    <a:ea typeface="+mn-ea"/>
                    <a:cs typeface="+mn-cs"/>
                  </a:defRPr>
                </a:pPr>
                <a:r>
                  <a:rPr lang="en-US" sz="2000"/>
                  <a:t>Profit share</a:t>
                </a:r>
              </a:p>
            </c:rich>
          </c:tx>
          <c:layout>
            <c:manualLayout>
              <c:xMode val="edge"/>
              <c:yMode val="edge"/>
              <c:x val="1.3669649771732994E-2"/>
              <c:y val="2.0934435893485728E-2"/>
            </c:manualLayout>
          </c:layout>
          <c:overlay val="0"/>
          <c:spPr>
            <a:noFill/>
            <a:ln>
              <a:noFill/>
            </a:ln>
            <a:effectLst/>
          </c:spPr>
          <c:txPr>
            <a:bodyPr rot="0" spcFirstLastPara="1" vertOverflow="ellipsis"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fr-FR"/>
            </a:p>
          </c:txPr>
        </c:title>
        <c:numFmt formatCode="#\ ##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fr-FR"/>
          </a:p>
        </c:txPr>
        <c:crossAx val="844946399"/>
        <c:crosses val="autoZero"/>
        <c:crossBetween val="midCat"/>
      </c:valAx>
      <c:spPr>
        <a:noFill/>
        <a:ln>
          <a:noFill/>
        </a:ln>
        <a:effectLst/>
      </c:spPr>
    </c:plotArea>
    <c:legend>
      <c:legendPos val="b"/>
      <c:layout>
        <c:manualLayout>
          <c:xMode val="edge"/>
          <c:yMode val="edge"/>
          <c:x val="6.5327206286230677E-2"/>
          <c:y val="0.51777688441239067"/>
          <c:w val="0.19412059496196518"/>
          <c:h val="0.38270344479544083"/>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noFill/>
    <a:ln w="9525" cap="flat" cmpd="sng" algn="ctr">
      <a:noFill/>
      <a:round/>
    </a:ln>
    <a:effectLst/>
  </c:spPr>
  <c:txPr>
    <a:bodyPr/>
    <a:lstStyle/>
    <a:p>
      <a:pPr>
        <a:defRPr/>
      </a:pPr>
      <a:endParaRPr lang="fr-FR"/>
    </a:p>
  </c:txPr>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0"/>
            </a:pPr>
            <a:r>
              <a:rPr lang="fr-FR" sz="2000" b="0" i="0" u="none" strike="noStrike" kern="1200" baseline="0">
                <a:solidFill>
                  <a:sysClr val="windowText" lastClr="000000">
                    <a:lumMod val="65000"/>
                    <a:lumOff val="35000"/>
                  </a:sysClr>
                </a:solidFill>
                <a:latin typeface="+mn-lt"/>
                <a:ea typeface="+mn-ea"/>
                <a:cs typeface="+mn-cs"/>
              </a:rPr>
              <a:t>Optimal Carbon Tax</a:t>
            </a:r>
          </a:p>
        </c:rich>
      </c:tx>
      <c:layout>
        <c:manualLayout>
          <c:xMode val="edge"/>
          <c:yMode val="edge"/>
          <c:x val="4.2052262398352712E-2"/>
          <c:y val="1.674876749842321E-2"/>
        </c:manualLayout>
      </c:layout>
      <c:overlay val="0"/>
    </c:title>
    <c:autoTitleDeleted val="0"/>
    <c:plotArea>
      <c:layout/>
      <c:scatterChart>
        <c:scatterStyle val="lineMarker"/>
        <c:varyColors val="0"/>
        <c:ser>
          <c:idx val="5"/>
          <c:order val="0"/>
          <c:tx>
            <c:strRef>
              <c:f>'Diagnosis Indicators'!$A$85</c:f>
              <c:strCache>
                <c:ptCount val="1"/>
                <c:pt idx="0">
                  <c:v>Neoclassical</c:v>
                </c:pt>
              </c:strCache>
            </c:strRef>
          </c:tx>
          <c:xVal>
            <c:numRef>
              <c:f>'Diagnosis Indicators'!$B$84:$Y$84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Indicators'!$B$85:$Y$85</c:f>
              <c:numCache>
                <c:formatCode>0%</c:formatCode>
                <c:ptCount val="24"/>
                <c:pt idx="0">
                  <c:v>5.7716594496607888E-3</c:v>
                </c:pt>
                <c:pt idx="1">
                  <c:v>5.2791387594175745E-2</c:v>
                </c:pt>
                <c:pt idx="2">
                  <c:v>0.10439861272070942</c:v>
                </c:pt>
                <c:pt idx="3">
                  <c:v>0.16134112562507397</c:v>
                </c:pt>
                <c:pt idx="4">
                  <c:v>0.22455605081668825</c:v>
                </c:pt>
                <c:pt idx="5">
                  <c:v>0.29523663497827934</c:v>
                </c:pt>
                <c:pt idx="6">
                  <c:v>0.37494710506964452</c:v>
                </c:pt>
                <c:pt idx="7">
                  <c:v>0.46577672086627314</c:v>
                </c:pt>
                <c:pt idx="8">
                  <c:v>0.57061082432700183</c:v>
                </c:pt>
                <c:pt idx="9">
                  <c:v>0.69357570735775587</c:v>
                </c:pt>
                <c:pt idx="10">
                  <c:v>0.84082133279318527</c:v>
                </c:pt>
                <c:pt idx="11">
                  <c:v>1.02197558859941</c:v>
                </c:pt>
                <c:pt idx="12">
                  <c:v>1.2530104490746272</c:v>
                </c:pt>
                <c:pt idx="13">
                  <c:v>1.5623173827593688</c:v>
                </c:pt>
                <c:pt idx="14">
                  <c:v>2.0046123114964454</c:v>
                </c:pt>
                <c:pt idx="15">
                  <c:v>2.6954812969478197</c:v>
                </c:pt>
                <c:pt idx="16">
                  <c:v>3.9038774801490379</c:v>
                </c:pt>
                <c:pt idx="17">
                  <c:v>6.3258821959527696</c:v>
                </c:pt>
                <c:pt idx="18">
                  <c:v>12.14355226631435</c:v>
                </c:pt>
                <c:pt idx="19">
                  <c:v>32.219336356126149</c:v>
                </c:pt>
                <c:pt idx="20">
                  <c:v>42.382449364706758</c:v>
                </c:pt>
                <c:pt idx="21">
                  <c:v>58.606228141104047</c:v>
                </c:pt>
                <c:pt idx="22">
                  <c:v>87.3956383089741</c:v>
                </c:pt>
                <c:pt idx="23">
                  <c:v>148.23021468144265</c:v>
                </c:pt>
              </c:numCache>
            </c:numRef>
          </c:yVal>
          <c:smooth val="0"/>
          <c:extLst>
            <c:ext xmlns:c16="http://schemas.microsoft.com/office/drawing/2014/chart" uri="{C3380CC4-5D6E-409C-BE32-E72D297353CC}">
              <c16:uniqueId val="{00000005-1DAF-401E-8827-605E9C07D3CD}"/>
            </c:ext>
          </c:extLst>
        </c:ser>
        <c:ser>
          <c:idx val="9"/>
          <c:order val="1"/>
          <c:tx>
            <c:strRef>
              <c:f>'Diagnosis Indicators'!$A$86</c:f>
              <c:strCache>
                <c:ptCount val="1"/>
                <c:pt idx="0">
                  <c:v>Kaldorian</c:v>
                </c:pt>
              </c:strCache>
            </c:strRef>
          </c:tx>
          <c:xVal>
            <c:numRef>
              <c:f>'Diagnosis Indicators'!$B$84:$Y$84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Indicators'!$B$86:$Y$86</c:f>
              <c:numCache>
                <c:formatCode>0%</c:formatCode>
                <c:ptCount val="24"/>
                <c:pt idx="0">
                  <c:v>5.7716594496607888E-3</c:v>
                </c:pt>
                <c:pt idx="1">
                  <c:v>5.6361623216212076E-2</c:v>
                </c:pt>
                <c:pt idx="2">
                  <c:v>0.11184709778564959</c:v>
                </c:pt>
                <c:pt idx="3">
                  <c:v>0.17301914413661823</c:v>
                </c:pt>
                <c:pt idx="4">
                  <c:v>0.24086861641285093</c:v>
                </c:pt>
                <c:pt idx="5">
                  <c:v>0.31665749039834112</c:v>
                </c:pt>
                <c:pt idx="6">
                  <c:v>0.40204145052806656</c:v>
                </c:pt>
                <c:pt idx="7">
                  <c:v>0.4992363277814969</c:v>
                </c:pt>
                <c:pt idx="8">
                  <c:v>0.61131204002333339</c:v>
                </c:pt>
                <c:pt idx="9">
                  <c:v>0.74267908699896279</c:v>
                </c:pt>
                <c:pt idx="10">
                  <c:v>0.8999522205182221</c:v>
                </c:pt>
                <c:pt idx="11">
                  <c:v>1.0935692509553194</c:v>
                </c:pt>
                <c:pt idx="12">
                  <c:v>1.3410187935279883</c:v>
                </c:pt>
                <c:pt idx="13">
                  <c:v>1.6737550226448146</c:v>
                </c:pt>
                <c:pt idx="14">
                  <c:v>2.1532461350817567</c:v>
                </c:pt>
                <c:pt idx="15">
                  <c:v>2.9112961352161988</c:v>
                </c:pt>
                <c:pt idx="16">
                  <c:v>4.2585929836854444</c:v>
                </c:pt>
                <c:pt idx="17">
                  <c:v>7.0048413792010269</c:v>
                </c:pt>
                <c:pt idx="18">
                  <c:v>13.700012996633429</c:v>
                </c:pt>
                <c:pt idx="19">
                  <c:v>0</c:v>
                </c:pt>
                <c:pt idx="20">
                  <c:v>0</c:v>
                </c:pt>
                <c:pt idx="21">
                  <c:v>0</c:v>
                </c:pt>
                <c:pt idx="22">
                  <c:v>0</c:v>
                </c:pt>
                <c:pt idx="23">
                  <c:v>0</c:v>
                </c:pt>
              </c:numCache>
            </c:numRef>
          </c:yVal>
          <c:smooth val="0"/>
          <c:extLst>
            <c:ext xmlns:c16="http://schemas.microsoft.com/office/drawing/2014/chart" uri="{C3380CC4-5D6E-409C-BE32-E72D297353CC}">
              <c16:uniqueId val="{0000000A-1DAF-401E-8827-605E9C07D3CD}"/>
            </c:ext>
          </c:extLst>
        </c:ser>
        <c:ser>
          <c:idx val="8"/>
          <c:order val="2"/>
          <c:tx>
            <c:strRef>
              <c:f>'Diagnosis Indicators'!$A$87</c:f>
              <c:strCache>
                <c:ptCount val="1"/>
                <c:pt idx="0">
                  <c:v>Johansen</c:v>
                </c:pt>
              </c:strCache>
            </c:strRef>
          </c:tx>
          <c:xVal>
            <c:numRef>
              <c:f>'Diagnosis Indicators'!$B$84:$Y$84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Indicators'!$B$87:$Y$87</c:f>
              <c:numCache>
                <c:formatCode>0%</c:formatCode>
                <c:ptCount val="24"/>
                <c:pt idx="0">
                  <c:v>5.7716594496607888E-3</c:v>
                </c:pt>
                <c:pt idx="1">
                  <c:v>5.4510920948863201E-2</c:v>
                </c:pt>
                <c:pt idx="2">
                  <c:v>0.10802533370958685</c:v>
                </c:pt>
                <c:pt idx="3">
                  <c:v>0.16709707522333259</c:v>
                </c:pt>
                <c:pt idx="4">
                  <c:v>0.23271078666843656</c:v>
                </c:pt>
                <c:pt idx="5">
                  <c:v>0.30612116588012978</c:v>
                </c:pt>
                <c:pt idx="6">
                  <c:v>0.38898110492914278</c:v>
                </c:pt>
                <c:pt idx="7">
                  <c:v>0.48350901254309825</c:v>
                </c:pt>
                <c:pt idx="8">
                  <c:v>0.59278645545921249</c:v>
                </c:pt>
                <c:pt idx="9">
                  <c:v>0.72125160458918314</c:v>
                </c:pt>
                <c:pt idx="10">
                  <c:v>0.87557403773433762</c:v>
                </c:pt>
                <c:pt idx="11">
                  <c:v>1.0662961716282844</c:v>
                </c:pt>
                <c:pt idx="12">
                  <c:v>1.3111057238172501</c:v>
                </c:pt>
                <c:pt idx="13">
                  <c:v>1.6418431574139807</c:v>
                </c:pt>
                <c:pt idx="14">
                  <c:v>2.1207328438007114</c:v>
                </c:pt>
                <c:pt idx="15">
                  <c:v>2.8809401716026652</c:v>
                </c:pt>
                <c:pt idx="16">
                  <c:v>4.2347860141113962</c:v>
                </c:pt>
                <c:pt idx="17">
                  <c:v>6.9913014978346784</c:v>
                </c:pt>
                <c:pt idx="18">
                  <c:v>13.695381863164723</c:v>
                </c:pt>
                <c:pt idx="19">
                  <c:v>37.028382846129922</c:v>
                </c:pt>
                <c:pt idx="20">
                  <c:v>48.776564047391993</c:v>
                </c:pt>
                <c:pt idx="21">
                  <c:v>67.306407029167673</c:v>
                </c:pt>
                <c:pt idx="22">
                  <c:v>99.3299726745866</c:v>
                </c:pt>
                <c:pt idx="23">
                  <c:v>162.98439901050136</c:v>
                </c:pt>
              </c:numCache>
            </c:numRef>
          </c:yVal>
          <c:smooth val="0"/>
          <c:extLst>
            <c:ext xmlns:c16="http://schemas.microsoft.com/office/drawing/2014/chart" uri="{C3380CC4-5D6E-409C-BE32-E72D297353CC}">
              <c16:uniqueId val="{00000009-1DAF-401E-8827-605E9C07D3CD}"/>
            </c:ext>
          </c:extLst>
        </c:ser>
        <c:ser>
          <c:idx val="10"/>
          <c:order val="3"/>
          <c:tx>
            <c:strRef>
              <c:f>'Diagnosis Indicators'!$A$88</c:f>
              <c:strCache>
                <c:ptCount val="1"/>
                <c:pt idx="0">
                  <c:v>Keynes-Kaldor</c:v>
                </c:pt>
              </c:strCache>
            </c:strRef>
          </c:tx>
          <c:xVal>
            <c:numRef>
              <c:f>'Diagnosis Indicators'!$B$84:$Y$84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Indicators'!$B$88:$Y$88</c:f>
              <c:numCache>
                <c:formatCode>0%</c:formatCode>
                <c:ptCount val="24"/>
                <c:pt idx="0">
                  <c:v>5.7716594496607888E-3</c:v>
                </c:pt>
                <c:pt idx="1">
                  <c:v>6.0508473035784223E-2</c:v>
                </c:pt>
                <c:pt idx="2">
                  <c:v>0.12017786482402612</c:v>
                </c:pt>
                <c:pt idx="3">
                  <c:v>0.18554200747706678</c:v>
                </c:pt>
                <c:pt idx="4">
                  <c:v>0.25754982015348638</c:v>
                </c:pt>
                <c:pt idx="5">
                  <c:v>0.33740181499258465</c:v>
                </c:pt>
                <c:pt idx="6">
                  <c:v>0.42665437540521473</c:v>
                </c:pt>
                <c:pt idx="7">
                  <c:v>0.52737491139433357</c:v>
                </c:pt>
                <c:pt idx="8">
                  <c:v>0.64239044659470401</c:v>
                </c:pt>
                <c:pt idx="9">
                  <c:v>0.77569502398210821</c:v>
                </c:pt>
                <c:pt idx="10">
                  <c:v>0.93314650644560804</c:v>
                </c:pt>
                <c:pt idx="11">
                  <c:v>1.1237082645458822</c:v>
                </c:pt>
                <c:pt idx="12">
                  <c:v>1.3617795104685035</c:v>
                </c:pt>
                <c:pt idx="13">
                  <c:v>1.6717988700896715</c:v>
                </c:pt>
                <c:pt idx="14">
                  <c:v>2.0978495375047226</c:v>
                </c:pt>
                <c:pt idx="15">
                  <c:v>2.7245981341450238</c:v>
                </c:pt>
                <c:pt idx="16">
                  <c:v>3.7240922034902595</c:v>
                </c:pt>
                <c:pt idx="17">
                  <c:v>5.4637916250897085</c:v>
                </c:pt>
                <c:pt idx="18">
                  <c:v>8.8080245099577379</c:v>
                </c:pt>
                <c:pt idx="19">
                  <c:v>0</c:v>
                </c:pt>
                <c:pt idx="20">
                  <c:v>0</c:v>
                </c:pt>
                <c:pt idx="21">
                  <c:v>0</c:v>
                </c:pt>
                <c:pt idx="22">
                  <c:v>0</c:v>
                </c:pt>
                <c:pt idx="23">
                  <c:v>0</c:v>
                </c:pt>
              </c:numCache>
            </c:numRef>
          </c:yVal>
          <c:smooth val="0"/>
          <c:extLst>
            <c:ext xmlns:c16="http://schemas.microsoft.com/office/drawing/2014/chart" uri="{C3380CC4-5D6E-409C-BE32-E72D297353CC}">
              <c16:uniqueId val="{0000000C-1DAF-401E-8827-605E9C07D3CD}"/>
            </c:ext>
          </c:extLst>
        </c:ser>
        <c:ser>
          <c:idx val="2"/>
          <c:order val="4"/>
          <c:tx>
            <c:strRef>
              <c:f>'Diagnosis Indicators'!$A$89</c:f>
              <c:strCache>
                <c:ptCount val="1"/>
                <c:pt idx="0">
                  <c:v>Keynes-Marshall</c:v>
                </c:pt>
              </c:strCache>
            </c:strRef>
          </c:tx>
          <c:xVal>
            <c:numRef>
              <c:f>'Diagnosis Indicators'!$B$84:$Y$84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Indicators'!$B$89:$Y$89</c:f>
              <c:numCache>
                <c:formatCode>0%</c:formatCode>
                <c:ptCount val="24"/>
                <c:pt idx="0">
                  <c:v>5.7716594496607888E-3</c:v>
                </c:pt>
                <c:pt idx="1">
                  <c:v>0.11579041748959829</c:v>
                </c:pt>
                <c:pt idx="2">
                  <c:v>0.23615534956480858</c:v>
                </c:pt>
                <c:pt idx="3">
                  <c:v>0.37290117777800752</c:v>
                </c:pt>
                <c:pt idx="4">
                  <c:v>0.53511539423081556</c:v>
                </c:pt>
                <c:pt idx="5">
                  <c:v>0.73886313873076515</c:v>
                </c:pt>
                <c:pt idx="6">
                  <c:v>1.0173865465926848</c:v>
                </c:pt>
                <c:pt idx="7">
                  <c:v>1.457268712242404</c:v>
                </c:pt>
                <c:pt idx="8">
                  <c:v>2.4107134253558717</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yVal>
          <c:smooth val="0"/>
          <c:extLst>
            <c:ext xmlns:c16="http://schemas.microsoft.com/office/drawing/2014/chart" uri="{C3380CC4-5D6E-409C-BE32-E72D297353CC}">
              <c16:uniqueId val="{00000002-1DAF-401E-8827-605E9C07D3CD}"/>
            </c:ext>
          </c:extLst>
        </c:ser>
        <c:ser>
          <c:idx val="1"/>
          <c:order val="5"/>
          <c:tx>
            <c:strRef>
              <c:f>'Diagnosis Indicators'!$A$90</c:f>
              <c:strCache>
                <c:ptCount val="1"/>
                <c:pt idx="0">
                  <c:v>Keynesian</c:v>
                </c:pt>
              </c:strCache>
            </c:strRef>
          </c:tx>
          <c:xVal>
            <c:numRef>
              <c:f>'Diagnosis Indicators'!$B$84:$Y$84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Indicators'!$B$90:$Y$90</c:f>
              <c:numCache>
                <c:formatCode>0%</c:formatCode>
                <c:ptCount val="24"/>
                <c:pt idx="0">
                  <c:v>5.7716594496607888E-3</c:v>
                </c:pt>
                <c:pt idx="1">
                  <c:v>3.5002574579733145E-2</c:v>
                </c:pt>
                <c:pt idx="2">
                  <c:v>6.6145078643977478E-2</c:v>
                </c:pt>
                <c:pt idx="3">
                  <c:v>9.9394090617561423E-2</c:v>
                </c:pt>
                <c:pt idx="4">
                  <c:v>0.13497255816894616</c:v>
                </c:pt>
                <c:pt idx="5">
                  <c:v>0.17313677087985269</c:v>
                </c:pt>
                <c:pt idx="6">
                  <c:v>0.21418273054294254</c:v>
                </c:pt>
                <c:pt idx="7">
                  <c:v>0.25845410467157987</c:v>
                </c:pt>
                <c:pt idx="8">
                  <c:v>0.30635199724664436</c:v>
                </c:pt>
                <c:pt idx="9">
                  <c:v>0.35834590922426068</c:v>
                </c:pt>
                <c:pt idx="10">
                  <c:v>0.41498653726245988</c:v>
                </c:pt>
                <c:pt idx="11">
                  <c:v>0.47691792417956969</c:v>
                </c:pt>
                <c:pt idx="12">
                  <c:v>0.54487971652297218</c:v>
                </c:pt>
                <c:pt idx="13">
                  <c:v>0.6196735176926027</c:v>
                </c:pt>
                <c:pt idx="14">
                  <c:v>0.7019916479474223</c:v>
                </c:pt>
                <c:pt idx="15">
                  <c:v>0.79163747460714406</c:v>
                </c:pt>
                <c:pt idx="16">
                  <c:v>0.88315794061831787</c:v>
                </c:pt>
                <c:pt idx="17">
                  <c:v>0</c:v>
                </c:pt>
                <c:pt idx="18">
                  <c:v>0</c:v>
                </c:pt>
                <c:pt idx="19">
                  <c:v>0</c:v>
                </c:pt>
                <c:pt idx="20">
                  <c:v>0</c:v>
                </c:pt>
                <c:pt idx="21">
                  <c:v>0</c:v>
                </c:pt>
                <c:pt idx="22">
                  <c:v>0</c:v>
                </c:pt>
                <c:pt idx="23">
                  <c:v>0</c:v>
                </c:pt>
              </c:numCache>
            </c:numRef>
          </c:yVal>
          <c:smooth val="0"/>
          <c:extLst>
            <c:ext xmlns:c16="http://schemas.microsoft.com/office/drawing/2014/chart" uri="{C3380CC4-5D6E-409C-BE32-E72D297353CC}">
              <c16:uniqueId val="{00000001-1DAF-401E-8827-605E9C07D3CD}"/>
            </c:ext>
          </c:extLst>
        </c:ser>
        <c:ser>
          <c:idx val="0"/>
          <c:order val="6"/>
          <c:tx>
            <c:strRef>
              <c:f>'Diagnosis Indicators'!$A$91</c:f>
              <c:strCache>
                <c:ptCount val="1"/>
                <c:pt idx="0">
                  <c:v>Neo-K2</c:v>
                </c:pt>
              </c:strCache>
            </c:strRef>
          </c:tx>
          <c:spPr>
            <a:ln>
              <a:prstDash val="dash"/>
            </a:ln>
          </c:spPr>
          <c:xVal>
            <c:numRef>
              <c:f>'Diagnosis Indicators'!$B$84:$Y$84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Indicators'!$B$91:$Y$91</c:f>
              <c:numCache>
                <c:formatCode>0%</c:formatCode>
                <c:ptCount val="24"/>
                <c:pt idx="0">
                  <c:v>5.7716594496607888E-3</c:v>
                </c:pt>
                <c:pt idx="1">
                  <c:v>4.2247839491710133E-2</c:v>
                </c:pt>
                <c:pt idx="2">
                  <c:v>8.10265021341013E-2</c:v>
                </c:pt>
                <c:pt idx="3">
                  <c:v>0.12226979430751463</c:v>
                </c:pt>
                <c:pt idx="4">
                  <c:v>0.16614144861941321</c:v>
                </c:pt>
                <c:pt idx="5">
                  <c:v>0.2128022377042765</c:v>
                </c:pt>
                <c:pt idx="6">
                  <c:v>0.26240964051165938</c:v>
                </c:pt>
                <c:pt idx="7">
                  <c:v>0.31512270304422552</c:v>
                </c:pt>
                <c:pt idx="8">
                  <c:v>0.37112682732226737</c:v>
                </c:pt>
                <c:pt idx="9">
                  <c:v>0.43069845870087142</c:v>
                </c:pt>
                <c:pt idx="10">
                  <c:v>0.49437955586841248</c:v>
                </c:pt>
                <c:pt idx="11">
                  <c:v>0.56337511521148032</c:v>
                </c:pt>
                <c:pt idx="12">
                  <c:v>0.64044030923865947</c:v>
                </c:pt>
                <c:pt idx="13">
                  <c:v>0.73182164154811413</c:v>
                </c:pt>
                <c:pt idx="14">
                  <c:v>0.85153591246490912</c:v>
                </c:pt>
                <c:pt idx="15">
                  <c:v>1.0315589751327912</c:v>
                </c:pt>
                <c:pt idx="16">
                  <c:v>1.3510019356085934</c:v>
                </c:pt>
                <c:pt idx="17">
                  <c:v>2.044472381892418</c:v>
                </c:pt>
                <c:pt idx="18">
                  <c:v>4.0245275050213163</c:v>
                </c:pt>
                <c:pt idx="19">
                  <c:v>12.906857178683266</c:v>
                </c:pt>
                <c:pt idx="20">
                  <c:v>18.289600474582755</c:v>
                </c:pt>
                <c:pt idx="21">
                  <c:v>28.10520146708409</c:v>
                </c:pt>
                <c:pt idx="22">
                  <c:v>49.793341534314187</c:v>
                </c:pt>
                <c:pt idx="23">
                  <c:v>122.72830654694103</c:v>
                </c:pt>
              </c:numCache>
            </c:numRef>
          </c:yVal>
          <c:smooth val="0"/>
          <c:extLst>
            <c:ext xmlns:c16="http://schemas.microsoft.com/office/drawing/2014/chart" uri="{C3380CC4-5D6E-409C-BE32-E72D297353CC}">
              <c16:uniqueId val="{00000000-1DAF-401E-8827-605E9C07D3CD}"/>
            </c:ext>
          </c:extLst>
        </c:ser>
        <c:ser>
          <c:idx val="3"/>
          <c:order val="7"/>
          <c:tx>
            <c:strRef>
              <c:f>'Diagnosis Indicators'!$A$92</c:f>
              <c:strCache>
                <c:ptCount val="1"/>
                <c:pt idx="0">
                  <c:v>Neo-K1</c:v>
                </c:pt>
              </c:strCache>
            </c:strRef>
          </c:tx>
          <c:xVal>
            <c:numRef>
              <c:f>'Diagnosis Indicators'!$B$84:$Y$84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Indicators'!$B$92:$Y$92</c:f>
              <c:numCache>
                <c:formatCode>0%</c:formatCode>
                <c:ptCount val="24"/>
                <c:pt idx="0">
                  <c:v>5.7716594496607888E-3</c:v>
                </c:pt>
                <c:pt idx="1">
                  <c:v>4.6308369179485276E-2</c:v>
                </c:pt>
                <c:pt idx="2">
                  <c:v>9.0097377442061602E-2</c:v>
                </c:pt>
                <c:pt idx="3">
                  <c:v>0.13753501930758563</c:v>
                </c:pt>
                <c:pt idx="4">
                  <c:v>0.18908392661900802</c:v>
                </c:pt>
                <c:pt idx="5">
                  <c:v>0.24528687751224615</c:v>
                </c:pt>
                <c:pt idx="6">
                  <c:v>0.30678410509498916</c:v>
                </c:pt>
                <c:pt idx="7">
                  <c:v>0.37433399454448446</c:v>
                </c:pt>
                <c:pt idx="8">
                  <c:v>0.44883731440878294</c:v>
                </c:pt>
                <c:pt idx="9">
                  <c:v>0.53136308269427079</c:v>
                </c:pt>
                <c:pt idx="10">
                  <c:v>0.62317436754993372</c:v>
                </c:pt>
                <c:pt idx="11">
                  <c:v>0.72574166746875091</c:v>
                </c:pt>
                <c:pt idx="12">
                  <c:v>0.84073006982909049</c:v>
                </c:pt>
                <c:pt idx="13">
                  <c:v>0.96992669435682388</c:v>
                </c:pt>
                <c:pt idx="14">
                  <c:v>1.1150661371661377</c:v>
                </c:pt>
                <c:pt idx="15">
                  <c:v>1.2775096204293364</c:v>
                </c:pt>
                <c:pt idx="16">
                  <c:v>1.4577777374579237</c:v>
                </c:pt>
                <c:pt idx="17">
                  <c:v>1.6550524366209172</c:v>
                </c:pt>
                <c:pt idx="18">
                  <c:v>1.8668996397522606</c:v>
                </c:pt>
                <c:pt idx="19">
                  <c:v>2.0894622307346769</c:v>
                </c:pt>
                <c:pt idx="20">
                  <c:v>2.1348583236451972</c:v>
                </c:pt>
                <c:pt idx="21">
                  <c:v>2.180460188330303</c:v>
                </c:pt>
                <c:pt idx="22">
                  <c:v>2.226230366474919</c:v>
                </c:pt>
                <c:pt idx="23">
                  <c:v>2.272131980964724</c:v>
                </c:pt>
              </c:numCache>
            </c:numRef>
          </c:yVal>
          <c:smooth val="0"/>
          <c:extLst>
            <c:ext xmlns:c16="http://schemas.microsoft.com/office/drawing/2014/chart" uri="{C3380CC4-5D6E-409C-BE32-E72D297353CC}">
              <c16:uniqueId val="{00000000-D5EB-4173-B55B-BFE447CB8356}"/>
            </c:ext>
          </c:extLst>
        </c:ser>
        <c:dLbls>
          <c:showLegendKey val="0"/>
          <c:showVal val="0"/>
          <c:showCatName val="0"/>
          <c:showSerName val="0"/>
          <c:showPercent val="0"/>
          <c:showBubbleSize val="0"/>
        </c:dLbls>
        <c:axId val="172451328"/>
        <c:axId val="172452864"/>
      </c:scatterChart>
      <c:valAx>
        <c:axId val="172451328"/>
        <c:scaling>
          <c:orientation val="minMax"/>
          <c:max val="1"/>
        </c:scaling>
        <c:delete val="0"/>
        <c:axPos val="b"/>
        <c:title>
          <c:tx>
            <c:rich>
              <a:bodyPr/>
              <a:lstStyle/>
              <a:p>
                <a:pPr>
                  <a:defRPr/>
                </a:pPr>
                <a:r>
                  <a:rPr lang="fr-FR"/>
                  <a:t>Total Reduction in Polluting Energy Consumption (%)</a:t>
                </a:r>
              </a:p>
            </c:rich>
          </c:tx>
          <c:overlay val="0"/>
        </c:title>
        <c:numFmt formatCode="0%" sourceLinked="1"/>
        <c:majorTickMark val="out"/>
        <c:minorTickMark val="none"/>
        <c:tickLblPos val="nextTo"/>
        <c:crossAx val="172452864"/>
        <c:crosses val="autoZero"/>
        <c:crossBetween val="midCat"/>
      </c:valAx>
      <c:valAx>
        <c:axId val="172452864"/>
        <c:scaling>
          <c:logBase val="10"/>
          <c:orientation val="minMax"/>
        </c:scaling>
        <c:delete val="0"/>
        <c:axPos val="l"/>
        <c:majorGridlines/>
        <c:title>
          <c:tx>
            <c:rich>
              <a:bodyPr rot="-5400000" vert="horz"/>
              <a:lstStyle/>
              <a:p>
                <a:pPr>
                  <a:defRPr sz="1600"/>
                </a:pPr>
                <a:r>
                  <a:rPr lang="en-US" sz="1600"/>
                  <a:t>Optimal Tax (Current Euros, Log Scale)</a:t>
                </a:r>
              </a:p>
            </c:rich>
          </c:tx>
          <c:overlay val="0"/>
        </c:title>
        <c:numFmt formatCode="0%" sourceLinked="1"/>
        <c:majorTickMark val="out"/>
        <c:minorTickMark val="none"/>
        <c:tickLblPos val="nextTo"/>
        <c:crossAx val="172451328"/>
        <c:crosses val="autoZero"/>
        <c:crossBetween val="midCat"/>
      </c:valAx>
    </c:plotArea>
    <c:legend>
      <c:legendPos val="r"/>
      <c:overlay val="0"/>
      <c:txPr>
        <a:bodyPr/>
        <a:lstStyle/>
        <a:p>
          <a:pPr>
            <a:defRPr sz="2000"/>
          </a:pPr>
          <a:endParaRPr lang="fr-FR"/>
        </a:p>
      </c:txPr>
    </c:legend>
    <c:plotVisOnly val="1"/>
    <c:dispBlanksAs val="gap"/>
    <c:showDLblsOverMax val="0"/>
  </c:char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2.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3.xml"/></Relationships>
</file>

<file path=xl/chartsheets/_rels/sheet3.xml.rels><?xml version="1.0" encoding="UTF-8" standalone="yes"?>
<Relationships xmlns="http://schemas.openxmlformats.org/package/2006/relationships"><Relationship Id="rId1" Type="http://schemas.openxmlformats.org/officeDocument/2006/relationships/drawing" Target="../drawings/drawing4.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300-000000000000}">
  <sheetPr codeName="Graphique1"/>
  <sheetViews>
    <sheetView zoomScale="85" workbookViewId="0"/>
  </sheetViews>
  <pageMargins left="0.7" right="0.7" top="0.75" bottom="0.75" header="0.3" footer="0.3"/>
  <drawing r:id="rId1"/>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F00-000000000000}">
  <sheetPr codeName="Graphique2"/>
  <sheetViews>
    <sheetView zoomScale="85" workbookViewId="0"/>
  </sheetViews>
  <pageMargins left="0.7" right="0.7" top="0.75" bottom="0.75" header="0.3" footer="0.3"/>
  <drawing r:id="rId1"/>
</chartsheet>
</file>

<file path=xl/chartsheets/sheet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1000-000000000000}">
  <sheetPr codeName="Graph2"/>
  <sheetViews>
    <sheetView zoomScale="85"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393700</xdr:colOff>
          <xdr:row>50</xdr:row>
          <xdr:rowOff>88900</xdr:rowOff>
        </xdr:from>
        <xdr:to>
          <xdr:col>8</xdr:col>
          <xdr:colOff>628650</xdr:colOff>
          <xdr:row>53</xdr:row>
          <xdr:rowOff>88900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800" b="0" i="0" u="none" strike="noStrike" baseline="0">
                  <a:solidFill>
                    <a:srgbClr val="000000"/>
                  </a:solidFill>
                  <a:latin typeface="Arial"/>
                  <a:cs typeface="Arial"/>
                </a:rPr>
                <a:t>Solve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368300</xdr:colOff>
          <xdr:row>58</xdr:row>
          <xdr:rowOff>101600</xdr:rowOff>
        </xdr:from>
        <xdr:to>
          <xdr:col>12</xdr:col>
          <xdr:colOff>584200</xdr:colOff>
          <xdr:row>61</xdr:row>
          <xdr:rowOff>95250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800" b="0" i="0" u="none" strike="noStrike" baseline="0">
                  <a:solidFill>
                    <a:srgbClr val="000000"/>
                  </a:solidFill>
                  <a:latin typeface="Arial"/>
                  <a:cs typeface="Arial"/>
                </a:rPr>
                <a:t>Initial values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355600</xdr:colOff>
          <xdr:row>50</xdr:row>
          <xdr:rowOff>76200</xdr:rowOff>
        </xdr:from>
        <xdr:to>
          <xdr:col>12</xdr:col>
          <xdr:colOff>584200</xdr:colOff>
          <xdr:row>53</xdr:row>
          <xdr:rowOff>88900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800" b="0" i="0" u="none" strike="noStrike" baseline="0">
                  <a:solidFill>
                    <a:srgbClr val="000000"/>
                  </a:solidFill>
                  <a:latin typeface="Arial"/>
                  <a:cs typeface="Arial"/>
                </a:rPr>
                <a:t>Profile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393700</xdr:colOff>
          <xdr:row>54</xdr:row>
          <xdr:rowOff>57150</xdr:rowOff>
        </xdr:from>
        <xdr:to>
          <xdr:col>8</xdr:col>
          <xdr:colOff>628650</xdr:colOff>
          <xdr:row>57</xdr:row>
          <xdr:rowOff>50800</xdr:rowOff>
        </xdr:to>
        <xdr:sp macro="" textlink="">
          <xdr:nvSpPr>
            <xdr:cNvPr id="2065" name="Button 17" hidden="1">
              <a:extLst>
                <a:ext uri="{63B3BB69-23CF-44E3-9099-C40C66FF867C}">
                  <a14:compatExt spid="_x0000_s2065"/>
                </a:ext>
                <a:ext uri="{FF2B5EF4-FFF2-40B4-BE49-F238E27FC236}">
                  <a16:creationId xmlns:a16="http://schemas.microsoft.com/office/drawing/2014/main" id="{00000000-0008-0000-0100-000011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800" b="0" i="0" u="none" strike="noStrike" baseline="0">
                  <a:solidFill>
                    <a:srgbClr val="000000"/>
                  </a:solidFill>
                  <a:latin typeface="Arial"/>
                  <a:cs typeface="Arial"/>
                </a:rPr>
                <a:t>Save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absoluteAnchor>
    <xdr:pos x="0" y="0"/>
    <xdr:ext cx="11152094" cy="7279341"/>
    <xdr:graphicFrame macro="">
      <xdr:nvGraphicFramePr>
        <xdr:cNvPr id="2" name="Graphique 1">
          <a:extLst>
            <a:ext uri="{FF2B5EF4-FFF2-40B4-BE49-F238E27FC236}">
              <a16:creationId xmlns:a16="http://schemas.microsoft.com/office/drawing/2014/main" id="{00000000-0008-0000-03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xdr:wsDr xmlns:xdr="http://schemas.openxmlformats.org/drawingml/2006/spreadsheetDrawing" xmlns:a="http://schemas.openxmlformats.org/drawingml/2006/main">
  <xdr:absoluteAnchor>
    <xdr:pos x="0" y="0"/>
    <xdr:ext cx="9293412" cy="6066118"/>
    <xdr:graphicFrame macro="">
      <xdr:nvGraphicFramePr>
        <xdr:cNvPr id="2" name="Graphique 1">
          <a:extLst>
            <a:ext uri="{FF2B5EF4-FFF2-40B4-BE49-F238E27FC236}">
              <a16:creationId xmlns:a16="http://schemas.microsoft.com/office/drawing/2014/main" id="{00000000-0008-0000-0F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xml><?xml version="1.0" encoding="utf-8"?>
<xdr:wsDr xmlns:xdr="http://schemas.openxmlformats.org/drawingml/2006/spreadsheetDrawing" xmlns:a="http://schemas.openxmlformats.org/drawingml/2006/main">
  <xdr:absoluteAnchor>
    <xdr:pos x="0" y="0"/>
    <xdr:ext cx="9293412" cy="6066118"/>
    <xdr:graphicFrame macro="">
      <xdr:nvGraphicFramePr>
        <xdr:cNvPr id="2" name="Graphique 1">
          <a:extLst>
            <a:ext uri="{FF2B5EF4-FFF2-40B4-BE49-F238E27FC236}">
              <a16:creationId xmlns:a16="http://schemas.microsoft.com/office/drawing/2014/main" id="{00000000-0008-0000-10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ersons/person.xml><?xml version="1.0" encoding="utf-8"?>
<personList xmlns="http://schemas.microsoft.com/office/spreadsheetml/2018/threadedcomments" xmlns:x="http://schemas.openxmlformats.org/spreadsheetml/2006/main">
  <person displayName="Louis" id="{A1B515F5-52A7-492C-8EFF-2ED382D70E68}" userId="Louis" providerId="None"/>
</personList>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C97" dT="2019-12-03T08:18:55.42" personId="{A1B515F5-52A7-492C-8EFF-2ED382D70E68}" id="{C96615DD-9C03-4E40-B6D8-F4143B40B058}">
    <text>Calibrage des coefficients de la CET</text>
  </threadedComment>
  <threadedComment ref="B99" dT="2019-12-03T08:19:30.63" personId="{A1B515F5-52A7-492C-8EFF-2ED382D70E68}" id="{D3DFF277-FA45-464F-847A-E2B29A5F813E}">
    <text>Elasticité CET</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B1:R127"/>
  <sheetViews>
    <sheetView showGridLines="0" topLeftCell="A56" zoomScaleNormal="100" workbookViewId="0">
      <selection activeCell="C85" sqref="C85"/>
    </sheetView>
  </sheetViews>
  <sheetFormatPr baseColWidth="10" defaultColWidth="12" defaultRowHeight="10" x14ac:dyDescent="0.2"/>
  <sheetData>
    <row r="1" spans="2:18" x14ac:dyDescent="0.2">
      <c r="B1" t="s">
        <v>195</v>
      </c>
    </row>
    <row r="2" spans="2:18" x14ac:dyDescent="0.2">
      <c r="B2" s="1"/>
      <c r="C2" s="2" t="s">
        <v>24</v>
      </c>
      <c r="D2" s="3" t="s">
        <v>25</v>
      </c>
      <c r="E2" s="2" t="s">
        <v>6</v>
      </c>
      <c r="F2" s="3" t="s">
        <v>7</v>
      </c>
      <c r="G2" s="3" t="s">
        <v>8</v>
      </c>
      <c r="H2" s="142" t="s">
        <v>0</v>
      </c>
      <c r="I2" s="1"/>
      <c r="K2" s="1"/>
      <c r="L2" s="2" t="s">
        <v>24</v>
      </c>
      <c r="M2" s="3" t="s">
        <v>25</v>
      </c>
      <c r="N2" s="4" t="s">
        <v>6</v>
      </c>
      <c r="O2" s="5" t="s">
        <v>7</v>
      </c>
      <c r="P2" s="5" t="s">
        <v>8</v>
      </c>
      <c r="Q2" s="6" t="s">
        <v>0</v>
      </c>
      <c r="R2" s="1"/>
    </row>
    <row r="3" spans="2:18" ht="10.5" x14ac:dyDescent="0.25">
      <c r="B3" s="2" t="s">
        <v>24</v>
      </c>
      <c r="C3" s="143">
        <v>13356525.920999993</v>
      </c>
      <c r="D3" s="144">
        <v>398781.47400000016</v>
      </c>
      <c r="E3" s="143">
        <v>6637565.1090000011</v>
      </c>
      <c r="F3" s="143">
        <v>3330668.2879999997</v>
      </c>
      <c r="G3" s="143">
        <v>3247244.4950000001</v>
      </c>
      <c r="H3" s="145">
        <v>3195047.6039999989</v>
      </c>
      <c r="I3" s="9">
        <f>SUM(C3:H3)</f>
        <v>30165832.890999991</v>
      </c>
      <c r="K3" s="2" t="s">
        <v>24</v>
      </c>
      <c r="L3" s="51">
        <f t="array" ref="L3:M4">pIC*alpha*Y</f>
        <v>13356525.920999993</v>
      </c>
      <c r="M3" s="52">
        <v>398781.47400000016</v>
      </c>
      <c r="N3" s="53">
        <f t="array" ref="N3:N4">TRANSPOSE(pC*Consumption)</f>
        <v>6637565.1090000011</v>
      </c>
      <c r="O3" s="54">
        <f t="array" ref="O3:O4">TRANSPOSE(pG*G)</f>
        <v>3330668.2879999997</v>
      </c>
      <c r="P3" s="54">
        <f t="array" ref="P3:P4">TRANSPOSE(pI*I)</f>
        <v>3247244.4950000001</v>
      </c>
      <c r="Q3" s="60">
        <f t="array" ref="Q3:Q4">TRANSPOSE(pX*X)</f>
        <v>3195047.6039999989</v>
      </c>
      <c r="R3" s="9">
        <f>SUM(L3:Q3)</f>
        <v>30165832.890999991</v>
      </c>
    </row>
    <row r="4" spans="2:18" ht="10.5" x14ac:dyDescent="0.25">
      <c r="B4" s="10" t="s">
        <v>25</v>
      </c>
      <c r="C4" s="146">
        <v>599670.88199999998</v>
      </c>
      <c r="D4" s="147">
        <v>434900.03099999996</v>
      </c>
      <c r="E4" s="146">
        <v>382100.58199999394</v>
      </c>
      <c r="F4" s="146">
        <v>0</v>
      </c>
      <c r="G4" s="146">
        <v>0</v>
      </c>
      <c r="H4" s="148">
        <v>91012.690000004077</v>
      </c>
      <c r="I4" s="11">
        <f>SUM(C4:H4)</f>
        <v>1507684.184999998</v>
      </c>
      <c r="K4" s="10" t="s">
        <v>25</v>
      </c>
      <c r="L4" s="55">
        <v>599670.88199999998</v>
      </c>
      <c r="M4" s="56">
        <v>434900.03099999996</v>
      </c>
      <c r="N4" s="55">
        <v>382100.58199999394</v>
      </c>
      <c r="O4" s="57">
        <v>0</v>
      </c>
      <c r="P4" s="57">
        <v>0</v>
      </c>
      <c r="Q4" s="49">
        <v>91012.690000004077</v>
      </c>
      <c r="R4" s="11">
        <f>SUM(L4:Q4)</f>
        <v>1507684.184999998</v>
      </c>
    </row>
    <row r="5" spans="2:18" x14ac:dyDescent="0.2">
      <c r="B5" s="12" t="s">
        <v>1</v>
      </c>
      <c r="C5" s="143">
        <v>5036295.3101960644</v>
      </c>
      <c r="D5" s="149">
        <v>74905.331803938272</v>
      </c>
      <c r="E5" s="103"/>
      <c r="F5" s="103"/>
      <c r="G5" s="103"/>
      <c r="H5" s="103"/>
      <c r="I5" s="1"/>
      <c r="K5" s="12" t="s">
        <v>1</v>
      </c>
      <c r="L5" s="51">
        <f t="array" ref="L5:M5">w*Labour</f>
        <v>5036295.3101960644</v>
      </c>
      <c r="M5" s="52">
        <v>74905.331803938272</v>
      </c>
      <c r="N5" s="13"/>
      <c r="O5" s="13"/>
      <c r="P5" s="13"/>
      <c r="Q5" s="13"/>
      <c r="R5" s="1"/>
    </row>
    <row r="6" spans="2:18" x14ac:dyDescent="0.2">
      <c r="B6" s="14" t="s">
        <v>9</v>
      </c>
      <c r="C6" s="7">
        <v>2301604.2068039379</v>
      </c>
      <c r="D6" s="150">
        <v>34231.993196061703</v>
      </c>
      <c r="E6" s="103"/>
      <c r="F6" s="103"/>
      <c r="G6" s="103"/>
      <c r="H6" s="103"/>
      <c r="I6" s="1"/>
      <c r="K6" s="14" t="s">
        <v>9</v>
      </c>
      <c r="L6" s="53">
        <f t="array" ref="L6:M6">w*tauL*Labour</f>
        <v>2301604.2068039374</v>
      </c>
      <c r="M6" s="58">
        <v>34231.993196061703</v>
      </c>
      <c r="N6" s="13"/>
      <c r="O6" s="13"/>
      <c r="P6" s="13"/>
      <c r="Q6" s="13"/>
      <c r="R6" s="1"/>
    </row>
    <row r="7" spans="2:18" x14ac:dyDescent="0.2">
      <c r="B7" s="237" t="s">
        <v>194</v>
      </c>
      <c r="C7" s="7">
        <v>137715.65500000006</v>
      </c>
      <c r="D7" s="150">
        <v>20719.463999999996</v>
      </c>
      <c r="E7" s="103"/>
      <c r="F7" s="104" t="s">
        <v>24</v>
      </c>
      <c r="G7" s="105" t="s">
        <v>25</v>
      </c>
      <c r="H7" s="103"/>
      <c r="I7" s="1"/>
      <c r="K7" s="14" t="s">
        <v>10</v>
      </c>
      <c r="L7" s="53">
        <f t="array" ref="L7:M7">tauY*pY/(1+tauY)*Y</f>
        <v>137715.65500000006</v>
      </c>
      <c r="M7" s="58">
        <v>20719.463999999996</v>
      </c>
      <c r="N7" s="13"/>
      <c r="O7" s="13"/>
      <c r="P7" s="114"/>
      <c r="Q7" s="13"/>
      <c r="R7" s="1"/>
    </row>
    <row r="8" spans="2:18" x14ac:dyDescent="0.2">
      <c r="B8" s="14" t="s">
        <v>2</v>
      </c>
      <c r="C8" s="146">
        <v>6425198.1590000018</v>
      </c>
      <c r="D8" s="151">
        <v>273229.1540000001</v>
      </c>
      <c r="E8" s="103"/>
      <c r="F8" s="107">
        <f>SUM(C3:G3)</f>
        <v>26970785.286999993</v>
      </c>
      <c r="G8" s="108">
        <f>SUM(C4:G4)</f>
        <v>1416671.4949999938</v>
      </c>
      <c r="H8" s="103" t="s">
        <v>156</v>
      </c>
      <c r="I8" s="1"/>
      <c r="K8" s="14" t="s">
        <v>2</v>
      </c>
      <c r="L8" s="53">
        <f t="array" ref="L8:M8">pK*K</f>
        <v>6425198.1590000018</v>
      </c>
      <c r="M8" s="58">
        <v>273229.1540000001</v>
      </c>
      <c r="N8" s="13"/>
      <c r="O8" s="13"/>
      <c r="P8" s="13"/>
      <c r="Q8" s="13"/>
      <c r="R8" s="1"/>
    </row>
    <row r="9" spans="2:18" x14ac:dyDescent="0.2">
      <c r="B9" s="2" t="s">
        <v>3</v>
      </c>
      <c r="C9" s="152">
        <v>1886393.7399999965</v>
      </c>
      <c r="D9" s="153">
        <v>262787.11299999768</v>
      </c>
      <c r="E9" s="103"/>
      <c r="F9" s="103"/>
      <c r="G9" s="103"/>
      <c r="H9" s="103"/>
      <c r="I9" s="1"/>
      <c r="K9" s="2" t="s">
        <v>3</v>
      </c>
      <c r="L9" s="127">
        <f t="array" ref="L9:M9">pW*M</f>
        <v>1886393.7399999965</v>
      </c>
      <c r="M9" s="128">
        <v>262787.11299999768</v>
      </c>
      <c r="N9" s="13"/>
      <c r="O9" s="13"/>
      <c r="P9" s="114"/>
      <c r="Q9" s="13"/>
      <c r="R9" s="1"/>
    </row>
    <row r="10" spans="2:18" x14ac:dyDescent="0.2">
      <c r="B10" s="223" t="s">
        <v>150</v>
      </c>
      <c r="C10" s="7">
        <v>422429.01700000005</v>
      </c>
      <c r="D10" s="141">
        <v>8129.6240000000016</v>
      </c>
      <c r="E10" s="103"/>
      <c r="F10" s="103"/>
      <c r="G10" s="103"/>
      <c r="H10" s="103"/>
      <c r="I10" s="1"/>
      <c r="K10" s="223" t="s">
        <v>150</v>
      </c>
      <c r="L10" s="59">
        <f t="array" ref="L10:M10">tauTS*pS*S</f>
        <v>422429.01700000011</v>
      </c>
      <c r="M10" s="60">
        <v>8129.6240000000025</v>
      </c>
      <c r="N10" s="13"/>
      <c r="O10" s="13"/>
      <c r="P10" s="13"/>
      <c r="Q10" s="13"/>
      <c r="R10" s="1"/>
    </row>
    <row r="11" spans="2:18" x14ac:dyDescent="0.2">
      <c r="B11" s="15"/>
      <c r="C11" s="7">
        <v>0</v>
      </c>
      <c r="D11" s="141">
        <v>0</v>
      </c>
      <c r="E11" s="103"/>
      <c r="F11" s="104" t="s">
        <v>24</v>
      </c>
      <c r="G11" s="105" t="s">
        <v>25</v>
      </c>
      <c r="H11" s="103"/>
      <c r="I11" s="1"/>
      <c r="K11" s="15"/>
      <c r="L11" s="61"/>
      <c r="M11" s="49"/>
      <c r="N11" s="13"/>
      <c r="O11" s="50" t="s">
        <v>24</v>
      </c>
      <c r="P11" s="16" t="s">
        <v>25</v>
      </c>
      <c r="Q11" s="13"/>
      <c r="R11" s="1"/>
    </row>
    <row r="12" spans="2:18" ht="10.5" x14ac:dyDescent="0.25">
      <c r="B12" s="1"/>
      <c r="C12" s="110">
        <f>SUM(C3:C11)</f>
        <v>30165832.890999991</v>
      </c>
      <c r="D12" s="111">
        <f>SUM(D3:D11)</f>
        <v>1507684.184999998</v>
      </c>
      <c r="E12" s="106"/>
      <c r="F12" s="107">
        <f>SUM(C3:C8)</f>
        <v>27857010.133999996</v>
      </c>
      <c r="G12" s="108">
        <f>SUM(D3:D8)</f>
        <v>1236767.4480000003</v>
      </c>
      <c r="H12" s="109" t="s">
        <v>11</v>
      </c>
      <c r="I12" s="1"/>
      <c r="K12" s="1"/>
      <c r="L12" s="17">
        <f>SUM(L3:L11)</f>
        <v>30165832.890999991</v>
      </c>
      <c r="M12" s="18">
        <f>SUM(M3:M11)</f>
        <v>1507684.184999998</v>
      </c>
      <c r="N12" s="19"/>
      <c r="O12" s="20">
        <f t="array" ref="O12:P12">pY*Y</f>
        <v>27857010.133999996</v>
      </c>
      <c r="P12" s="21">
        <v>1236767.4480000003</v>
      </c>
      <c r="Q12" s="1" t="s">
        <v>11</v>
      </c>
      <c r="R12" s="1"/>
    </row>
    <row r="13" spans="2:18" x14ac:dyDescent="0.2">
      <c r="B13" s="1"/>
      <c r="C13" s="109"/>
      <c r="D13" s="109"/>
      <c r="E13" s="103"/>
      <c r="F13" s="103"/>
      <c r="G13" s="103"/>
      <c r="H13" s="109"/>
      <c r="I13" s="1"/>
      <c r="K13" s="1"/>
      <c r="L13" s="1"/>
      <c r="M13" s="1"/>
      <c r="N13" s="13"/>
      <c r="O13" s="13"/>
      <c r="P13" s="13"/>
      <c r="Q13" s="1"/>
      <c r="R13" s="1"/>
    </row>
    <row r="14" spans="2:18" ht="10.5" x14ac:dyDescent="0.25">
      <c r="B14" s="22" t="s">
        <v>30</v>
      </c>
      <c r="C14" s="121">
        <f>I3-C12</f>
        <v>0</v>
      </c>
      <c r="D14" s="122">
        <f>I4-D12</f>
        <v>0</v>
      </c>
      <c r="E14" s="103"/>
      <c r="F14" s="103"/>
      <c r="G14" s="103"/>
      <c r="H14" s="103"/>
      <c r="I14" s="1"/>
      <c r="K14" s="22" t="s">
        <v>30</v>
      </c>
      <c r="L14" s="23">
        <f>R3-L12</f>
        <v>0</v>
      </c>
      <c r="M14" s="24">
        <f>R4-M12</f>
        <v>0</v>
      </c>
      <c r="N14" s="13"/>
      <c r="O14" s="13"/>
      <c r="P14" s="13"/>
      <c r="Q14" s="13"/>
      <c r="R14" s="1"/>
    </row>
    <row r="16" spans="2:18" x14ac:dyDescent="0.2">
      <c r="F16">
        <v>20952.175621751205</v>
      </c>
      <c r="G16">
        <v>1219.7862210892881</v>
      </c>
      <c r="L16" s="29"/>
      <c r="M16" s="29"/>
    </row>
    <row r="17" spans="2:16" x14ac:dyDescent="0.2">
      <c r="L17" s="29"/>
      <c r="M17" s="29"/>
    </row>
    <row r="20" spans="2:16" ht="10.5" x14ac:dyDescent="0.25">
      <c r="B20" s="96" t="s">
        <v>79</v>
      </c>
      <c r="H20" s="96" t="s">
        <v>60</v>
      </c>
      <c r="K20" s="96" t="s">
        <v>59</v>
      </c>
      <c r="N20" s="96" t="s">
        <v>42</v>
      </c>
    </row>
    <row r="21" spans="2:16" x14ac:dyDescent="0.2">
      <c r="B21" t="s">
        <v>12</v>
      </c>
      <c r="C21" s="172">
        <v>1000</v>
      </c>
      <c r="D21" s="173">
        <v>1000</v>
      </c>
      <c r="H21">
        <f t="array" ref="H21:I21">(aY^sigmaY*pKLE^(1-sigmaY)+bY^sigmaY*pMY^(1-sigmaY))^(1/(1-sigmaY))*(1+tauY)</f>
        <v>1000.0000000000014</v>
      </c>
      <c r="I21">
        <v>999.99999999999898</v>
      </c>
      <c r="K21" s="120">
        <f t="array" ref="K21:L21">H21:I21-pY</f>
        <v>1.3642420526593924E-12</v>
      </c>
      <c r="L21" s="120">
        <v>-1.0231815394945443E-12</v>
      </c>
      <c r="N21">
        <f t="array" ref="N21:O21">(aX^sigmaX*pD^(1-sigmaX)+bX^sigmaX*pX^(1-sigmaX))^(1/(1-sigmaX))</f>
        <v>999.99999999999977</v>
      </c>
      <c r="O21">
        <v>999.99999999999977</v>
      </c>
    </row>
    <row r="22" spans="2:16" x14ac:dyDescent="0.2">
      <c r="B22" t="s">
        <v>116</v>
      </c>
      <c r="C22" s="31">
        <v>1000</v>
      </c>
      <c r="D22" s="32">
        <v>1000</v>
      </c>
      <c r="K22" s="125"/>
      <c r="L22" s="125"/>
    </row>
    <row r="23" spans="2:16" x14ac:dyDescent="0.2">
      <c r="B23" t="s">
        <v>128</v>
      </c>
      <c r="C23" s="170">
        <v>1000</v>
      </c>
      <c r="D23" s="171">
        <v>1000</v>
      </c>
      <c r="H23" s="29">
        <f t="array" ref="H23:I23">(pY*Y+pW*M-pX*X)/S</f>
        <v>1000</v>
      </c>
      <c r="I23" s="29">
        <v>1000</v>
      </c>
      <c r="K23" s="120">
        <f t="array" ref="K23:L23">H23:I23-pS</f>
        <v>0</v>
      </c>
      <c r="L23" s="120">
        <v>0</v>
      </c>
    </row>
    <row r="24" spans="2:16" x14ac:dyDescent="0.2">
      <c r="B24" t="s">
        <v>77</v>
      </c>
      <c r="C24" s="31">
        <v>1000</v>
      </c>
      <c r="D24" s="32">
        <v>1000</v>
      </c>
      <c r="H24" s="29">
        <f t="array" ref="H24:I24">aX^(sigmaX/(sigmaX-1))*(pY^(1-sigmaX)-bX^sigmaX*pW^(1-sigmaX))^(1/(1-sigmaX))</f>
        <v>999.99999999999943</v>
      </c>
      <c r="I24" s="29">
        <v>999.99999999999909</v>
      </c>
      <c r="K24" s="120">
        <f t="array" ref="K24:L24">H24:I24-pD</f>
        <v>0</v>
      </c>
      <c r="L24" s="120">
        <v>-9.0949470177292824E-13</v>
      </c>
    </row>
    <row r="25" spans="2:16" x14ac:dyDescent="0.2">
      <c r="B25" t="s">
        <v>13</v>
      </c>
      <c r="C25" s="33">
        <f t="array" ref="C25:D26">C3:D4/(alpha*Y)</f>
        <v>1015.9116825427475</v>
      </c>
      <c r="D25" s="34">
        <v>1015.9116825427475</v>
      </c>
      <c r="E25" t="s">
        <v>63</v>
      </c>
      <c r="H25" s="29">
        <f t="array" ref="H25:I26">TRANSPOSE(pS*(1+tauTS))</f>
        <v>1015.9116825427475</v>
      </c>
      <c r="I25" s="29">
        <v>1015.9116825427475</v>
      </c>
      <c r="K25" s="120">
        <f t="array" ref="K25:L26">H25:I26-C25:D26</f>
        <v>0</v>
      </c>
      <c r="L25" s="120">
        <v>0</v>
      </c>
    </row>
    <row r="26" spans="2:16" x14ac:dyDescent="0.2">
      <c r="C26" s="35">
        <v>1005.7716594496609</v>
      </c>
      <c r="D26" s="36">
        <v>1005.771659449661</v>
      </c>
      <c r="E26" t="s">
        <v>41</v>
      </c>
      <c r="H26" s="29">
        <v>1005.7716594496609</v>
      </c>
      <c r="I26" s="29">
        <v>1005.7716594496609</v>
      </c>
      <c r="K26" s="120">
        <v>0</v>
      </c>
      <c r="L26" s="120">
        <v>0</v>
      </c>
    </row>
    <row r="27" spans="2:16" x14ac:dyDescent="0.2">
      <c r="B27" t="s">
        <v>14</v>
      </c>
      <c r="C27" s="33">
        <f t="array" ref="C27:D27">TRANSPOSE(E3:E4)/Consumption</f>
        <v>1015.9116825427475</v>
      </c>
      <c r="D27" s="34">
        <v>1005.7716594496608</v>
      </c>
      <c r="H27" s="29">
        <f t="array" ref="H27:I27">pS*(1+tauTS)</f>
        <v>1015.9116825427475</v>
      </c>
      <c r="I27" s="29">
        <v>1005.7716594496609</v>
      </c>
      <c r="K27" s="120">
        <f t="array" ref="K27:L27">H27:I27-pC</f>
        <v>0</v>
      </c>
      <c r="L27" s="120">
        <v>0</v>
      </c>
    </row>
    <row r="28" spans="2:16" x14ac:dyDescent="0.2">
      <c r="B28" t="s">
        <v>15</v>
      </c>
      <c r="C28" s="41">
        <f t="array" ref="C28:D28">IF(ISNUMBER(TRANSPOSE(F3:F4)/G),TRANSPOSE(F3:F4)/G,pC)</f>
        <v>1015.9116825427474</v>
      </c>
      <c r="D28" s="42">
        <v>1005.7716594496608</v>
      </c>
      <c r="H28" s="29">
        <f t="array" ref="H28:I28">pS*(1+tauTS)</f>
        <v>1015.9116825427475</v>
      </c>
      <c r="I28" s="29">
        <v>1005.7716594496609</v>
      </c>
      <c r="K28" s="120">
        <f t="array" ref="K28:L28">H28:I28-pG</f>
        <v>0</v>
      </c>
      <c r="L28" s="120">
        <v>0</v>
      </c>
    </row>
    <row r="29" spans="2:16" x14ac:dyDescent="0.2">
      <c r="B29" t="s">
        <v>29</v>
      </c>
      <c r="C29" s="41">
        <f t="array" ref="C29:D29">IF(ISNUMBER(TRANSPOSE(G3:G4)/I),TRANSPOSE(G3:G4)/I,pC)</f>
        <v>1015.9116825427475</v>
      </c>
      <c r="D29" s="42">
        <v>1005.7716594496608</v>
      </c>
      <c r="H29" s="29">
        <f t="array" ref="H29:I29">pS*(1+tauTS)</f>
        <v>1015.9116825427475</v>
      </c>
      <c r="I29" s="29">
        <v>1005.7716594496609</v>
      </c>
      <c r="K29" s="120">
        <f t="array" ref="K29:L29">H29:I29-pI</f>
        <v>0</v>
      </c>
      <c r="L29" s="120">
        <v>0</v>
      </c>
    </row>
    <row r="30" spans="2:16" x14ac:dyDescent="0.2">
      <c r="B30" t="s">
        <v>16</v>
      </c>
      <c r="C30" s="41">
        <f t="array" ref="C30:D30">pW</f>
        <v>1000</v>
      </c>
      <c r="D30" s="42">
        <v>1000</v>
      </c>
      <c r="H30" s="29">
        <f t="array" ref="H30:I30">pW</f>
        <v>1000</v>
      </c>
      <c r="I30" s="29">
        <v>1000</v>
      </c>
      <c r="K30" s="120">
        <f t="array" ref="K30:L30">H30:I30-pX</f>
        <v>0</v>
      </c>
      <c r="L30" s="120">
        <v>0</v>
      </c>
    </row>
    <row r="31" spans="2:16" x14ac:dyDescent="0.2">
      <c r="B31" t="s">
        <v>17</v>
      </c>
      <c r="C31" s="31">
        <v>1000</v>
      </c>
      <c r="D31" s="32">
        <v>1000</v>
      </c>
      <c r="K31" s="125"/>
      <c r="L31" s="125"/>
    </row>
    <row r="32" spans="2:16" x14ac:dyDescent="0.2">
      <c r="B32" t="s">
        <v>36</v>
      </c>
      <c r="C32" s="41">
        <f t="array" ref="C32:D32">(C5:D5+C6:D6)/Labour</f>
        <v>1457.0034251455234</v>
      </c>
      <c r="D32" s="42">
        <v>1457.0034251455236</v>
      </c>
      <c r="H32" s="29">
        <f t="array" ref="H32:I32">w*(1+tauL)</f>
        <v>1457.0034251455234</v>
      </c>
      <c r="I32" s="29">
        <v>1457.0034251455236</v>
      </c>
      <c r="K32" s="120">
        <f t="array" ref="K32:L32">H32:I32-pL</f>
        <v>0</v>
      </c>
      <c r="L32" s="120">
        <v>0</v>
      </c>
      <c r="N32" s="29">
        <f t="array" ref="N32:O32">bKL*(Labour/KL)^(rhoKL-1)*pKL</f>
        <v>1457.0034251455238</v>
      </c>
      <c r="O32" s="29">
        <v>1457.0034251455243</v>
      </c>
      <c r="P32" t="s">
        <v>133</v>
      </c>
    </row>
    <row r="33" spans="2:16" x14ac:dyDescent="0.2">
      <c r="B33" t="s">
        <v>18</v>
      </c>
      <c r="C33" s="178">
        <v>1000</v>
      </c>
      <c r="D33" s="179">
        <v>1000</v>
      </c>
      <c r="E33" t="s">
        <v>56</v>
      </c>
      <c r="K33" s="125"/>
      <c r="L33" s="125"/>
      <c r="N33" s="29">
        <f t="array" ref="N33:O33">aKL*(K/KL)^(rhoKL-1)*pKL</f>
        <v>999.99999999999977</v>
      </c>
      <c r="O33" s="29">
        <v>999.99999999999989</v>
      </c>
      <c r="P33" t="s">
        <v>133</v>
      </c>
    </row>
    <row r="34" spans="2:16" x14ac:dyDescent="0.2">
      <c r="B34" t="s">
        <v>61</v>
      </c>
      <c r="C34" s="170">
        <v>1000</v>
      </c>
      <c r="D34" s="171">
        <v>1000</v>
      </c>
      <c r="H34" s="29">
        <f t="array" ref="H34:I34">(aKL^sigmaKL*pK^(1-sigmaKL)+bKL^sigmaKL*pL^(1-sigmaKL))^(1/(1-sigmaKL))</f>
        <v>999.99999999999977</v>
      </c>
      <c r="I34" s="29">
        <v>999.99999999999977</v>
      </c>
      <c r="K34" s="120">
        <f t="array" ref="K34:L34">H34:I34-pKL</f>
        <v>0</v>
      </c>
      <c r="L34" s="120">
        <v>0</v>
      </c>
    </row>
    <row r="35" spans="2:16" x14ac:dyDescent="0.2">
      <c r="B35" t="s">
        <v>62</v>
      </c>
      <c r="C35" s="170">
        <v>1000</v>
      </c>
      <c r="D35" s="171">
        <v>1000</v>
      </c>
      <c r="H35" s="29">
        <f t="array" ref="H35:I35">(aKLE^sigmaKLE*pKL^(1-sigmaKLE)+bKLE^sigmaKLE*pEY^(1-sigmaKLE))^(1/(1-sigmaKLE))</f>
        <v>1000.0000000000002</v>
      </c>
      <c r="I35" s="29">
        <v>999.99999999999977</v>
      </c>
      <c r="K35" s="120">
        <f t="array" ref="K35:L35">H35:I35-pKLE</f>
        <v>0</v>
      </c>
      <c r="L35" s="120">
        <v>0</v>
      </c>
    </row>
    <row r="37" spans="2:16" x14ac:dyDescent="0.2">
      <c r="B37" t="s">
        <v>19</v>
      </c>
      <c r="C37" s="87">
        <f t="array" ref="C37:D37">F12:G12/pY</f>
        <v>27857.010133999996</v>
      </c>
      <c r="D37" s="88">
        <v>1236.7674480000003</v>
      </c>
      <c r="E37" t="s">
        <v>125</v>
      </c>
      <c r="H37" s="29">
        <f t="array" ref="H37:I37">(aX*D^rhoX+bX*X^rhoX)^(1/rhoX)</f>
        <v>27857.010133999949</v>
      </c>
      <c r="I37" s="29">
        <v>1236.7674480000003</v>
      </c>
      <c r="K37" s="120">
        <f t="array" ref="K37:L37">H37:I37-Y</f>
        <v>-4.7293724492192268E-11</v>
      </c>
      <c r="L37" s="120">
        <v>0</v>
      </c>
    </row>
    <row r="38" spans="2:16" x14ac:dyDescent="0.2">
      <c r="B38" t="s">
        <v>3</v>
      </c>
      <c r="C38" s="89">
        <f t="array" ref="C38:D38">C9:D9/pW</f>
        <v>1886.3937399999966</v>
      </c>
      <c r="D38" s="90">
        <v>262.7871129999977</v>
      </c>
      <c r="E38" t="s">
        <v>126</v>
      </c>
      <c r="H38" s="29">
        <f t="array" ref="H38:I38">(bS/pW)^sigmaS*(aS^sigmaS*pD^(1-sigmaS)+bS^sigmaS*pW^(1-sigmaS))^(sigmaS/(1-sigmaS))*S</f>
        <v>1886.3937399999948</v>
      </c>
      <c r="I38" s="29">
        <v>262.78711299999759</v>
      </c>
      <c r="K38" s="120">
        <f t="array" ref="K38:L38">H38:I38-M</f>
        <v>-1.8189894035458565E-12</v>
      </c>
      <c r="L38" s="120">
        <v>0</v>
      </c>
    </row>
    <row r="39" spans="2:16" x14ac:dyDescent="0.2">
      <c r="B39" t="s">
        <v>127</v>
      </c>
      <c r="C39" s="89">
        <f t="array" ref="C39:D39">MMULT(Y,TRANSPOSE(alpha))+Consumption+G+I</f>
        <v>26548.356269999993</v>
      </c>
      <c r="D39" s="90">
        <v>1408.5418709999938</v>
      </c>
      <c r="E39" t="s">
        <v>122</v>
      </c>
      <c r="F39" s="63">
        <f t="array" ref="F39:G39">(F8:G8)/(1+tauTS)/pS</f>
        <v>26548.356269999997</v>
      </c>
      <c r="G39" s="64">
        <v>1408.5418709999938</v>
      </c>
      <c r="H39" s="29">
        <f t="array" ref="H39:I39">MMULT(Y,TRANSPOSE(alpha))+Consumption+G+I</f>
        <v>26548.356269999993</v>
      </c>
      <c r="I39" s="29">
        <v>1408.5418709999938</v>
      </c>
      <c r="K39" s="120">
        <f t="array" ref="K39:L39">H39:I39-S</f>
        <v>0</v>
      </c>
      <c r="L39" s="120">
        <v>0</v>
      </c>
      <c r="N39" s="29"/>
      <c r="O39" s="29"/>
    </row>
    <row r="40" spans="2:16" x14ac:dyDescent="0.2">
      <c r="B40" t="s">
        <v>76</v>
      </c>
      <c r="C40" s="89">
        <f t="array" ref="C40:D40">(pS*S-pW*M)/pD</f>
        <v>24661.962529999993</v>
      </c>
      <c r="D40" s="90">
        <v>1145.7547579999962</v>
      </c>
      <c r="E40" t="s">
        <v>124</v>
      </c>
      <c r="H40" s="29">
        <f t="array" ref="H40:I40">(aS/pD)^sigmaS*(aS^sigmaS*pD^(1-sigmaS)+bS^sigmaS*pW^(1-sigmaS))^(sigmaS/(1-sigmaS))*S</f>
        <v>24661.962529999983</v>
      </c>
      <c r="I40" s="29">
        <v>1145.754757999995</v>
      </c>
      <c r="K40" s="120">
        <f t="array" ref="K40:L40">H40:I40-D</f>
        <v>0</v>
      </c>
      <c r="L40" s="120">
        <v>0</v>
      </c>
    </row>
    <row r="41" spans="2:16" x14ac:dyDescent="0.2">
      <c r="B41" t="s">
        <v>28</v>
      </c>
      <c r="C41" s="41">
        <f t="array" ref="C41:D41">TRANSPOSE(E3:E4)/(1+tauTS)/pS</f>
        <v>6533.604468832069</v>
      </c>
      <c r="D41" s="42">
        <v>379.90788307663405</v>
      </c>
      <c r="E41" t="s">
        <v>57</v>
      </c>
      <c r="H41" s="29">
        <f t="array" ref="H41">(aU/pCQ)^sigmaU/(aU^sigmaU*pCQ^(1-sigmaU)+bU^sigmaU*pCE^(1-sigmaU))*Revenue</f>
        <v>6533.6044688320735</v>
      </c>
      <c r="I41" s="29">
        <f>(bU/pCE)^sigmaU/(aU^sigmaU*pCQ^(1-sigmaU)+bU^sigmaU*pCE^(1-sigmaU))*Revenue</f>
        <v>379.90788307663433</v>
      </c>
      <c r="K41" s="120">
        <f t="array" ref="K41:L41">H41:I41-Consumption</f>
        <v>0</v>
      </c>
      <c r="L41" s="120">
        <v>0</v>
      </c>
    </row>
    <row r="42" spans="2:16" x14ac:dyDescent="0.2">
      <c r="B42" t="s">
        <v>7</v>
      </c>
      <c r="C42" s="41">
        <f t="array" ref="C42:D42">TRANSPOSE(F3:F4)/(1+tauTS)/pS</f>
        <v>3278.5018080150412</v>
      </c>
      <c r="D42" s="42">
        <v>0</v>
      </c>
      <c r="H42" s="29">
        <f t="array" ref="H42">omegaG*GDP/pG</f>
        <v>3278.5018080150412</v>
      </c>
      <c r="I42" s="28">
        <v>0</v>
      </c>
      <c r="K42" s="120">
        <f t="array" ref="K42:L42">H42:I42-G</f>
        <v>0</v>
      </c>
      <c r="L42" s="120">
        <v>0</v>
      </c>
    </row>
    <row r="43" spans="2:16" x14ac:dyDescent="0.2">
      <c r="B43" t="s">
        <v>8</v>
      </c>
      <c r="C43" s="41">
        <f t="array" ref="C43:D43">TRANSPOSE(G3:G4)/(1+tauTS)/pS</f>
        <v>3196.3846373657216</v>
      </c>
      <c r="D43" s="42">
        <v>0</v>
      </c>
      <c r="H43" s="29">
        <f t="array" ref="H43">(sD*GDP-B)/pI</f>
        <v>3196.3846373657216</v>
      </c>
      <c r="I43" s="28">
        <v>0</v>
      </c>
      <c r="K43" s="120">
        <f t="array" ref="K43:L43">H43:I43-I</f>
        <v>0</v>
      </c>
      <c r="L43" s="120">
        <v>0</v>
      </c>
    </row>
    <row r="44" spans="2:16" x14ac:dyDescent="0.2">
      <c r="B44" t="s">
        <v>0</v>
      </c>
      <c r="C44" s="41">
        <f t="array" ref="C44:D44">TRANSPOSE(H3:H4)/pX</f>
        <v>3195.047603999999</v>
      </c>
      <c r="D44" s="42">
        <v>91.012690000004071</v>
      </c>
      <c r="H44" s="29">
        <f t="array" ref="H44:I44">(bX/pX)^sigmaX*(aX^sigmaX*pD^(1-sigmaX)+bX^sigmaX*pX^(1-sigmaX))^(-1/rhoX)*Y</f>
        <v>3195.0476040000012</v>
      </c>
      <c r="I44" s="29">
        <v>91.012690000004071</v>
      </c>
      <c r="K44" s="120">
        <f t="array" ref="K44:L44">H44:I44-X</f>
        <v>0</v>
      </c>
      <c r="L44" s="120">
        <v>0</v>
      </c>
    </row>
    <row r="45" spans="2:16" x14ac:dyDescent="0.2">
      <c r="B45" t="s">
        <v>27</v>
      </c>
      <c r="C45" s="41">
        <f t="array" ref="C45:D45">C5:D5/w</f>
        <v>5036.2953101960647</v>
      </c>
      <c r="D45" s="42">
        <v>74.905331803938267</v>
      </c>
      <c r="E45" t="s">
        <v>58</v>
      </c>
      <c r="H45" s="29">
        <f t="array" ref="H45:I45">lambda*Y</f>
        <v>5036.2953101960647</v>
      </c>
      <c r="I45" s="29">
        <v>74.905331803938267</v>
      </c>
      <c r="K45" s="120">
        <f t="array" ref="K45:L45">H45:I45-Labour</f>
        <v>0</v>
      </c>
      <c r="L45" s="120">
        <v>0</v>
      </c>
    </row>
    <row r="46" spans="2:16" x14ac:dyDescent="0.2">
      <c r="B46" t="s">
        <v>2</v>
      </c>
      <c r="C46" s="41">
        <f t="array" ref="C46:D46">C8:D8/pK</f>
        <v>6425.1981590000014</v>
      </c>
      <c r="D46" s="42">
        <v>273.22915400000011</v>
      </c>
      <c r="H46" s="29">
        <f t="array" ref="H46:I46">kappa*Y</f>
        <v>6425.1981590000014</v>
      </c>
      <c r="I46" s="29">
        <v>273.22915400000011</v>
      </c>
      <c r="K46" s="120">
        <f t="array" ref="K46:L46">H46:I46-K</f>
        <v>0</v>
      </c>
      <c r="L46" s="120">
        <v>0</v>
      </c>
    </row>
    <row r="47" spans="2:16" x14ac:dyDescent="0.2">
      <c r="B47" t="s">
        <v>35</v>
      </c>
      <c r="C47" s="116">
        <f t="array" ref="C47:D47">(pK*K+pL*Labour)/pKL</f>
        <v>13763.097676000005</v>
      </c>
      <c r="D47" s="174">
        <v>382.36647900000003</v>
      </c>
      <c r="H47" s="29">
        <f t="array" ref="H47:I47">(aKLE/pKL)^sigmaKLE*(aKLE^sigmaKLE*pKL^(1-sigmaKLE)+bKLE^sigmaKLE*pEY^(1-sigmaKLE))^(-1/rhoKLE)*KLE</f>
        <v>13763.097676000007</v>
      </c>
      <c r="I47" s="29">
        <v>382.36647900000003</v>
      </c>
      <c r="K47" s="120">
        <f t="array" ref="K47:L47">H47:I47-KL</f>
        <v>0</v>
      </c>
      <c r="L47" s="120">
        <v>0</v>
      </c>
    </row>
    <row r="48" spans="2:16" x14ac:dyDescent="0.2">
      <c r="B48" t="s">
        <v>53</v>
      </c>
      <c r="C48" s="168">
        <f t="array" ref="C48:D48">(pKL*KL+C4:D4)/pKLE</f>
        <v>14362.768558000003</v>
      </c>
      <c r="D48" s="169">
        <v>817.26651000000004</v>
      </c>
      <c r="H48" s="29">
        <f t="array" ref="H48:I48">(aY/pKLE)^sigmaY*(aY^sigmaY*pKLE^(1-sigmaY)+bY^sigmaY*pMY^(1-sigmaY))^(-1/rhoY)*Y</f>
        <v>14362.768558000025</v>
      </c>
      <c r="I48" s="29">
        <v>817.26650999999993</v>
      </c>
      <c r="K48" s="120">
        <f t="array" ref="K48:L48">H48:I48-KLE</f>
        <v>2.1827872842550278E-11</v>
      </c>
      <c r="L48" s="120">
        <v>0</v>
      </c>
    </row>
    <row r="50" spans="2:12" x14ac:dyDescent="0.2">
      <c r="B50" t="s">
        <v>26</v>
      </c>
      <c r="C50" s="43">
        <f t="array" ref="C50:D50">C6:D6/(w*lambda*Y)</f>
        <v>0.45700342514552333</v>
      </c>
      <c r="D50" s="44">
        <v>0.4570034251455235</v>
      </c>
      <c r="G50" s="29"/>
    </row>
    <row r="51" spans="2:12" x14ac:dyDescent="0.2">
      <c r="B51" t="s">
        <v>20</v>
      </c>
      <c r="C51" s="47">
        <f t="array" ref="C51:D51">C7:D7/(pY*Y-C7:D7)</f>
        <v>4.9682236719384319E-3</v>
      </c>
      <c r="D51" s="48">
        <v>1.7038360552061892E-2</v>
      </c>
    </row>
    <row r="52" spans="2:12" x14ac:dyDescent="0.2">
      <c r="B52" t="s">
        <v>152</v>
      </c>
      <c r="C52" s="45">
        <f t="array" ref="C52:D52">C10:D10/(TRANSPOSE(C3:C4+D3:D4+E3:E4+F3:F4+G3:G4)-C10:D10)</f>
        <v>1.5911682542747503E-2</v>
      </c>
      <c r="D52" s="46">
        <v>5.7716594496607888E-3</v>
      </c>
    </row>
    <row r="53" spans="2:12" x14ac:dyDescent="0.2">
      <c r="C53" s="29"/>
      <c r="D53" s="29"/>
    </row>
    <row r="54" spans="2:12" x14ac:dyDescent="0.2">
      <c r="C54" s="29"/>
      <c r="D54" s="29"/>
    </row>
    <row r="55" spans="2:12" x14ac:dyDescent="0.2">
      <c r="B55" t="s">
        <v>48</v>
      </c>
      <c r="C55" s="69">
        <f t="array" ref="C55">SUM(C6:D7,C10:D11)</f>
        <v>2924829.96</v>
      </c>
      <c r="H55" s="29">
        <f t="array" ref="H55">SUM(w*tauL*Labour+tauY/(1+tauY)*pY*Y+tauTS*pS*S)</f>
        <v>2924829.9599999995</v>
      </c>
      <c r="K55" s="120">
        <f t="array" ref="K55">H55-T</f>
        <v>0</v>
      </c>
      <c r="L55" s="125"/>
    </row>
    <row r="56" spans="2:12" x14ac:dyDescent="0.2">
      <c r="B56" t="s">
        <v>47</v>
      </c>
      <c r="C56" s="132">
        <v>1</v>
      </c>
      <c r="E56" t="s">
        <v>196</v>
      </c>
      <c r="K56" s="125"/>
      <c r="L56" s="125"/>
    </row>
    <row r="57" spans="2:12" x14ac:dyDescent="0.2">
      <c r="B57" t="s">
        <v>64</v>
      </c>
      <c r="C57" s="133">
        <f>SUM(C5:D8,C10:D11)</f>
        <v>14734457.915000005</v>
      </c>
      <c r="E57" s="65">
        <f>15693432.72*2437635/2728870.25</f>
        <v>14018570.823738214</v>
      </c>
      <c r="H57" s="124">
        <f t="array" ref="H57">SUM(pC*Consumption+pG*G+pI*I+pX*X-pW*M)</f>
        <v>14734457.915000003</v>
      </c>
      <c r="I57" s="124">
        <f t="array" ref="I57">SUM(w*Labour,pK*K,T)</f>
        <v>14734457.915000007</v>
      </c>
      <c r="K57" s="120">
        <f>H57-GDP</f>
        <v>0</v>
      </c>
      <c r="L57" s="120">
        <f>I57-GDP</f>
        <v>0</v>
      </c>
    </row>
    <row r="58" spans="2:12" x14ac:dyDescent="0.2">
      <c r="B58" t="s">
        <v>54</v>
      </c>
      <c r="C58" s="117">
        <f t="array" ref="C58">GDP-SUM(pG*G+pI*I+pX*X-pW*M)</f>
        <v>7019665.6909999968</v>
      </c>
      <c r="D58" t="s">
        <v>55</v>
      </c>
      <c r="K58" s="125"/>
      <c r="L58" s="125"/>
    </row>
    <row r="59" spans="2:12" x14ac:dyDescent="0.2">
      <c r="B59" t="s">
        <v>75</v>
      </c>
      <c r="C59" s="70">
        <f>SUM(H3:H4)-SUM(C9:D9)</f>
        <v>1136879.441000009</v>
      </c>
      <c r="K59" s="125"/>
      <c r="L59" s="125"/>
    </row>
    <row r="60" spans="2:12" x14ac:dyDescent="0.2">
      <c r="C60" s="29"/>
      <c r="D60" s="29"/>
    </row>
    <row r="61" spans="2:12" x14ac:dyDescent="0.2">
      <c r="C61" s="29"/>
      <c r="D61" s="29"/>
    </row>
    <row r="62" spans="2:12" x14ac:dyDescent="0.2">
      <c r="B62" t="s">
        <v>111</v>
      </c>
      <c r="C62" s="163">
        <f t="array" ref="C62">SUM(pG*G)/GDP</f>
        <v>0.22604620456442484</v>
      </c>
      <c r="D62" t="s">
        <v>81</v>
      </c>
    </row>
    <row r="63" spans="2:12" x14ac:dyDescent="0.2">
      <c r="B63" t="s">
        <v>112</v>
      </c>
      <c r="C63" s="182">
        <f t="array" ref="C63">SUM(pI*I)/GDP</f>
        <v>0.22038438833194082</v>
      </c>
      <c r="D63" t="s">
        <v>82</v>
      </c>
    </row>
    <row r="64" spans="2:12" x14ac:dyDescent="0.2">
      <c r="B64" t="s">
        <v>98</v>
      </c>
      <c r="C64" s="163">
        <f t="array" ref="C64">(SUM(pI*I)+B)/GDP</f>
        <v>0.29754226190682415</v>
      </c>
      <c r="D64" t="s">
        <v>80</v>
      </c>
    </row>
    <row r="65" spans="2:14" x14ac:dyDescent="0.2">
      <c r="B65" t="s">
        <v>84</v>
      </c>
      <c r="C65" s="164">
        <f t="array" ref="C65">(SUM(pI*I)+B-sL*(SUM(w*Labour))-sG*(T-SUM(pG*G)))/SUM(pK*K)</f>
        <v>0.40915789876687553</v>
      </c>
      <c r="D65" t="s">
        <v>83</v>
      </c>
      <c r="J65" s="62" t="s">
        <v>154</v>
      </c>
      <c r="K65" s="120">
        <f>sK-sL</f>
        <v>8.2251310858139082E-3</v>
      </c>
      <c r="L65" s="125"/>
    </row>
    <row r="66" spans="2:14" x14ac:dyDescent="0.2">
      <c r="B66" t="s">
        <v>85</v>
      </c>
      <c r="C66" s="239">
        <f>Model!K60</f>
        <v>0.40093276768106162</v>
      </c>
      <c r="D66" t="s">
        <v>109</v>
      </c>
      <c r="K66" s="125"/>
      <c r="L66" s="125"/>
    </row>
    <row r="67" spans="2:14" x14ac:dyDescent="0.2">
      <c r="B67" t="s">
        <v>123</v>
      </c>
      <c r="C67" s="165">
        <v>1</v>
      </c>
      <c r="D67" t="s">
        <v>153</v>
      </c>
      <c r="G67" s="177"/>
      <c r="K67" s="125"/>
      <c r="L67" s="125"/>
    </row>
    <row r="70" spans="2:14" x14ac:dyDescent="0.2">
      <c r="B70" t="s">
        <v>21</v>
      </c>
      <c r="C70" s="37">
        <f t="array" ref="C70:D71">(C3:D4)/Y/TRANSPOSE(pS*(1+tauTS))</f>
        <v>0.47195767671988131</v>
      </c>
      <c r="D70" s="38">
        <v>0.31738834428178964</v>
      </c>
      <c r="E70" t="s">
        <v>24</v>
      </c>
      <c r="H70" s="37">
        <f t="array" ref="H70:I70">(bY/pMY)^sigmaY*(aY^sigmaY*pKLE^(1-sigmaY)+bY^sigmaY*pMY^(1-sigmaY))^(-1/rhoY)</f>
        <v>0.47195767671988198</v>
      </c>
      <c r="I70" s="38">
        <v>0.31738834428178964</v>
      </c>
      <c r="K70" s="120">
        <f t="array" ref="K70:L71">H70:I71-C70:D71</f>
        <v>6.6613381477509392E-16</v>
      </c>
      <c r="L70" s="120">
        <v>0</v>
      </c>
    </row>
    <row r="71" spans="2:14" x14ac:dyDescent="0.2">
      <c r="C71" s="39">
        <v>2.1403217525954435E-2</v>
      </c>
      <c r="D71" s="40">
        <v>0.34962461301992526</v>
      </c>
      <c r="E71" t="s">
        <v>25</v>
      </c>
      <c r="H71" s="39">
        <f t="array" ref="H71:I71">(bKLE/pEY)^sigmaKLE*(aKLE^sigmaKLE*pKL^(1-sigmaKLE)+bKLE^sigmaKLE*pEY^(1-sigmaKLE))^(-1/rhoKLE)*KLE/Y</f>
        <v>2.1403217525954435E-2</v>
      </c>
      <c r="I71" s="40">
        <v>0.34962461301992509</v>
      </c>
      <c r="K71" s="120">
        <v>0</v>
      </c>
      <c r="L71" s="120">
        <v>0</v>
      </c>
    </row>
    <row r="72" spans="2:14" x14ac:dyDescent="0.2">
      <c r="B72" t="s">
        <v>22</v>
      </c>
      <c r="C72" s="37">
        <f t="array" ref="C72:D72">Labour/Y</f>
        <v>0.18079094942242827</v>
      </c>
      <c r="D72" s="38">
        <v>6.0565413429233668E-2</v>
      </c>
      <c r="H72" s="37">
        <f t="array" ref="H72:I72">(bKL/pL)^sigmaKL*(aKL^sigmaKL*pK^(1-sigmaKL)+bKL^sigmaKL*pL^(1-sigmaKL))^(-1/rhoKL)*KL/Y</f>
        <v>0.18079094942242829</v>
      </c>
      <c r="I72" s="38">
        <v>6.0565413429233675E-2</v>
      </c>
      <c r="K72" s="120">
        <f t="array" ref="K72:L72">H72:I72-lambda</f>
        <v>0</v>
      </c>
      <c r="L72" s="120">
        <v>0</v>
      </c>
    </row>
    <row r="73" spans="2:14" x14ac:dyDescent="0.2">
      <c r="B73" t="s">
        <v>23</v>
      </c>
      <c r="C73" s="39">
        <f t="array" ref="C73:D73">K/Y</f>
        <v>0.23064923795098627</v>
      </c>
      <c r="D73" s="40">
        <v>0.22092201281804763</v>
      </c>
      <c r="H73" s="39">
        <f t="array" ref="H73:I73">(aKL/pK)^sigmaKL*(aKL^sigmaKL*pK^(1-sigmaKL)+bKL^sigmaKL*pL^(1-sigmaKL))^(-1/rhoKL)*KL/Y</f>
        <v>0.23064923795098635</v>
      </c>
      <c r="I73" s="40">
        <v>0.22092201281804752</v>
      </c>
      <c r="K73" s="120">
        <f t="array" ref="K73:L73">H73:I73-kappa</f>
        <v>0</v>
      </c>
      <c r="L73" s="120">
        <v>0</v>
      </c>
    </row>
    <row r="75" spans="2:14" x14ac:dyDescent="0.2">
      <c r="F75" t="s">
        <v>42</v>
      </c>
    </row>
    <row r="77" spans="2:14" x14ac:dyDescent="0.2">
      <c r="B77" t="s">
        <v>129</v>
      </c>
      <c r="C77" s="183">
        <f t="array" ref="C77:D77">(S/D)^rhoS*pD*D/(pD*D+pW*M)</f>
        <v>0.96381792329050164</v>
      </c>
      <c r="D77" s="184">
        <v>0.94968696469905056</v>
      </c>
      <c r="E77" s="62" t="s">
        <v>127</v>
      </c>
      <c r="F77" s="63">
        <f t="array" ref="F77:G77">(aS*D^rhoS+bS*M^rhoS)^(1/rhoS)</f>
        <v>26548.356269999997</v>
      </c>
      <c r="G77" s="64">
        <v>1408.5418709999931</v>
      </c>
      <c r="J77">
        <v>0.95656838134985123</v>
      </c>
      <c r="K77">
        <v>0.88500540761921231</v>
      </c>
      <c r="M77">
        <v>0.97096440194717171</v>
      </c>
      <c r="N77">
        <v>0.94099850948718067</v>
      </c>
    </row>
    <row r="78" spans="2:14" x14ac:dyDescent="0.2">
      <c r="B78" t="s">
        <v>130</v>
      </c>
      <c r="C78" s="185">
        <f t="array" ref="C78:D78">(S/M)^rhoS*pW*M/(pD*D+pW*M)</f>
        <v>0.26656145772407763</v>
      </c>
      <c r="D78" s="186">
        <v>0.65721667750764312</v>
      </c>
      <c r="F78" s="129">
        <f t="array" ref="F78:G78">F77:G77-S</f>
        <v>0</v>
      </c>
      <c r="G78" s="130">
        <v>0</v>
      </c>
      <c r="J78">
        <v>0.29150803042407891</v>
      </c>
      <c r="K78">
        <v>0.76679688485558739</v>
      </c>
      <c r="M78">
        <v>0.23922401666925366</v>
      </c>
      <c r="N78">
        <v>0.68167509101198809</v>
      </c>
    </row>
    <row r="79" spans="2:14" x14ac:dyDescent="0.2">
      <c r="B79" t="s">
        <v>131</v>
      </c>
      <c r="C79" s="187">
        <v>2</v>
      </c>
      <c r="D79" s="188">
        <v>4</v>
      </c>
      <c r="J79">
        <v>2</v>
      </c>
      <c r="K79">
        <v>3.7610000000000001</v>
      </c>
      <c r="M79">
        <v>2</v>
      </c>
      <c r="N79">
        <v>4</v>
      </c>
    </row>
    <row r="80" spans="2:14" x14ac:dyDescent="0.2">
      <c r="B80" t="s">
        <v>132</v>
      </c>
      <c r="C80" s="189">
        <f t="array" ref="C80:D80">(sigmaS-1)/sigmaS</f>
        <v>0.5</v>
      </c>
      <c r="D80" s="190">
        <v>0.75</v>
      </c>
      <c r="J80">
        <v>0.5</v>
      </c>
      <c r="K80">
        <v>0.73411326774793939</v>
      </c>
      <c r="M80">
        <v>0.5</v>
      </c>
      <c r="N80">
        <v>0.75</v>
      </c>
    </row>
    <row r="81" spans="2:14" x14ac:dyDescent="0.2">
      <c r="C81" s="191"/>
      <c r="D81" s="191"/>
    </row>
    <row r="82" spans="2:14" x14ac:dyDescent="0.2">
      <c r="B82" t="s">
        <v>31</v>
      </c>
      <c r="C82" s="183">
        <f t="array" ref="C82:D82">(KL/K)^rhoKL*pK*K/(pK*K+pL*Labour)</f>
        <v>0.28094235829030489</v>
      </c>
      <c r="D82" s="184">
        <v>0.32620510382647611</v>
      </c>
      <c r="E82" s="62" t="s">
        <v>35</v>
      </c>
      <c r="F82" s="63">
        <f t="array" ref="F82:G82">(aKL*K^rhoKL+bKL*Labour^rhoKL)^(1/rhoKL)</f>
        <v>13763.097675999988</v>
      </c>
      <c r="G82" s="64">
        <v>382.36647900000008</v>
      </c>
      <c r="J82">
        <v>0.18451576952174367</v>
      </c>
      <c r="K82">
        <v>0.54253201298722808</v>
      </c>
      <c r="M82">
        <v>7.2859611873321836E-2</v>
      </c>
      <c r="N82">
        <v>5.3637383677496479E-2</v>
      </c>
    </row>
    <row r="83" spans="2:14" x14ac:dyDescent="0.2">
      <c r="B83" t="s">
        <v>32</v>
      </c>
      <c r="C83" s="185">
        <f t="array" ref="C83:D83">(KL/Labour)^rhoKL*pL*Labour/(pK*K+pL*Labour)</f>
        <v>0.27276306717624887</v>
      </c>
      <c r="D83" s="186">
        <v>6.3616578377826286E-3</v>
      </c>
      <c r="F83" s="129">
        <f t="array" ref="F83:G83">F82:G82-KL</f>
        <v>-1.6370904631912708E-11</v>
      </c>
      <c r="G83" s="130">
        <v>0</v>
      </c>
      <c r="J83">
        <v>0.1069127767935206</v>
      </c>
      <c r="K83">
        <v>2.4476064673301264E-2</v>
      </c>
      <c r="M83">
        <v>5.4594777174641881E-2</v>
      </c>
      <c r="N83">
        <v>1.1890509449475719E-4</v>
      </c>
    </row>
    <row r="84" spans="2:14" x14ac:dyDescent="0.2">
      <c r="B84" t="s">
        <v>33</v>
      </c>
      <c r="C84" s="187">
        <v>0.6</v>
      </c>
      <c r="D84" s="188">
        <v>0.3</v>
      </c>
      <c r="J84">
        <v>0.42</v>
      </c>
      <c r="K84">
        <v>0.45010780507311415</v>
      </c>
      <c r="M84">
        <v>0.3</v>
      </c>
      <c r="N84">
        <v>0.15</v>
      </c>
    </row>
    <row r="85" spans="2:14" x14ac:dyDescent="0.2">
      <c r="B85" t="s">
        <v>34</v>
      </c>
      <c r="C85" s="189">
        <f t="array" ref="C85:D85">(sigmaKL-1)/sigmaKL</f>
        <v>-0.66666666666666674</v>
      </c>
      <c r="D85" s="190">
        <v>-2.3333333333333335</v>
      </c>
      <c r="J85">
        <v>-1.3809523809523812</v>
      </c>
      <c r="K85">
        <v>-1.2216899789986155</v>
      </c>
      <c r="M85">
        <v>-2.3333333333333335</v>
      </c>
      <c r="N85">
        <v>-5.666666666666667</v>
      </c>
    </row>
    <row r="86" spans="2:14" x14ac:dyDescent="0.2">
      <c r="C86" s="191"/>
      <c r="D86" s="191"/>
    </row>
    <row r="87" spans="2:14" x14ac:dyDescent="0.2">
      <c r="B87" t="s">
        <v>49</v>
      </c>
      <c r="C87" s="183">
        <f t="array" ref="C87:D87">(KLE/KL)^rhoKLE*(pK*K+pL*Labour)/(pK*K+pL*Labour+pEY*alphaEY*Y)</f>
        <v>0.91823968729733552</v>
      </c>
      <c r="D87" s="184">
        <v>4.7914221543935986E-2</v>
      </c>
      <c r="E87" s="62" t="s">
        <v>53</v>
      </c>
      <c r="F87" s="63">
        <f t="array" ref="F87:G87">(aKLE*KL^rhoKLE+bKLE*(alphaEY*Y)^rhoKLE)^(1/rhoKLE)</f>
        <v>14362.768558</v>
      </c>
      <c r="G87" s="64">
        <v>817.26650999999947</v>
      </c>
      <c r="J87">
        <v>0.85732710021334335</v>
      </c>
      <c r="K87">
        <v>6.4436442297762988E-3</v>
      </c>
      <c r="M87">
        <v>0.90771284052375456</v>
      </c>
      <c r="N87">
        <v>6.1963941181865996E-2</v>
      </c>
    </row>
    <row r="88" spans="2:14" x14ac:dyDescent="0.2">
      <c r="B88" t="s">
        <v>50</v>
      </c>
      <c r="C88" s="185">
        <f t="array" ref="C88:D88">(KLE/(alphaEY*Y))^rhoKLE*pEY*alphaEY*Y/(pEY*alphaEY*Y+pK*K+pL*Labour)</f>
        <v>1.7332060821993295E-3</v>
      </c>
      <c r="D88" s="186">
        <v>7.8814252643960914E-2</v>
      </c>
      <c r="F88" s="129">
        <f t="array" ref="F88:G88">F87:G87-KLE</f>
        <v>0</v>
      </c>
      <c r="G88" s="130">
        <v>0</v>
      </c>
      <c r="J88">
        <v>1.757694977252001E-4</v>
      </c>
      <c r="K88">
        <v>0.13475758340934371</v>
      </c>
      <c r="M88">
        <v>2.214314390241483E-3</v>
      </c>
      <c r="N88">
        <v>6.1425571228765741E-2</v>
      </c>
    </row>
    <row r="89" spans="2:14" x14ac:dyDescent="0.2">
      <c r="B89" t="s">
        <v>51</v>
      </c>
      <c r="C89" s="187">
        <v>0.5</v>
      </c>
      <c r="D89" s="188">
        <v>0.25</v>
      </c>
      <c r="J89">
        <v>0.3518</v>
      </c>
      <c r="K89">
        <v>0.23739378994633001</v>
      </c>
      <c r="M89">
        <v>0.5</v>
      </c>
      <c r="N89">
        <v>0.25</v>
      </c>
    </row>
    <row r="90" spans="2:14" x14ac:dyDescent="0.2">
      <c r="B90" t="s">
        <v>52</v>
      </c>
      <c r="C90" s="189">
        <f t="array" ref="C90:D90">(sigmaKLE-1)/sigmaKLE</f>
        <v>-1</v>
      </c>
      <c r="D90" s="190">
        <v>-3</v>
      </c>
      <c r="J90">
        <v>-1.8425241614553725</v>
      </c>
      <c r="K90">
        <v>-3.2124101065410349</v>
      </c>
      <c r="M90">
        <v>-1</v>
      </c>
      <c r="N90">
        <v>-3</v>
      </c>
    </row>
    <row r="91" spans="2:14" x14ac:dyDescent="0.2">
      <c r="C91" s="191"/>
      <c r="D91" s="191"/>
    </row>
    <row r="92" spans="2:14" x14ac:dyDescent="0.2">
      <c r="B92" t="s">
        <v>37</v>
      </c>
      <c r="C92" s="183">
        <f t="array" ref="C92:D92">(Y/KLE)^rhoY*(pK*K+pL*Labour+pEY*alphaEY*Y)/(pK*K+pL*Labour+pEY*alphaEY*Y+pMY*alphaMY*Y)</f>
        <v>0.39008348025535444</v>
      </c>
      <c r="D92" s="184">
        <v>0.31136355826594386</v>
      </c>
      <c r="E92" s="62" t="s">
        <v>19</v>
      </c>
      <c r="F92" s="63">
        <f t="array" ref="F92:G92">(aY*KLE^rhoY+bY*(alphaMY*Y)^rhoY)^(1/rhoY)</f>
        <v>27857.010133999996</v>
      </c>
      <c r="G92" s="64">
        <v>1236.767447999998</v>
      </c>
      <c r="J92">
        <v>0.34302659523177403</v>
      </c>
      <c r="K92">
        <v>0.42557690792009023</v>
      </c>
      <c r="M92">
        <v>0.42285434707953978</v>
      </c>
      <c r="N92">
        <v>0.3208524508888656</v>
      </c>
    </row>
    <row r="93" spans="2:14" x14ac:dyDescent="0.2">
      <c r="B93" t="s">
        <v>38</v>
      </c>
      <c r="C93" s="185">
        <f t="array" ref="C93:D93">(Y/(alphaMY*Y))^rhoY*pMY*alphaMY*Y/(pMY*alphaMY*Y+pK*K+pL*Labour+pEY*alphaEY*Y)</f>
        <v>0.34926535250575885</v>
      </c>
      <c r="D93" s="186">
        <v>3.8919522129570013E-2</v>
      </c>
      <c r="F93" s="129">
        <f t="array" ref="F93:G93">F92:G92-Y</f>
        <v>0</v>
      </c>
      <c r="G93" s="130">
        <v>-2.2737367544323206E-12</v>
      </c>
      <c r="J93">
        <v>0.35296646929548525</v>
      </c>
      <c r="K93">
        <v>6.2733891927605194E-4</v>
      </c>
      <c r="M93">
        <v>0.3176642154488255</v>
      </c>
      <c r="N93">
        <v>3.8708344241683464E-2</v>
      </c>
    </row>
    <row r="94" spans="2:14" x14ac:dyDescent="0.2">
      <c r="B94" t="s">
        <v>39</v>
      </c>
      <c r="C94" s="187">
        <v>0.7</v>
      </c>
      <c r="D94" s="188">
        <v>0.35</v>
      </c>
      <c r="J94">
        <v>0.6678438215200766</v>
      </c>
      <c r="K94">
        <v>0.23777313182546062</v>
      </c>
      <c r="M94">
        <v>0.7</v>
      </c>
      <c r="N94">
        <v>0.35</v>
      </c>
    </row>
    <row r="95" spans="2:14" x14ac:dyDescent="0.2">
      <c r="B95" t="s">
        <v>40</v>
      </c>
      <c r="C95" s="189">
        <f t="array" ref="C95:D95">(sigmaY-1)/sigmaY</f>
        <v>-0.42857142857142866</v>
      </c>
      <c r="D95" s="190">
        <v>-1.8571428571428574</v>
      </c>
      <c r="J95">
        <v>-0.49735607005228272</v>
      </c>
      <c r="K95">
        <v>-3.205689651823481</v>
      </c>
      <c r="M95">
        <v>-0.42857142857142866</v>
      </c>
      <c r="N95">
        <v>-1.8571428571428574</v>
      </c>
    </row>
    <row r="96" spans="2:14" x14ac:dyDescent="0.2">
      <c r="C96" s="191"/>
      <c r="D96" s="191"/>
    </row>
    <row r="97" spans="2:14" x14ac:dyDescent="0.2">
      <c r="B97" t="s">
        <v>117</v>
      </c>
      <c r="C97" s="183">
        <f t="array" ref="C97:D97">(Y/D)^rhoX*pD*D/(pD*D+pX*X)</f>
        <v>1.0628046216829141</v>
      </c>
      <c r="D97" s="184">
        <v>1.0389584707528505</v>
      </c>
      <c r="E97" s="62" t="s">
        <v>19</v>
      </c>
      <c r="F97" s="63">
        <f t="array" ref="F97:G97">(aX*D^rhoX+bX*X^rhoX)^(1/rhoX)</f>
        <v>27857.010133999949</v>
      </c>
      <c r="G97" s="64">
        <v>1236.7674480000003</v>
      </c>
      <c r="J97">
        <v>1.0584279955606408</v>
      </c>
      <c r="K97">
        <v>1.0394054770479291</v>
      </c>
      <c r="M97">
        <v>1.056836685236574</v>
      </c>
      <c r="N97">
        <v>1.0883998615921</v>
      </c>
    </row>
    <row r="98" spans="2:14" x14ac:dyDescent="0.2">
      <c r="B98" t="s">
        <v>118</v>
      </c>
      <c r="C98" s="185">
        <f t="array" ref="C98:D98">(Y/X)^rhoX*pX*X/(pD*D+pX*X)</f>
        <v>2.9527629608409791</v>
      </c>
      <c r="D98" s="186">
        <v>3.686320128465423</v>
      </c>
      <c r="F98" s="129">
        <f t="array" ref="F98:G98">F97:G97-Y</f>
        <v>-4.7293724492192268E-11</v>
      </c>
      <c r="G98" s="130">
        <v>0</v>
      </c>
      <c r="J98">
        <v>3.0519891458809019</v>
      </c>
      <c r="K98">
        <v>3.6665272372954751</v>
      </c>
      <c r="M98">
        <v>3.09096156361904</v>
      </c>
      <c r="N98">
        <v>2.533120546112305</v>
      </c>
    </row>
    <row r="99" spans="2:14" x14ac:dyDescent="0.2">
      <c r="B99" t="s">
        <v>66</v>
      </c>
      <c r="C99" s="180">
        <v>-2</v>
      </c>
      <c r="D99" s="181">
        <v>-2</v>
      </c>
      <c r="J99">
        <v>-2</v>
      </c>
      <c r="K99">
        <v>-2</v>
      </c>
      <c r="M99">
        <v>-2</v>
      </c>
      <c r="N99">
        <v>-2</v>
      </c>
    </row>
    <row r="100" spans="2:14" x14ac:dyDescent="0.2">
      <c r="B100" t="s">
        <v>119</v>
      </c>
      <c r="C100" s="189">
        <f t="array" ref="C100:D100">(sigmaX - 1)/sigmaX</f>
        <v>1.5</v>
      </c>
      <c r="D100" s="190">
        <v>1.5</v>
      </c>
      <c r="J100">
        <v>1.5</v>
      </c>
      <c r="K100">
        <v>1.5</v>
      </c>
      <c r="M100">
        <v>1.5</v>
      </c>
      <c r="N100">
        <v>1.5</v>
      </c>
    </row>
    <row r="102" spans="2:14" x14ac:dyDescent="0.2">
      <c r="B102" t="s">
        <v>110</v>
      </c>
      <c r="C102" s="30">
        <v>-0.1</v>
      </c>
      <c r="J102">
        <v>-0.18</v>
      </c>
      <c r="M102">
        <v>-0.1</v>
      </c>
    </row>
    <row r="104" spans="2:14" x14ac:dyDescent="0.2">
      <c r="B104" t="s">
        <v>43</v>
      </c>
      <c r="C104" s="66">
        <f>(U/CQ)^rhoU*pCQ*CQ/(pCQ*CQ+pCE*CE)</f>
        <v>259.94917440961575</v>
      </c>
      <c r="E104" s="62" t="s">
        <v>47</v>
      </c>
      <c r="F104" s="65">
        <f>(aU*CQ^rhoU+bU*CE^rhoU)^(1/rhoU)</f>
        <v>1</v>
      </c>
      <c r="J104">
        <v>161.80093781026901</v>
      </c>
      <c r="M104">
        <v>236.92129697367815</v>
      </c>
    </row>
    <row r="105" spans="2:14" x14ac:dyDescent="0.2">
      <c r="B105" t="s">
        <v>44</v>
      </c>
      <c r="C105" s="67">
        <f>(U/CE)^rhoU*pCE*CE/(pCQ*CQ+pCE*CE)</f>
        <v>2.4275254555409633</v>
      </c>
      <c r="F105" s="123">
        <f t="array" ref="F105">F104-U</f>
        <v>0</v>
      </c>
      <c r="J105">
        <v>1.8943271858376676</v>
      </c>
      <c r="M105">
        <v>2.5407734799088928</v>
      </c>
    </row>
    <row r="106" spans="2:14" x14ac:dyDescent="0.2">
      <c r="B106" t="s">
        <v>45</v>
      </c>
      <c r="C106" s="238">
        <v>0.61</v>
      </c>
      <c r="J106">
        <v>0.62777368056390725</v>
      </c>
      <c r="M106">
        <v>0.61</v>
      </c>
    </row>
    <row r="107" spans="2:14" x14ac:dyDescent="0.2">
      <c r="B107" t="s">
        <v>46</v>
      </c>
      <c r="C107" s="68">
        <f>(sigmaU-1)/sigmaU</f>
        <v>-0.63934426229508201</v>
      </c>
      <c r="J107">
        <v>-0.59293075030118303</v>
      </c>
      <c r="M107">
        <v>-0.63934426229508201</v>
      </c>
    </row>
    <row r="109" spans="2:14" x14ac:dyDescent="0.2">
      <c r="J109">
        <v>-0.97777368056390723</v>
      </c>
      <c r="K109">
        <v>-0.65</v>
      </c>
    </row>
    <row r="111" spans="2:14" x14ac:dyDescent="0.2">
      <c r="H111" s="115"/>
      <c r="I111" s="115"/>
    </row>
    <row r="112" spans="2:14" x14ac:dyDescent="0.2">
      <c r="H112" s="115"/>
      <c r="I112" s="115"/>
    </row>
    <row r="113" spans="2:16" ht="10.5" x14ac:dyDescent="0.25">
      <c r="B113" s="96" t="s">
        <v>106</v>
      </c>
    </row>
    <row r="114" spans="2:16" x14ac:dyDescent="0.2">
      <c r="B114" t="s">
        <v>12</v>
      </c>
      <c r="C114" s="84">
        <f t="array" ref="C114:D114">pY</f>
        <v>1000</v>
      </c>
      <c r="D114" s="85">
        <v>1000</v>
      </c>
    </row>
    <row r="115" spans="2:16" x14ac:dyDescent="0.2">
      <c r="B115" t="s">
        <v>128</v>
      </c>
      <c r="C115" s="97">
        <f t="array" ref="C115:D115">pS</f>
        <v>1000</v>
      </c>
      <c r="D115" s="98">
        <v>1000</v>
      </c>
    </row>
    <row r="116" spans="2:16" x14ac:dyDescent="0.2">
      <c r="B116" t="s">
        <v>17</v>
      </c>
      <c r="C116" s="97">
        <f t="array" ref="C116:D116">w</f>
        <v>1000</v>
      </c>
      <c r="D116" s="98">
        <v>1000</v>
      </c>
    </row>
    <row r="117" spans="2:16" x14ac:dyDescent="0.2">
      <c r="B117" t="s">
        <v>18</v>
      </c>
      <c r="C117" s="156">
        <f t="array" ref="C117:D117">pK</f>
        <v>1000</v>
      </c>
      <c r="D117" s="157">
        <v>1000</v>
      </c>
    </row>
    <row r="118" spans="2:16" x14ac:dyDescent="0.2">
      <c r="B118" t="s">
        <v>61</v>
      </c>
      <c r="C118" s="156">
        <f t="array" ref="C118:D118">pKL</f>
        <v>1000</v>
      </c>
      <c r="D118" s="157">
        <v>1000</v>
      </c>
    </row>
    <row r="119" spans="2:16" x14ac:dyDescent="0.2">
      <c r="B119" t="s">
        <v>127</v>
      </c>
      <c r="C119" s="82">
        <f t="array" ref="C119:D119">S</f>
        <v>26548.356269999993</v>
      </c>
      <c r="D119" s="83">
        <v>1408.5418709999938</v>
      </c>
    </row>
    <row r="120" spans="2:16" x14ac:dyDescent="0.2">
      <c r="B120" t="s">
        <v>8</v>
      </c>
      <c r="C120" s="97">
        <f>C43</f>
        <v>3196.3846373657216</v>
      </c>
      <c r="D120" s="224">
        <f>D52</f>
        <v>5.7716594496607888E-3</v>
      </c>
      <c r="E120" t="s">
        <v>151</v>
      </c>
    </row>
    <row r="121" spans="2:16" x14ac:dyDescent="0.2">
      <c r="B121" t="s">
        <v>64</v>
      </c>
      <c r="C121" s="159">
        <f>GDP</f>
        <v>14734457.915000005</v>
      </c>
      <c r="D121" s="160">
        <v>0</v>
      </c>
    </row>
    <row r="122" spans="2:16" x14ac:dyDescent="0.2">
      <c r="B122" t="s">
        <v>27</v>
      </c>
      <c r="C122" s="159">
        <f t="array" ref="C122:D122">Labour</f>
        <v>5036.2953101960647</v>
      </c>
      <c r="D122" s="167">
        <v>74.905331803938267</v>
      </c>
    </row>
    <row r="123" spans="2:16" x14ac:dyDescent="0.2">
      <c r="B123" t="s">
        <v>19</v>
      </c>
      <c r="C123" s="158">
        <f t="array" ref="C123:D123">Y</f>
        <v>27857.010133999996</v>
      </c>
      <c r="D123" s="161">
        <v>1236.7674480000003</v>
      </c>
    </row>
    <row r="126" spans="2:16" x14ac:dyDescent="0.2">
      <c r="E126" s="29"/>
      <c r="F126" s="29"/>
      <c r="G126" s="29"/>
      <c r="H126" s="29"/>
      <c r="I126" s="29"/>
      <c r="J126" s="29"/>
      <c r="K126" s="29"/>
      <c r="L126" s="29"/>
      <c r="M126" s="29"/>
      <c r="N126" s="29"/>
      <c r="O126" s="29"/>
      <c r="P126" s="29"/>
    </row>
    <row r="127" spans="2:16" x14ac:dyDescent="0.2">
      <c r="E127" s="29"/>
      <c r="F127" s="29"/>
      <c r="G127" s="29"/>
      <c r="H127" s="29"/>
      <c r="I127" s="29"/>
      <c r="J127" s="29"/>
      <c r="K127" s="29"/>
      <c r="L127" s="29"/>
      <c r="M127" s="29"/>
      <c r="N127" s="29"/>
      <c r="O127" s="29"/>
      <c r="P127" s="29"/>
    </row>
  </sheetData>
  <conditionalFormatting sqref="C14:D14">
    <cfRule type="cellIs" dxfId="108" priority="28" stopIfTrue="1" operator="notEqual">
      <formula>0</formula>
    </cfRule>
  </conditionalFormatting>
  <conditionalFormatting sqref="K21:L21">
    <cfRule type="cellIs" dxfId="107" priority="27" stopIfTrue="1" operator="notEqual">
      <formula>0</formula>
    </cfRule>
  </conditionalFormatting>
  <conditionalFormatting sqref="K23:L23 K25:L30">
    <cfRule type="cellIs" dxfId="106" priority="26" stopIfTrue="1" operator="notEqual">
      <formula>0</formula>
    </cfRule>
  </conditionalFormatting>
  <conditionalFormatting sqref="K32:L32">
    <cfRule type="cellIs" dxfId="105" priority="25" stopIfTrue="1" operator="notEqual">
      <formula>0</formula>
    </cfRule>
  </conditionalFormatting>
  <conditionalFormatting sqref="K37:L39 K41:L43">
    <cfRule type="cellIs" dxfId="104" priority="24" stopIfTrue="1" operator="notEqual">
      <formula>0</formula>
    </cfRule>
  </conditionalFormatting>
  <conditionalFormatting sqref="K45:L48">
    <cfRule type="cellIs" dxfId="103" priority="23" stopIfTrue="1" operator="notEqual">
      <formula>0</formula>
    </cfRule>
  </conditionalFormatting>
  <conditionalFormatting sqref="K34:L35">
    <cfRule type="cellIs" dxfId="102" priority="22" stopIfTrue="1" operator="notEqual">
      <formula>0</formula>
    </cfRule>
  </conditionalFormatting>
  <conditionalFormatting sqref="K70:L73">
    <cfRule type="cellIs" dxfId="101" priority="21" stopIfTrue="1" operator="notEqual">
      <formula>0</formula>
    </cfRule>
  </conditionalFormatting>
  <conditionalFormatting sqref="K57">
    <cfRule type="cellIs" dxfId="100" priority="20" stopIfTrue="1" operator="notEqual">
      <formula>0</formula>
    </cfRule>
  </conditionalFormatting>
  <conditionalFormatting sqref="K55">
    <cfRule type="cellIs" dxfId="99" priority="19" stopIfTrue="1" operator="notEqual">
      <formula>0</formula>
    </cfRule>
  </conditionalFormatting>
  <conditionalFormatting sqref="F78:G78">
    <cfRule type="cellIs" dxfId="98" priority="18" stopIfTrue="1" operator="notEqual">
      <formula>0</formula>
    </cfRule>
  </conditionalFormatting>
  <conditionalFormatting sqref="F83:G83">
    <cfRule type="cellIs" dxfId="97" priority="17" stopIfTrue="1" operator="notEqual">
      <formula>0</formula>
    </cfRule>
  </conditionalFormatting>
  <conditionalFormatting sqref="F88:G88">
    <cfRule type="cellIs" dxfId="96" priority="16" stopIfTrue="1" operator="notEqual">
      <formula>0</formula>
    </cfRule>
  </conditionalFormatting>
  <conditionalFormatting sqref="F93:G93">
    <cfRule type="cellIs" dxfId="95" priority="15" stopIfTrue="1" operator="notEqual">
      <formula>0</formula>
    </cfRule>
  </conditionalFormatting>
  <conditionalFormatting sqref="F105">
    <cfRule type="cellIs" dxfId="94" priority="14" stopIfTrue="1" operator="notEqual">
      <formula>0</formula>
    </cfRule>
  </conditionalFormatting>
  <conditionalFormatting sqref="K44:L44">
    <cfRule type="cellIs" dxfId="93" priority="11" stopIfTrue="1" operator="notEqual">
      <formula>0</formula>
    </cfRule>
  </conditionalFormatting>
  <conditionalFormatting sqref="L57">
    <cfRule type="cellIs" dxfId="92" priority="8" stopIfTrue="1" operator="notEqual">
      <formula>0</formula>
    </cfRule>
  </conditionalFormatting>
  <conditionalFormatting sqref="K24:L24">
    <cfRule type="cellIs" dxfId="91" priority="6" stopIfTrue="1" operator="notEqual">
      <formula>0</formula>
    </cfRule>
  </conditionalFormatting>
  <conditionalFormatting sqref="K40:L40">
    <cfRule type="cellIs" dxfId="90" priority="5" stopIfTrue="1" operator="notEqual">
      <formula>0</formula>
    </cfRule>
  </conditionalFormatting>
  <conditionalFormatting sqref="F98:G98">
    <cfRule type="cellIs" dxfId="89" priority="3" stopIfTrue="1" operator="notEqual">
      <formula>0</formula>
    </cfRule>
  </conditionalFormatting>
  <conditionalFormatting sqref="K65">
    <cfRule type="cellIs" dxfId="88" priority="2" stopIfTrue="1" operator="notEqual">
      <formula>0</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B2:AL89"/>
  <sheetViews>
    <sheetView showGridLines="0" topLeftCell="K23" workbookViewId="0">
      <selection activeCell="K41" sqref="K41"/>
    </sheetView>
  </sheetViews>
  <sheetFormatPr baseColWidth="10" defaultRowHeight="10" x14ac:dyDescent="0.2"/>
  <cols>
    <col min="6" max="7" width="12" customWidth="1"/>
    <col min="11" max="11" width="12" customWidth="1"/>
    <col min="12" max="12" width="13" bestFit="1" customWidth="1"/>
    <col min="14" max="14" width="13" bestFit="1" customWidth="1"/>
    <col min="15" max="15" width="12.77734375" bestFit="1" customWidth="1"/>
  </cols>
  <sheetData>
    <row r="2" spans="2:18" ht="10.5" x14ac:dyDescent="0.25">
      <c r="B2" s="126" t="s">
        <v>68</v>
      </c>
      <c r="C2" s="2" t="s">
        <v>24</v>
      </c>
      <c r="D2" s="3" t="s">
        <v>25</v>
      </c>
      <c r="E2" s="4" t="s">
        <v>6</v>
      </c>
      <c r="F2" s="5" t="s">
        <v>7</v>
      </c>
      <c r="G2" s="5" t="s">
        <v>8</v>
      </c>
      <c r="H2" s="6" t="s">
        <v>0</v>
      </c>
      <c r="I2" s="1"/>
      <c r="K2" s="126" t="s">
        <v>86</v>
      </c>
      <c r="L2" s="2" t="s">
        <v>24</v>
      </c>
      <c r="M2" s="3" t="s">
        <v>25</v>
      </c>
      <c r="N2" s="4" t="s">
        <v>6</v>
      </c>
      <c r="O2" s="5" t="s">
        <v>7</v>
      </c>
      <c r="P2" s="5" t="s">
        <v>8</v>
      </c>
      <c r="Q2" s="6" t="s">
        <v>0</v>
      </c>
      <c r="R2" s="1"/>
    </row>
    <row r="3" spans="2:18" ht="10.5" x14ac:dyDescent="0.25">
      <c r="B3" s="2" t="s">
        <v>24</v>
      </c>
      <c r="C3" s="51">
        <f t="array" ref="C3:D11">Calibration!C3:D11</f>
        <v>13356525.920999993</v>
      </c>
      <c r="D3" s="52">
        <v>398781.47400000016</v>
      </c>
      <c r="E3" s="53">
        <f t="array" ref="E3:H4">Calibration!E3:H4</f>
        <v>6637565.1090000011</v>
      </c>
      <c r="F3" s="54">
        <v>3330668.2879999997</v>
      </c>
      <c r="G3" s="54">
        <v>3247244.4950000001</v>
      </c>
      <c r="H3" s="60">
        <v>3195047.6039999989</v>
      </c>
      <c r="I3" s="9">
        <f>SUM(C3:H3)</f>
        <v>30165832.890999991</v>
      </c>
      <c r="K3" s="2" t="s">
        <v>24</v>
      </c>
      <c r="L3" s="51">
        <f t="array" ref="L3:M4">pIC*alpha*Y</f>
        <v>8534040.6259688213</v>
      </c>
      <c r="M3" s="52">
        <v>2.9209418768110222E-2</v>
      </c>
      <c r="N3" s="53">
        <f t="array" ref="N3:N4">TRANSPOSE(pC*Consumption)</f>
        <v>3460324.844549675</v>
      </c>
      <c r="O3" s="54">
        <f t="array" ref="O3:O4">TRANSPOSE(pG*G)</f>
        <v>2822661.7136474568</v>
      </c>
      <c r="P3" s="54">
        <f t="array" ref="P3:P4">TRANSPOSE(pI*I)</f>
        <v>16618149.787652044</v>
      </c>
      <c r="Q3" s="60">
        <f t="array" ref="Q3:Q4">TRANSPOSE(pX*X)</f>
        <v>6118.8426267821769</v>
      </c>
      <c r="R3" s="9">
        <f t="array" ref="R3">SUM(L3:Q3)</f>
        <v>31441295.843654197</v>
      </c>
    </row>
    <row r="4" spans="2:18" ht="10.5" x14ac:dyDescent="0.25">
      <c r="B4" s="10" t="s">
        <v>25</v>
      </c>
      <c r="C4" s="55">
        <v>599670.88199999998</v>
      </c>
      <c r="D4" s="56">
        <v>434900.03099999996</v>
      </c>
      <c r="E4" s="55">
        <v>382100.58199999394</v>
      </c>
      <c r="F4" s="57">
        <v>0</v>
      </c>
      <c r="G4" s="57">
        <v>0</v>
      </c>
      <c r="H4" s="49">
        <v>91012.690000004077</v>
      </c>
      <c r="I4" s="11">
        <f>SUM(C4:H4)</f>
        <v>1507684.184999998</v>
      </c>
      <c r="K4" s="10" t="s">
        <v>25</v>
      </c>
      <c r="L4" s="55">
        <v>2193636.2705023144</v>
      </c>
      <c r="M4" s="56">
        <v>0.39076646977561624</v>
      </c>
      <c r="N4" s="55">
        <v>856304.17602496117</v>
      </c>
      <c r="O4" s="57">
        <v>0</v>
      </c>
      <c r="P4" s="57">
        <v>0</v>
      </c>
      <c r="Q4" s="49">
        <v>1.5025391960243989E-7</v>
      </c>
      <c r="R4" s="11">
        <f t="array" ref="R4">SUM(L4:Q4)</f>
        <v>3049940.8372938959</v>
      </c>
    </row>
    <row r="5" spans="2:18" x14ac:dyDescent="0.2">
      <c r="B5" s="12" t="s">
        <v>1</v>
      </c>
      <c r="C5" s="51">
        <v>5036295.3101960644</v>
      </c>
      <c r="D5" s="52">
        <v>74905.331803938272</v>
      </c>
      <c r="E5" s="13"/>
      <c r="F5" s="13"/>
      <c r="G5" s="13"/>
      <c r="H5" s="13"/>
      <c r="I5" s="1"/>
      <c r="K5" s="12" t="s">
        <v>1</v>
      </c>
      <c r="L5" s="51">
        <f t="array" ref="L5:M5">w*Labour</f>
        <v>3534757.9286699635</v>
      </c>
      <c r="M5" s="52">
        <v>5.745327532002938E-3</v>
      </c>
      <c r="N5" s="13"/>
      <c r="O5" s="13"/>
      <c r="P5" s="13"/>
      <c r="Q5" s="13"/>
      <c r="R5" s="1"/>
    </row>
    <row r="6" spans="2:18" x14ac:dyDescent="0.2">
      <c r="B6" s="14" t="s">
        <v>9</v>
      </c>
      <c r="C6" s="53">
        <v>2301604.2068039379</v>
      </c>
      <c r="D6" s="58">
        <v>34231.993196061703</v>
      </c>
      <c r="E6" s="13"/>
      <c r="F6" s="13"/>
      <c r="G6" s="13"/>
      <c r="H6" s="13"/>
      <c r="I6" s="1"/>
      <c r="K6" s="14" t="s">
        <v>9</v>
      </c>
      <c r="L6" s="53">
        <f t="array" ref="L6:M6">w*tauL*Labour</f>
        <v>1615396.4804624687</v>
      </c>
      <c r="M6" s="58">
        <v>2.6256343607082198E-3</v>
      </c>
      <c r="N6" s="13"/>
      <c r="O6" s="13"/>
      <c r="P6" s="13"/>
      <c r="Q6" s="13"/>
      <c r="R6" s="1"/>
    </row>
    <row r="7" spans="2:18" x14ac:dyDescent="0.2">
      <c r="B7" s="14" t="s">
        <v>10</v>
      </c>
      <c r="C7" s="53">
        <v>137715.65500000006</v>
      </c>
      <c r="D7" s="58">
        <v>20719.463999999996</v>
      </c>
      <c r="E7" s="13"/>
      <c r="F7" s="13"/>
      <c r="G7" s="13"/>
      <c r="H7" s="13"/>
      <c r="I7" s="1"/>
      <c r="K7" s="14" t="s">
        <v>10</v>
      </c>
      <c r="L7" s="53">
        <f t="array" ref="L7:M7">tauY*pY/(1+tauY)*Y</f>
        <v>97375.984766159323</v>
      </c>
      <c r="M7" s="58">
        <v>7.5535185208525039E-3</v>
      </c>
      <c r="N7" s="13"/>
      <c r="O7" s="13"/>
      <c r="P7" s="13"/>
      <c r="Q7" s="13"/>
      <c r="R7" s="1"/>
    </row>
    <row r="8" spans="2:18" x14ac:dyDescent="0.2">
      <c r="B8" s="14" t="s">
        <v>2</v>
      </c>
      <c r="C8" s="53">
        <v>6425198.1590000018</v>
      </c>
      <c r="D8" s="58">
        <v>273229.1540000001</v>
      </c>
      <c r="E8" s="13"/>
      <c r="F8" s="13"/>
      <c r="G8" s="13"/>
      <c r="H8" s="13"/>
      <c r="I8" s="1"/>
      <c r="K8" s="14" t="s">
        <v>2</v>
      </c>
      <c r="L8" s="53">
        <f t="array" ref="L8:M8">pK*kappa*Y</f>
        <v>3721927.3202623418</v>
      </c>
      <c r="M8" s="58">
        <v>1.4977405908385193E-2</v>
      </c>
      <c r="N8" s="13"/>
      <c r="O8" s="13"/>
      <c r="P8" s="13"/>
      <c r="Q8" s="13"/>
      <c r="R8" s="1"/>
    </row>
    <row r="9" spans="2:18" x14ac:dyDescent="0.2">
      <c r="B9" s="2" t="s">
        <v>3</v>
      </c>
      <c r="C9" s="127">
        <v>1886393.7399999965</v>
      </c>
      <c r="D9" s="128">
        <v>262787.11299999768</v>
      </c>
      <c r="E9" s="13"/>
      <c r="F9" s="13"/>
      <c r="G9" s="13"/>
      <c r="H9" s="13"/>
      <c r="I9" s="1"/>
      <c r="K9" s="2" t="s">
        <v>3</v>
      </c>
      <c r="L9" s="127">
        <f t="array" ref="L9:M9">pW*M</f>
        <v>11251808.832374092</v>
      </c>
      <c r="M9" s="128">
        <v>24649.856906493773</v>
      </c>
      <c r="N9" s="13"/>
      <c r="O9" s="13"/>
      <c r="P9" s="13"/>
      <c r="Q9" s="13"/>
      <c r="R9" s="1"/>
    </row>
    <row r="10" spans="2:18" x14ac:dyDescent="0.2">
      <c r="B10" s="2" t="s">
        <v>4</v>
      </c>
      <c r="C10" s="59">
        <v>422429.01700000005</v>
      </c>
      <c r="D10" s="60">
        <v>8129.6240000000016</v>
      </c>
      <c r="E10" s="13"/>
      <c r="F10" s="13"/>
      <c r="G10" s="13"/>
      <c r="H10" s="13"/>
      <c r="I10" s="1"/>
      <c r="K10" s="2" t="s">
        <v>4</v>
      </c>
      <c r="L10" s="59">
        <f t="array" ref="L10:M10">tauTS*pS*S</f>
        <v>492352.40198605548</v>
      </c>
      <c r="M10" s="60">
        <v>3025290.530213817</v>
      </c>
      <c r="N10" s="13"/>
      <c r="O10" s="13"/>
      <c r="P10" s="13"/>
      <c r="Q10" s="13"/>
      <c r="R10" s="1"/>
    </row>
    <row r="11" spans="2:18" x14ac:dyDescent="0.2">
      <c r="B11" s="15" t="s">
        <v>5</v>
      </c>
      <c r="C11" s="61">
        <v>0</v>
      </c>
      <c r="D11" s="49">
        <v>0</v>
      </c>
      <c r="E11" s="13"/>
      <c r="F11" s="50" t="s">
        <v>24</v>
      </c>
      <c r="G11" s="16" t="s">
        <v>25</v>
      </c>
      <c r="H11" s="13"/>
      <c r="I11" s="1"/>
      <c r="K11" s="15"/>
      <c r="L11" s="61"/>
      <c r="M11" s="49"/>
      <c r="N11" s="13"/>
      <c r="O11" s="104" t="s">
        <v>24</v>
      </c>
      <c r="P11" s="16" t="s">
        <v>25</v>
      </c>
      <c r="Q11" s="13"/>
      <c r="R11" s="1"/>
    </row>
    <row r="12" spans="2:18" ht="10.5" x14ac:dyDescent="0.25">
      <c r="B12" s="1"/>
      <c r="C12" s="17">
        <f>SUM(C3:C11)</f>
        <v>30165832.890999991</v>
      </c>
      <c r="D12" s="18">
        <f>SUM(D3:D11)</f>
        <v>1507684.184999998</v>
      </c>
      <c r="E12" s="19"/>
      <c r="F12" s="20">
        <f>SUM(C3:C8)</f>
        <v>27857010.133999996</v>
      </c>
      <c r="G12" s="21">
        <f>SUM(D3:D8)</f>
        <v>1236767.4480000003</v>
      </c>
      <c r="H12" s="1" t="s">
        <v>11</v>
      </c>
      <c r="I12" s="1"/>
      <c r="K12" s="1"/>
      <c r="L12" s="17">
        <f>SUM(L3:L11)</f>
        <v>31441295.844992217</v>
      </c>
      <c r="M12" s="18">
        <f>SUM(M3:M11)</f>
        <v>3049940.8379980857</v>
      </c>
      <c r="N12" s="19"/>
      <c r="O12" s="20">
        <f t="array" ref="O12:P12">pY*Y</f>
        <v>19697134.60999861</v>
      </c>
      <c r="P12" s="21">
        <v>0.45087777485245228</v>
      </c>
      <c r="Q12" s="1" t="s">
        <v>11</v>
      </c>
      <c r="R12" s="1"/>
    </row>
    <row r="13" spans="2:18" x14ac:dyDescent="0.2">
      <c r="B13" s="1"/>
      <c r="C13" s="1"/>
      <c r="D13" s="1"/>
      <c r="E13" s="13"/>
      <c r="F13" s="13"/>
      <c r="G13" s="13"/>
      <c r="H13" s="1"/>
      <c r="I13" s="1"/>
      <c r="K13" s="1"/>
      <c r="L13" s="1"/>
      <c r="M13" s="1"/>
      <c r="N13" s="13"/>
      <c r="O13" s="1"/>
      <c r="P13" s="1"/>
      <c r="Q13" s="1"/>
      <c r="R13" s="1"/>
    </row>
    <row r="14" spans="2:18" ht="10.5" x14ac:dyDescent="0.25">
      <c r="B14" s="22" t="s">
        <v>30</v>
      </c>
      <c r="C14" s="23">
        <f>I3-C12</f>
        <v>0</v>
      </c>
      <c r="D14" s="24">
        <f>I4-D12</f>
        <v>0</v>
      </c>
      <c r="E14" s="13"/>
      <c r="F14" s="13"/>
      <c r="G14" s="13"/>
      <c r="H14" s="13"/>
      <c r="I14" s="1"/>
      <c r="K14" s="22" t="s">
        <v>30</v>
      </c>
      <c r="L14" s="23">
        <f t="array" ref="L14">R3-L12</f>
        <v>-1.3380199670791626E-3</v>
      </c>
      <c r="M14" s="24">
        <f t="array" ref="M14">R4-M12</f>
        <v>-7.0418976247310638E-4</v>
      </c>
      <c r="N14" s="13"/>
      <c r="O14" s="13"/>
      <c r="P14" s="13"/>
      <c r="Q14" s="13"/>
      <c r="R14" s="1"/>
    </row>
    <row r="15" spans="2:18" x14ac:dyDescent="0.2">
      <c r="B15" s="1"/>
      <c r="C15" s="1"/>
      <c r="D15" s="1"/>
      <c r="E15" s="13"/>
      <c r="F15" s="25"/>
      <c r="G15" s="26"/>
      <c r="H15" s="13"/>
      <c r="I15" s="1"/>
    </row>
    <row r="16" spans="2:18" x14ac:dyDescent="0.2">
      <c r="G16" s="26"/>
      <c r="H16" s="27"/>
      <c r="I16" s="1"/>
    </row>
    <row r="17" spans="2:21" x14ac:dyDescent="0.2">
      <c r="K17" s="62" t="s">
        <v>65</v>
      </c>
      <c r="L17" s="131">
        <f>MAX(ERROR1,ERROR2,ERROR3,ERROR4,ERROR5,ERROR6,ERROR7,ERROR8,ERROR9,ERROR10,ERROR11,ABS(MIN(ERROR1,ERROR2,ERROR3,ERROR4,ERROR5,ERROR6,ERROR7,ERROR8,ERROR9,ERROR10,ERROR11)))</f>
        <v>3.9185911449024502E-7</v>
      </c>
    </row>
    <row r="19" spans="2:21" ht="10.5" x14ac:dyDescent="0.25">
      <c r="B19" s="96" t="s">
        <v>79</v>
      </c>
      <c r="C19" s="112" t="s">
        <v>87</v>
      </c>
      <c r="H19" s="96" t="s">
        <v>60</v>
      </c>
      <c r="K19" s="96" t="s">
        <v>59</v>
      </c>
      <c r="Q19" s="96" t="s">
        <v>42</v>
      </c>
    </row>
    <row r="21" spans="2:21" ht="10.5" x14ac:dyDescent="0.25">
      <c r="B21" t="s">
        <v>12</v>
      </c>
      <c r="C21" s="84">
        <f t="array" ref="C21:D21">ABS(C80:D80)</f>
        <v>7173.9586117612007</v>
      </c>
      <c r="D21" s="85">
        <v>60443.412305817888</v>
      </c>
      <c r="H21" s="63">
        <f t="array" ref="H21:I21">(aY^sigmaY*pKLE^(1-sigmaY)+bY^sigmaY*pMY^(1-sigmaY))^(1/(1-sigmaY))*(1+tauY)</f>
        <v>7173.9586119646883</v>
      </c>
      <c r="I21" s="64">
        <v>60443.412307611303</v>
      </c>
      <c r="J21" s="113" t="s">
        <v>69</v>
      </c>
      <c r="K21" s="120">
        <f t="array" ref="K21:L21">H21:I21/pY-1</f>
        <v>2.8364866011543199E-11</v>
      </c>
      <c r="L21" s="120">
        <v>2.9670932377712234E-11</v>
      </c>
      <c r="N21" s="71">
        <f t="array" ref="N21:O35">PRICES/Calibration!PRICES-1</f>
        <v>6.1739586117612006</v>
      </c>
      <c r="O21" s="72">
        <v>59.443412305817887</v>
      </c>
      <c r="Q21" s="120">
        <f t="array" ref="Q21:R21">(pKLE*KLE+pMY*alphaMY*Y)*(1+tauY)/Y-pY</f>
        <v>2.034857971011661E-7</v>
      </c>
      <c r="R21" s="120">
        <v>1.7934726201929152E-6</v>
      </c>
      <c r="T21" s="120">
        <f t="array" ref="T21:U21">(aX^sigmaX*pD^(1-sigmaX)+bX^sigmaX*pW^(1-sigmaX))^(1/(1-sigmaX))-pY</f>
        <v>-1.2732925824820995E-11</v>
      </c>
      <c r="U21" s="120">
        <v>-1.3824319466948509E-10</v>
      </c>
    </row>
    <row r="22" spans="2:21" x14ac:dyDescent="0.2">
      <c r="B22" t="s">
        <v>116</v>
      </c>
      <c r="C22" s="101">
        <f t="array" ref="C22:D22">Calibration!pW</f>
        <v>1000</v>
      </c>
      <c r="D22" s="102">
        <v>1000</v>
      </c>
      <c r="N22" s="73">
        <v>0</v>
      </c>
      <c r="O22" s="74">
        <v>0</v>
      </c>
    </row>
    <row r="23" spans="2:21" ht="10.5" x14ac:dyDescent="0.25">
      <c r="B23" t="s">
        <v>128</v>
      </c>
      <c r="C23" s="97">
        <f t="array" ref="C23:D23">ABS(C81:D81)</f>
        <v>5117.6158164992266</v>
      </c>
      <c r="D23" s="98">
        <v>1750.0585741682369</v>
      </c>
      <c r="H23" s="63">
        <f t="array" ref="H23:I23">(aS^sigmaS*pD^(1-sigmaS)+bS^sigmaS*pW^(1-sigmaS))^(1/(1-sigmaS))</f>
        <v>5117.6158166217538</v>
      </c>
      <c r="I23" s="64">
        <v>1750.058574176099</v>
      </c>
      <c r="J23" s="113" t="s">
        <v>121</v>
      </c>
      <c r="K23" s="120">
        <f t="array" ref="K23:L23">(pY*Y+pW*M)/(pS*S+pW*X)-1</f>
        <v>4.2683856449343693E-11</v>
      </c>
      <c r="L23" s="120">
        <v>-2.6743052217170771E-12</v>
      </c>
      <c r="N23" s="73">
        <v>4.1176158164992263</v>
      </c>
      <c r="O23" s="74">
        <v>0.75005857416823685</v>
      </c>
      <c r="Q23" s="120">
        <f t="array" ref="Q23:R23">pS*S-pD*D-pW*M</f>
        <v>-7.4083730578422546E-4</v>
      </c>
      <c r="R23" s="120">
        <v>-1.1075462680310011E-7</v>
      </c>
    </row>
    <row r="24" spans="2:21" x14ac:dyDescent="0.2">
      <c r="B24" t="s">
        <v>77</v>
      </c>
      <c r="C24" s="116">
        <f t="array" ref="C24:D24">aX^(sigmaX/(sigmaX-1))*(pY^(1-sigmaX)-bX^sigmaX*pW^(1-sigmaX))^(1/(1-sigmaX))</f>
        <v>7470.497281067248</v>
      </c>
      <c r="D24" s="174">
        <v>62003.240082804979</v>
      </c>
      <c r="N24" s="73">
        <v>6.4704972810672476</v>
      </c>
      <c r="O24" s="74">
        <v>61.003240082804979</v>
      </c>
    </row>
    <row r="25" spans="2:21" x14ac:dyDescent="0.2">
      <c r="B25" t="s">
        <v>13</v>
      </c>
      <c r="C25" s="33">
        <f t="array" ref="C25:D26">TRANSPOSE(pS*(1+tauTS))</f>
        <v>5199.0456947471057</v>
      </c>
      <c r="D25" s="34">
        <v>5199.0456947471057</v>
      </c>
      <c r="E25" t="s">
        <v>63</v>
      </c>
      <c r="N25" s="73">
        <v>4.1176158164992263</v>
      </c>
      <c r="O25" s="74">
        <v>4.1176158164992263</v>
      </c>
    </row>
    <row r="26" spans="2:21" x14ac:dyDescent="0.2">
      <c r="C26" s="35">
        <v>216531.78373979015</v>
      </c>
      <c r="D26" s="36">
        <v>216531.78373979015</v>
      </c>
      <c r="E26" t="s">
        <v>41</v>
      </c>
      <c r="N26" s="73">
        <v>214.28920774947289</v>
      </c>
      <c r="O26" s="74">
        <v>214.28920774947287</v>
      </c>
    </row>
    <row r="27" spans="2:21" ht="10.5" x14ac:dyDescent="0.25">
      <c r="B27" t="s">
        <v>14</v>
      </c>
      <c r="C27" s="41">
        <f t="array" ref="C27:D27">pS*(1+tauTS)</f>
        <v>5199.0456947471057</v>
      </c>
      <c r="D27" s="42">
        <v>216531.78373979015</v>
      </c>
      <c r="J27" s="96"/>
      <c r="N27" s="73">
        <v>4.1176158164992263</v>
      </c>
      <c r="O27" s="74">
        <v>214.28920774947292</v>
      </c>
    </row>
    <row r="28" spans="2:21" ht="10.5" x14ac:dyDescent="0.25">
      <c r="B28" t="s">
        <v>15</v>
      </c>
      <c r="C28" s="41">
        <f t="array" ref="C28:D28">pS*(1+tauTS)</f>
        <v>5199.0456947471057</v>
      </c>
      <c r="D28" s="42">
        <v>216531.78373979015</v>
      </c>
      <c r="J28" s="96"/>
      <c r="N28" s="73">
        <v>4.1176158164992271</v>
      </c>
      <c r="O28" s="74">
        <v>214.28920774947292</v>
      </c>
    </row>
    <row r="29" spans="2:21" ht="10.5" x14ac:dyDescent="0.25">
      <c r="B29" t="s">
        <v>29</v>
      </c>
      <c r="C29" s="41">
        <f t="array" ref="C29:D29">pS*(1+tauTS)</f>
        <v>5199.0456947471057</v>
      </c>
      <c r="D29" s="42">
        <v>216531.78373979015</v>
      </c>
      <c r="J29" s="96"/>
      <c r="N29" s="73">
        <v>4.1176158164992263</v>
      </c>
      <c r="O29" s="74">
        <v>214.28920774947292</v>
      </c>
    </row>
    <row r="30" spans="2:21" ht="10.5" x14ac:dyDescent="0.25">
      <c r="B30" t="s">
        <v>16</v>
      </c>
      <c r="C30" s="41">
        <f t="array" ref="C30:D30">pW</f>
        <v>1000</v>
      </c>
      <c r="D30" s="42">
        <v>1000</v>
      </c>
      <c r="J30" s="96"/>
      <c r="N30" s="73">
        <v>0</v>
      </c>
      <c r="O30" s="74">
        <v>0</v>
      </c>
    </row>
    <row r="31" spans="2:21" x14ac:dyDescent="0.2">
      <c r="B31" t="s">
        <v>17</v>
      </c>
      <c r="C31" s="97">
        <f>ABS(C82)</f>
        <v>8269.6189622403708</v>
      </c>
      <c r="D31" s="174">
        <f>wQ</f>
        <v>8269.6189622403708</v>
      </c>
      <c r="N31" s="73">
        <v>7.2696189622403704</v>
      </c>
      <c r="O31" s="74">
        <v>7.2696189622403704</v>
      </c>
    </row>
    <row r="32" spans="2:21" x14ac:dyDescent="0.2">
      <c r="B32" t="s">
        <v>36</v>
      </c>
      <c r="C32" s="41">
        <f t="array" ref="C32:D32">w*(1+tauL)</f>
        <v>12048.863152632588</v>
      </c>
      <c r="D32" s="42">
        <v>12048.86315263259</v>
      </c>
      <c r="N32" s="73">
        <v>7.2696189622403704</v>
      </c>
      <c r="O32" s="74">
        <v>7.2696189622403704</v>
      </c>
      <c r="Q32" s="120">
        <f t="array" ref="Q32:R32">bKL*(Labour/KL)^(rhoKL-1)*pKL/pL-1</f>
        <v>-4.9514725652954894E-11</v>
      </c>
      <c r="R32" s="120">
        <v>-1.1873703220643961E-7</v>
      </c>
      <c r="S32" t="s">
        <v>135</v>
      </c>
    </row>
    <row r="33" spans="2:19" x14ac:dyDescent="0.2">
      <c r="B33" t="s">
        <v>18</v>
      </c>
      <c r="C33" s="154">
        <f>ABS(C83)</f>
        <v>5117.6158164992266</v>
      </c>
      <c r="D33" s="175">
        <f>C33</f>
        <v>5117.6158164992266</v>
      </c>
      <c r="E33" t="s">
        <v>56</v>
      </c>
      <c r="N33" s="73">
        <v>4.1176158164992263</v>
      </c>
      <c r="O33" s="74">
        <v>4.1176158164992263</v>
      </c>
      <c r="Q33" s="120">
        <f t="array" ref="Q33:R33">aKL*(K/KL)^(rhoKL-1)*pKL/pK-1</f>
        <v>4.7686965487514499E-11</v>
      </c>
      <c r="R33" s="120">
        <v>6.6358252226450531E-8</v>
      </c>
      <c r="S33" t="s">
        <v>135</v>
      </c>
    </row>
    <row r="34" spans="2:19" ht="10.5" x14ac:dyDescent="0.25">
      <c r="B34" t="s">
        <v>61</v>
      </c>
      <c r="C34" s="97">
        <f t="array" ref="C34:D34">ABS(C84:D84)</f>
        <v>6685.557517947359</v>
      </c>
      <c r="D34" s="98">
        <v>5970.6380088927863</v>
      </c>
      <c r="J34" s="113" t="s">
        <v>134</v>
      </c>
      <c r="K34" s="120">
        <f t="array" ref="K34:L34">pKL*KL/(pK*K+pL*Labour)-1</f>
        <v>-8.737677248404907E-12</v>
      </c>
      <c r="L34" s="120">
        <v>-2.9402036361148021E-12</v>
      </c>
      <c r="N34" s="73">
        <v>5.685557517947359</v>
      </c>
      <c r="O34" s="74">
        <v>4.9706380088927862</v>
      </c>
      <c r="Q34" s="120">
        <f t="array" ref="Q34:R34">(aKL^sigmaKL*pK^(1-sigmaKL)+bKL^sigmaKL*pL^(1-sigmaKL))^((rhoKL-1)/rhoKL)-pKL</f>
        <v>5.8416844694875181E-8</v>
      </c>
      <c r="R34" s="120">
        <v>1.7535057850182056E-8</v>
      </c>
      <c r="S34" t="s">
        <v>135</v>
      </c>
    </row>
    <row r="35" spans="2:19" x14ac:dyDescent="0.2">
      <c r="B35" t="s">
        <v>62</v>
      </c>
      <c r="C35" s="35">
        <f t="array" ref="C35:D35">(aKLE^sigmaKLE*pKL^(1-sigmaKLE)+bKLE^sigmaKLE*pEY^(1-sigmaKLE))^(1/(1-sigmaKLE))</f>
        <v>9549.9658396470149</v>
      </c>
      <c r="D35" s="36">
        <v>100306.2298973771</v>
      </c>
      <c r="N35" s="75">
        <v>8.5499658396470153</v>
      </c>
      <c r="O35" s="76">
        <v>99.306229897377094</v>
      </c>
      <c r="Q35" s="120">
        <f t="array" ref="Q35:R35">(pKL*KL+pEY*alphaEY*Y)/KLE-pKLE</f>
        <v>0</v>
      </c>
      <c r="R35" s="120">
        <v>0</v>
      </c>
    </row>
    <row r="37" spans="2:19" ht="10.5" x14ac:dyDescent="0.25">
      <c r="B37" t="s">
        <v>19</v>
      </c>
      <c r="C37" s="84">
        <f t="array" ref="C37:D37">ABS(C89:D89)</f>
        <v>2745.6437478892817</v>
      </c>
      <c r="D37" s="85">
        <v>7.4595023287435038E-6</v>
      </c>
      <c r="H37" s="63">
        <f t="array" ref="H37:I37">(aX*D^rhoX+bX*X^rhoX)^(1/rhoX)</f>
        <v>2745.6437478084081</v>
      </c>
      <c r="I37" s="64">
        <v>7.4595052518174808E-6</v>
      </c>
      <c r="J37" s="113" t="s">
        <v>120</v>
      </c>
      <c r="K37" s="120">
        <f t="array" ref="K37:L37">H37:I37/Y-1</f>
        <v>-2.9455216044027566E-11</v>
      </c>
      <c r="L37" s="120">
        <v>3.9185911449024502E-7</v>
      </c>
      <c r="N37" s="71">
        <f t="array" ref="N37:O48">VOLUMES/Calibration!VOLUMES-1</f>
        <v>-0.90143795997194354</v>
      </c>
      <c r="O37" s="72">
        <v>-0.99999999396854899</v>
      </c>
      <c r="Q37" s="120">
        <f t="array" ref="Q37:R37">(aY*KLE^rhoY+bY*(alphaMY*Y)^rhoY)^(1/rhoY)-Y</f>
        <v>5.4569682106375694E-12</v>
      </c>
      <c r="R37" s="120">
        <v>1.2705494208814505E-20</v>
      </c>
    </row>
    <row r="38" spans="2:19" x14ac:dyDescent="0.2">
      <c r="B38" t="s">
        <v>3</v>
      </c>
      <c r="C38" s="41">
        <f t="array" ref="C38:D38">(bS/pW)^sigmaS*(aS^sigmaS*pD^(1-sigmaS)+bS^sigmaS*pW^(1-sigmaS))^(-1/rhoS)*S</f>
        <v>11251.808832374092</v>
      </c>
      <c r="D38" s="42">
        <v>24.649856906493774</v>
      </c>
      <c r="N38" s="73">
        <v>4.9647191324829736</v>
      </c>
      <c r="O38" s="74">
        <v>-0.90619838003055353</v>
      </c>
      <c r="Q38" s="120">
        <f t="array" ref="Q38:R38">pD*D+pW*M-pS*S</f>
        <v>7.4083730578422546E-4</v>
      </c>
      <c r="R38" s="120">
        <v>1.1075462680310011E-7</v>
      </c>
    </row>
    <row r="39" spans="2:19" ht="10.5" x14ac:dyDescent="0.25">
      <c r="B39" t="s">
        <v>127</v>
      </c>
      <c r="C39" s="82">
        <f t="array" ref="C39:D39">ABS(C85:D85)</f>
        <v>6046.3359712671336</v>
      </c>
      <c r="D39" s="83">
        <v>14.08541870999948</v>
      </c>
      <c r="E39" t="s">
        <v>122</v>
      </c>
      <c r="H39" s="63">
        <f t="array" ref="H39:I39">MMULT(Y,TRANSPOSE(alpha))+Consumption+G+I</f>
        <v>6046.3359713857062</v>
      </c>
      <c r="I39" s="64">
        <v>14.085418706747044</v>
      </c>
      <c r="J39" s="113" t="s">
        <v>72</v>
      </c>
      <c r="K39" s="120">
        <f t="array" ref="K39:L39">H39:I39/S-1</f>
        <v>1.961075746237384E-11</v>
      </c>
      <c r="L39" s="120">
        <v>-2.3090807044212625E-10</v>
      </c>
      <c r="N39" s="73">
        <v>-0.77225196506423355</v>
      </c>
      <c r="O39" s="74">
        <v>-0.99000000000000032</v>
      </c>
    </row>
    <row r="40" spans="2:19" x14ac:dyDescent="0.2">
      <c r="B40" t="s">
        <v>76</v>
      </c>
      <c r="C40" s="41">
        <f t="array" ref="C40:D40">(aS/pD)^sigmaS*(aS^sigmaS*pD^(1-sigmaS)+bS^sigmaS*pW^(1-sigmaS))^(-1/rhoS)*S</f>
        <v>2635.8373513762326</v>
      </c>
      <c r="D40" s="42">
        <v>7.2718425791451018E-6</v>
      </c>
      <c r="F40" s="166"/>
      <c r="N40" s="75">
        <v>-0.89312134635798457</v>
      </c>
      <c r="O40" s="76">
        <v>-0.99999999365322945</v>
      </c>
    </row>
    <row r="41" spans="2:19" ht="10.5" x14ac:dyDescent="0.25">
      <c r="B41" t="s">
        <v>28</v>
      </c>
      <c r="C41" s="41">
        <f>(aU/pCQ)^sigmaU/(aU^sigmaU*pCQ^(1-sigmaU)+bU^sigmaU*pCE^(1-sigmaU))*Revenue</f>
        <v>665.56923091594285</v>
      </c>
      <c r="D41" s="42">
        <f>(bU/pCE)^sigmaU/(aU^sigmaU*pCQ^(1-sigmaU)+bU^sigmaU*pCE^(1-sigmaU))*Revenue</f>
        <v>3.9546350251009623</v>
      </c>
      <c r="E41" t="s">
        <v>57</v>
      </c>
      <c r="H41" s="62" t="s">
        <v>67</v>
      </c>
      <c r="I41" s="94">
        <v>0.99000000000000032</v>
      </c>
      <c r="J41" s="113" t="s">
        <v>73</v>
      </c>
      <c r="K41" s="120">
        <f>Model!SE/(1-I41)/Calibration!SE-1</f>
        <v>0</v>
      </c>
      <c r="N41" s="73">
        <v>-0.89813138611451349</v>
      </c>
      <c r="O41" s="74">
        <v>-0.98959054233601351</v>
      </c>
    </row>
    <row r="42" spans="2:19" x14ac:dyDescent="0.2">
      <c r="B42" t="s">
        <v>7</v>
      </c>
      <c r="C42" s="116">
        <f t="array" ref="C42">omegaG*GDP/pG</f>
        <v>542.91919697865978</v>
      </c>
      <c r="D42" s="8">
        <v>0</v>
      </c>
      <c r="N42" s="73">
        <v>-0.83440021425293387</v>
      </c>
      <c r="O42" s="74" t="e">
        <v>#DIV/0!</v>
      </c>
    </row>
    <row r="43" spans="2:19" x14ac:dyDescent="0.2">
      <c r="B43" t="s">
        <v>8</v>
      </c>
      <c r="C43" s="97">
        <f>ABS(C86)</f>
        <v>3196.3846373657216</v>
      </c>
      <c r="D43" s="8">
        <v>0</v>
      </c>
      <c r="J43" s="62"/>
      <c r="N43" s="73">
        <v>0</v>
      </c>
      <c r="O43" s="74" t="e">
        <v>#DIV/0!</v>
      </c>
    </row>
    <row r="44" spans="2:19" x14ac:dyDescent="0.2">
      <c r="B44" t="s">
        <v>0</v>
      </c>
      <c r="C44" s="168">
        <f t="array" ref="C44:D44">(bX/pX)^sigmaX*(aX^sigmaX*pD^(1-sigmaX)+bX^sigmaX*pX^(1-sigmaX))^(-1/rhoX)*Y</f>
        <v>6.1188426267821772</v>
      </c>
      <c r="D44" s="169">
        <v>1.502539196024399E-10</v>
      </c>
      <c r="N44" s="73">
        <v>-0.99808489782151544</v>
      </c>
      <c r="O44" s="74">
        <v>-0.9999999999983491</v>
      </c>
    </row>
    <row r="45" spans="2:19" x14ac:dyDescent="0.2">
      <c r="B45" t="s">
        <v>27</v>
      </c>
      <c r="C45" s="84">
        <f t="array" ref="C45:D45">ABS(C88:D88)</f>
        <v>427.43903253703741</v>
      </c>
      <c r="D45" s="85">
        <v>6.9475117998017619E-7</v>
      </c>
      <c r="H45" s="29"/>
      <c r="N45" s="73">
        <v>-0.91512828255490108</v>
      </c>
      <c r="O45" s="74">
        <v>-0.99999999072494361</v>
      </c>
      <c r="Q45" s="120">
        <f t="array" ref="Q45:R45">(bKL/pL)^sigmaKL*(aKL^sigmaKL*pK^(1-sigmaKL)+bKL^sigmaKL*pL^(1-sigmaKL))^(-1/rhoKL)*KL/Labour-1</f>
        <v>-2.4466317860571962E-11</v>
      </c>
      <c r="R45" s="120">
        <v>-3.5620229765775946E-8</v>
      </c>
      <c r="S45" t="s">
        <v>135</v>
      </c>
    </row>
    <row r="46" spans="2:19" x14ac:dyDescent="0.2">
      <c r="B46" t="s">
        <v>2</v>
      </c>
      <c r="C46" s="35">
        <f t="array" ref="C46:D46">(KL^rhoKL/aKL-bKL*Labour^rhoKL/aKL)^(1/rhoKL)</f>
        <v>727.27759443427226</v>
      </c>
      <c r="D46" s="36">
        <v>2.9266374119170762E-6</v>
      </c>
      <c r="N46" s="73">
        <v>-0.88680853470401544</v>
      </c>
      <c r="O46" s="74">
        <v>-0.99999998928870737</v>
      </c>
      <c r="Q46" s="120">
        <f t="array" ref="Q46:R46">(aKL/pK)^sigmaKL*(aKL^sigmaKL*pK^(1-sigmaKL)+bKL^sigmaKL*pL^(1-sigmaKL))^(-1/rhoKL)*KL/K-1</f>
        <v>3.3855362957524449E-11</v>
      </c>
      <c r="R46" s="120">
        <v>1.9908356296838292E-8</v>
      </c>
      <c r="S46" t="s">
        <v>135</v>
      </c>
    </row>
    <row r="47" spans="2:19" x14ac:dyDescent="0.2">
      <c r="B47" t="s">
        <v>35</v>
      </c>
      <c r="C47" s="41">
        <f t="array" ref="C47:D47">(aKLE/pKL)^sigmaKLE*(aKLE^sigmaKLE*pKL^(1-sigmaKLE)+bKLE^sigmaKLE*pEY^(1-sigmaKLE))^(-1/rhoKLE)*KLE</f>
        <v>1327.0518884177088</v>
      </c>
      <c r="D47" s="42">
        <v>3.9105314651888428E-6</v>
      </c>
      <c r="N47" s="73">
        <v>-0.90357898202438736</v>
      </c>
      <c r="O47" s="74">
        <v>-0.99999998977281823</v>
      </c>
      <c r="Q47" s="120">
        <f t="array" ref="Q47:R47">(aKL*K^rhoKL+bKL*Labour^rhoKL)^(1/rhoKL)-KL</f>
        <v>0</v>
      </c>
      <c r="R47" s="120">
        <v>0</v>
      </c>
    </row>
    <row r="48" spans="2:19" x14ac:dyDescent="0.2">
      <c r="B48" t="s">
        <v>53</v>
      </c>
      <c r="C48" s="35">
        <f t="array" ref="C48:D48">(aY/pKLE)^sigmaY*(aY^sigmaY*pKLE^(1-sigmaY)+bY^sigmaY*pMY^(1-sigmaY))^(-1/rhoY)*Y</f>
        <v>1158.7180714175809</v>
      </c>
      <c r="D48" s="36">
        <v>4.1285056571294038E-6</v>
      </c>
      <c r="N48" s="75">
        <v>-0.91932488038511351</v>
      </c>
      <c r="O48" s="76">
        <v>-0.99999999494839731</v>
      </c>
      <c r="Q48" s="120">
        <f t="array" ref="Q48:R48">(aKLE*KL^rhoKLE+bKLE*(alphaEY*Y)^rhoKLE)^(1/rhoKLE)-KLE</f>
        <v>0</v>
      </c>
      <c r="R48" s="120">
        <v>6.7762635780344027E-21</v>
      </c>
    </row>
    <row r="50" spans="2:38" x14ac:dyDescent="0.2">
      <c r="B50" t="s">
        <v>26</v>
      </c>
      <c r="C50" s="91">
        <f t="array" ref="C50:D50">Calibration!tauL</f>
        <v>0.45700342514552333</v>
      </c>
      <c r="D50" s="92">
        <v>0.4570034251455235</v>
      </c>
    </row>
    <row r="51" spans="2:38" x14ac:dyDescent="0.2">
      <c r="B51" t="s">
        <v>20</v>
      </c>
      <c r="C51" s="234">
        <f t="array" ref="C51:D51">Calibration!tauY</f>
        <v>4.9682236719384319E-3</v>
      </c>
      <c r="D51" s="235">
        <v>1.7038360552061892E-2</v>
      </c>
    </row>
    <row r="52" spans="2:38" x14ac:dyDescent="0.2">
      <c r="B52" t="s">
        <v>152</v>
      </c>
      <c r="C52" s="93">
        <f>Calibration!C52</f>
        <v>1.5911682542747503E-2</v>
      </c>
      <c r="D52" s="225">
        <f>D86</f>
        <v>122.72830654694103</v>
      </c>
      <c r="J52" s="29"/>
      <c r="AA52" s="81"/>
    </row>
    <row r="53" spans="2:38" x14ac:dyDescent="0.2">
      <c r="C53" s="29"/>
      <c r="D53" s="29"/>
      <c r="Y53" s="81"/>
      <c r="AA53" s="81"/>
      <c r="AC53" s="81"/>
    </row>
    <row r="54" spans="2:38" ht="10.5" x14ac:dyDescent="0.25">
      <c r="C54" s="29"/>
      <c r="D54" s="29"/>
      <c r="K54" s="194" t="s">
        <v>157</v>
      </c>
      <c r="U54" s="136" t="s">
        <v>89</v>
      </c>
      <c r="W54" s="136" t="s">
        <v>90</v>
      </c>
      <c r="Y54" s="136" t="s">
        <v>163</v>
      </c>
      <c r="AA54" s="194" t="s">
        <v>144</v>
      </c>
      <c r="AC54" s="194" t="s">
        <v>162</v>
      </c>
      <c r="AE54" s="194" t="s">
        <v>146</v>
      </c>
      <c r="AG54" s="194" t="s">
        <v>158</v>
      </c>
      <c r="AI54" s="194" t="s">
        <v>157</v>
      </c>
      <c r="AK54" s="194" t="s">
        <v>148</v>
      </c>
    </row>
    <row r="55" spans="2:38" ht="10.5" x14ac:dyDescent="0.25">
      <c r="B55" t="s">
        <v>48</v>
      </c>
      <c r="C55" s="119">
        <f t="array" ref="C55">SUM(w*tauL*Labour+tauY/(1+tauY)*pY*Y+tauTS*pS*S)</f>
        <v>5230415.4076076532</v>
      </c>
      <c r="J55" s="113" t="s">
        <v>71</v>
      </c>
      <c r="K55" s="120">
        <f t="array" ref="K55">pK/pI/Calibration!pK*Calibration!pI-1</f>
        <v>0</v>
      </c>
      <c r="N55" s="77">
        <f t="array" ref="N55:N59">AGGREGATES/Calibration!AGGREGATES-1</f>
        <v>0.78828016641611987</v>
      </c>
      <c r="T55" s="113" t="s">
        <v>137</v>
      </c>
      <c r="U55" s="120">
        <f>SUM(K)/SUM(Calibration!K)-1</f>
        <v>-0.89142561927193831</v>
      </c>
      <c r="W55" s="120">
        <f>SUM(K)/SUM(Calibration!K)-1</f>
        <v>-0.89142561927193831</v>
      </c>
      <c r="Y55" s="120">
        <f>SUM(K)/SUM(Calibration!K)-1</f>
        <v>-0.89142561927193831</v>
      </c>
      <c r="AA55" s="120">
        <f>SUM(K)/SUM(Calibration!K)-1</f>
        <v>-0.89142561927193831</v>
      </c>
      <c r="AC55" s="120">
        <f>SUM(K)/SUM(Calibration!K)-1</f>
        <v>-0.89142561927193831</v>
      </c>
      <c r="AE55" s="120">
        <f>SUM(K)/SUM(Calibration!K)-1</f>
        <v>-0.89142561927193831</v>
      </c>
      <c r="AG55" s="120">
        <f t="array" ref="AG55">pK/pI/Calibration!pK*Calibration!pI*20%^sigmaw*(20%+80%*(SUM(Calibration!K)-SUM(K))/SUM(Calibration!K))^-sigmaw-1</f>
        <v>0.16399405108787768</v>
      </c>
      <c r="AI55" s="120">
        <f t="array" ref="AI55">pK/pI/Calibration!pK*Calibration!pI-1</f>
        <v>0</v>
      </c>
      <c r="AK55" s="120">
        <f>SUM(K)/SUM(Calibration!K)-1</f>
        <v>-0.89142561927193831</v>
      </c>
    </row>
    <row r="56" spans="2:38" ht="10.5" x14ac:dyDescent="0.25">
      <c r="B56" t="s">
        <v>47</v>
      </c>
      <c r="C56" s="80">
        <f>(aU*CQ^rhoU+bU*CE^rhoU)^(1/rhoU)</f>
        <v>7.8679685803707156E-2</v>
      </c>
      <c r="J56" s="113" t="s">
        <v>74</v>
      </c>
      <c r="K56" s="120">
        <f t="array" ref="K56">w/CPI/Calibration!w*10.8%^sigmaw*(10.8%+89.2%*(SUM(Calibration!Labour)-SUM(Labour))/SUM(Calibration!Labour))^-sigmaw-1</f>
        <v>-8.4366069685870571E-11</v>
      </c>
      <c r="N56" s="78">
        <v>-0.9213203141962929</v>
      </c>
      <c r="T56" s="113" t="s">
        <v>138</v>
      </c>
      <c r="U56" s="120">
        <f>SUM(Labour)/SUM(Calibration!Labour)-1</f>
        <v>-0.91637208883575882</v>
      </c>
      <c r="W56" s="120">
        <f>SUM(Labour)/SUM(Calibration!Labour)-1</f>
        <v>-0.91637208883575882</v>
      </c>
      <c r="Y56" s="120">
        <f>SUM(Labour)/SUM(Calibration!Labour)-1</f>
        <v>-0.91637208883575882</v>
      </c>
      <c r="AA56" s="120">
        <f t="array" ref="AA56">omegaI*GDP/SUM(pI*I)-1</f>
        <v>-0.83440021425293387</v>
      </c>
      <c r="AC56" s="120">
        <f t="array" ref="AC56">w/CPI/Calibration!w-1</f>
        <v>-0.19330522721255072</v>
      </c>
      <c r="AE56" s="120">
        <f t="array" ref="AE56">w/CPI/Calibration!w-1</f>
        <v>-0.19330522721255072</v>
      </c>
      <c r="AG56" s="120">
        <f t="array" ref="AG56">w/CPI/Calibration!w*10.8%^sigmaw*(10.8%+89.2%*(SUM(Calibration!Labour)-SUM(Labour))/SUM(Calibration!Labour))^-sigmaw-1</f>
        <v>-8.4366069685870571E-11</v>
      </c>
      <c r="AI56" s="120">
        <f t="array" ref="AI56">w/CPI/Calibration!w*10.8%^sigmaw*(10.8%+89.2%*(SUM(Calibration!Labour)-SUM(Labour))/SUM(Calibration!Labour))^-sigmaw-1</f>
        <v>-8.4366069685870571E-11</v>
      </c>
      <c r="AK56" s="120">
        <f t="array" ref="AK56">w/CPI/Calibration!w-1</f>
        <v>-0.19330522721255072</v>
      </c>
    </row>
    <row r="57" spans="2:38" ht="10.5" x14ac:dyDescent="0.25">
      <c r="B57" t="s">
        <v>64</v>
      </c>
      <c r="C57" s="86">
        <f>ABS(C87)</f>
        <v>12487100.675220482</v>
      </c>
      <c r="J57" s="113" t="s">
        <v>88</v>
      </c>
      <c r="K57" s="120">
        <f t="array" ref="K57">I/SUM(K)/Calibration!I*SUM(K)-1</f>
        <v>0</v>
      </c>
      <c r="N57" s="78">
        <v>-0.15252391725193115</v>
      </c>
      <c r="Q57" s="120">
        <f t="array" ref="Q57">(SUM(pC*Consumption+pG*G+pI*I)+B)/GDP-1</f>
        <v>0</v>
      </c>
      <c r="R57" s="120">
        <f t="array" ref="R57">SUM(w*Labour,pK*K,T)/GDP-1</f>
        <v>1.6354562148990226E-10</v>
      </c>
      <c r="T57" s="113" t="s">
        <v>139</v>
      </c>
      <c r="U57" s="120">
        <f>B/GDP/Calibration!B*Calibration!GDP-1</f>
        <v>-12.697556420554172</v>
      </c>
      <c r="W57" s="120">
        <f>B/GDP/Calibration!B*Calibration!GDP-1</f>
        <v>-12.697556420554172</v>
      </c>
      <c r="Y57" s="120">
        <f>B/GDP/Calibration!B*Calibration!GDP-1</f>
        <v>-12.697556420554172</v>
      </c>
      <c r="AA57" s="120">
        <f>B/GDP/Calibration!B*Calibration!GDP-1</f>
        <v>-12.697556420554172</v>
      </c>
      <c r="AC57" s="120">
        <f>B/GDP/Calibration!B*Calibration!GDP-1</f>
        <v>-12.697556420554172</v>
      </c>
      <c r="AE57" s="120">
        <f>B/GDP/Calibration!B*Calibration!GDP-1</f>
        <v>-12.697556420554172</v>
      </c>
      <c r="AG57" s="120">
        <f>B/GDP/Calibration!B*Calibration!GDP-1</f>
        <v>-12.697556420554172</v>
      </c>
      <c r="AI57" s="120">
        <f t="array" ref="AI57">I/SUM(K)/Calibration!I*SUM(K)-1</f>
        <v>0</v>
      </c>
      <c r="AK57" s="120">
        <f>B/GDP/Calibration!B*Calibration!GDP-1</f>
        <v>-12.697556420554172</v>
      </c>
    </row>
    <row r="58" spans="2:38" ht="10.5" x14ac:dyDescent="0.25">
      <c r="B58" t="s">
        <v>54</v>
      </c>
      <c r="C58" s="117">
        <f t="array" ref="C58">GDP-SUM(pG*G,pI*I,B)</f>
        <v>4316629.0205746349</v>
      </c>
      <c r="J58" s="113" t="s">
        <v>136</v>
      </c>
      <c r="K58" s="120">
        <f t="array" ref="K58:L58">bKL*(KL/Labour)^(1/sigmaKL)*pKL/pL-1</f>
        <v>-4.9514725652954894E-11</v>
      </c>
      <c r="L58" s="120">
        <v>-1.1873703220643961E-7</v>
      </c>
      <c r="N58" s="78">
        <v>-0.38506629651764757</v>
      </c>
      <c r="Q58" s="120">
        <f t="array" ref="Q58">SUM(pC*Consumption)-Revenue</f>
        <v>0</v>
      </c>
      <c r="T58" s="113" t="s">
        <v>140</v>
      </c>
      <c r="U58" s="120">
        <f t="array" ref="U58:V58">bKL*(KL/Labour)^(1/sigmaKL)*pKL/pL-1</f>
        <v>-4.9514725652954894E-11</v>
      </c>
      <c r="V58" s="120">
        <v>-1.1873703220643961E-7</v>
      </c>
      <c r="W58" s="120">
        <f t="array" ref="W58:X58">bKL*(KL/Labour)^(1/sigmaKL)*pKL/pL-1</f>
        <v>-4.9514725652954894E-11</v>
      </c>
      <c r="X58" s="120">
        <v>-1.1873703220643961E-7</v>
      </c>
      <c r="Y58" s="120">
        <f t="array" ref="Y58">omegaI*GDP/SUM(pI*I)-1</f>
        <v>-0.83440021425293387</v>
      </c>
      <c r="Z58" s="120">
        <f>Labour_Q/KL_Q/Calibration!Labour_Q*Calibration!KL_Q-Labour_E/KL_E/Calibration!Labour_E*Calibration!KL_E</f>
        <v>-2.6682383764010442E-2</v>
      </c>
      <c r="AA58" s="120">
        <f t="array" ref="AA58:AB58">bKL*(KL/Labour)^(1/sigmaKL)*pKL/pL-1</f>
        <v>-4.9514725652954894E-11</v>
      </c>
      <c r="AB58" s="120">
        <v>-1.1873703220643961E-7</v>
      </c>
      <c r="AC58" s="120">
        <f t="array" ref="AC58">omegaI*GDP/SUM(pI*I)-1</f>
        <v>-0.83440021425293387</v>
      </c>
      <c r="AD58" s="120">
        <f>Labour_Q/KL_Q/Calibration!Labour_Q*Calibration!KL_Q-Labour_E/KL_E/Calibration!Labour_E*Calibration!KL_E</f>
        <v>-2.6682383764010442E-2</v>
      </c>
      <c r="AE58" s="120">
        <f t="array" ref="AE58">omegaI*GDP/SUM(pI*I)-1</f>
        <v>-0.83440021425293387</v>
      </c>
      <c r="AF58" s="120">
        <f>Labour_Q/KL_Q/Calibration!Labour_Q*Calibration!KL_Q-Labour_E/KL_E/Calibration!Labour_E*Calibration!KL_E</f>
        <v>-2.6682383764010442E-2</v>
      </c>
      <c r="AG58" s="120">
        <f t="array" ref="AG58:AH58">bKL*(KL/Labour)^(1/sigmaKL)*pKL/pL-1</f>
        <v>-4.9514725652954894E-11</v>
      </c>
      <c r="AH58" s="120">
        <v>-1.1873703220643961E-7</v>
      </c>
      <c r="AI58" s="120">
        <f t="array" ref="AI58:AJ58">bKL*(KL/Labour)^(1/sigmaKL)*pKL/pL-1</f>
        <v>-4.9514725652954894E-11</v>
      </c>
      <c r="AJ58" s="120">
        <v>-1.1873703220643961E-7</v>
      </c>
      <c r="AK58" s="120">
        <f t="array" ref="AK58">(pI*I)/(Calibration!pI*Calibration!I)-1</f>
        <v>4.1176158164992263</v>
      </c>
      <c r="AL58" s="120">
        <f>Labour_Q/KL_Q/Calibration!Labour_Q*Calibration!KL_Q-Labour_E/KL_E/Calibration!Labour_E*Calibration!KL_E</f>
        <v>-2.6682383764010442E-2</v>
      </c>
    </row>
    <row r="59" spans="2:38" ht="10.5" x14ac:dyDescent="0.25">
      <c r="B59" t="s">
        <v>75</v>
      </c>
      <c r="C59" s="117">
        <f t="array" ref="C59">SUM(pX*X - pW*M)</f>
        <v>-11270339.846653653</v>
      </c>
      <c r="J59" s="113" t="s">
        <v>70</v>
      </c>
      <c r="K59" s="120">
        <f t="array" ref="K59">(sL*(SUM(w*Labour))+sG*(T-SUM(pG*G))+sK*SUM(pK*K)-B)/SUM(pI*I)-1</f>
        <v>1.5279755238850612E-10</v>
      </c>
      <c r="N59" s="79">
        <v>-10.91339929301577</v>
      </c>
      <c r="T59" s="113" t="s">
        <v>141</v>
      </c>
      <c r="U59" s="120">
        <f t="array" ref="U59">(sL*(SUM(w*Labour))+sG*(T-SUM(pG*G))+sK*SUM(pK*K)-B)/SUM(pI*I)-1</f>
        <v>1.5279755238850612E-10</v>
      </c>
      <c r="W59" s="120">
        <f t="array" ref="W59">omegaI*GDP/SUM(pI*I)-1</f>
        <v>-0.83440021425293387</v>
      </c>
      <c r="Y59" s="120">
        <f t="array" ref="Y59">(sL*(SUM(w*Labour))+sG*(T-SUM(pG*G))+sK*SUM(pK*K)-B)/SUM(pI*I)-1</f>
        <v>1.5279755238850612E-10</v>
      </c>
      <c r="AA59" s="120">
        <f t="array" ref="AA59">(sL*(SUM(w*Labour))+sG*(T-SUM(pG*G))+sK*SUM(pK*K)-B)/SUM(pI*I)-1</f>
        <v>1.5279755238850612E-10</v>
      </c>
      <c r="AC59" s="120">
        <f t="array" ref="AC59">(sL*(SUM(w*Labour))+sG*(T-SUM(pG*G))+sK*SUM(pK*K)-B)/SUM(pI*I)-1</f>
        <v>1.5279755238850612E-10</v>
      </c>
      <c r="AE59" s="120">
        <f t="array" ref="AE59">(sL*(SUM(w*Labour))+sG*(T-SUM(pG*G))+sK*SUM(pK*K)-B)/SUM(pI*I)-1</f>
        <v>1.5279755238850612E-10</v>
      </c>
      <c r="AG59" s="120">
        <f t="array" ref="AG59">(sL*(SUM(w*Labour))+sG*(T-SUM(pG*G))+sK*SUM(pK*K)-B)/SUM(pI*I)-1</f>
        <v>1.5279755238850612E-10</v>
      </c>
      <c r="AI59" s="120">
        <f t="array" ref="AI59">(sL*(SUM(w*Labour))+sG*(T-SUM(pG*G))+sK*SUM(pK*K)-B)/SUM(pI*I)-1</f>
        <v>1.5279755238850612E-10</v>
      </c>
      <c r="AK59" s="120">
        <f t="array" ref="AK59">(sL*(SUM(w*Labour))+sG*(T-SUM(pG*G))+sK*SUM(pK*K)-B)/SUM(pI*I)-1</f>
        <v>1.5279755238850612E-10</v>
      </c>
    </row>
    <row r="60" spans="2:38" ht="10.5" x14ac:dyDescent="0.25">
      <c r="B60" t="s">
        <v>161</v>
      </c>
      <c r="C60" s="232">
        <f t="array" ref="C60">SQRT(SUM(pC*Calibration!Consumption)*SUM(pC*Consumption)/SUM(Calibration!pC*Calibration!Consumption)/SUM(Calibration!pC*Consumption))</f>
        <v>10.251236578198677</v>
      </c>
      <c r="J60" s="113" t="s">
        <v>91</v>
      </c>
      <c r="K60" s="176">
        <v>0.40093276768106162</v>
      </c>
      <c r="N60" s="134"/>
      <c r="T60" s="113" t="s">
        <v>91</v>
      </c>
      <c r="U60" s="176">
        <v>0.40093276768106162</v>
      </c>
      <c r="W60" s="176">
        <v>0.40093276768106162</v>
      </c>
      <c r="Y60" s="176">
        <v>0</v>
      </c>
      <c r="AA60" s="176">
        <v>0.40093276768106162</v>
      </c>
      <c r="AC60" s="176">
        <v>0.40093276768106162</v>
      </c>
      <c r="AE60" s="176">
        <v>0</v>
      </c>
      <c r="AG60" s="176">
        <v>0.40093276768106162</v>
      </c>
      <c r="AI60" s="176">
        <v>0.40093276768106162</v>
      </c>
      <c r="AK60" s="176">
        <v>0.40093276768106162</v>
      </c>
    </row>
    <row r="61" spans="2:38" ht="10.5" x14ac:dyDescent="0.25">
      <c r="C61" s="29"/>
      <c r="O61" s="96"/>
      <c r="P61" s="96"/>
      <c r="Q61" s="96"/>
      <c r="R61" s="96"/>
    </row>
    <row r="62" spans="2:38" x14ac:dyDescent="0.2">
      <c r="B62" t="s">
        <v>111</v>
      </c>
      <c r="C62" s="192">
        <f>Calibration!omegaG</f>
        <v>0.22604620456442484</v>
      </c>
      <c r="D62" t="s">
        <v>81</v>
      </c>
    </row>
    <row r="63" spans="2:38" x14ac:dyDescent="0.2">
      <c r="B63" t="s">
        <v>112</v>
      </c>
      <c r="C63" s="192">
        <f>Calibration!omegaI</f>
        <v>0.22038438833194082</v>
      </c>
      <c r="D63" t="s">
        <v>82</v>
      </c>
    </row>
    <row r="64" spans="2:38" x14ac:dyDescent="0.2">
      <c r="B64" t="s">
        <v>98</v>
      </c>
      <c r="C64" s="163">
        <f t="array" ref="C64">(SUM(pI*I)+B)/GDP</f>
        <v>0.42826674342512783</v>
      </c>
      <c r="D64" t="s">
        <v>113</v>
      </c>
    </row>
    <row r="65" spans="2:15" x14ac:dyDescent="0.2">
      <c r="B65" t="s">
        <v>84</v>
      </c>
      <c r="C65" s="192">
        <f>Calibration!sK</f>
        <v>0.40915789876687553</v>
      </c>
      <c r="D65" t="s">
        <v>114</v>
      </c>
    </row>
    <row r="66" spans="2:15" x14ac:dyDescent="0.2">
      <c r="B66" t="s">
        <v>85</v>
      </c>
      <c r="C66" s="192">
        <f>Calibration!sL</f>
        <v>0.40093276768106162</v>
      </c>
      <c r="D66" t="s">
        <v>115</v>
      </c>
    </row>
    <row r="67" spans="2:15" x14ac:dyDescent="0.2">
      <c r="B67" t="s">
        <v>123</v>
      </c>
      <c r="C67" s="192">
        <f>Calibration!sG</f>
        <v>1</v>
      </c>
      <c r="D67" t="s">
        <v>153</v>
      </c>
    </row>
    <row r="69" spans="2:15" x14ac:dyDescent="0.2">
      <c r="C69" s="137"/>
    </row>
    <row r="70" spans="2:15" x14ac:dyDescent="0.2">
      <c r="B70" t="s">
        <v>21</v>
      </c>
      <c r="C70" s="37">
        <f t="array" ref="C70:D70">(bY/pMY)^sigmaY*(aY^sigmaY*pKLE^(1-sigmaY)+bY^sigmaY*pMY^(1-sigmaY))^(-1/rhoY)</f>
        <v>0.59784263773078083</v>
      </c>
      <c r="D70" s="38">
        <v>0.75316378060019895</v>
      </c>
      <c r="E70" t="s">
        <v>24</v>
      </c>
      <c r="N70" s="71">
        <f t="array" ref="N70:O73">FACTORS/Calibration!FACTORS-1</f>
        <v>0.26672934294829864</v>
      </c>
      <c r="O70" s="72">
        <v>1.373003905686943</v>
      </c>
    </row>
    <row r="71" spans="2:15" x14ac:dyDescent="0.2">
      <c r="C71" s="39">
        <f t="array" ref="C71:D71">(bKLE/pEY)^sigmaKLE*(aKLE^sigmaKLE*pKL^(1-sigmaKLE)+bKLE^sigmaKLE*pEY^(1-sigmaKLE))^(-1/rhoKLE)*KLE/Y</f>
        <v>3.6897656095307763E-3</v>
      </c>
      <c r="D71" s="40">
        <v>0.24192780440142911</v>
      </c>
      <c r="E71" t="s">
        <v>25</v>
      </c>
      <c r="N71" s="73">
        <v>-0.82760696586593052</v>
      </c>
      <c r="O71" s="74">
        <v>-0.30803554614834416</v>
      </c>
    </row>
    <row r="72" spans="2:15" x14ac:dyDescent="0.2">
      <c r="B72" t="s">
        <v>22</v>
      </c>
      <c r="C72" s="37">
        <f t="array" ref="C72:D72">Labour/Y</f>
        <v>0.15567898525277793</v>
      </c>
      <c r="D72" s="38">
        <v>9.3136398296051165E-2</v>
      </c>
      <c r="N72" s="73">
        <v>-0.13890056028731179</v>
      </c>
      <c r="O72" s="74">
        <v>0.53778192903569222</v>
      </c>
    </row>
    <row r="73" spans="2:15" x14ac:dyDescent="0.2">
      <c r="B73" t="s">
        <v>23</v>
      </c>
      <c r="C73" s="39">
        <f t="array" ref="C73:D73">K/Y</f>
        <v>0.26488418062007069</v>
      </c>
      <c r="D73" s="40">
        <v>0.3923368185890822</v>
      </c>
      <c r="N73" s="75">
        <v>0.14842859648363316</v>
      </c>
      <c r="O73" s="76">
        <v>0.77590640961710133</v>
      </c>
    </row>
    <row r="79" spans="2:15" ht="10.5" x14ac:dyDescent="0.25">
      <c r="B79" s="96" t="s">
        <v>106</v>
      </c>
    </row>
    <row r="80" spans="2:15" x14ac:dyDescent="0.2">
      <c r="B80" t="s">
        <v>12</v>
      </c>
      <c r="C80" s="84">
        <v>7173.9586117612007</v>
      </c>
      <c r="D80" s="85">
        <v>60443.412305817888</v>
      </c>
    </row>
    <row r="81" spans="2:5" x14ac:dyDescent="0.2">
      <c r="B81" t="s">
        <v>128</v>
      </c>
      <c r="C81" s="97">
        <v>5117.6158164992266</v>
      </c>
      <c r="D81" s="98">
        <v>1750.0585741682369</v>
      </c>
    </row>
    <row r="82" spans="2:5" x14ac:dyDescent="0.2">
      <c r="B82" t="s">
        <v>17</v>
      </c>
      <c r="C82" s="97">
        <v>8269.6189622403708</v>
      </c>
      <c r="D82" s="98">
        <v>1000</v>
      </c>
    </row>
    <row r="83" spans="2:5" x14ac:dyDescent="0.2">
      <c r="B83" t="s">
        <v>18</v>
      </c>
      <c r="C83" s="156">
        <v>5117.6158164992266</v>
      </c>
      <c r="D83" s="157">
        <v>1000</v>
      </c>
    </row>
    <row r="84" spans="2:5" x14ac:dyDescent="0.2">
      <c r="B84" t="s">
        <v>61</v>
      </c>
      <c r="C84" s="156">
        <v>6685.557517947359</v>
      </c>
      <c r="D84" s="157">
        <v>5970.6380088927863</v>
      </c>
    </row>
    <row r="85" spans="2:5" x14ac:dyDescent="0.2">
      <c r="B85" t="s">
        <v>127</v>
      </c>
      <c r="C85" s="82">
        <v>6046.3359712671336</v>
      </c>
      <c r="D85" s="83">
        <v>14.08541870999948</v>
      </c>
    </row>
    <row r="86" spans="2:5" x14ac:dyDescent="0.2">
      <c r="B86" t="s">
        <v>8</v>
      </c>
      <c r="C86" s="97">
        <v>3196.3846373657216</v>
      </c>
      <c r="D86" s="224">
        <v>122.72830654694103</v>
      </c>
      <c r="E86" t="s">
        <v>164</v>
      </c>
    </row>
    <row r="87" spans="2:5" x14ac:dyDescent="0.2">
      <c r="B87" t="s">
        <v>64</v>
      </c>
      <c r="C87" s="159">
        <v>12487100.675220482</v>
      </c>
      <c r="D87" s="160">
        <v>0</v>
      </c>
    </row>
    <row r="88" spans="2:5" x14ac:dyDescent="0.2">
      <c r="B88" t="s">
        <v>27</v>
      </c>
      <c r="C88" s="159">
        <v>427.43903253703741</v>
      </c>
      <c r="D88" s="167">
        <v>6.9475117998017619E-7</v>
      </c>
    </row>
    <row r="89" spans="2:5" x14ac:dyDescent="0.2">
      <c r="B89" t="s">
        <v>19</v>
      </c>
      <c r="C89" s="158">
        <v>2745.6437478892817</v>
      </c>
      <c r="D89" s="161">
        <v>7.4595023287435038E-6</v>
      </c>
    </row>
  </sheetData>
  <conditionalFormatting sqref="K21:L21">
    <cfRule type="cellIs" dxfId="87" priority="1892" stopIfTrue="1" operator="notEqual">
      <formula>0</formula>
    </cfRule>
  </conditionalFormatting>
  <conditionalFormatting sqref="Q48:R48">
    <cfRule type="cellIs" dxfId="86" priority="1881" stopIfTrue="1" operator="notEqual">
      <formula>0</formula>
    </cfRule>
  </conditionalFormatting>
  <conditionalFormatting sqref="K39:L39">
    <cfRule type="cellIs" dxfId="85" priority="1889" stopIfTrue="1" operator="notEqual">
      <formula>0</formula>
    </cfRule>
  </conditionalFormatting>
  <conditionalFormatting sqref="K41">
    <cfRule type="cellIs" dxfId="84" priority="1888" stopIfTrue="1" operator="notEqual">
      <formula>0</formula>
    </cfRule>
  </conditionalFormatting>
  <conditionalFormatting sqref="Q47:R47">
    <cfRule type="cellIs" dxfId="83" priority="1886" stopIfTrue="1" operator="notEqual">
      <formula>0</formula>
    </cfRule>
  </conditionalFormatting>
  <conditionalFormatting sqref="Q37:R37">
    <cfRule type="cellIs" dxfId="82" priority="1883" stopIfTrue="1" operator="notEqual">
      <formula>0</formula>
    </cfRule>
  </conditionalFormatting>
  <conditionalFormatting sqref="R57">
    <cfRule type="cellIs" dxfId="81" priority="1877" stopIfTrue="1" operator="notEqual">
      <formula>0</formula>
    </cfRule>
  </conditionalFormatting>
  <conditionalFormatting sqref="Q57:Q58">
    <cfRule type="cellIs" dxfId="80" priority="1879" stopIfTrue="1" operator="notEqual">
      <formula>0</formula>
    </cfRule>
  </conditionalFormatting>
  <conditionalFormatting sqref="W59">
    <cfRule type="cellIs" dxfId="79" priority="1824" stopIfTrue="1" operator="notEqual">
      <formula>0</formula>
    </cfRule>
  </conditionalFormatting>
  <conditionalFormatting sqref="K37:L37">
    <cfRule type="cellIs" dxfId="78" priority="1458" stopIfTrue="1" operator="notEqual">
      <formula>0</formula>
    </cfRule>
  </conditionalFormatting>
  <conditionalFormatting sqref="Q21:R21">
    <cfRule type="cellIs" dxfId="77" priority="1441" stopIfTrue="1" operator="notEqual">
      <formula>0</formula>
    </cfRule>
  </conditionalFormatting>
  <conditionalFormatting sqref="Q23:R23">
    <cfRule type="cellIs" dxfId="76" priority="1445" stopIfTrue="1" operator="notEqual">
      <formula>0</formula>
    </cfRule>
  </conditionalFormatting>
  <conditionalFormatting sqref="Q38:R38">
    <cfRule type="cellIs" dxfId="75" priority="1444" stopIfTrue="1" operator="notEqual">
      <formula>0</formula>
    </cfRule>
  </conditionalFormatting>
  <conditionalFormatting sqref="Q34:R34">
    <cfRule type="cellIs" dxfId="74" priority="1443" stopIfTrue="1" operator="notEqual">
      <formula>0</formula>
    </cfRule>
  </conditionalFormatting>
  <conditionalFormatting sqref="Q35:R35">
    <cfRule type="cellIs" dxfId="73" priority="1442" stopIfTrue="1" operator="notEqual">
      <formula>0</formula>
    </cfRule>
  </conditionalFormatting>
  <conditionalFormatting sqref="K23:L23">
    <cfRule type="cellIs" dxfId="72" priority="1440" stopIfTrue="1" operator="notEqual">
      <formula>0</formula>
    </cfRule>
  </conditionalFormatting>
  <conditionalFormatting sqref="K34:L34">
    <cfRule type="cellIs" dxfId="71" priority="1211" stopIfTrue="1" operator="notEqual">
      <formula>0</formula>
    </cfRule>
  </conditionalFormatting>
  <conditionalFormatting sqref="Q33:R33">
    <cfRule type="cellIs" dxfId="70" priority="1205" stopIfTrue="1" operator="notEqual">
      <formula>0</formula>
    </cfRule>
  </conditionalFormatting>
  <conditionalFormatting sqref="Q46:R46">
    <cfRule type="cellIs" dxfId="69" priority="1209" stopIfTrue="1" operator="notEqual">
      <formula>0</formula>
    </cfRule>
  </conditionalFormatting>
  <conditionalFormatting sqref="Q45:R45">
    <cfRule type="cellIs" dxfId="68" priority="1210" stopIfTrue="1" operator="notEqual">
      <formula>0</formula>
    </cfRule>
  </conditionalFormatting>
  <conditionalFormatting sqref="W58">
    <cfRule type="cellIs" dxfId="67" priority="1196" stopIfTrue="1" operator="notEqual">
      <formula>0</formula>
    </cfRule>
  </conditionalFormatting>
  <conditionalFormatting sqref="Q32:R32">
    <cfRule type="cellIs" dxfId="66" priority="1206" stopIfTrue="1" operator="notEqual">
      <formula>0</formula>
    </cfRule>
  </conditionalFormatting>
  <conditionalFormatting sqref="X58">
    <cfRule type="cellIs" dxfId="65" priority="1195" stopIfTrue="1" operator="notEqual">
      <formula>0</formula>
    </cfRule>
  </conditionalFormatting>
  <conditionalFormatting sqref="W55">
    <cfRule type="cellIs" dxfId="64" priority="1154" stopIfTrue="1" operator="notEqual">
      <formula>0</formula>
    </cfRule>
  </conditionalFormatting>
  <conditionalFormatting sqref="W56">
    <cfRule type="cellIs" dxfId="63" priority="1153" stopIfTrue="1" operator="notEqual">
      <formula>0</formula>
    </cfRule>
  </conditionalFormatting>
  <conditionalFormatting sqref="Y55">
    <cfRule type="cellIs" dxfId="62" priority="1151" stopIfTrue="1" operator="notEqual">
      <formula>0</formula>
    </cfRule>
  </conditionalFormatting>
  <conditionalFormatting sqref="Y56">
    <cfRule type="cellIs" dxfId="61" priority="1150" stopIfTrue="1" operator="notEqual">
      <formula>0</formula>
    </cfRule>
  </conditionalFormatting>
  <conditionalFormatting sqref="AA59">
    <cfRule type="cellIs" dxfId="60" priority="1147" stopIfTrue="1" operator="notEqual">
      <formula>0</formula>
    </cfRule>
  </conditionalFormatting>
  <conditionalFormatting sqref="AA55">
    <cfRule type="cellIs" dxfId="59" priority="1145" stopIfTrue="1" operator="notEqual">
      <formula>0</formula>
    </cfRule>
  </conditionalFormatting>
  <conditionalFormatting sqref="AA58">
    <cfRule type="cellIs" dxfId="58" priority="1141" stopIfTrue="1" operator="notEqual">
      <formula>0</formula>
    </cfRule>
  </conditionalFormatting>
  <conditionalFormatting sqref="AB58">
    <cfRule type="cellIs" dxfId="57" priority="1140" stopIfTrue="1" operator="notEqual">
      <formula>0</formula>
    </cfRule>
  </conditionalFormatting>
  <conditionalFormatting sqref="U58">
    <cfRule type="cellIs" dxfId="56" priority="1118" stopIfTrue="1" operator="notEqual">
      <formula>0</formula>
    </cfRule>
  </conditionalFormatting>
  <conditionalFormatting sqref="V58">
    <cfRule type="cellIs" dxfId="55" priority="1117" stopIfTrue="1" operator="notEqual">
      <formula>0</formula>
    </cfRule>
  </conditionalFormatting>
  <conditionalFormatting sqref="U57">
    <cfRule type="cellIs" dxfId="54" priority="1115" stopIfTrue="1" operator="notEqual">
      <formula>0</formula>
    </cfRule>
  </conditionalFormatting>
  <conditionalFormatting sqref="U55">
    <cfRule type="cellIs" dxfId="53" priority="1119" stopIfTrue="1" operator="notEqual">
      <formula>0</formula>
    </cfRule>
  </conditionalFormatting>
  <conditionalFormatting sqref="U56">
    <cfRule type="cellIs" dxfId="52" priority="1116" stopIfTrue="1" operator="notEqual">
      <formula>0</formula>
    </cfRule>
  </conditionalFormatting>
  <conditionalFormatting sqref="U59">
    <cfRule type="cellIs" dxfId="51" priority="1114" stopIfTrue="1" operator="notEqual">
      <formula>0</formula>
    </cfRule>
  </conditionalFormatting>
  <conditionalFormatting sqref="Z58">
    <cfRule type="cellIs" dxfId="50" priority="1092" stopIfTrue="1" operator="notEqual">
      <formula>0</formula>
    </cfRule>
  </conditionalFormatting>
  <conditionalFormatting sqref="AC59">
    <cfRule type="cellIs" dxfId="49" priority="1085" stopIfTrue="1" operator="notEqual">
      <formula>0</formula>
    </cfRule>
  </conditionalFormatting>
  <conditionalFormatting sqref="AC55">
    <cfRule type="cellIs" dxfId="48" priority="1084" stopIfTrue="1" operator="notEqual">
      <formula>0</formula>
    </cfRule>
  </conditionalFormatting>
  <conditionalFormatting sqref="AC56">
    <cfRule type="cellIs" dxfId="47" priority="1080" stopIfTrue="1" operator="notEqual">
      <formula>0</formula>
    </cfRule>
  </conditionalFormatting>
  <conditionalFormatting sqref="AD58">
    <cfRule type="cellIs" dxfId="46" priority="1078" stopIfTrue="1" operator="notEqual">
      <formula>0</formula>
    </cfRule>
  </conditionalFormatting>
  <conditionalFormatting sqref="AE59">
    <cfRule type="cellIs" dxfId="45" priority="1071" stopIfTrue="1" operator="notEqual">
      <formula>0</formula>
    </cfRule>
  </conditionalFormatting>
  <conditionalFormatting sqref="AE55">
    <cfRule type="cellIs" dxfId="44" priority="1070" stopIfTrue="1" operator="notEqual">
      <formula>0</formula>
    </cfRule>
  </conditionalFormatting>
  <conditionalFormatting sqref="AE56">
    <cfRule type="cellIs" dxfId="43" priority="1068" stopIfTrue="1" operator="notEqual">
      <formula>0</formula>
    </cfRule>
  </conditionalFormatting>
  <conditionalFormatting sqref="AF58">
    <cfRule type="cellIs" dxfId="42" priority="1066" stopIfTrue="1" operator="notEqual">
      <formula>0</formula>
    </cfRule>
  </conditionalFormatting>
  <conditionalFormatting sqref="AI59">
    <cfRule type="cellIs" dxfId="41" priority="1059" stopIfTrue="1" operator="notEqual">
      <formula>0</formula>
    </cfRule>
  </conditionalFormatting>
  <conditionalFormatting sqref="AI57">
    <cfRule type="cellIs" dxfId="40" priority="1057" stopIfTrue="1" operator="notEqual">
      <formula>0</formula>
    </cfRule>
  </conditionalFormatting>
  <conditionalFormatting sqref="AI55">
    <cfRule type="cellIs" dxfId="39" priority="1058" stopIfTrue="1" operator="notEqual">
      <formula>0</formula>
    </cfRule>
  </conditionalFormatting>
  <conditionalFormatting sqref="AI58">
    <cfRule type="cellIs" dxfId="38" priority="1053" stopIfTrue="1" operator="notEqual">
      <formula>0</formula>
    </cfRule>
  </conditionalFormatting>
  <conditionalFormatting sqref="AJ58">
    <cfRule type="cellIs" dxfId="37" priority="1052" stopIfTrue="1" operator="notEqual">
      <formula>0</formula>
    </cfRule>
  </conditionalFormatting>
  <conditionalFormatting sqref="W57">
    <cfRule type="cellIs" dxfId="36" priority="954" stopIfTrue="1" operator="notEqual">
      <formula>0</formula>
    </cfRule>
  </conditionalFormatting>
  <conditionalFormatting sqref="Y57">
    <cfRule type="cellIs" dxfId="35" priority="953" stopIfTrue="1" operator="notEqual">
      <formula>0</formula>
    </cfRule>
  </conditionalFormatting>
  <conditionalFormatting sqref="AA57">
    <cfRule type="cellIs" dxfId="34" priority="952" stopIfTrue="1" operator="notEqual">
      <formula>0</formula>
    </cfRule>
  </conditionalFormatting>
  <conditionalFormatting sqref="AC57">
    <cfRule type="cellIs" dxfId="33" priority="951" stopIfTrue="1" operator="notEqual">
      <formula>0</formula>
    </cfRule>
  </conditionalFormatting>
  <conditionalFormatting sqref="AE57">
    <cfRule type="cellIs" dxfId="32" priority="950" stopIfTrue="1" operator="notEqual">
      <formula>0</formula>
    </cfRule>
  </conditionalFormatting>
  <conditionalFormatting sqref="AK57">
    <cfRule type="cellIs" dxfId="31" priority="850" stopIfTrue="1" operator="notEqual">
      <formula>0</formula>
    </cfRule>
  </conditionalFormatting>
  <conditionalFormatting sqref="AK58">
    <cfRule type="cellIs" dxfId="30" priority="849" stopIfTrue="1" operator="notEqual">
      <formula>0</formula>
    </cfRule>
  </conditionalFormatting>
  <conditionalFormatting sqref="Y58">
    <cfRule type="cellIs" dxfId="29" priority="888" stopIfTrue="1" operator="notEqual">
      <formula>0</formula>
    </cfRule>
  </conditionalFormatting>
  <conditionalFormatting sqref="AA56">
    <cfRule type="cellIs" dxfId="28" priority="881" stopIfTrue="1" operator="notEqual">
      <formula>0</formula>
    </cfRule>
  </conditionalFormatting>
  <conditionalFormatting sqref="AC58">
    <cfRule type="cellIs" dxfId="27" priority="874" stopIfTrue="1" operator="notEqual">
      <formula>0</formula>
    </cfRule>
  </conditionalFormatting>
  <conditionalFormatting sqref="AE58">
    <cfRule type="cellIs" dxfId="26" priority="867" stopIfTrue="1" operator="notEqual">
      <formula>0</formula>
    </cfRule>
  </conditionalFormatting>
  <conditionalFormatting sqref="AK59">
    <cfRule type="cellIs" dxfId="25" priority="854" stopIfTrue="1" operator="notEqual">
      <formula>0</formula>
    </cfRule>
  </conditionalFormatting>
  <conditionalFormatting sqref="AK56">
    <cfRule type="cellIs" dxfId="24" priority="852" stopIfTrue="1" operator="notEqual">
      <formula>0</formula>
    </cfRule>
  </conditionalFormatting>
  <conditionalFormatting sqref="AK55">
    <cfRule type="cellIs" dxfId="23" priority="853" stopIfTrue="1" operator="notEqual">
      <formula>0</formula>
    </cfRule>
  </conditionalFormatting>
  <conditionalFormatting sqref="AL58">
    <cfRule type="cellIs" dxfId="22" priority="851" stopIfTrue="1" operator="notEqual">
      <formula>0</formula>
    </cfRule>
  </conditionalFormatting>
  <conditionalFormatting sqref="T21:U21">
    <cfRule type="cellIs" dxfId="21" priority="811" stopIfTrue="1" operator="notEqual">
      <formula>0</formula>
    </cfRule>
  </conditionalFormatting>
  <conditionalFormatting sqref="AG58">
    <cfRule type="cellIs" dxfId="20" priority="788" stopIfTrue="1" operator="notEqual">
      <formula>0</formula>
    </cfRule>
  </conditionalFormatting>
  <conditionalFormatting sqref="AH58">
    <cfRule type="cellIs" dxfId="19" priority="787" stopIfTrue="1" operator="notEqual">
      <formula>0</formula>
    </cfRule>
  </conditionalFormatting>
  <conditionalFormatting sqref="AG57">
    <cfRule type="cellIs" dxfId="18" priority="784" stopIfTrue="1" operator="notEqual">
      <formula>0</formula>
    </cfRule>
  </conditionalFormatting>
  <conditionalFormatting sqref="AG59">
    <cfRule type="cellIs" dxfId="17" priority="791" stopIfTrue="1" operator="notEqual">
      <formula>0</formula>
    </cfRule>
  </conditionalFormatting>
  <conditionalFormatting sqref="AG56">
    <cfRule type="cellIs" dxfId="16" priority="663" stopIfTrue="1" operator="notEqual">
      <formula>0</formula>
    </cfRule>
  </conditionalFormatting>
  <conditionalFormatting sqref="AG55">
    <cfRule type="cellIs" dxfId="15" priority="662" stopIfTrue="1" operator="notEqual">
      <formula>0</formula>
    </cfRule>
  </conditionalFormatting>
  <conditionalFormatting sqref="AI56">
    <cfRule type="cellIs" dxfId="14" priority="661" stopIfTrue="1" operator="notEqual">
      <formula>0</formula>
    </cfRule>
  </conditionalFormatting>
  <conditionalFormatting sqref="Y59">
    <cfRule type="cellIs" dxfId="13" priority="540" stopIfTrue="1" operator="notEqual">
      <formula>0</formula>
    </cfRule>
  </conditionalFormatting>
  <conditionalFormatting sqref="K59">
    <cfRule type="cellIs" dxfId="12" priority="6" stopIfTrue="1" operator="notEqual">
      <formula>0</formula>
    </cfRule>
  </conditionalFormatting>
  <conditionalFormatting sqref="K57">
    <cfRule type="cellIs" dxfId="11" priority="4" stopIfTrue="1" operator="notEqual">
      <formula>0</formula>
    </cfRule>
  </conditionalFormatting>
  <conditionalFormatting sqref="K55">
    <cfRule type="cellIs" dxfId="10" priority="5" stopIfTrue="1" operator="notEqual">
      <formula>0</formula>
    </cfRule>
  </conditionalFormatting>
  <conditionalFormatting sqref="K58">
    <cfRule type="cellIs" dxfId="9" priority="3" stopIfTrue="1" operator="notEqual">
      <formula>0</formula>
    </cfRule>
  </conditionalFormatting>
  <conditionalFormatting sqref="L58">
    <cfRule type="cellIs" dxfId="8" priority="2" stopIfTrue="1" operator="notEqual">
      <formula>0</formula>
    </cfRule>
  </conditionalFormatting>
  <conditionalFormatting sqref="K56">
    <cfRule type="cellIs" dxfId="7" priority="1" stopIfTrue="1" operator="notEqual">
      <formula>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Resolution">
                <anchor moveWithCells="1" sizeWithCells="1">
                  <from>
                    <xdr:col>7</xdr:col>
                    <xdr:colOff>393700</xdr:colOff>
                    <xdr:row>50</xdr:row>
                    <xdr:rowOff>88900</xdr:rowOff>
                  </from>
                  <to>
                    <xdr:col>8</xdr:col>
                    <xdr:colOff>628650</xdr:colOff>
                    <xdr:row>53</xdr:row>
                    <xdr:rowOff>88900</xdr:rowOff>
                  </to>
                </anchor>
              </controlPr>
            </control>
          </mc:Choice>
        </mc:AlternateContent>
        <mc:AlternateContent xmlns:mc="http://schemas.openxmlformats.org/markup-compatibility/2006">
          <mc:Choice Requires="x14">
            <control shapeId="2052" r:id="rId5" name="Button 4">
              <controlPr defaultSize="0" print="0" autoFill="0" autoPict="0" macro="[0]!Reference">
                <anchor moveWithCells="1" sizeWithCells="1">
                  <from>
                    <xdr:col>11</xdr:col>
                    <xdr:colOff>368300</xdr:colOff>
                    <xdr:row>58</xdr:row>
                    <xdr:rowOff>101600</xdr:rowOff>
                  </from>
                  <to>
                    <xdr:col>12</xdr:col>
                    <xdr:colOff>584200</xdr:colOff>
                    <xdr:row>61</xdr:row>
                    <xdr:rowOff>95250</xdr:rowOff>
                  </to>
                </anchor>
              </controlPr>
            </control>
          </mc:Choice>
        </mc:AlternateContent>
        <mc:AlternateContent xmlns:mc="http://schemas.openxmlformats.org/markup-compatibility/2006">
          <mc:Choice Requires="x14">
            <control shapeId="2056" r:id="rId6" name="Button 8">
              <controlPr defaultSize="0" print="0" autoFill="0" autoPict="0" macro="[0]!Profile">
                <anchor moveWithCells="1" sizeWithCells="1">
                  <from>
                    <xdr:col>11</xdr:col>
                    <xdr:colOff>355600</xdr:colOff>
                    <xdr:row>50</xdr:row>
                    <xdr:rowOff>76200</xdr:rowOff>
                  </from>
                  <to>
                    <xdr:col>12</xdr:col>
                    <xdr:colOff>584200</xdr:colOff>
                    <xdr:row>53</xdr:row>
                    <xdr:rowOff>88900</xdr:rowOff>
                  </to>
                </anchor>
              </controlPr>
            </control>
          </mc:Choice>
        </mc:AlternateContent>
        <mc:AlternateContent xmlns:mc="http://schemas.openxmlformats.org/markup-compatibility/2006">
          <mc:Choice Requires="x14">
            <control shapeId="2065" r:id="rId7" name="Button 17">
              <controlPr defaultSize="0" print="0" autoFill="0" autoPict="0" macro="[0]!Save">
                <anchor moveWithCells="1" sizeWithCells="1">
                  <from>
                    <xdr:col>7</xdr:col>
                    <xdr:colOff>393700</xdr:colOff>
                    <xdr:row>54</xdr:row>
                    <xdr:rowOff>57150</xdr:rowOff>
                  </from>
                  <to>
                    <xdr:col>8</xdr:col>
                    <xdr:colOff>628650</xdr:colOff>
                    <xdr:row>57</xdr:row>
                    <xdr:rowOff>50800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dimension ref="A1:XFD83"/>
  <sheetViews>
    <sheetView showGridLines="0" zoomScale="80" zoomScaleNormal="80" workbookViewId="0">
      <pane xSplit="1" ySplit="1" topLeftCell="S2" activePane="bottomRight" state="frozen"/>
      <selection pane="topRight" activeCell="B1" sqref="B1"/>
      <selection pane="bottomLeft" activeCell="A2" sqref="A2"/>
      <selection pane="bottomRight" activeCell="AA18" sqref="A1:XFD1048576"/>
    </sheetView>
  </sheetViews>
  <sheetFormatPr baseColWidth="10" defaultRowHeight="10" x14ac:dyDescent="0.2"/>
  <sheetData>
    <row r="1" spans="1:49" x14ac:dyDescent="0.2">
      <c r="B1" s="94">
        <v>0</v>
      </c>
      <c r="D1" s="94">
        <v>0.05</v>
      </c>
      <c r="F1" s="94">
        <v>0.1</v>
      </c>
      <c r="H1" s="94">
        <v>0.15000000000000002</v>
      </c>
      <c r="J1" s="94">
        <v>0.2</v>
      </c>
      <c r="L1" s="94">
        <v>0.25</v>
      </c>
      <c r="N1" s="94">
        <v>0.3</v>
      </c>
      <c r="P1" s="94">
        <v>0.35</v>
      </c>
      <c r="R1" s="94">
        <v>0.39999999999999997</v>
      </c>
      <c r="T1" s="94">
        <v>0.44999999999999996</v>
      </c>
      <c r="V1" s="94">
        <v>0.49999999999999994</v>
      </c>
      <c r="X1" s="94">
        <v>0.54999999999999993</v>
      </c>
      <c r="Z1" s="94">
        <v>0.6</v>
      </c>
      <c r="AB1" s="94">
        <v>0.65</v>
      </c>
      <c r="AD1" s="94">
        <v>0.70000000000000007</v>
      </c>
      <c r="AF1" s="94">
        <v>0.75000000000000011</v>
      </c>
      <c r="AH1" s="94">
        <v>0.80000000000000016</v>
      </c>
      <c r="AJ1" s="94">
        <v>0.8500000000000002</v>
      </c>
      <c r="AL1" s="94">
        <v>0.90000000000000024</v>
      </c>
      <c r="AN1" s="94">
        <v>0.95000000000000029</v>
      </c>
      <c r="AP1" s="94">
        <v>0.9600000000000003</v>
      </c>
      <c r="AR1" s="94">
        <v>0.97000000000000031</v>
      </c>
      <c r="AT1" s="94">
        <v>0.98000000000000032</v>
      </c>
      <c r="AV1" s="94">
        <v>0.99000000000000032</v>
      </c>
    </row>
    <row r="2" spans="1:49" x14ac:dyDescent="0.2">
      <c r="A2" s="229" t="s">
        <v>155</v>
      </c>
      <c r="B2" s="226">
        <v>5.7716594496607888E-3</v>
      </c>
      <c r="C2" s="227"/>
      <c r="D2" s="226">
        <v>4.2247839491710133E-2</v>
      </c>
      <c r="E2" s="227"/>
      <c r="F2" s="226">
        <v>8.10265021341013E-2</v>
      </c>
      <c r="G2" s="227"/>
      <c r="H2" s="226">
        <v>0.12226979430751463</v>
      </c>
      <c r="I2" s="227"/>
      <c r="J2" s="226">
        <v>0.16614144861941321</v>
      </c>
      <c r="K2" s="227"/>
      <c r="L2" s="226">
        <v>0.2128022377042765</v>
      </c>
      <c r="M2" s="227"/>
      <c r="N2" s="226">
        <v>0.26240964051165938</v>
      </c>
      <c r="O2" s="227"/>
      <c r="P2" s="226">
        <v>0.31512270304422552</v>
      </c>
      <c r="Q2" s="227"/>
      <c r="R2" s="226">
        <v>0.37112682732226737</v>
      </c>
      <c r="S2" s="227"/>
      <c r="T2" s="226">
        <v>0.43069845870087142</v>
      </c>
      <c r="U2" s="227"/>
      <c r="V2" s="226">
        <v>0.49437955586841248</v>
      </c>
      <c r="W2" s="227"/>
      <c r="X2" s="226">
        <v>0.56337511521148032</v>
      </c>
      <c r="Y2" s="227"/>
      <c r="Z2" s="226">
        <v>0.64044030923865947</v>
      </c>
      <c r="AA2" s="227"/>
      <c r="AB2" s="226">
        <v>0.73182164154811413</v>
      </c>
      <c r="AC2" s="227"/>
      <c r="AD2" s="226">
        <v>0.85153591246490912</v>
      </c>
      <c r="AE2" s="227"/>
      <c r="AF2" s="226">
        <v>1.0315589751327912</v>
      </c>
      <c r="AG2" s="227"/>
      <c r="AH2" s="226">
        <v>1.3510019356085934</v>
      </c>
      <c r="AI2" s="227"/>
      <c r="AJ2" s="226">
        <v>2.044472381892418</v>
      </c>
      <c r="AK2" s="227"/>
      <c r="AL2" s="226">
        <v>4.0245275050213163</v>
      </c>
      <c r="AM2" s="227"/>
      <c r="AN2" s="226">
        <v>12.906857178683266</v>
      </c>
      <c r="AO2" s="227"/>
      <c r="AP2" s="226">
        <v>18.289600474582755</v>
      </c>
      <c r="AQ2" s="227"/>
      <c r="AR2" s="226">
        <v>28.10520146708409</v>
      </c>
      <c r="AS2" s="227"/>
      <c r="AT2" s="226">
        <v>49.793341534314187</v>
      </c>
      <c r="AU2" s="227"/>
      <c r="AV2" s="226">
        <v>122.72830654694103</v>
      </c>
      <c r="AW2" s="227"/>
    </row>
    <row r="3" spans="1:49" x14ac:dyDescent="0.2">
      <c r="A3" t="s">
        <v>12</v>
      </c>
      <c r="B3" s="84">
        <v>1000</v>
      </c>
      <c r="C3" s="85">
        <v>1000</v>
      </c>
      <c r="D3" s="84">
        <v>999.37292652366148</v>
      </c>
      <c r="E3" s="85">
        <v>1017.8416328595982</v>
      </c>
      <c r="F3" s="84">
        <v>999.14087372655592</v>
      </c>
      <c r="G3" s="85">
        <v>1037.4411221292921</v>
      </c>
      <c r="H3" s="84">
        <v>999.40371470905632</v>
      </c>
      <c r="I3" s="85">
        <v>1059.022188169014</v>
      </c>
      <c r="J3" s="84">
        <v>1000.294022389589</v>
      </c>
      <c r="K3" s="85">
        <v>1082.8464943069373</v>
      </c>
      <c r="L3" s="84">
        <v>1001.991071902256</v>
      </c>
      <c r="M3" s="85">
        <v>1109.224600490697</v>
      </c>
      <c r="N3" s="84">
        <v>1004.7398330771227</v>
      </c>
      <c r="O3" s="85">
        <v>1138.5332693437749</v>
      </c>
      <c r="P3" s="84">
        <v>1008.8801728611174</v>
      </c>
      <c r="Q3" s="85">
        <v>1171.2443787075219</v>
      </c>
      <c r="R3" s="84">
        <v>1014.8889308169751</v>
      </c>
      <c r="S3" s="85">
        <v>1207.9760438222229</v>
      </c>
      <c r="T3" s="84">
        <v>1023.4505948973226</v>
      </c>
      <c r="U3" s="85">
        <v>1249.5896612835525</v>
      </c>
      <c r="V3" s="84">
        <v>1035.5569352168964</v>
      </c>
      <c r="W3" s="85">
        <v>1297.3722470018954</v>
      </c>
      <c r="X3" s="84">
        <v>1052.6720543836252</v>
      </c>
      <c r="Y3" s="85">
        <v>1353.3934660391433</v>
      </c>
      <c r="Z3" s="84">
        <v>1076.9893565866603</v>
      </c>
      <c r="AA3" s="85">
        <v>1421.202422867362</v>
      </c>
      <c r="AB3" s="84">
        <v>1111.8528520396255</v>
      </c>
      <c r="AC3" s="85">
        <v>1507.2125857189528</v>
      </c>
      <c r="AD3" s="84">
        <v>1162.5053401242506</v>
      </c>
      <c r="AE3" s="85">
        <v>1623.5576604805437</v>
      </c>
      <c r="AF3" s="84">
        <v>1237.6958123856466</v>
      </c>
      <c r="AG3" s="85">
        <v>1794.6136341253641</v>
      </c>
      <c r="AH3" s="84">
        <v>1354.0535245175247</v>
      </c>
      <c r="AI3" s="85">
        <v>2075.0369297716029</v>
      </c>
      <c r="AJ3" s="84">
        <v>1549.9688001322943</v>
      </c>
      <c r="AK3" s="85">
        <v>2612.921487159128</v>
      </c>
      <c r="AL3" s="84">
        <v>1932.8572030927073</v>
      </c>
      <c r="AM3" s="85">
        <v>3929.3387189871396</v>
      </c>
      <c r="AN3" s="84">
        <v>2907.7838958251546</v>
      </c>
      <c r="AO3" s="85">
        <v>8914.7719699974095</v>
      </c>
      <c r="AP3" s="84">
        <v>3315.0007994547891</v>
      </c>
      <c r="AQ3" s="85">
        <v>11707.328633606556</v>
      </c>
      <c r="AR3" s="84">
        <v>3916.2253976987085</v>
      </c>
      <c r="AS3" s="85">
        <v>16617.37888391711</v>
      </c>
      <c r="AT3" s="84">
        <v>4926.2984367496829</v>
      </c>
      <c r="AU3" s="85">
        <v>27039.068471077382</v>
      </c>
      <c r="AV3" s="84">
        <v>7173.9586117612007</v>
      </c>
      <c r="AW3" s="85">
        <v>60443.412305817888</v>
      </c>
    </row>
    <row r="4" spans="1:49"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v>1000</v>
      </c>
      <c r="U4" s="102">
        <v>1000</v>
      </c>
      <c r="V4" s="101">
        <v>1000</v>
      </c>
      <c r="W4" s="102">
        <v>1000</v>
      </c>
      <c r="X4" s="101">
        <v>1000</v>
      </c>
      <c r="Y4" s="102">
        <v>1000</v>
      </c>
      <c r="Z4" s="101">
        <v>1000</v>
      </c>
      <c r="AA4" s="102">
        <v>1000</v>
      </c>
      <c r="AB4" s="101">
        <v>1000</v>
      </c>
      <c r="AC4" s="102">
        <v>1000</v>
      </c>
      <c r="AD4" s="101">
        <v>1000</v>
      </c>
      <c r="AE4" s="102">
        <v>1000</v>
      </c>
      <c r="AF4" s="101">
        <v>1000</v>
      </c>
      <c r="AG4" s="102">
        <v>1000</v>
      </c>
      <c r="AH4" s="101">
        <v>1000</v>
      </c>
      <c r="AI4" s="102">
        <v>1000</v>
      </c>
      <c r="AJ4" s="101">
        <v>1000</v>
      </c>
      <c r="AK4" s="102">
        <v>1000</v>
      </c>
      <c r="AL4" s="101">
        <v>1000</v>
      </c>
      <c r="AM4" s="102">
        <v>1000</v>
      </c>
      <c r="AN4" s="101">
        <v>1000</v>
      </c>
      <c r="AO4" s="102">
        <v>1000</v>
      </c>
      <c r="AP4" s="101">
        <v>1000</v>
      </c>
      <c r="AQ4" s="102">
        <v>1000</v>
      </c>
      <c r="AR4" s="101">
        <v>1000</v>
      </c>
      <c r="AS4" s="102">
        <v>1000</v>
      </c>
      <c r="AT4" s="101">
        <v>1000</v>
      </c>
      <c r="AU4" s="102">
        <v>1000</v>
      </c>
      <c r="AV4" s="101">
        <v>1000</v>
      </c>
      <c r="AW4" s="102">
        <v>1000</v>
      </c>
    </row>
    <row r="5" spans="1:49" x14ac:dyDescent="0.2">
      <c r="A5" t="s">
        <v>128</v>
      </c>
      <c r="B5" s="41">
        <v>1000</v>
      </c>
      <c r="C5" s="42">
        <v>1000</v>
      </c>
      <c r="D5" s="41">
        <v>999.34192971028074</v>
      </c>
      <c r="E5" s="42">
        <v>1015.5312743736964</v>
      </c>
      <c r="F5" s="41">
        <v>999.09836216115218</v>
      </c>
      <c r="G5" s="42">
        <v>1032.2850657093561</v>
      </c>
      <c r="H5" s="41">
        <v>999.37424320811544</v>
      </c>
      <c r="I5" s="42">
        <v>1050.3628095928477</v>
      </c>
      <c r="J5" s="41">
        <v>1000.3084960215356</v>
      </c>
      <c r="K5" s="42">
        <v>1069.873650292363</v>
      </c>
      <c r="L5" s="41">
        <v>1002.0883470679867</v>
      </c>
      <c r="M5" s="42">
        <v>1090.9351858261991</v>
      </c>
      <c r="N5" s="41">
        <v>1004.9685534062543</v>
      </c>
      <c r="O5" s="42">
        <v>1113.6772907677068</v>
      </c>
      <c r="P5" s="41">
        <v>1009.3007027362339</v>
      </c>
      <c r="Q5" s="42">
        <v>1138.2493491759094</v>
      </c>
      <c r="R5" s="41">
        <v>1015.5748205592417</v>
      </c>
      <c r="S5" s="42">
        <v>1164.8388982823988</v>
      </c>
      <c r="T5" s="41">
        <v>1024.4884538949955</v>
      </c>
      <c r="U5" s="42">
        <v>1193.7008976754889</v>
      </c>
      <c r="V5" s="41">
        <v>1037.0415132336507</v>
      </c>
      <c r="W5" s="42">
        <v>1225.2252626295997</v>
      </c>
      <c r="X5" s="41">
        <v>1054.6900228284612</v>
      </c>
      <c r="Y5" s="42">
        <v>1260.0449723255322</v>
      </c>
      <c r="Z5" s="41">
        <v>1079.5772893375558</v>
      </c>
      <c r="AA5" s="42">
        <v>1299.2158995870948</v>
      </c>
      <c r="AB5" s="41">
        <v>1114.8986401135678</v>
      </c>
      <c r="AC5" s="42">
        <v>1344.454923294908</v>
      </c>
      <c r="AD5" s="41">
        <v>1165.5272904470967</v>
      </c>
      <c r="AE5" s="42">
        <v>1398.3377971113646</v>
      </c>
      <c r="AF5" s="41">
        <v>1239.3438501407388</v>
      </c>
      <c r="AG5" s="42">
        <v>1464.1031492087659</v>
      </c>
      <c r="AH5" s="41">
        <v>1350.8575262986135</v>
      </c>
      <c r="AI5" s="42">
        <v>1544.1331392978134</v>
      </c>
      <c r="AJ5" s="41">
        <v>1532.4038644667717</v>
      </c>
      <c r="AK5" s="42">
        <v>1634.5503283149412</v>
      </c>
      <c r="AL5" s="41">
        <v>1869.1367485701765</v>
      </c>
      <c r="AM5" s="42">
        <v>1712.8263459219893</v>
      </c>
      <c r="AN5" s="41">
        <v>2643.4820543206874</v>
      </c>
      <c r="AO5" s="42">
        <v>1746.7556972256702</v>
      </c>
      <c r="AP5" s="41">
        <v>2937.622198680157</v>
      </c>
      <c r="AQ5" s="42">
        <v>1748.6032129469681</v>
      </c>
      <c r="AR5" s="41">
        <v>3344.8729173068637</v>
      </c>
      <c r="AS5" s="42">
        <v>1749.5560408342706</v>
      </c>
      <c r="AT5" s="41">
        <v>3965.459358632711</v>
      </c>
      <c r="AU5" s="42">
        <v>1749.9500673830403</v>
      </c>
      <c r="AV5" s="41">
        <v>5117.6158164992266</v>
      </c>
      <c r="AW5" s="42">
        <v>1750.0585741682369</v>
      </c>
    </row>
    <row r="6" spans="1:49" x14ac:dyDescent="0.2">
      <c r="A6" t="s">
        <v>77</v>
      </c>
      <c r="B6" s="41">
        <v>999.99999999999943</v>
      </c>
      <c r="C6" s="42">
        <v>999.99999999999909</v>
      </c>
      <c r="D6" s="41">
        <v>999.29162925820549</v>
      </c>
      <c r="E6" s="42">
        <v>1019.2322792482822</v>
      </c>
      <c r="F6" s="41">
        <v>999.02946261450745</v>
      </c>
      <c r="G6" s="42">
        <v>1040.3013093633992</v>
      </c>
      <c r="H6" s="41">
        <v>999.32641168548219</v>
      </c>
      <c r="I6" s="42">
        <v>1063.4357353325975</v>
      </c>
      <c r="J6" s="41">
        <v>1000.3321014223981</v>
      </c>
      <c r="K6" s="42">
        <v>1088.902794788756</v>
      </c>
      <c r="L6" s="41">
        <v>1002.2484442094714</v>
      </c>
      <c r="M6" s="42">
        <v>1117.0196171470411</v>
      </c>
      <c r="N6" s="41">
        <v>1005.3506321584147</v>
      </c>
      <c r="O6" s="42">
        <v>1148.1711340330569</v>
      </c>
      <c r="P6" s="41">
        <v>1010.0192485944084</v>
      </c>
      <c r="Q6" s="42">
        <v>1182.8400526073187</v>
      </c>
      <c r="R6" s="41">
        <v>1016.7861377782318</v>
      </c>
      <c r="S6" s="42">
        <v>1221.6598786234288</v>
      </c>
      <c r="T6" s="41">
        <v>1026.4110522960866</v>
      </c>
      <c r="U6" s="42">
        <v>1265.5155519691621</v>
      </c>
      <c r="V6" s="41">
        <v>1039.9881184448598</v>
      </c>
      <c r="W6" s="42">
        <v>1315.7321982647713</v>
      </c>
      <c r="X6" s="41">
        <v>1059.1205812632397</v>
      </c>
      <c r="Y6" s="42">
        <v>1374.4440604534939</v>
      </c>
      <c r="Z6" s="41">
        <v>1086.1887799994438</v>
      </c>
      <c r="AA6" s="42">
        <v>1445.3127855532532</v>
      </c>
      <c r="AB6" s="41">
        <v>1124.7839148123569</v>
      </c>
      <c r="AC6" s="42">
        <v>1534.9515271513881</v>
      </c>
      <c r="AD6" s="41">
        <v>1180.4734832248548</v>
      </c>
      <c r="AE6" s="42">
        <v>1655.8547762646963</v>
      </c>
      <c r="AF6" s="41">
        <v>1262.456157503997</v>
      </c>
      <c r="AG6" s="42">
        <v>1833.0800170689306</v>
      </c>
      <c r="AH6" s="41">
        <v>1388.1103787615275</v>
      </c>
      <c r="AI6" s="42">
        <v>2122.7263626305039</v>
      </c>
      <c r="AJ6" s="41">
        <v>1597.458071199138</v>
      </c>
      <c r="AK6" s="42">
        <v>2676.661265358417</v>
      </c>
      <c r="AL6" s="41">
        <v>2002.2466631839984</v>
      </c>
      <c r="AM6" s="42">
        <v>4029.1109094852845</v>
      </c>
      <c r="AN6" s="41">
        <v>3023.575616240204</v>
      </c>
      <c r="AO6" s="42">
        <v>9144.514659737446</v>
      </c>
      <c r="AP6" s="41">
        <v>3448.7583234911053</v>
      </c>
      <c r="AQ6" s="42">
        <v>12009.270557895008</v>
      </c>
      <c r="AR6" s="41">
        <v>4075.928874782343</v>
      </c>
      <c r="AS6" s="42">
        <v>17046.124627224046</v>
      </c>
      <c r="AT6" s="41">
        <v>5128.8192382373954</v>
      </c>
      <c r="AU6" s="42">
        <v>27736.818554928603</v>
      </c>
      <c r="AV6" s="41">
        <v>7470.497281067248</v>
      </c>
      <c r="AW6" s="42">
        <v>62003.240082804979</v>
      </c>
    </row>
    <row r="7" spans="1:49" x14ac:dyDescent="0.2">
      <c r="A7" t="s">
        <v>13</v>
      </c>
      <c r="B7" s="33">
        <v>1015.9116825427475</v>
      </c>
      <c r="C7" s="34">
        <v>1015.9116825427475</v>
      </c>
      <c r="D7" s="33">
        <v>1015.2431412474873</v>
      </c>
      <c r="E7" s="34">
        <v>1015.2431412474873</v>
      </c>
      <c r="F7" s="33">
        <v>1014.9956981288393</v>
      </c>
      <c r="G7" s="34">
        <v>1014.9956981288393</v>
      </c>
      <c r="H7" s="33">
        <v>1015.2759689074414</v>
      </c>
      <c r="I7" s="34">
        <v>1015.2759689074414</v>
      </c>
      <c r="J7" s="33">
        <v>1016.2250872550434</v>
      </c>
      <c r="K7" s="34">
        <v>1016.2250872550434</v>
      </c>
      <c r="L7" s="33">
        <v>1018.033258726319</v>
      </c>
      <c r="M7" s="34">
        <v>1018.033258726319</v>
      </c>
      <c r="N7" s="33">
        <v>1020.9592939934987</v>
      </c>
      <c r="O7" s="34">
        <v>1020.9592939934987</v>
      </c>
      <c r="P7" s="33">
        <v>1025.3603751083447</v>
      </c>
      <c r="Q7" s="34">
        <v>1025.3603751083447</v>
      </c>
      <c r="R7" s="33">
        <v>1031.734324702388</v>
      </c>
      <c r="S7" s="34">
        <v>1031.734324702388</v>
      </c>
      <c r="T7" s="33">
        <v>1040.7897889420829</v>
      </c>
      <c r="U7" s="34">
        <v>1040.7897889420829</v>
      </c>
      <c r="V7" s="33">
        <v>1053.542588575875</v>
      </c>
      <c r="W7" s="34">
        <v>1053.542588575875</v>
      </c>
      <c r="X7" s="33">
        <v>1071.4719156527108</v>
      </c>
      <c r="Y7" s="34">
        <v>1071.4719156527108</v>
      </c>
      <c r="Z7" s="33">
        <v>1096.7551804458549</v>
      </c>
      <c r="AA7" s="34">
        <v>1096.7551804458549</v>
      </c>
      <c r="AB7" s="33">
        <v>1132.6385533423957</v>
      </c>
      <c r="AC7" s="34">
        <v>1132.6385533423957</v>
      </c>
      <c r="AD7" s="33">
        <v>1184.0727906875995</v>
      </c>
      <c r="AE7" s="34">
        <v>1184.0727906875995</v>
      </c>
      <c r="AF7" s="33">
        <v>1259.0638960454846</v>
      </c>
      <c r="AG7" s="34">
        <v>1259.0638960454846</v>
      </c>
      <c r="AH7" s="33">
        <v>1372.3519424175581</v>
      </c>
      <c r="AI7" s="34">
        <v>1372.3519424175581</v>
      </c>
      <c r="AJ7" s="33">
        <v>1556.7869882854463</v>
      </c>
      <c r="AK7" s="34">
        <v>1556.7869882854463</v>
      </c>
      <c r="AL7" s="33">
        <v>1898.8778591424082</v>
      </c>
      <c r="AM7" s="34">
        <v>1898.8778591424082</v>
      </c>
      <c r="AN7" s="33">
        <v>2685.5443015764881</v>
      </c>
      <c r="AO7" s="34">
        <v>2685.5443015764881</v>
      </c>
      <c r="AP7" s="33">
        <v>2984.3647105360833</v>
      </c>
      <c r="AQ7" s="34">
        <v>2984.3647105360833</v>
      </c>
      <c r="AR7" s="33">
        <v>3398.0954733128838</v>
      </c>
      <c r="AS7" s="34">
        <v>3398.0954733128838</v>
      </c>
      <c r="AT7" s="33">
        <v>4028.5564890834416</v>
      </c>
      <c r="AU7" s="34">
        <v>4028.5564890834416</v>
      </c>
      <c r="AV7" s="33">
        <v>5199.0456947471057</v>
      </c>
      <c r="AW7" s="34">
        <v>5199.0456947471057</v>
      </c>
    </row>
    <row r="8" spans="1:49" x14ac:dyDescent="0.2">
      <c r="B8" s="35">
        <v>1005.7716594496609</v>
      </c>
      <c r="C8" s="36">
        <v>1005.7716594496609</v>
      </c>
      <c r="D8" s="35">
        <v>1058.4352766522481</v>
      </c>
      <c r="E8" s="36">
        <v>1058.4352766522481</v>
      </c>
      <c r="F8" s="35">
        <v>1115.9275137890561</v>
      </c>
      <c r="G8" s="36">
        <v>1115.9275137890561</v>
      </c>
      <c r="H8" s="35">
        <v>1178.7904542700282</v>
      </c>
      <c r="I8" s="36">
        <v>1178.7904542700282</v>
      </c>
      <c r="J8" s="35">
        <v>1247.6240083916757</v>
      </c>
      <c r="K8" s="36">
        <v>1247.6240083916757</v>
      </c>
      <c r="L8" s="35">
        <v>1323.0886345603449</v>
      </c>
      <c r="M8" s="36">
        <v>1323.0886345603449</v>
      </c>
      <c r="N8" s="35">
        <v>1405.9169482840596</v>
      </c>
      <c r="O8" s="36">
        <v>1405.9169482840596</v>
      </c>
      <c r="P8" s="35">
        <v>1496.9375608265525</v>
      </c>
      <c r="Q8" s="36">
        <v>1496.9375608265525</v>
      </c>
      <c r="R8" s="35">
        <v>1597.1418629435109</v>
      </c>
      <c r="S8" s="36">
        <v>1597.1418629435109</v>
      </c>
      <c r="T8" s="35">
        <v>1707.8260344541688</v>
      </c>
      <c r="U8" s="36">
        <v>1707.8260344541688</v>
      </c>
      <c r="V8" s="35">
        <v>1830.9515838071802</v>
      </c>
      <c r="W8" s="36">
        <v>1830.9515838071802</v>
      </c>
      <c r="X8" s="35">
        <v>1969.9229537810754</v>
      </c>
      <c r="Y8" s="36">
        <v>1969.9229537810754</v>
      </c>
      <c r="Z8" s="35">
        <v>2131.2861320864367</v>
      </c>
      <c r="AA8" s="36">
        <v>2131.2861320864367</v>
      </c>
      <c r="AB8" s="35">
        <v>2328.3561322480314</v>
      </c>
      <c r="AC8" s="36">
        <v>2328.3561322480314</v>
      </c>
      <c r="AD8" s="35">
        <v>2589.0726491087612</v>
      </c>
      <c r="AE8" s="36">
        <v>2589.0726491087612</v>
      </c>
      <c r="AF8" s="35">
        <v>2974.411893295252</v>
      </c>
      <c r="AG8" s="36">
        <v>2974.411893295252</v>
      </c>
      <c r="AH8" s="35">
        <v>3630.259999326533</v>
      </c>
      <c r="AI8" s="36">
        <v>3630.259999326533</v>
      </c>
      <c r="AJ8" s="35">
        <v>4976.3433313680225</v>
      </c>
      <c r="AK8" s="36">
        <v>4976.3433313680225</v>
      </c>
      <c r="AL8" s="35">
        <v>8606.1430864101912</v>
      </c>
      <c r="AM8" s="36">
        <v>8606.1430864101912</v>
      </c>
      <c r="AN8" s="35">
        <v>24291.882007368706</v>
      </c>
      <c r="AO8" s="36">
        <v>24291.882007368706</v>
      </c>
      <c r="AP8" s="35">
        <v>33729.857366318771</v>
      </c>
      <c r="AQ8" s="36">
        <v>33729.857366318771</v>
      </c>
      <c r="AR8" s="35">
        <v>50921.181046435442</v>
      </c>
      <c r="AS8" s="36">
        <v>50921.181046435442</v>
      </c>
      <c r="AT8" s="35">
        <v>88885.811440582896</v>
      </c>
      <c r="AU8" s="36">
        <v>88885.811440582896</v>
      </c>
      <c r="AV8" s="35">
        <v>216531.78373979015</v>
      </c>
      <c r="AW8" s="36">
        <v>216531.78373979015</v>
      </c>
    </row>
    <row r="9" spans="1:49" x14ac:dyDescent="0.2">
      <c r="A9" t="s">
        <v>14</v>
      </c>
      <c r="B9" s="41">
        <v>1015.9116825427475</v>
      </c>
      <c r="C9" s="42">
        <v>1005.7716594496609</v>
      </c>
      <c r="D9" s="41">
        <v>1015.2431412474873</v>
      </c>
      <c r="E9" s="42">
        <v>1058.4352766522481</v>
      </c>
      <c r="F9" s="41">
        <v>1014.9956981288393</v>
      </c>
      <c r="G9" s="42">
        <v>1115.9275137890561</v>
      </c>
      <c r="H9" s="41">
        <v>1015.2759689074414</v>
      </c>
      <c r="I9" s="42">
        <v>1178.7904542700282</v>
      </c>
      <c r="J9" s="41">
        <v>1016.2250872550434</v>
      </c>
      <c r="K9" s="42">
        <v>1247.6240083916757</v>
      </c>
      <c r="L9" s="41">
        <v>1018.033258726319</v>
      </c>
      <c r="M9" s="42">
        <v>1323.0886345603449</v>
      </c>
      <c r="N9" s="41">
        <v>1020.9592939934987</v>
      </c>
      <c r="O9" s="42">
        <v>1405.9169482840596</v>
      </c>
      <c r="P9" s="41">
        <v>1025.3603751083447</v>
      </c>
      <c r="Q9" s="42">
        <v>1496.9375608265525</v>
      </c>
      <c r="R9" s="41">
        <v>1031.734324702388</v>
      </c>
      <c r="S9" s="42">
        <v>1597.1418629435109</v>
      </c>
      <c r="T9" s="41">
        <v>1040.7897889420829</v>
      </c>
      <c r="U9" s="42">
        <v>1707.8260344541688</v>
      </c>
      <c r="V9" s="41">
        <v>1053.542588575875</v>
      </c>
      <c r="W9" s="42">
        <v>1830.9515838071802</v>
      </c>
      <c r="X9" s="41">
        <v>1071.4719156527108</v>
      </c>
      <c r="Y9" s="42">
        <v>1969.9229537810754</v>
      </c>
      <c r="Z9" s="41">
        <v>1096.7551804458549</v>
      </c>
      <c r="AA9" s="42">
        <v>2131.2861320864367</v>
      </c>
      <c r="AB9" s="41">
        <v>1132.6385533423957</v>
      </c>
      <c r="AC9" s="42">
        <v>2328.3561322480314</v>
      </c>
      <c r="AD9" s="41">
        <v>1184.0727906875995</v>
      </c>
      <c r="AE9" s="42">
        <v>2589.0726491087612</v>
      </c>
      <c r="AF9" s="41">
        <v>1259.0638960454846</v>
      </c>
      <c r="AG9" s="42">
        <v>2974.411893295252</v>
      </c>
      <c r="AH9" s="41">
        <v>1372.3519424175581</v>
      </c>
      <c r="AI9" s="42">
        <v>3630.259999326533</v>
      </c>
      <c r="AJ9" s="41">
        <v>1556.7869882854463</v>
      </c>
      <c r="AK9" s="42">
        <v>4976.3433313680225</v>
      </c>
      <c r="AL9" s="41">
        <v>1898.8778591424082</v>
      </c>
      <c r="AM9" s="42">
        <v>8606.1430864101912</v>
      </c>
      <c r="AN9" s="41">
        <v>2685.5443015764881</v>
      </c>
      <c r="AO9" s="42">
        <v>24291.882007368706</v>
      </c>
      <c r="AP9" s="41">
        <v>2984.3647105360833</v>
      </c>
      <c r="AQ9" s="42">
        <v>33729.857366318771</v>
      </c>
      <c r="AR9" s="41">
        <v>3398.0954733128838</v>
      </c>
      <c r="AS9" s="42">
        <v>50921.181046435442</v>
      </c>
      <c r="AT9" s="41">
        <v>4028.5564890834416</v>
      </c>
      <c r="AU9" s="42">
        <v>88885.811440582896</v>
      </c>
      <c r="AV9" s="41">
        <v>5199.0456947471057</v>
      </c>
      <c r="AW9" s="42">
        <v>216531.78373979015</v>
      </c>
    </row>
    <row r="10" spans="1:49" x14ac:dyDescent="0.2">
      <c r="A10" t="s">
        <v>15</v>
      </c>
      <c r="B10" s="41">
        <v>1015.9116825427475</v>
      </c>
      <c r="C10" s="42">
        <v>1005.7716594496609</v>
      </c>
      <c r="D10" s="41">
        <v>1015.2431412474873</v>
      </c>
      <c r="E10" s="42">
        <v>1058.4352766522481</v>
      </c>
      <c r="F10" s="41">
        <v>1014.9956981288393</v>
      </c>
      <c r="G10" s="42">
        <v>1115.9275137890561</v>
      </c>
      <c r="H10" s="41">
        <v>1015.2759689074414</v>
      </c>
      <c r="I10" s="42">
        <v>1178.7904542700282</v>
      </c>
      <c r="J10" s="41">
        <v>1016.2250872550434</v>
      </c>
      <c r="K10" s="42">
        <v>1247.6240083916757</v>
      </c>
      <c r="L10" s="41">
        <v>1018.033258726319</v>
      </c>
      <c r="M10" s="42">
        <v>1323.0886345603449</v>
      </c>
      <c r="N10" s="41">
        <v>1020.9592939934987</v>
      </c>
      <c r="O10" s="42">
        <v>1405.9169482840596</v>
      </c>
      <c r="P10" s="41">
        <v>1025.3603751083447</v>
      </c>
      <c r="Q10" s="42">
        <v>1496.9375608265525</v>
      </c>
      <c r="R10" s="41">
        <v>1031.734324702388</v>
      </c>
      <c r="S10" s="42">
        <v>1597.1418629435109</v>
      </c>
      <c r="T10" s="41">
        <v>1040.7897889420829</v>
      </c>
      <c r="U10" s="42">
        <v>1707.8260344541688</v>
      </c>
      <c r="V10" s="41">
        <v>1053.542588575875</v>
      </c>
      <c r="W10" s="42">
        <v>1830.9515838071802</v>
      </c>
      <c r="X10" s="41">
        <v>1071.4719156527108</v>
      </c>
      <c r="Y10" s="42">
        <v>1969.9229537810754</v>
      </c>
      <c r="Z10" s="41">
        <v>1096.7551804458549</v>
      </c>
      <c r="AA10" s="42">
        <v>2131.2861320864367</v>
      </c>
      <c r="AB10" s="41">
        <v>1132.6385533423957</v>
      </c>
      <c r="AC10" s="42">
        <v>2328.3561322480314</v>
      </c>
      <c r="AD10" s="41">
        <v>1184.0727906875995</v>
      </c>
      <c r="AE10" s="42">
        <v>2589.0726491087612</v>
      </c>
      <c r="AF10" s="41">
        <v>1259.0638960454846</v>
      </c>
      <c r="AG10" s="42">
        <v>2974.411893295252</v>
      </c>
      <c r="AH10" s="41">
        <v>1372.3519424175581</v>
      </c>
      <c r="AI10" s="42">
        <v>3630.259999326533</v>
      </c>
      <c r="AJ10" s="41">
        <v>1556.7869882854463</v>
      </c>
      <c r="AK10" s="42">
        <v>4976.3433313680225</v>
      </c>
      <c r="AL10" s="41">
        <v>1898.8778591424082</v>
      </c>
      <c r="AM10" s="42">
        <v>8606.1430864101912</v>
      </c>
      <c r="AN10" s="41">
        <v>2685.5443015764881</v>
      </c>
      <c r="AO10" s="42">
        <v>24291.882007368706</v>
      </c>
      <c r="AP10" s="41">
        <v>2984.3647105360833</v>
      </c>
      <c r="AQ10" s="42">
        <v>33729.857366318771</v>
      </c>
      <c r="AR10" s="41">
        <v>3398.0954733128838</v>
      </c>
      <c r="AS10" s="42">
        <v>50921.181046435442</v>
      </c>
      <c r="AT10" s="41">
        <v>4028.5564890834416</v>
      </c>
      <c r="AU10" s="42">
        <v>88885.811440582896</v>
      </c>
      <c r="AV10" s="41">
        <v>5199.0456947471057</v>
      </c>
      <c r="AW10" s="42">
        <v>216531.78373979015</v>
      </c>
    </row>
    <row r="11" spans="1:49" x14ac:dyDescent="0.2">
      <c r="A11" t="s">
        <v>29</v>
      </c>
      <c r="B11" s="41">
        <v>1015.9116825427475</v>
      </c>
      <c r="C11" s="42">
        <v>1005.7716594496609</v>
      </c>
      <c r="D11" s="41">
        <v>1015.2431412474873</v>
      </c>
      <c r="E11" s="42">
        <v>1058.4352766522481</v>
      </c>
      <c r="F11" s="41">
        <v>1014.9956981288393</v>
      </c>
      <c r="G11" s="42">
        <v>1115.9275137890561</v>
      </c>
      <c r="H11" s="41">
        <v>1015.2759689074414</v>
      </c>
      <c r="I11" s="42">
        <v>1178.7904542700282</v>
      </c>
      <c r="J11" s="41">
        <v>1016.2250872550434</v>
      </c>
      <c r="K11" s="42">
        <v>1247.6240083916757</v>
      </c>
      <c r="L11" s="41">
        <v>1018.033258726319</v>
      </c>
      <c r="M11" s="42">
        <v>1323.0886345603449</v>
      </c>
      <c r="N11" s="41">
        <v>1020.9592939934987</v>
      </c>
      <c r="O11" s="42">
        <v>1405.9169482840596</v>
      </c>
      <c r="P11" s="41">
        <v>1025.3603751083447</v>
      </c>
      <c r="Q11" s="42">
        <v>1496.9375608265525</v>
      </c>
      <c r="R11" s="41">
        <v>1031.734324702388</v>
      </c>
      <c r="S11" s="42">
        <v>1597.1418629435109</v>
      </c>
      <c r="T11" s="41">
        <v>1040.7897889420829</v>
      </c>
      <c r="U11" s="42">
        <v>1707.8260344541688</v>
      </c>
      <c r="V11" s="41">
        <v>1053.542588575875</v>
      </c>
      <c r="W11" s="42">
        <v>1830.9515838071802</v>
      </c>
      <c r="X11" s="41">
        <v>1071.4719156527108</v>
      </c>
      <c r="Y11" s="42">
        <v>1969.9229537810754</v>
      </c>
      <c r="Z11" s="41">
        <v>1096.7551804458549</v>
      </c>
      <c r="AA11" s="42">
        <v>2131.2861320864367</v>
      </c>
      <c r="AB11" s="41">
        <v>1132.6385533423957</v>
      </c>
      <c r="AC11" s="42">
        <v>2328.3561322480314</v>
      </c>
      <c r="AD11" s="41">
        <v>1184.0727906875995</v>
      </c>
      <c r="AE11" s="42">
        <v>2589.0726491087612</v>
      </c>
      <c r="AF11" s="41">
        <v>1259.0638960454846</v>
      </c>
      <c r="AG11" s="42">
        <v>2974.411893295252</v>
      </c>
      <c r="AH11" s="41">
        <v>1372.3519424175581</v>
      </c>
      <c r="AI11" s="42">
        <v>3630.259999326533</v>
      </c>
      <c r="AJ11" s="41">
        <v>1556.7869882854463</v>
      </c>
      <c r="AK11" s="42">
        <v>4976.3433313680225</v>
      </c>
      <c r="AL11" s="41">
        <v>1898.8778591424082</v>
      </c>
      <c r="AM11" s="42">
        <v>8606.1430864101912</v>
      </c>
      <c r="AN11" s="41">
        <v>2685.5443015764881</v>
      </c>
      <c r="AO11" s="42">
        <v>24291.882007368706</v>
      </c>
      <c r="AP11" s="41">
        <v>2984.3647105360833</v>
      </c>
      <c r="AQ11" s="42">
        <v>33729.857366318771</v>
      </c>
      <c r="AR11" s="41">
        <v>3398.0954733128838</v>
      </c>
      <c r="AS11" s="42">
        <v>50921.181046435442</v>
      </c>
      <c r="AT11" s="41">
        <v>4028.5564890834416</v>
      </c>
      <c r="AU11" s="42">
        <v>88885.811440582896</v>
      </c>
      <c r="AV11" s="41">
        <v>5199.0456947471057</v>
      </c>
      <c r="AW11" s="42">
        <v>216531.78373979015</v>
      </c>
    </row>
    <row r="12" spans="1:49"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v>1000</v>
      </c>
      <c r="AA12" s="42">
        <v>1000</v>
      </c>
      <c r="AB12" s="41">
        <v>1000</v>
      </c>
      <c r="AC12" s="42">
        <v>1000</v>
      </c>
      <c r="AD12" s="41">
        <v>1000</v>
      </c>
      <c r="AE12" s="42">
        <v>1000</v>
      </c>
      <c r="AF12" s="41">
        <v>1000</v>
      </c>
      <c r="AG12" s="42">
        <v>1000</v>
      </c>
      <c r="AH12" s="41">
        <v>1000</v>
      </c>
      <c r="AI12" s="42">
        <v>1000</v>
      </c>
      <c r="AJ12" s="41">
        <v>1000</v>
      </c>
      <c r="AK12" s="42">
        <v>1000</v>
      </c>
      <c r="AL12" s="41">
        <v>1000</v>
      </c>
      <c r="AM12" s="42">
        <v>1000</v>
      </c>
      <c r="AN12" s="41">
        <v>1000</v>
      </c>
      <c r="AO12" s="42">
        <v>1000</v>
      </c>
      <c r="AP12" s="41">
        <v>1000</v>
      </c>
      <c r="AQ12" s="42">
        <v>1000</v>
      </c>
      <c r="AR12" s="41">
        <v>1000</v>
      </c>
      <c r="AS12" s="42">
        <v>1000</v>
      </c>
      <c r="AT12" s="41">
        <v>1000</v>
      </c>
      <c r="AU12" s="42">
        <v>1000</v>
      </c>
      <c r="AV12" s="41">
        <v>1000</v>
      </c>
      <c r="AW12" s="42">
        <v>1000</v>
      </c>
    </row>
    <row r="13" spans="1:49" x14ac:dyDescent="0.2">
      <c r="A13" t="s">
        <v>17</v>
      </c>
      <c r="B13" s="97">
        <v>1000</v>
      </c>
      <c r="C13" s="98">
        <v>1000</v>
      </c>
      <c r="D13" s="97">
        <v>995.18687051570589</v>
      </c>
      <c r="E13" s="98">
        <v>995.18687051570589</v>
      </c>
      <c r="F13" s="97">
        <v>990.49153190577317</v>
      </c>
      <c r="G13" s="98">
        <v>990.49153190577317</v>
      </c>
      <c r="H13" s="97">
        <v>985.98723926794605</v>
      </c>
      <c r="I13" s="98">
        <v>985.98723926794605</v>
      </c>
      <c r="J13" s="97">
        <v>981.77720425679695</v>
      </c>
      <c r="K13" s="98">
        <v>981.77720425679695</v>
      </c>
      <c r="L13" s="97">
        <v>978.00840252813589</v>
      </c>
      <c r="M13" s="98">
        <v>978.00840252813589</v>
      </c>
      <c r="N13" s="97">
        <v>974.89004073319825</v>
      </c>
      <c r="O13" s="98">
        <v>974.89004073319825</v>
      </c>
      <c r="P13" s="97">
        <v>972.72207930053912</v>
      </c>
      <c r="Q13" s="98">
        <v>972.72207930053912</v>
      </c>
      <c r="R13" s="97">
        <v>971.93574347923379</v>
      </c>
      <c r="S13" s="98">
        <v>971.93574347923379</v>
      </c>
      <c r="T13" s="97">
        <v>973.16222771740206</v>
      </c>
      <c r="U13" s="98">
        <v>973.16222771740206</v>
      </c>
      <c r="V13" s="97">
        <v>977.32721015298193</v>
      </c>
      <c r="W13" s="98">
        <v>977.32721015298193</v>
      </c>
      <c r="X13" s="97">
        <v>985.8080036009934</v>
      </c>
      <c r="Y13" s="98">
        <v>985.8080036009934</v>
      </c>
      <c r="Z13" s="97">
        <v>1000.6763497724613</v>
      </c>
      <c r="AA13" s="98">
        <v>1000.6763497724613</v>
      </c>
      <c r="AB13" s="97">
        <v>1025.0959746587914</v>
      </c>
      <c r="AC13" s="98">
        <v>1025.0959746587914</v>
      </c>
      <c r="AD13" s="97">
        <v>1064.0290458782467</v>
      </c>
      <c r="AE13" s="98">
        <v>1064.0290458782467</v>
      </c>
      <c r="AF13" s="97">
        <v>1125.7623304411063</v>
      </c>
      <c r="AG13" s="98">
        <v>1125.7623304411063</v>
      </c>
      <c r="AH13" s="97">
        <v>1226.1196409633749</v>
      </c>
      <c r="AI13" s="98">
        <v>1226.1196409633749</v>
      </c>
      <c r="AJ13" s="97">
        <v>1402.2133802188339</v>
      </c>
      <c r="AK13" s="98">
        <v>1402.2133802188339</v>
      </c>
      <c r="AL13" s="97">
        <v>1762.1448314962099</v>
      </c>
      <c r="AM13" s="98">
        <v>1762.1448314962099</v>
      </c>
      <c r="AN13" s="97">
        <v>2754.0213491672935</v>
      </c>
      <c r="AO13" s="98">
        <v>2754.0213491672935</v>
      </c>
      <c r="AP13" s="97">
        <v>3199.536583577607</v>
      </c>
      <c r="AQ13" s="98">
        <v>3199.536583577607</v>
      </c>
      <c r="AR13" s="97">
        <v>3890.5057959548071</v>
      </c>
      <c r="AS13" s="98">
        <v>3890.5057959548071</v>
      </c>
      <c r="AT13" s="97">
        <v>5137.7597318913122</v>
      </c>
      <c r="AU13" s="98">
        <v>5137.7597318913122</v>
      </c>
      <c r="AV13" s="97">
        <v>8269.6189622403708</v>
      </c>
      <c r="AW13" s="98">
        <v>8269.6189622403708</v>
      </c>
    </row>
    <row r="14" spans="1:49" x14ac:dyDescent="0.2">
      <c r="A14" t="s">
        <v>36</v>
      </c>
      <c r="B14" s="41">
        <v>1457.0034251455234</v>
      </c>
      <c r="C14" s="42">
        <v>1457.0034251455236</v>
      </c>
      <c r="D14" s="41">
        <v>1449.9906790012378</v>
      </c>
      <c r="E14" s="42">
        <v>1449.990679001238</v>
      </c>
      <c r="F14" s="41">
        <v>1443.1495545643479</v>
      </c>
      <c r="G14" s="42">
        <v>1443.1495545643481</v>
      </c>
      <c r="H14" s="41">
        <v>1436.586784763176</v>
      </c>
      <c r="I14" s="42">
        <v>1436.5867847631762</v>
      </c>
      <c r="J14" s="41">
        <v>1430.4527493319492</v>
      </c>
      <c r="K14" s="42">
        <v>1430.4527493319495</v>
      </c>
      <c r="L14" s="41">
        <v>1424.9615923045956</v>
      </c>
      <c r="M14" s="42">
        <v>1424.9615923045958</v>
      </c>
      <c r="N14" s="41">
        <v>1420.4181284885285</v>
      </c>
      <c r="O14" s="42">
        <v>1420.4181284885287</v>
      </c>
      <c r="P14" s="41">
        <v>1417.2594012555608</v>
      </c>
      <c r="Q14" s="42">
        <v>1417.259401255561</v>
      </c>
      <c r="R14" s="41">
        <v>1416.1137072706044</v>
      </c>
      <c r="S14" s="42">
        <v>1416.1137072706044</v>
      </c>
      <c r="T14" s="41">
        <v>1417.9006990065025</v>
      </c>
      <c r="U14" s="42">
        <v>1417.9006990065027</v>
      </c>
      <c r="V14" s="41">
        <v>1423.9690926808132</v>
      </c>
      <c r="W14" s="42">
        <v>1423.9690926808134</v>
      </c>
      <c r="X14" s="41">
        <v>1436.3256377825178</v>
      </c>
      <c r="Y14" s="42">
        <v>1436.325637782518</v>
      </c>
      <c r="Z14" s="41">
        <v>1457.9888690805958</v>
      </c>
      <c r="AA14" s="42">
        <v>1457.988869080596</v>
      </c>
      <c r="AB14" s="41">
        <v>1493.5683461807475</v>
      </c>
      <c r="AC14" s="42">
        <v>1493.5683461807478</v>
      </c>
      <c r="AD14" s="41">
        <v>1550.2939642989286</v>
      </c>
      <c r="AE14" s="42">
        <v>1550.2939642989288</v>
      </c>
      <c r="AF14" s="41">
        <v>1640.2395713524984</v>
      </c>
      <c r="AG14" s="42">
        <v>1640.2395713524986</v>
      </c>
      <c r="AH14" s="41">
        <v>1786.4605165218366</v>
      </c>
      <c r="AI14" s="42">
        <v>1786.4605165218368</v>
      </c>
      <c r="AJ14" s="41">
        <v>2043.0296977637229</v>
      </c>
      <c r="AK14" s="42">
        <v>2043.0296977637233</v>
      </c>
      <c r="AL14" s="41">
        <v>2567.4510550924588</v>
      </c>
      <c r="AM14" s="42">
        <v>2567.4510550924592</v>
      </c>
      <c r="AN14" s="41">
        <v>4012.6185386606417</v>
      </c>
      <c r="AO14" s="42">
        <v>4012.6185386606421</v>
      </c>
      <c r="AP14" s="41">
        <v>4661.7357611509788</v>
      </c>
      <c r="AQ14" s="42">
        <v>4661.7357611509797</v>
      </c>
      <c r="AR14" s="41">
        <v>5668.480270254664</v>
      </c>
      <c r="AS14" s="42">
        <v>5668.4802702546649</v>
      </c>
      <c r="AT14" s="41">
        <v>7485.7335269403875</v>
      </c>
      <c r="AU14" s="42">
        <v>7485.7335269403884</v>
      </c>
      <c r="AV14" s="41">
        <v>12048.863152632588</v>
      </c>
      <c r="AW14" s="42">
        <v>12048.86315263259</v>
      </c>
    </row>
    <row r="15" spans="1:49" x14ac:dyDescent="0.2">
      <c r="A15" t="s">
        <v>18</v>
      </c>
      <c r="B15" s="154">
        <v>1000</v>
      </c>
      <c r="C15" s="155">
        <v>1000</v>
      </c>
      <c r="D15" s="154">
        <v>999.34192971028074</v>
      </c>
      <c r="E15" s="155">
        <v>999.34192971028074</v>
      </c>
      <c r="F15" s="154">
        <v>999.09836216115218</v>
      </c>
      <c r="G15" s="155">
        <v>999.09836216115218</v>
      </c>
      <c r="H15" s="154">
        <v>999.37424320811544</v>
      </c>
      <c r="I15" s="155">
        <v>999.37424320811544</v>
      </c>
      <c r="J15" s="154">
        <v>1000.3084960215356</v>
      </c>
      <c r="K15" s="155">
        <v>1000.3084960215356</v>
      </c>
      <c r="L15" s="154">
        <v>1002.0883470679867</v>
      </c>
      <c r="M15" s="155">
        <v>1002.0883470679867</v>
      </c>
      <c r="N15" s="154">
        <v>1004.9685534062543</v>
      </c>
      <c r="O15" s="155">
        <v>1004.9685534062543</v>
      </c>
      <c r="P15" s="154">
        <v>1009.3007027362339</v>
      </c>
      <c r="Q15" s="155">
        <v>1009.3007027362339</v>
      </c>
      <c r="R15" s="154">
        <v>1015.5748205592417</v>
      </c>
      <c r="S15" s="155">
        <v>1015.5748205592417</v>
      </c>
      <c r="T15" s="154">
        <v>1024.4884538949955</v>
      </c>
      <c r="U15" s="155">
        <v>1024.4884538949955</v>
      </c>
      <c r="V15" s="154">
        <v>1037.0415132336507</v>
      </c>
      <c r="W15" s="155">
        <v>1037.0415132336507</v>
      </c>
      <c r="X15" s="154">
        <v>1054.6900228284612</v>
      </c>
      <c r="Y15" s="155">
        <v>1054.6900228284612</v>
      </c>
      <c r="Z15" s="154">
        <v>1079.5772893375558</v>
      </c>
      <c r="AA15" s="155">
        <v>1079.5772893375558</v>
      </c>
      <c r="AB15" s="154">
        <v>1114.8986401135678</v>
      </c>
      <c r="AC15" s="155">
        <v>1114.8986401135678</v>
      </c>
      <c r="AD15" s="154">
        <v>1165.5272904470967</v>
      </c>
      <c r="AE15" s="155">
        <v>1165.5272904470967</v>
      </c>
      <c r="AF15" s="154">
        <v>1239.3438501407388</v>
      </c>
      <c r="AG15" s="155">
        <v>1239.3438501407388</v>
      </c>
      <c r="AH15" s="154">
        <v>1350.8575262986135</v>
      </c>
      <c r="AI15" s="155">
        <v>1350.8575262986135</v>
      </c>
      <c r="AJ15" s="154">
        <v>1532.4038644667717</v>
      </c>
      <c r="AK15" s="155">
        <v>1532.4038644667717</v>
      </c>
      <c r="AL15" s="154">
        <v>1869.1367485701765</v>
      </c>
      <c r="AM15" s="155">
        <v>1869.1367485701765</v>
      </c>
      <c r="AN15" s="154">
        <v>2643.4820543206874</v>
      </c>
      <c r="AO15" s="155">
        <v>2643.4820543206874</v>
      </c>
      <c r="AP15" s="154">
        <v>2937.622198680157</v>
      </c>
      <c r="AQ15" s="155">
        <v>2937.622198680157</v>
      </c>
      <c r="AR15" s="154">
        <v>3344.8729173068637</v>
      </c>
      <c r="AS15" s="155">
        <v>3344.8729173068637</v>
      </c>
      <c r="AT15" s="154">
        <v>3965.459358632711</v>
      </c>
      <c r="AU15" s="155">
        <v>3965.459358632711</v>
      </c>
      <c r="AV15" s="154">
        <v>5117.6158164992266</v>
      </c>
      <c r="AW15" s="155">
        <v>5117.6158164992266</v>
      </c>
    </row>
    <row r="16" spans="1:49" s="29" customFormat="1" x14ac:dyDescent="0.2">
      <c r="A16" t="s">
        <v>61</v>
      </c>
      <c r="B16" s="41">
        <v>1000</v>
      </c>
      <c r="C16" s="42">
        <v>1000</v>
      </c>
      <c r="D16" s="41">
        <v>997.12533528708002</v>
      </c>
      <c r="E16" s="42">
        <v>998.15543809281348</v>
      </c>
      <c r="F16" s="41">
        <v>994.50400549028518</v>
      </c>
      <c r="G16" s="42">
        <v>996.63947169543349</v>
      </c>
      <c r="H16" s="41">
        <v>992.22338100552599</v>
      </c>
      <c r="I16" s="42">
        <v>995.54772357035449</v>
      </c>
      <c r="J16" s="41">
        <v>990.40252432189243</v>
      </c>
      <c r="K16" s="42">
        <v>995.00858843363926</v>
      </c>
      <c r="L16" s="41">
        <v>989.20621117508279</v>
      </c>
      <c r="M16" s="42">
        <v>995.19739941101329</v>
      </c>
      <c r="N16" s="41">
        <v>988.86372506251053</v>
      </c>
      <c r="O16" s="42">
        <v>996.35542720689944</v>
      </c>
      <c r="P16" s="41">
        <v>989.69771706102051</v>
      </c>
      <c r="Q16" s="42">
        <v>998.81894787024487</v>
      </c>
      <c r="R16" s="41">
        <v>992.16521996038409</v>
      </c>
      <c r="S16" s="42">
        <v>1003.0605337277932</v>
      </c>
      <c r="T16" s="41">
        <v>996.9265366031251</v>
      </c>
      <c r="U16" s="42">
        <v>1009.7580317577863</v>
      </c>
      <c r="V16" s="41">
        <v>1004.9399968940858</v>
      </c>
      <c r="W16" s="42">
        <v>1019.8893488613382</v>
      </c>
      <c r="X16" s="41">
        <v>1017.6177457393727</v>
      </c>
      <c r="Y16" s="42">
        <v>1034.8872645424869</v>
      </c>
      <c r="Z16" s="41">
        <v>1037.0636518974045</v>
      </c>
      <c r="AA16" s="42">
        <v>1056.8741387725008</v>
      </c>
      <c r="AB16" s="41">
        <v>1066.4567349009701</v>
      </c>
      <c r="AC16" s="42">
        <v>1089.0365028227316</v>
      </c>
      <c r="AD16" s="41">
        <v>1110.722463699748</v>
      </c>
      <c r="AE16" s="42">
        <v>1136.2749326981316</v>
      </c>
      <c r="AF16" s="41">
        <v>1177.9720999195749</v>
      </c>
      <c r="AG16" s="42">
        <v>1206.591718276341</v>
      </c>
      <c r="AH16" s="41">
        <v>1283.4505279338084</v>
      </c>
      <c r="AI16" s="42">
        <v>1314.8854722917013</v>
      </c>
      <c r="AJ16" s="41">
        <v>1462.1290075251802</v>
      </c>
      <c r="AK16" s="42">
        <v>1494.8914520391618</v>
      </c>
      <c r="AL16" s="41">
        <v>1811.6223747294671</v>
      </c>
      <c r="AM16" s="42">
        <v>1838.4058751126527</v>
      </c>
      <c r="AN16" s="41">
        <v>2702.0787690197394</v>
      </c>
      <c r="AO16" s="42">
        <v>2674.8941475969914</v>
      </c>
      <c r="AP16" s="41">
        <v>3075.5934583412018</v>
      </c>
      <c r="AQ16" s="42">
        <v>3011.6934720876138</v>
      </c>
      <c r="AR16" s="41">
        <v>3629.6252290315483</v>
      </c>
      <c r="AS16" s="42">
        <v>3498.078781726078</v>
      </c>
      <c r="AT16" s="41">
        <v>4567.8249222218583</v>
      </c>
      <c r="AU16" s="42">
        <v>4290.7223877379747</v>
      </c>
      <c r="AV16" s="41">
        <v>6685.557517947359</v>
      </c>
      <c r="AW16" s="42">
        <v>5970.6380088927863</v>
      </c>
    </row>
    <row r="17" spans="1:49" x14ac:dyDescent="0.2">
      <c r="A17" t="s">
        <v>62</v>
      </c>
      <c r="B17" s="35">
        <v>1000.0000000000002</v>
      </c>
      <c r="C17" s="36">
        <v>999.99999999999977</v>
      </c>
      <c r="D17" s="35">
        <v>999.40175316433795</v>
      </c>
      <c r="E17" s="36">
        <v>1026.9114123997424</v>
      </c>
      <c r="F17" s="35">
        <v>999.18040579052092</v>
      </c>
      <c r="G17" s="36">
        <v>1056.3330724858004</v>
      </c>
      <c r="H17" s="35">
        <v>999.43111795784444</v>
      </c>
      <c r="I17" s="36">
        <v>1088.5639604251439</v>
      </c>
      <c r="J17" s="35">
        <v>1000.2805606629676</v>
      </c>
      <c r="K17" s="36">
        <v>1123.9454734788314</v>
      </c>
      <c r="L17" s="35">
        <v>1001.9006168794631</v>
      </c>
      <c r="M17" s="36">
        <v>1162.8700218761651</v>
      </c>
      <c r="N17" s="35">
        <v>1004.5271684271577</v>
      </c>
      <c r="O17" s="36">
        <v>1205.7970190615874</v>
      </c>
      <c r="P17" s="35">
        <v>1008.4892101515455</v>
      </c>
      <c r="Q17" s="36">
        <v>1253.2805663862671</v>
      </c>
      <c r="R17" s="35">
        <v>1014.2513838540715</v>
      </c>
      <c r="S17" s="36">
        <v>1306.0255126543243</v>
      </c>
      <c r="T17" s="35">
        <v>1022.4861051642504</v>
      </c>
      <c r="U17" s="36">
        <v>1364.9954701092115</v>
      </c>
      <c r="V17" s="35">
        <v>1034.1777009915456</v>
      </c>
      <c r="W17" s="36">
        <v>1431.6428382288193</v>
      </c>
      <c r="X17" s="35">
        <v>1050.7978898554861</v>
      </c>
      <c r="Y17" s="36">
        <v>1508.3740048014931</v>
      </c>
      <c r="Z17" s="35">
        <v>1074.5866320918449</v>
      </c>
      <c r="AA17" s="36">
        <v>1599.5042721240814</v>
      </c>
      <c r="AB17" s="35">
        <v>1109.025680186691</v>
      </c>
      <c r="AC17" s="36">
        <v>1713.2179794305339</v>
      </c>
      <c r="AD17" s="35">
        <v>1159.7000303910802</v>
      </c>
      <c r="AE17" s="36">
        <v>1865.703463654653</v>
      </c>
      <c r="AF17" s="35">
        <v>1236.1646112354649</v>
      </c>
      <c r="AG17" s="36">
        <v>2090.7091545834237</v>
      </c>
      <c r="AH17" s="35">
        <v>1357.0303624153678</v>
      </c>
      <c r="AI17" s="36">
        <v>2466.1983754316016</v>
      </c>
      <c r="AJ17" s="35">
        <v>1566.4291753398099</v>
      </c>
      <c r="AK17" s="36">
        <v>3209.4966171145234</v>
      </c>
      <c r="AL17" s="35">
        <v>1993.4638069700968</v>
      </c>
      <c r="AM17" s="36">
        <v>5114.5028567865647</v>
      </c>
      <c r="AN17" s="35">
        <v>3169.6757156846156</v>
      </c>
      <c r="AO17" s="36">
        <v>12822.671199614046</v>
      </c>
      <c r="AP17" s="35">
        <v>3695.2452103972896</v>
      </c>
      <c r="AQ17" s="36">
        <v>17307.524695305412</v>
      </c>
      <c r="AR17" s="35">
        <v>4505.8318622656607</v>
      </c>
      <c r="AS17" s="36">
        <v>25347.799181011607</v>
      </c>
      <c r="AT17" s="35">
        <v>5956.1120827862032</v>
      </c>
      <c r="AU17" s="36">
        <v>42798.97257782286</v>
      </c>
      <c r="AV17" s="35">
        <v>9549.9658396470149</v>
      </c>
      <c r="AW17" s="36">
        <v>100306.2298973771</v>
      </c>
    </row>
    <row r="18" spans="1:49" x14ac:dyDescent="0.2">
      <c r="A18" t="s">
        <v>19</v>
      </c>
      <c r="B18" s="33">
        <v>27857.010133999996</v>
      </c>
      <c r="C18" s="34">
        <v>1236.7674480000003</v>
      </c>
      <c r="D18" s="33">
        <v>27570.94113296736</v>
      </c>
      <c r="E18" s="34">
        <v>1154.799105850037</v>
      </c>
      <c r="F18" s="33">
        <v>27245.483345216471</v>
      </c>
      <c r="G18" s="34">
        <v>1073.2511011218342</v>
      </c>
      <c r="H18" s="33">
        <v>26873.628373018353</v>
      </c>
      <c r="I18" s="34">
        <v>992.21822976142312</v>
      </c>
      <c r="J18" s="33">
        <v>26446.97174045915</v>
      </c>
      <c r="K18" s="34">
        <v>911.81610117136006</v>
      </c>
      <c r="L18" s="33">
        <v>25955.438978380258</v>
      </c>
      <c r="M18" s="34">
        <v>832.18380819900005</v>
      </c>
      <c r="N18" s="33">
        <v>25387.113780446791</v>
      </c>
      <c r="O18" s="34">
        <v>753.48604827218594</v>
      </c>
      <c r="P18" s="33">
        <v>24728.151046835574</v>
      </c>
      <c r="Q18" s="34">
        <v>675.91241445564503</v>
      </c>
      <c r="R18" s="33">
        <v>23963.005060334552</v>
      </c>
      <c r="S18" s="34">
        <v>599.6771580522776</v>
      </c>
      <c r="T18" s="33">
        <v>23075.049407041108</v>
      </c>
      <c r="U18" s="34">
        <v>525.00412506228713</v>
      </c>
      <c r="V18" s="33">
        <v>22048.284594768393</v>
      </c>
      <c r="W18" s="34">
        <v>452.1120654025421</v>
      </c>
      <c r="X18" s="33">
        <v>20870.262035094049</v>
      </c>
      <c r="Y18" s="34">
        <v>381.18051628544964</v>
      </c>
      <c r="Z18" s="33">
        <v>19536.682638669547</v>
      </c>
      <c r="AA18" s="34">
        <v>312.33052978422722</v>
      </c>
      <c r="AB18" s="33">
        <v>18057.006398027552</v>
      </c>
      <c r="AC18" s="34">
        <v>245.65303733342867</v>
      </c>
      <c r="AD18" s="33">
        <v>16458.086074494695</v>
      </c>
      <c r="AE18" s="34">
        <v>181.409351167549</v>
      </c>
      <c r="AF18" s="33">
        <v>14779.253227761446</v>
      </c>
      <c r="AG18" s="34">
        <v>120.60577710733914</v>
      </c>
      <c r="AH18" s="33">
        <v>13050.818531389374</v>
      </c>
      <c r="AI18" s="34">
        <v>66.18274393122384</v>
      </c>
      <c r="AJ18" s="33">
        <v>11252.72100170179</v>
      </c>
      <c r="AK18" s="34">
        <v>24.584683677124634</v>
      </c>
      <c r="AL18" s="33">
        <v>9251.0962950904704</v>
      </c>
      <c r="AM18" s="34">
        <v>3.8417121684081792</v>
      </c>
      <c r="AN18" s="33">
        <v>6626.8005016145662</v>
      </c>
      <c r="AO18" s="34">
        <v>7.8242573658259679E-2</v>
      </c>
      <c r="AP18" s="33">
        <v>5923.7932448149559</v>
      </c>
      <c r="AQ18" s="34">
        <v>2.1131444308375345E-2</v>
      </c>
      <c r="AR18" s="33">
        <v>5101.7404157582641</v>
      </c>
      <c r="AS18" s="34">
        <v>3.9128385083330363E-3</v>
      </c>
      <c r="AT18" s="33">
        <v>4094.3323575755235</v>
      </c>
      <c r="AU18" s="34">
        <v>3.7244681057318747E-4</v>
      </c>
      <c r="AV18" s="33">
        <v>2745.6437478892817</v>
      </c>
      <c r="AW18" s="34">
        <v>7.4595023287435038E-6</v>
      </c>
    </row>
    <row r="19" spans="1:49" x14ac:dyDescent="0.2">
      <c r="A19" t="s">
        <v>3</v>
      </c>
      <c r="B19" s="41">
        <v>1886.3937399999918</v>
      </c>
      <c r="C19" s="42">
        <v>262.78711299999759</v>
      </c>
      <c r="D19" s="41">
        <v>1864.0745277785275</v>
      </c>
      <c r="E19" s="42">
        <v>265.52237899162736</v>
      </c>
      <c r="F19" s="41">
        <v>1840.9928072762038</v>
      </c>
      <c r="G19" s="42">
        <v>268.56238005978577</v>
      </c>
      <c r="H19" s="41">
        <v>1817.0701285397188</v>
      </c>
      <c r="I19" s="42">
        <v>271.88194014768214</v>
      </c>
      <c r="J19" s="41">
        <v>1792.2362910416612</v>
      </c>
      <c r="K19" s="42">
        <v>275.43810463394686</v>
      </c>
      <c r="L19" s="41">
        <v>1766.4448418932936</v>
      </c>
      <c r="M19" s="42">
        <v>279.16511538108625</v>
      </c>
      <c r="N19" s="41">
        <v>1739.6991560994425</v>
      </c>
      <c r="O19" s="42">
        <v>282.9694790825647</v>
      </c>
      <c r="P19" s="41">
        <v>1712.099068929906</v>
      </c>
      <c r="Q19" s="42">
        <v>286.72649743308307</v>
      </c>
      <c r="R19" s="41">
        <v>1683.9165145952159</v>
      </c>
      <c r="S19" s="42">
        <v>290.28115718798603</v>
      </c>
      <c r="T19" s="41">
        <v>1655.7394225135265</v>
      </c>
      <c r="U19" s="42">
        <v>293.46012243028389</v>
      </c>
      <c r="V19" s="41">
        <v>1628.6891276466151</v>
      </c>
      <c r="W19" s="42">
        <v>296.09958554356649</v>
      </c>
      <c r="X19" s="41">
        <v>1604.801004758514</v>
      </c>
      <c r="Y19" s="42">
        <v>298.0991067344047</v>
      </c>
      <c r="Z19" s="41">
        <v>1587.6219405367399</v>
      </c>
      <c r="AA19" s="42">
        <v>299.49476771198096</v>
      </c>
      <c r="AB19" s="41">
        <v>1583.1619926162011</v>
      </c>
      <c r="AC19" s="42">
        <v>300.50873315097556</v>
      </c>
      <c r="AD19" s="41">
        <v>1601.4456487884977</v>
      </c>
      <c r="AE19" s="42">
        <v>301.42117339863705</v>
      </c>
      <c r="AF19" s="41">
        <v>1659.5399428921012</v>
      </c>
      <c r="AG19" s="42">
        <v>301.8775918571539</v>
      </c>
      <c r="AH19" s="41">
        <v>1789.6163445403924</v>
      </c>
      <c r="AI19" s="42">
        <v>298.79477106605344</v>
      </c>
      <c r="AJ19" s="41">
        <v>2065.5102499829654</v>
      </c>
      <c r="AK19" s="42">
        <v>281.37701637907855</v>
      </c>
      <c r="AL19" s="41">
        <v>2695.0189292133368</v>
      </c>
      <c r="AM19" s="42">
        <v>226.1816819908301</v>
      </c>
      <c r="AN19" s="41">
        <v>4435.686296050766</v>
      </c>
      <c r="AO19" s="42">
        <v>122.32148457167104</v>
      </c>
      <c r="AP19" s="41">
        <v>5163.9438121874446</v>
      </c>
      <c r="AQ19" s="42">
        <v>98.27185227855442</v>
      </c>
      <c r="AR19" s="41">
        <v>6217.0910854857493</v>
      </c>
      <c r="AS19" s="42">
        <v>73.864668104054076</v>
      </c>
      <c r="AT19" s="41">
        <v>7905.1310441694122</v>
      </c>
      <c r="AU19" s="42">
        <v>49.28748826417953</v>
      </c>
      <c r="AV19" s="41">
        <v>11251.808832374092</v>
      </c>
      <c r="AW19" s="42">
        <v>24.649856906493774</v>
      </c>
    </row>
    <row r="20" spans="1:49" x14ac:dyDescent="0.2">
      <c r="A20" t="s">
        <v>127</v>
      </c>
      <c r="B20" s="82">
        <v>26548.356269999993</v>
      </c>
      <c r="C20" s="83">
        <v>1408.5418709999938</v>
      </c>
      <c r="D20" s="82">
        <v>26268.806623225722</v>
      </c>
      <c r="E20" s="83">
        <v>1338.1147774499941</v>
      </c>
      <c r="F20" s="82">
        <v>25956.186643246594</v>
      </c>
      <c r="G20" s="83">
        <v>1267.6876838999945</v>
      </c>
      <c r="H20" s="82">
        <v>25604.75795410822</v>
      </c>
      <c r="I20" s="83">
        <v>1197.2605903499946</v>
      </c>
      <c r="J20" s="82">
        <v>25207.666368849485</v>
      </c>
      <c r="K20" s="83">
        <v>1126.8334967999949</v>
      </c>
      <c r="L20" s="82">
        <v>24756.733831177808</v>
      </c>
      <c r="M20" s="83">
        <v>1056.4064032499953</v>
      </c>
      <c r="N20" s="82">
        <v>24242.33777448102</v>
      </c>
      <c r="O20" s="83">
        <v>985.97930969999561</v>
      </c>
      <c r="P20" s="82">
        <v>23653.369960175241</v>
      </c>
      <c r="Q20" s="83">
        <v>915.55221614999596</v>
      </c>
      <c r="R20" s="82">
        <v>22977.458803418282</v>
      </c>
      <c r="S20" s="83">
        <v>845.12512259999642</v>
      </c>
      <c r="T20" s="82">
        <v>22201.542002451977</v>
      </c>
      <c r="U20" s="83">
        <v>774.69802904999653</v>
      </c>
      <c r="V20" s="82">
        <v>21313.324811389866</v>
      </c>
      <c r="W20" s="83">
        <v>704.27093549999688</v>
      </c>
      <c r="X20" s="82">
        <v>20303.775411735853</v>
      </c>
      <c r="Y20" s="83">
        <v>633.84384194999734</v>
      </c>
      <c r="Z20" s="82">
        <v>19171.005879146589</v>
      </c>
      <c r="AA20" s="83">
        <v>563.41674839999746</v>
      </c>
      <c r="AB20" s="82">
        <v>17925.029268534166</v>
      </c>
      <c r="AC20" s="83">
        <v>492.98965484999781</v>
      </c>
      <c r="AD20" s="82">
        <v>16591.001404464594</v>
      </c>
      <c r="AE20" s="83">
        <v>422.56256129999809</v>
      </c>
      <c r="AF20" s="82">
        <v>15205.803282336221</v>
      </c>
      <c r="AG20" s="83">
        <v>352.13546774999827</v>
      </c>
      <c r="AH20" s="82">
        <v>13802.130628678597</v>
      </c>
      <c r="AI20" s="83">
        <v>281.70837419999856</v>
      </c>
      <c r="AJ20" s="82">
        <v>12379.01723400521</v>
      </c>
      <c r="AK20" s="83">
        <v>211.28128064999879</v>
      </c>
      <c r="AL20" s="82">
        <v>10856.378048075485</v>
      </c>
      <c r="AM20" s="83">
        <v>140.85418709999905</v>
      </c>
      <c r="AN20" s="82">
        <v>8933.3300904194566</v>
      </c>
      <c r="AO20" s="83">
        <v>70.42709354999927</v>
      </c>
      <c r="AP20" s="82">
        <v>8421.6059347318296</v>
      </c>
      <c r="AQ20" s="83">
        <v>56.341674839999335</v>
      </c>
      <c r="AR20" s="82">
        <v>7820.4776002757098</v>
      </c>
      <c r="AS20" s="83">
        <v>42.256256129999379</v>
      </c>
      <c r="AT20" s="82">
        <v>7075.0148828436786</v>
      </c>
      <c r="AU20" s="83">
        <v>28.170837419999433</v>
      </c>
      <c r="AV20" s="82">
        <v>6046.3359712671336</v>
      </c>
      <c r="AW20" s="83">
        <v>14.08541870999948</v>
      </c>
    </row>
    <row r="21" spans="1:49" x14ac:dyDescent="0.2">
      <c r="A21" t="s">
        <v>76</v>
      </c>
      <c r="B21" s="82">
        <v>24661.962529999968</v>
      </c>
      <c r="C21" s="83">
        <v>1145.7547579999991</v>
      </c>
      <c r="D21" s="82">
        <v>24404.732965588908</v>
      </c>
      <c r="E21" s="83">
        <v>1072.743912442324</v>
      </c>
      <c r="F21" s="82">
        <v>24115.195449994546</v>
      </c>
      <c r="G21" s="83">
        <v>999.76102557630861</v>
      </c>
      <c r="H21" s="82">
        <v>23787.688592463728</v>
      </c>
      <c r="I21" s="83">
        <v>926.87883574735099</v>
      </c>
      <c r="J21" s="82">
        <v>23415.430261308768</v>
      </c>
      <c r="K21" s="83">
        <v>854.19136531007302</v>
      </c>
      <c r="L21" s="82">
        <v>22990.297247829261</v>
      </c>
      <c r="M21" s="83">
        <v>781.81779684421758</v>
      </c>
      <c r="N21" s="82">
        <v>22502.684394527958</v>
      </c>
      <c r="O21" s="83">
        <v>709.90576727939492</v>
      </c>
      <c r="P21" s="82">
        <v>21941.427396848696</v>
      </c>
      <c r="Q21" s="83">
        <v>638.63298752064486</v>
      </c>
      <c r="R21" s="82">
        <v>21293.968625686859</v>
      </c>
      <c r="S21" s="83">
        <v>568.20520378943672</v>
      </c>
      <c r="T21" s="82">
        <v>20546.820962036691</v>
      </c>
      <c r="U21" s="83">
        <v>498.84629812246857</v>
      </c>
      <c r="V21" s="82">
        <v>19686.872515799751</v>
      </c>
      <c r="W21" s="83">
        <v>430.77986331308449</v>
      </c>
      <c r="X21" s="82">
        <v>18703.619535767499</v>
      </c>
      <c r="Y21" s="83">
        <v>364.20005321005976</v>
      </c>
      <c r="Z21" s="82">
        <v>17592.669922599543</v>
      </c>
      <c r="AA21" s="83">
        <v>299.2467669105626</v>
      </c>
      <c r="AB21" s="82">
        <v>16359.967934244878</v>
      </c>
      <c r="AC21" s="83">
        <v>236.02936731773323</v>
      </c>
      <c r="AD21" s="82">
        <v>15024.326703491904</v>
      </c>
      <c r="AE21" s="83">
        <v>174.81245881850509</v>
      </c>
      <c r="AF21" s="82">
        <v>13612.891623548063</v>
      </c>
      <c r="AG21" s="83">
        <v>116.57160882153583</v>
      </c>
      <c r="AH21" s="82">
        <v>12142.475104639998</v>
      </c>
      <c r="AI21" s="83">
        <v>64.162982704871283</v>
      </c>
      <c r="AJ21" s="82">
        <v>10581.901278894478</v>
      </c>
      <c r="AK21" s="83">
        <v>23.900256901708186</v>
      </c>
      <c r="AL21" s="82">
        <v>8788.6455556266119</v>
      </c>
      <c r="AM21" s="83">
        <v>3.7420375870038574</v>
      </c>
      <c r="AN21" s="82">
        <v>6343.2881851216343</v>
      </c>
      <c r="AO21" s="83">
        <v>7.6268939397754171E-2</v>
      </c>
      <c r="AP21" s="82">
        <v>5676.1161247550172</v>
      </c>
      <c r="AQ21" s="83">
        <v>2.0599194147484519E-2</v>
      </c>
      <c r="AR21" s="82">
        <v>4892.4829781853305</v>
      </c>
      <c r="AS21" s="83">
        <v>3.8143603487854638E-3</v>
      </c>
      <c r="AT21" s="82">
        <v>3928.8873324941151</v>
      </c>
      <c r="AU21" s="83">
        <v>3.6307614053699067E-4</v>
      </c>
      <c r="AV21" s="82">
        <v>2635.8373513762326</v>
      </c>
      <c r="AW21" s="83">
        <v>7.2718425791451018E-6</v>
      </c>
    </row>
    <row r="22" spans="1:49" x14ac:dyDescent="0.2">
      <c r="A22" t="s">
        <v>28</v>
      </c>
      <c r="B22" s="41">
        <v>6533.6044688320644</v>
      </c>
      <c r="C22" s="42">
        <v>379.90788307663382</v>
      </c>
      <c r="D22" s="41">
        <v>6443.1928449078641</v>
      </c>
      <c r="E22" s="42">
        <v>363.02088072477221</v>
      </c>
      <c r="F22" s="41">
        <v>6343.3665666637153</v>
      </c>
      <c r="G22" s="42">
        <v>345.99751874144488</v>
      </c>
      <c r="H22" s="41">
        <v>6232.589177883111</v>
      </c>
      <c r="I22" s="42">
        <v>328.83378979604623</v>
      </c>
      <c r="J22" s="41">
        <v>6109.0388499203254</v>
      </c>
      <c r="K22" s="42">
        <v>311.52551717901201</v>
      </c>
      <c r="L22" s="41">
        <v>5970.5609609424055</v>
      </c>
      <c r="M22" s="42">
        <v>294.06859558872509</v>
      </c>
      <c r="N22" s="41">
        <v>5814.6427472899895</v>
      </c>
      <c r="O22" s="42">
        <v>276.45900737761923</v>
      </c>
      <c r="P22" s="41">
        <v>5638.4123297532688</v>
      </c>
      <c r="Q22" s="42">
        <v>258.69332975067204</v>
      </c>
      <c r="R22" s="41">
        <v>5438.7007442805007</v>
      </c>
      <c r="S22" s="42">
        <v>240.76868583099341</v>
      </c>
      <c r="T22" s="41">
        <v>5212.2154271750278</v>
      </c>
      <c r="U22" s="42">
        <v>222.6850957071066</v>
      </c>
      <c r="V22" s="41">
        <v>4955.9132851872282</v>
      </c>
      <c r="W22" s="42">
        <v>204.44502950865004</v>
      </c>
      <c r="X22" s="41">
        <v>4667.6603652647736</v>
      </c>
      <c r="Y22" s="42">
        <v>186.0550480845277</v>
      </c>
      <c r="Z22" s="41">
        <v>4347.2142473020649</v>
      </c>
      <c r="AA22" s="42">
        <v>167.52300265512221</v>
      </c>
      <c r="AB22" s="41">
        <v>3997.4041820563762</v>
      </c>
      <c r="AC22" s="42">
        <v>148.84752052522495</v>
      </c>
      <c r="AD22" s="41">
        <v>3624.8507654340242</v>
      </c>
      <c r="AE22" s="42">
        <v>129.98730372366953</v>
      </c>
      <c r="AF22" s="41">
        <v>3238.8580553919815</v>
      </c>
      <c r="AG22" s="42">
        <v>110.7935154127739</v>
      </c>
      <c r="AH22" s="41">
        <v>2846.9046104785193</v>
      </c>
      <c r="AI22" s="42">
        <v>90.893498485146623</v>
      </c>
      <c r="AJ22" s="41">
        <v>2446.3247061825359</v>
      </c>
      <c r="AK22" s="42">
        <v>69.586752308372667</v>
      </c>
      <c r="AL22" s="41">
        <v>2011.8644023730596</v>
      </c>
      <c r="AM22" s="42">
        <v>46.250521673026718</v>
      </c>
      <c r="AN22" s="41">
        <v>1461.0350736928524</v>
      </c>
      <c r="AO22" s="42">
        <v>22.034693394557134</v>
      </c>
      <c r="AP22" s="41">
        <v>1316.3319274018363</v>
      </c>
      <c r="AQ22" s="42">
        <v>17.330224449913466</v>
      </c>
      <c r="AR22" s="41">
        <v>1148.110718549842</v>
      </c>
      <c r="AS22" s="42">
        <v>12.72615977492009</v>
      </c>
      <c r="AT22" s="41">
        <v>942.59334472418516</v>
      </c>
      <c r="AU22" s="42">
        <v>8.2517433651016923</v>
      </c>
      <c r="AV22" s="41">
        <v>665.56923091594285</v>
      </c>
      <c r="AW22" s="42">
        <v>3.9546350251009623</v>
      </c>
    </row>
    <row r="23" spans="1:49" x14ac:dyDescent="0.2">
      <c r="A23" t="s">
        <v>7</v>
      </c>
      <c r="B23" s="116">
        <v>3278.5018080150408</v>
      </c>
      <c r="C23" s="8">
        <v>0</v>
      </c>
      <c r="D23" s="116">
        <v>3247.749006038146</v>
      </c>
      <c r="E23" s="8">
        <v>0</v>
      </c>
      <c r="F23" s="116">
        <v>3212.1804289569841</v>
      </c>
      <c r="G23" s="8">
        <v>0</v>
      </c>
      <c r="H23" s="116">
        <v>3170.9335390752353</v>
      </c>
      <c r="I23" s="8">
        <v>0</v>
      </c>
      <c r="J23" s="116">
        <v>3122.9749325324647</v>
      </c>
      <c r="K23" s="8">
        <v>0</v>
      </c>
      <c r="L23" s="116">
        <v>3067.067594033198</v>
      </c>
      <c r="M23" s="8">
        <v>0</v>
      </c>
      <c r="N23" s="116">
        <v>3001.7522224550785</v>
      </c>
      <c r="O23" s="8">
        <v>0</v>
      </c>
      <c r="P23" s="116">
        <v>2925.3404020545108</v>
      </c>
      <c r="Q23" s="8">
        <v>0</v>
      </c>
      <c r="R23" s="116">
        <v>2835.9505733843721</v>
      </c>
      <c r="S23" s="8">
        <v>0</v>
      </c>
      <c r="T23" s="116">
        <v>2731.5932439634339</v>
      </c>
      <c r="U23" s="8">
        <v>0</v>
      </c>
      <c r="V23" s="116">
        <v>2610.4033786298423</v>
      </c>
      <c r="W23" s="8">
        <v>0</v>
      </c>
      <c r="X23" s="116">
        <v>2471.0302087971895</v>
      </c>
      <c r="Y23" s="8">
        <v>0</v>
      </c>
      <c r="Z23" s="116">
        <v>2313.2544337363238</v>
      </c>
      <c r="AA23" s="8">
        <v>0</v>
      </c>
      <c r="AB23" s="116">
        <v>2138.7568435762414</v>
      </c>
      <c r="AC23" s="8">
        <v>0</v>
      </c>
      <c r="AD23" s="116">
        <v>1951.6896694880295</v>
      </c>
      <c r="AE23" s="8">
        <v>0</v>
      </c>
      <c r="AF23" s="116">
        <v>1758.2981896370559</v>
      </c>
      <c r="AG23" s="8">
        <v>0</v>
      </c>
      <c r="AH23" s="116">
        <v>1564.7994364113551</v>
      </c>
      <c r="AI23" s="8">
        <v>0</v>
      </c>
      <c r="AJ23" s="116">
        <v>1373.5555070408016</v>
      </c>
      <c r="AK23" s="8">
        <v>0</v>
      </c>
      <c r="AL23" s="116">
        <v>1176.7552775927315</v>
      </c>
      <c r="AM23" s="8">
        <v>0</v>
      </c>
      <c r="AN23" s="116">
        <v>932.55978995022838</v>
      </c>
      <c r="AO23" s="8">
        <v>0</v>
      </c>
      <c r="AP23" s="116">
        <v>866.28218010527155</v>
      </c>
      <c r="AQ23" s="8">
        <v>0</v>
      </c>
      <c r="AR23" s="116">
        <v>787.15188165050802</v>
      </c>
      <c r="AS23" s="8">
        <v>0</v>
      </c>
      <c r="AT23" s="116">
        <v>686.74798427391977</v>
      </c>
      <c r="AU23" s="8">
        <v>0</v>
      </c>
      <c r="AV23" s="116">
        <v>542.91919697865978</v>
      </c>
      <c r="AW23" s="8">
        <v>0</v>
      </c>
    </row>
    <row r="24" spans="1:49" x14ac:dyDescent="0.2">
      <c r="A24" t="s">
        <v>8</v>
      </c>
      <c r="B24" s="97">
        <v>3196.3846373657216</v>
      </c>
      <c r="C24" s="8">
        <v>0</v>
      </c>
      <c r="D24" s="97">
        <v>3196.3846373657216</v>
      </c>
      <c r="E24" s="8">
        <v>0</v>
      </c>
      <c r="F24" s="97">
        <v>3196.3846373657216</v>
      </c>
      <c r="G24" s="8">
        <v>0</v>
      </c>
      <c r="H24" s="97">
        <v>3196.3846373657216</v>
      </c>
      <c r="I24" s="8">
        <v>0</v>
      </c>
      <c r="J24" s="97">
        <v>3196.3846373657216</v>
      </c>
      <c r="K24" s="8">
        <v>0</v>
      </c>
      <c r="L24" s="97">
        <v>3196.3846373657216</v>
      </c>
      <c r="M24" s="8">
        <v>0</v>
      </c>
      <c r="N24" s="97">
        <v>3196.3846373657216</v>
      </c>
      <c r="O24" s="8">
        <v>0</v>
      </c>
      <c r="P24" s="97">
        <v>3196.3846373657216</v>
      </c>
      <c r="Q24" s="8">
        <v>0</v>
      </c>
      <c r="R24" s="97">
        <v>3196.3846373657216</v>
      </c>
      <c r="S24" s="8">
        <v>0</v>
      </c>
      <c r="T24" s="97">
        <v>3196.3846373657216</v>
      </c>
      <c r="U24" s="8">
        <v>0</v>
      </c>
      <c r="V24" s="97">
        <v>3196.3846373657216</v>
      </c>
      <c r="W24" s="8">
        <v>0</v>
      </c>
      <c r="X24" s="97">
        <v>3196.3846373657216</v>
      </c>
      <c r="Y24" s="8">
        <v>0</v>
      </c>
      <c r="Z24" s="97">
        <v>3196.3846373657216</v>
      </c>
      <c r="AA24" s="8">
        <v>0</v>
      </c>
      <c r="AB24" s="97">
        <v>3196.3846373657216</v>
      </c>
      <c r="AC24" s="8">
        <v>0</v>
      </c>
      <c r="AD24" s="97">
        <v>3196.3846373657216</v>
      </c>
      <c r="AE24" s="8">
        <v>0</v>
      </c>
      <c r="AF24" s="97">
        <v>3196.3846373657216</v>
      </c>
      <c r="AG24" s="8">
        <v>0</v>
      </c>
      <c r="AH24" s="97">
        <v>3196.3846373657216</v>
      </c>
      <c r="AI24" s="8">
        <v>0</v>
      </c>
      <c r="AJ24" s="97">
        <v>3196.3846373657216</v>
      </c>
      <c r="AK24" s="8">
        <v>0</v>
      </c>
      <c r="AL24" s="97">
        <v>3196.3846373657216</v>
      </c>
      <c r="AM24" s="8">
        <v>0</v>
      </c>
      <c r="AN24" s="97">
        <v>3196.3846373657216</v>
      </c>
      <c r="AO24" s="8">
        <v>0</v>
      </c>
      <c r="AP24" s="97">
        <v>3196.3846373657216</v>
      </c>
      <c r="AQ24" s="8">
        <v>0</v>
      </c>
      <c r="AR24" s="97">
        <v>3196.3846373657216</v>
      </c>
      <c r="AS24" s="8">
        <v>0</v>
      </c>
      <c r="AT24" s="97">
        <v>3196.3846373657216</v>
      </c>
      <c r="AU24" s="8">
        <v>0</v>
      </c>
      <c r="AV24" s="97">
        <v>3196.3846373657216</v>
      </c>
      <c r="AW24" s="8">
        <v>0</v>
      </c>
    </row>
    <row r="25" spans="1:49" x14ac:dyDescent="0.2">
      <c r="A25" t="s">
        <v>0</v>
      </c>
      <c r="B25" s="41">
        <v>3195.0476040000012</v>
      </c>
      <c r="C25" s="42">
        <v>91.012690000004397</v>
      </c>
      <c r="D25" s="41">
        <v>3166.2066883870921</v>
      </c>
      <c r="E25" s="42">
        <v>82.027584308957131</v>
      </c>
      <c r="F25" s="41">
        <v>3130.2851161096196</v>
      </c>
      <c r="G25" s="42">
        <v>73.381794898446969</v>
      </c>
      <c r="H25" s="41">
        <v>3085.9381645034041</v>
      </c>
      <c r="I25" s="42">
        <v>65.104497012359687</v>
      </c>
      <c r="J25" s="41">
        <v>3031.5409227431069</v>
      </c>
      <c r="K25" s="42">
        <v>57.225206940150471</v>
      </c>
      <c r="L25" s="41">
        <v>2965.1284086990731</v>
      </c>
      <c r="M25" s="42">
        <v>49.773041540306686</v>
      </c>
      <c r="N25" s="41">
        <v>2884.3563854514291</v>
      </c>
      <c r="O25" s="42">
        <v>42.775753499072501</v>
      </c>
      <c r="P25" s="41">
        <v>2786.4759673159342</v>
      </c>
      <c r="Q25" s="42">
        <v>36.258454521968467</v>
      </c>
      <c r="R25" s="41">
        <v>2668.3763263359265</v>
      </c>
      <c r="S25" s="42">
        <v>30.242296587977282</v>
      </c>
      <c r="T25" s="41">
        <v>2526.6885080141096</v>
      </c>
      <c r="U25" s="42">
        <v>24.742397158714542</v>
      </c>
      <c r="V25" s="41">
        <v>2358.1404831321443</v>
      </c>
      <c r="W25" s="42">
        <v>19.766546343649061</v>
      </c>
      <c r="X25" s="41">
        <v>2160.1531633574236</v>
      </c>
      <c r="Y25" s="42">
        <v>15.314275220499701</v>
      </c>
      <c r="Z25" s="41">
        <v>1931.8385580416891</v>
      </c>
      <c r="AA25" s="42">
        <v>11.379324026961523</v>
      </c>
      <c r="AB25" s="41">
        <v>1675.3052679438952</v>
      </c>
      <c r="AC25" s="42">
        <v>7.9576900419014471</v>
      </c>
      <c r="AD25" s="41">
        <v>1396.7936347124592</v>
      </c>
      <c r="AE25" s="42">
        <v>5.0645182495126262</v>
      </c>
      <c r="AF25" s="41">
        <v>1106.5409187912135</v>
      </c>
      <c r="AG25" s="42">
        <v>2.7557517399920783</v>
      </c>
      <c r="AH25" s="41">
        <v>816.41113249745649</v>
      </c>
      <c r="AI25" s="42">
        <v>1.1311156546447971</v>
      </c>
      <c r="AJ25" s="41">
        <v>537.22284178130428</v>
      </c>
      <c r="AK25" s="42">
        <v>0.26498775689020659</v>
      </c>
      <c r="AL25" s="41">
        <v>284.01187068137972</v>
      </c>
      <c r="AM25" s="42">
        <v>1.8310482665912654E-2</v>
      </c>
      <c r="AN25" s="41">
        <v>89.89229607899388</v>
      </c>
      <c r="AO25" s="42">
        <v>7.244969380522258E-5</v>
      </c>
      <c r="AP25" s="41">
        <v>61.826611963338848</v>
      </c>
      <c r="AQ25" s="42">
        <v>1.1345599980086945E-5</v>
      </c>
      <c r="AR25" s="41">
        <v>38.152748448490144</v>
      </c>
      <c r="AS25" s="42">
        <v>1.0427514069021311E-6</v>
      </c>
      <c r="AT25" s="41">
        <v>19.350156804057541</v>
      </c>
      <c r="AU25" s="42">
        <v>3.7488210785506041E-8</v>
      </c>
      <c r="AV25" s="41">
        <v>6.1188426267821772</v>
      </c>
      <c r="AW25" s="42">
        <v>1.502539196024399E-10</v>
      </c>
    </row>
    <row r="26" spans="1:49" x14ac:dyDescent="0.2">
      <c r="A26" t="s">
        <v>27</v>
      </c>
      <c r="B26" s="33">
        <v>5036.2953101960647</v>
      </c>
      <c r="C26" s="34">
        <v>74.905331803938267</v>
      </c>
      <c r="D26" s="33">
        <v>4995.9921610020365</v>
      </c>
      <c r="E26" s="34">
        <v>70.28367258045283</v>
      </c>
      <c r="F26" s="33">
        <v>4949.1579858262639</v>
      </c>
      <c r="G26" s="34">
        <v>65.660590001814811</v>
      </c>
      <c r="H26" s="33">
        <v>4894.510361329134</v>
      </c>
      <c r="I26" s="34">
        <v>61.038647690237745</v>
      </c>
      <c r="J26" s="33">
        <v>4830.4884270258954</v>
      </c>
      <c r="K26" s="34">
        <v>56.421320671336005</v>
      </c>
      <c r="L26" s="33">
        <v>4755.190961189347</v>
      </c>
      <c r="M26" s="34">
        <v>51.813193251008158</v>
      </c>
      <c r="N26" s="33">
        <v>4666.3302828456954</v>
      </c>
      <c r="O26" s="34">
        <v>47.220168746216537</v>
      </c>
      <c r="P26" s="33">
        <v>4561.1963001783388</v>
      </c>
      <c r="Q26" s="34">
        <v>42.64957487719802</v>
      </c>
      <c r="R26" s="33">
        <v>4436.675553432061</v>
      </c>
      <c r="S26" s="34">
        <v>38.110317245551975</v>
      </c>
      <c r="T26" s="33">
        <v>4289.3336181200784</v>
      </c>
      <c r="U26" s="34">
        <v>33.612302579661709</v>
      </c>
      <c r="V26" s="33">
        <v>4115.7052436098638</v>
      </c>
      <c r="W26" s="34">
        <v>29.165910829824192</v>
      </c>
      <c r="X26" s="33">
        <v>3912.8119758761186</v>
      </c>
      <c r="Y26" s="34">
        <v>24.780483162119062</v>
      </c>
      <c r="Z26" s="33">
        <v>3679.0150993014017</v>
      </c>
      <c r="AA26" s="34">
        <v>20.4636516493172</v>
      </c>
      <c r="AB26" s="33">
        <v>3415.0954338318516</v>
      </c>
      <c r="AC26" s="34">
        <v>16.223681083311096</v>
      </c>
      <c r="AD26" s="33">
        <v>3125.0129106489785</v>
      </c>
      <c r="AE26" s="34">
        <v>12.082364321242496</v>
      </c>
      <c r="AF26" s="33">
        <v>2815.0695704354521</v>
      </c>
      <c r="AG26" s="34">
        <v>8.1114277026194035</v>
      </c>
      <c r="AH26" s="33">
        <v>2489.7733270113658</v>
      </c>
      <c r="AI26" s="34">
        <v>4.5093112833189481</v>
      </c>
      <c r="AJ26" s="33">
        <v>2143.3261294641547</v>
      </c>
      <c r="AK26" s="34">
        <v>1.709724446743188</v>
      </c>
      <c r="AL26" s="33">
        <v>1745.7010069790817</v>
      </c>
      <c r="AM26" s="34">
        <v>0.27751765046947097</v>
      </c>
      <c r="AN26" s="33">
        <v>1207.7040515084809</v>
      </c>
      <c r="AO26" s="34">
        <v>6.1204549690196102E-3</v>
      </c>
      <c r="AP26" s="33">
        <v>1062.495540708012</v>
      </c>
      <c r="AQ26" s="34">
        <v>1.6970904634598142E-3</v>
      </c>
      <c r="AR26" s="33">
        <v>893.57284128429251</v>
      </c>
      <c r="AS26" s="34">
        <v>3.2486963007097536E-4</v>
      </c>
      <c r="AT26" s="33">
        <v>689.6653073831244</v>
      </c>
      <c r="AU26" s="34">
        <v>3.2339782737705079E-5</v>
      </c>
      <c r="AV26" s="33">
        <v>427.43903253703741</v>
      </c>
      <c r="AW26" s="34">
        <v>6.9475117998017619E-7</v>
      </c>
    </row>
    <row r="27" spans="1:49" x14ac:dyDescent="0.2">
      <c r="A27" t="s">
        <v>2</v>
      </c>
      <c r="B27" s="35">
        <v>6425.1981590000305</v>
      </c>
      <c r="C27" s="36">
        <v>273.22915400000028</v>
      </c>
      <c r="D27" s="35">
        <v>6357.8666621810644</v>
      </c>
      <c r="E27" s="36">
        <v>256.05063453596983</v>
      </c>
      <c r="F27" s="35">
        <v>6281.3381971912613</v>
      </c>
      <c r="G27" s="36">
        <v>238.88666306736104</v>
      </c>
      <c r="H27" s="35">
        <v>6193.9898688050444</v>
      </c>
      <c r="I27" s="36">
        <v>221.74929996028729</v>
      </c>
      <c r="J27" s="35">
        <v>6093.8783986497483</v>
      </c>
      <c r="K27" s="36">
        <v>204.65450483013828</v>
      </c>
      <c r="L27" s="35">
        <v>5978.6791464293774</v>
      </c>
      <c r="M27" s="36">
        <v>187.6227980686815</v>
      </c>
      <c r="N27" s="35">
        <v>5845.6486979292449</v>
      </c>
      <c r="O27" s="36">
        <v>170.68004678125737</v>
      </c>
      <c r="P27" s="35">
        <v>5691.6090444098045</v>
      </c>
      <c r="Q27" s="36">
        <v>153.85772985863738</v>
      </c>
      <c r="R27" s="35">
        <v>5513.0050297194712</v>
      </c>
      <c r="S27" s="36">
        <v>137.1938080082025</v>
      </c>
      <c r="T27" s="35">
        <v>5306.059010965264</v>
      </c>
      <c r="U27" s="36">
        <v>120.7301917878475</v>
      </c>
      <c r="V27" s="35">
        <v>5067.1750888641309</v>
      </c>
      <c r="W27" s="36">
        <v>104.51125329858721</v>
      </c>
      <c r="X27" s="35">
        <v>4793.6333855452749</v>
      </c>
      <c r="Y27" s="36">
        <v>88.577708182786623</v>
      </c>
      <c r="Z27" s="35">
        <v>4484.6736226961748</v>
      </c>
      <c r="AA27" s="36">
        <v>72.964153168697024</v>
      </c>
      <c r="AB27" s="35">
        <v>4142.8162203689826</v>
      </c>
      <c r="AC27" s="36">
        <v>57.706196971133821</v>
      </c>
      <c r="AD27" s="35">
        <v>3774.7289924923643</v>
      </c>
      <c r="AE27" s="36">
        <v>42.884024483927526</v>
      </c>
      <c r="AF27" s="35">
        <v>3390.1382509719997</v>
      </c>
      <c r="AG27" s="36">
        <v>28.746702809764702</v>
      </c>
      <c r="AH27" s="35">
        <v>2997.0164701198532</v>
      </c>
      <c r="AI27" s="36">
        <v>15.977232013566747</v>
      </c>
      <c r="AJ27" s="35">
        <v>2592.5558320143641</v>
      </c>
      <c r="AK27" s="36">
        <v>6.0725716936660339</v>
      </c>
      <c r="AL27" s="35">
        <v>2149.7379117147111</v>
      </c>
      <c r="AM27" s="36">
        <v>0.99454632557562772</v>
      </c>
      <c r="AN27" s="35">
        <v>1579.1028723257925</v>
      </c>
      <c r="AO27" s="36">
        <v>2.2601395922068102E-2</v>
      </c>
      <c r="AP27" s="35">
        <v>1426.7804106266285</v>
      </c>
      <c r="AQ27" s="36">
        <v>6.3510667537791474E-3</v>
      </c>
      <c r="AR27" s="35">
        <v>1248.1913423713954</v>
      </c>
      <c r="AS27" s="36">
        <v>1.2399705499903135E-3</v>
      </c>
      <c r="AT27" s="35">
        <v>1027.78409098477</v>
      </c>
      <c r="AU27" s="36">
        <v>1.274956862553474E-4</v>
      </c>
      <c r="AV27" s="35">
        <v>727.27759443427226</v>
      </c>
      <c r="AW27" s="36">
        <v>2.9266374119170762E-6</v>
      </c>
    </row>
    <row r="28" spans="1:49" x14ac:dyDescent="0.2">
      <c r="A28" t="s">
        <v>35</v>
      </c>
      <c r="B28" s="41">
        <v>13763.097676000029</v>
      </c>
      <c r="C28" s="42">
        <v>382.36647899999997</v>
      </c>
      <c r="D28" s="41">
        <v>13637.026676736201</v>
      </c>
      <c r="E28" s="42">
        <v>358.45399585399531</v>
      </c>
      <c r="F28" s="41">
        <v>13492.20292298871</v>
      </c>
      <c r="G28" s="42">
        <v>334.5536018947177</v>
      </c>
      <c r="H28" s="41">
        <v>13325.127282493508</v>
      </c>
      <c r="I28" s="42">
        <v>310.6810915994896</v>
      </c>
      <c r="J28" s="41">
        <v>13131.573749053567</v>
      </c>
      <c r="K28" s="42">
        <v>286.85749705562284</v>
      </c>
      <c r="L28" s="41">
        <v>12906.438559929129</v>
      </c>
      <c r="M28" s="42">
        <v>263.11004239399796</v>
      </c>
      <c r="N28" s="41">
        <v>12643.63625289943</v>
      </c>
      <c r="O28" s="42">
        <v>239.47324108912187</v>
      </c>
      <c r="P28" s="41">
        <v>12336.032630922464</v>
      </c>
      <c r="Q28" s="42">
        <v>215.98932037358176</v>
      </c>
      <c r="R28" s="41">
        <v>11975.531817760093</v>
      </c>
      <c r="S28" s="42">
        <v>192.70932619986775</v>
      </c>
      <c r="T28" s="41">
        <v>11553.354139633904</v>
      </c>
      <c r="U28" s="42">
        <v>169.68975681528971</v>
      </c>
      <c r="V28" s="41">
        <v>11060.867333436281</v>
      </c>
      <c r="W28" s="42">
        <v>146.99032205897367</v>
      </c>
      <c r="X28" s="41">
        <v>10491.040969752738</v>
      </c>
      <c r="Y28" s="42">
        <v>124.66562568759025</v>
      </c>
      <c r="Z28" s="41">
        <v>9840.7796272593314</v>
      </c>
      <c r="AA28" s="42">
        <v>102.76173391009726</v>
      </c>
      <c r="AB28" s="41">
        <v>9113.8236475331832</v>
      </c>
      <c r="AC28" s="42">
        <v>81.32669274609411</v>
      </c>
      <c r="AD28" s="41">
        <v>8322.725622900547</v>
      </c>
      <c r="AE28" s="42">
        <v>60.472791720273975</v>
      </c>
      <c r="AF28" s="41">
        <v>7486.5402148384246</v>
      </c>
      <c r="AG28" s="42">
        <v>40.553679671371732</v>
      </c>
      <c r="AH28" s="41">
        <v>6619.9855887994445</v>
      </c>
      <c r="AI28" s="42">
        <v>22.54087622369163</v>
      </c>
      <c r="AJ28" s="41">
        <v>5712.0277809177733</v>
      </c>
      <c r="AK28" s="42">
        <v>8.5615916345259517</v>
      </c>
      <c r="AL28" s="41">
        <v>4692.0131598011048</v>
      </c>
      <c r="AM28" s="42">
        <v>1.3987423041909461</v>
      </c>
      <c r="AN28" s="41">
        <v>3338.3134032358626</v>
      </c>
      <c r="AO28" s="42">
        <v>3.1517297860942303E-2</v>
      </c>
      <c r="AP28" s="41">
        <v>2973.2197668297345</v>
      </c>
      <c r="AQ28" s="42">
        <v>8.8217550128715863E-3</v>
      </c>
      <c r="AR28" s="41">
        <v>2545.7838907599103</v>
      </c>
      <c r="AS28" s="42">
        <v>1.7121000906751762E-3</v>
      </c>
      <c r="AT28" s="41">
        <v>2022.469537116121</v>
      </c>
      <c r="AU28" s="42">
        <v>1.7425176708624432E-4</v>
      </c>
      <c r="AV28" s="41">
        <v>1327.0518884177088</v>
      </c>
      <c r="AW28" s="42">
        <v>3.9105314651888428E-6</v>
      </c>
    </row>
    <row r="29" spans="1:49" x14ac:dyDescent="0.2">
      <c r="A29" t="s">
        <v>53</v>
      </c>
      <c r="B29" s="35">
        <v>14362.768558000025</v>
      </c>
      <c r="C29" s="36">
        <v>817.26650999999993</v>
      </c>
      <c r="D29" s="35">
        <v>14214.987508392804</v>
      </c>
      <c r="E29" s="36">
        <v>760.7353823883434</v>
      </c>
      <c r="F29" s="35">
        <v>14047.082999331902</v>
      </c>
      <c r="G29" s="36">
        <v>704.74808158696578</v>
      </c>
      <c r="H29" s="35">
        <v>13855.481761965395</v>
      </c>
      <c r="I29" s="36">
        <v>649.38274734459344</v>
      </c>
      <c r="J29" s="35">
        <v>13635.896689701014</v>
      </c>
      <c r="K29" s="36">
        <v>594.73088471678045</v>
      </c>
      <c r="L29" s="35">
        <v>13383.18507632685</v>
      </c>
      <c r="M29" s="36">
        <v>540.89856571208156</v>
      </c>
      <c r="N29" s="35">
        <v>13091.256814072116</v>
      </c>
      <c r="O29" s="36">
        <v>488.00683432881664</v>
      </c>
      <c r="P29" s="35">
        <v>12753.022795007069</v>
      </c>
      <c r="Q29" s="36">
        <v>436.19008105120997</v>
      </c>
      <c r="R29" s="35">
        <v>12360.498157389073</v>
      </c>
      <c r="S29" s="36">
        <v>385.59420141157665</v>
      </c>
      <c r="T29" s="35">
        <v>11905.096683054386</v>
      </c>
      <c r="U29" s="36">
        <v>336.36518983573603</v>
      </c>
      <c r="V29" s="35">
        <v>11378.46386798116</v>
      </c>
      <c r="W29" s="36">
        <v>288.63714829823084</v>
      </c>
      <c r="X29" s="35">
        <v>10773.908756262581</v>
      </c>
      <c r="Y29" s="36">
        <v>242.50830309169581</v>
      </c>
      <c r="Z29" s="35">
        <v>10088.659541441499</v>
      </c>
      <c r="AA29" s="36">
        <v>198.02717001802134</v>
      </c>
      <c r="AB29" s="35">
        <v>9326.6012709406004</v>
      </c>
      <c r="AC29" s="36">
        <v>155.21170001659254</v>
      </c>
      <c r="AD29" s="35">
        <v>8499.9719201663484</v>
      </c>
      <c r="AE29" s="36">
        <v>114.18369982669408</v>
      </c>
      <c r="AF29" s="35">
        <v>7626.6265498544299</v>
      </c>
      <c r="AG29" s="36">
        <v>75.549368244421345</v>
      </c>
      <c r="AH29" s="35">
        <v>6718.5228470490592</v>
      </c>
      <c r="AI29" s="36">
        <v>41.168938092049906</v>
      </c>
      <c r="AJ29" s="35">
        <v>5759.0353745052089</v>
      </c>
      <c r="AK29" s="36">
        <v>15.117555936058222</v>
      </c>
      <c r="AL29" s="35">
        <v>4667.7850870482862</v>
      </c>
      <c r="AM29" s="36">
        <v>2.3148939204558694</v>
      </c>
      <c r="AN29" s="35">
        <v>3216.5526362181258</v>
      </c>
      <c r="AO29" s="36">
        <v>4.5526565706340283E-2</v>
      </c>
      <c r="AP29" s="35">
        <v>2830.6867665205082</v>
      </c>
      <c r="AQ29" s="36">
        <v>1.2178192528759266E-2</v>
      </c>
      <c r="AR29" s="35">
        <v>2384.4427847425241</v>
      </c>
      <c r="AS29" s="36">
        <v>2.2304134391331718E-3</v>
      </c>
      <c r="AT29" s="35">
        <v>1848.3203840324036</v>
      </c>
      <c r="AU29" s="36">
        <v>2.0957300951745058E-4</v>
      </c>
      <c r="AV29" s="35">
        <v>1158.7180714175809</v>
      </c>
      <c r="AW29" s="36">
        <v>4.1285056571294038E-6</v>
      </c>
    </row>
    <row r="30" spans="1:49" x14ac:dyDescent="0.2">
      <c r="A30" t="s">
        <v>48</v>
      </c>
      <c r="B30" s="119">
        <v>2924829.9599999995</v>
      </c>
      <c r="D30" s="119">
        <v>2935185.2536115823</v>
      </c>
      <c r="F30" s="119">
        <v>2941894.6191219082</v>
      </c>
      <c r="H30" s="119">
        <v>2944267.9052076661</v>
      </c>
      <c r="J30" s="119">
        <v>2941476.5259094881</v>
      </c>
      <c r="L30" s="119">
        <v>2932532.8400023896</v>
      </c>
      <c r="N30" s="119">
        <v>2916286.3131661471</v>
      </c>
      <c r="P30" s="119">
        <v>2891440.2791557484</v>
      </c>
      <c r="R30" s="119">
        <v>2856620.2798109935</v>
      </c>
      <c r="T30" s="119">
        <v>2810527.8329786034</v>
      </c>
      <c r="V30" s="119">
        <v>2752262.7858337355</v>
      </c>
      <c r="X30" s="119">
        <v>2681895.0233669803</v>
      </c>
      <c r="Z30" s="119">
        <v>2601392.6808099649</v>
      </c>
      <c r="AB30" s="119">
        <v>2515975.1714037806</v>
      </c>
      <c r="AD30" s="119">
        <v>2435827.1602134313</v>
      </c>
      <c r="AF30" s="119">
        <v>2378211.3601968456</v>
      </c>
      <c r="AH30" s="119">
        <v>2371659.3330845474</v>
      </c>
      <c r="AJ30" s="119">
        <v>2469771.792160267</v>
      </c>
      <c r="AL30" s="119">
        <v>2788531.3959339936</v>
      </c>
      <c r="AN30" s="119">
        <v>3578836.9059381438</v>
      </c>
      <c r="AP30" s="119">
        <v>3846191.7444617609</v>
      </c>
      <c r="AR30" s="119">
        <v>4181558.1844756198</v>
      </c>
      <c r="AT30" s="119">
        <v>4620132.8274968192</v>
      </c>
      <c r="AV30" s="119">
        <v>5230415.4076076532</v>
      </c>
    </row>
    <row r="31" spans="1:49" x14ac:dyDescent="0.2">
      <c r="A31" t="s">
        <v>47</v>
      </c>
      <c r="B31" s="80">
        <v>1</v>
      </c>
      <c r="D31" s="80">
        <v>0.98445458147058551</v>
      </c>
      <c r="F31" s="80">
        <v>0.96744361971376969</v>
      </c>
      <c r="H31" s="80">
        <v>0.94874358893099486</v>
      </c>
      <c r="J31" s="80">
        <v>0.92809169472654585</v>
      </c>
      <c r="L31" s="80">
        <v>0.90517987083574414</v>
      </c>
      <c r="N31" s="80">
        <v>0.8796520794398498</v>
      </c>
      <c r="P31" s="80">
        <v>0.85110530395563699</v>
      </c>
      <c r="R31" s="80">
        <v>0.81909939241785024</v>
      </c>
      <c r="T31" s="80">
        <v>0.78318293078408419</v>
      </c>
      <c r="V31" s="80">
        <v>0.74294595537032082</v>
      </c>
      <c r="X31" s="80">
        <v>0.69811185432067502</v>
      </c>
      <c r="Z31" s="80">
        <v>0.64867085005087521</v>
      </c>
      <c r="AB31" s="80">
        <v>0.59503525520361533</v>
      </c>
      <c r="AD31" s="80">
        <v>0.53811976613826473</v>
      </c>
      <c r="AF31" s="80">
        <v>0.47914836695629887</v>
      </c>
      <c r="AH31" s="80">
        <v>0.41895215985973411</v>
      </c>
      <c r="AJ31" s="80">
        <v>0.35666825971668559</v>
      </c>
      <c r="AL31" s="80">
        <v>0.2878326546843708</v>
      </c>
      <c r="AN31" s="80">
        <v>0.19982944513960627</v>
      </c>
      <c r="AP31" s="80">
        <v>0.17701255133431149</v>
      </c>
      <c r="AR31" s="80">
        <v>0.1508229426374407</v>
      </c>
      <c r="AT31" s="80">
        <v>0.11946200850484039</v>
      </c>
      <c r="AV31" s="80">
        <v>7.8679685803707156E-2</v>
      </c>
    </row>
    <row r="32" spans="1:49" x14ac:dyDescent="0.2">
      <c r="A32" t="s">
        <v>64</v>
      </c>
      <c r="B32" s="86">
        <v>14734457.915000005</v>
      </c>
      <c r="D32" s="86">
        <v>14586641.298521914</v>
      </c>
      <c r="F32" s="86">
        <v>14423375.624852682</v>
      </c>
      <c r="H32" s="86">
        <v>14242099.872586744</v>
      </c>
      <c r="J32" s="86">
        <v>14039808.717087328</v>
      </c>
      <c r="L32" s="86">
        <v>13813002.627069578</v>
      </c>
      <c r="N32" s="86">
        <v>13557700.894321807</v>
      </c>
      <c r="P32" s="86">
        <v>13269535.481695388</v>
      </c>
      <c r="R32" s="86">
        <v>12944024.233267576</v>
      </c>
      <c r="T32" s="86">
        <v>12577138.2064946</v>
      </c>
      <c r="V32" s="86">
        <v>12166411.455783036</v>
      </c>
      <c r="X32" s="86">
        <v>11712824.272176823</v>
      </c>
      <c r="Z32" s="86">
        <v>11223695.566038892</v>
      </c>
      <c r="AB32" s="86">
        <v>10716563.288143728</v>
      </c>
      <c r="AD32" s="86">
        <v>10223319.77641418</v>
      </c>
      <c r="AF32" s="86">
        <v>9793616.1915215962</v>
      </c>
      <c r="AH32" s="86">
        <v>9500073.4482183401</v>
      </c>
      <c r="AJ32" s="86">
        <v>9459717.9597390573</v>
      </c>
      <c r="AL32" s="86">
        <v>9885211.506008558</v>
      </c>
      <c r="AN32" s="86">
        <v>11079286.354778947</v>
      </c>
      <c r="AP32" s="86">
        <v>11437050.989881167</v>
      </c>
      <c r="AR32" s="86">
        <v>11833055.330437841</v>
      </c>
      <c r="AT32" s="86">
        <v>12239104.185547918</v>
      </c>
      <c r="AV32" s="86">
        <v>12487100.675220482</v>
      </c>
    </row>
    <row r="33" spans="1:49 16319:16321" x14ac:dyDescent="0.2">
      <c r="A33" t="s">
        <v>54</v>
      </c>
      <c r="B33" s="117">
        <v>7019665.6909999885</v>
      </c>
      <c r="D33" s="117">
        <v>6925641.4498480614</v>
      </c>
      <c r="F33" s="117">
        <v>6824597.9276842987</v>
      </c>
      <c r="H33" s="117">
        <v>6715424.1488303244</v>
      </c>
      <c r="J33" s="117">
        <v>6596825.2527639009</v>
      </c>
      <c r="L33" s="117">
        <v>6467308.4480969012</v>
      </c>
      <c r="N33" s="117">
        <v>6325191.9580755867</v>
      </c>
      <c r="P33" s="117">
        <v>6168652.3434903985</v>
      </c>
      <c r="R33" s="117">
        <v>5995835.9870851887</v>
      </c>
      <c r="T33" s="117">
        <v>5805127.9983036788</v>
      </c>
      <c r="V33" s="117">
        <v>5595594.661814088</v>
      </c>
      <c r="X33" s="117">
        <v>5367781.1030750312</v>
      </c>
      <c r="Z33" s="117">
        <v>5124869.1986009059</v>
      </c>
      <c r="AB33" s="117">
        <v>4874184.1270739967</v>
      </c>
      <c r="AD33" s="117">
        <v>4628633.7344558919</v>
      </c>
      <c r="AF33" s="117">
        <v>4407474.791903873</v>
      </c>
      <c r="AH33" s="117">
        <v>4236922.1038171705</v>
      </c>
      <c r="AJ33" s="117">
        <v>4154694.0425075172</v>
      </c>
      <c r="AL33" s="117">
        <v>4218323.3766021589</v>
      </c>
      <c r="AN33" s="117">
        <v>4458938.5885683512</v>
      </c>
      <c r="AP33" s="117">
        <v>4512960.550311856</v>
      </c>
      <c r="AR33" s="117">
        <v>4549420.9214907894</v>
      </c>
      <c r="AT33" s="117">
        <v>4530753.4402619898</v>
      </c>
      <c r="AV33" s="117">
        <v>4316629.0205746349</v>
      </c>
    </row>
    <row r="34" spans="1:49 16319:16321" x14ac:dyDescent="0.2">
      <c r="A34" t="s">
        <v>75</v>
      </c>
      <c r="B34" s="117">
        <v>1136879.4410000162</v>
      </c>
      <c r="D34" s="117">
        <v>1118637.3659258946</v>
      </c>
      <c r="F34" s="117">
        <v>1094111.7236720768</v>
      </c>
      <c r="H34" s="117">
        <v>1062090.5928283627</v>
      </c>
      <c r="J34" s="117">
        <v>1021091.7340076494</v>
      </c>
      <c r="L34" s="117">
        <v>969291.49296500022</v>
      </c>
      <c r="N34" s="117">
        <v>904463.50376849447</v>
      </c>
      <c r="P34" s="117">
        <v>823908.85547491349</v>
      </c>
      <c r="R34" s="117">
        <v>724420.95114070189</v>
      </c>
      <c r="T34" s="117">
        <v>602231.36022901372</v>
      </c>
      <c r="V34" s="117">
        <v>453118.31628561195</v>
      </c>
      <c r="X34" s="117">
        <v>272567.32708500465</v>
      </c>
      <c r="Z34" s="117">
        <v>56101.173819930002</v>
      </c>
      <c r="AB34" s="117">
        <v>-200407.76778137998</v>
      </c>
      <c r="AD34" s="117">
        <v>-501008.66922516312</v>
      </c>
      <c r="AF34" s="117">
        <v>-852120.86421804945</v>
      </c>
      <c r="AH34" s="117">
        <v>-1270868.8674543446</v>
      </c>
      <c r="AJ34" s="117">
        <v>-1809399.4368238493</v>
      </c>
      <c r="AL34" s="117">
        <v>-2637170.4300401211</v>
      </c>
      <c r="AN34" s="117">
        <v>-4468115.4120937502</v>
      </c>
      <c r="AP34" s="117">
        <v>-5200389.0411570594</v>
      </c>
      <c r="AR34" s="117">
        <v>-6252803.0040985616</v>
      </c>
      <c r="AT34" s="117">
        <v>-7935068.3755920455</v>
      </c>
      <c r="AV34" s="117">
        <v>-11270339.846653653</v>
      </c>
    </row>
    <row r="35" spans="1:49 16319:16321" x14ac:dyDescent="0.2">
      <c r="A35" t="s">
        <v>78</v>
      </c>
      <c r="B35" s="233">
        <v>1</v>
      </c>
      <c r="D35" s="233">
        <v>1.0021855043500245</v>
      </c>
      <c r="F35" s="233">
        <v>1.0049324822205836</v>
      </c>
      <c r="H35" s="233">
        <v>1.0083584091855549</v>
      </c>
      <c r="J35" s="233">
        <v>1.012615218179262</v>
      </c>
      <c r="L35" s="233">
        <v>1.0179032718273149</v>
      </c>
      <c r="N35" s="233">
        <v>1.0244905811161595</v>
      </c>
      <c r="P35" s="233">
        <v>1.0327423466509755</v>
      </c>
      <c r="R35" s="233">
        <v>1.0431643217307418</v>
      </c>
      <c r="T35" s="233">
        <v>1.0564757758005479</v>
      </c>
      <c r="V35" s="233">
        <v>1.0737162226813628</v>
      </c>
      <c r="X35" s="233">
        <v>1.0964250312373651</v>
      </c>
      <c r="Z35" s="233">
        <v>1.1269306370357706</v>
      </c>
      <c r="AB35" s="233">
        <v>1.168840024786274</v>
      </c>
      <c r="AD35" s="233">
        <v>1.2279331373744196</v>
      </c>
      <c r="AF35" s="233">
        <v>1.3141078478753643</v>
      </c>
      <c r="AH35" s="233">
        <v>1.446679531087558</v>
      </c>
      <c r="AJ35" s="233">
        <v>1.6714945204482732</v>
      </c>
      <c r="AL35" s="233">
        <v>2.1228342250474546</v>
      </c>
      <c r="AN35" s="233">
        <v>3.3600473402174056</v>
      </c>
      <c r="AP35" s="233">
        <v>3.9159557847402224</v>
      </c>
      <c r="AR35" s="233">
        <v>4.7786008380319034</v>
      </c>
      <c r="AT35" s="233">
        <v>6.3366823550334583</v>
      </c>
      <c r="AV35" s="233">
        <v>10.251236578198677</v>
      </c>
    </row>
    <row r="36" spans="1:49 16319:16321" x14ac:dyDescent="0.2">
      <c r="A36" t="s">
        <v>21</v>
      </c>
      <c r="B36" s="37">
        <v>0.47195767671988198</v>
      </c>
      <c r="C36" s="38">
        <v>0.31738834428178964</v>
      </c>
      <c r="D36" s="37">
        <v>0.47196792398693554</v>
      </c>
      <c r="E36" s="38">
        <v>0.31943249887589792</v>
      </c>
      <c r="F36" s="37">
        <v>0.47197173346970733</v>
      </c>
      <c r="G36" s="38">
        <v>0.32159944989061767</v>
      </c>
      <c r="H36" s="37">
        <v>0.47196741859015223</v>
      </c>
      <c r="I36" s="38">
        <v>0.32389399117787038</v>
      </c>
      <c r="J36" s="37">
        <v>0.47195289614235597</v>
      </c>
      <c r="K36" s="38">
        <v>0.32631910577659123</v>
      </c>
      <c r="L36" s="37">
        <v>0.47192560625648711</v>
      </c>
      <c r="M36" s="38">
        <v>0.32887487224603412</v>
      </c>
      <c r="N36" s="37">
        <v>0.47188248514810371</v>
      </c>
      <c r="O36" s="38">
        <v>0.33155731397629357</v>
      </c>
      <c r="P36" s="37">
        <v>0.47182001692465747</v>
      </c>
      <c r="Q36" s="38">
        <v>0.33435697296540534</v>
      </c>
      <c r="R36" s="37">
        <v>0.47173453137083476</v>
      </c>
      <c r="S36" s="38">
        <v>0.33725796273812841</v>
      </c>
      <c r="T36" s="37">
        <v>0.47162294334280824</v>
      </c>
      <c r="U36" s="38">
        <v>0.34023743495926212</v>
      </c>
      <c r="V36" s="37">
        <v>0.47148463299974441</v>
      </c>
      <c r="W36" s="38">
        <v>0.34326927690088144</v>
      </c>
      <c r="X36" s="37">
        <v>0.4713253881296714</v>
      </c>
      <c r="Y36" s="38">
        <v>0.34633446054159822</v>
      </c>
      <c r="Z36" s="37">
        <v>0.47116543698939922</v>
      </c>
      <c r="AA36" s="38">
        <v>0.34944734307682951</v>
      </c>
      <c r="AB36" s="37">
        <v>0.47105476863662243</v>
      </c>
      <c r="AC36" s="38">
        <v>0.35271153882060163</v>
      </c>
      <c r="AD36" s="37">
        <v>0.47110076704304726</v>
      </c>
      <c r="AE36" s="38">
        <v>0.35642800346940734</v>
      </c>
      <c r="AF36" s="37">
        <v>0.47151827354906012</v>
      </c>
      <c r="AG36" s="38">
        <v>0.3612964334342405</v>
      </c>
      <c r="AH36" s="37">
        <v>0.4727390242322338</v>
      </c>
      <c r="AI36" s="38">
        <v>0.36883886265974652</v>
      </c>
      <c r="AJ36" s="37">
        <v>0.47573801580248443</v>
      </c>
      <c r="AK36" s="38">
        <v>0.38256441058253415</v>
      </c>
      <c r="AL36" s="37">
        <v>0.48316352417878344</v>
      </c>
      <c r="AM36" s="38">
        <v>0.41165027554132128</v>
      </c>
      <c r="AN36" s="37">
        <v>0.5045138428696333</v>
      </c>
      <c r="AO36" s="38">
        <v>0.48569969311794198</v>
      </c>
      <c r="AP36" s="37">
        <v>0.51362297481080288</v>
      </c>
      <c r="AQ36" s="38">
        <v>0.51493525599881163</v>
      </c>
      <c r="AR36" s="37">
        <v>0.52704135592193513</v>
      </c>
      <c r="AS36" s="38">
        <v>0.55623074298930697</v>
      </c>
      <c r="AT36" s="37">
        <v>0.54936641401624653</v>
      </c>
      <c r="AU36" s="38">
        <v>0.62142017877170563</v>
      </c>
      <c r="AV36" s="37">
        <v>0.59784263773078083</v>
      </c>
      <c r="AW36" s="38">
        <v>0.75316378060019895</v>
      </c>
    </row>
    <row r="37" spans="1:49 16319:16321" x14ac:dyDescent="0.2">
      <c r="B37" s="39">
        <v>2.1403217525954466E-2</v>
      </c>
      <c r="C37" s="40">
        <v>0.3496246130199252</v>
      </c>
      <c r="D37" s="39">
        <v>2.0857290693289569E-2</v>
      </c>
      <c r="E37" s="40">
        <v>0.34641408044316452</v>
      </c>
      <c r="F37" s="39">
        <v>2.0310503770322223E-2</v>
      </c>
      <c r="G37" s="40">
        <v>0.34318237304562571</v>
      </c>
      <c r="H37" s="39">
        <v>1.9764168808009283E-2</v>
      </c>
      <c r="I37" s="40">
        <v>0.33993749522802813</v>
      </c>
      <c r="J37" s="39">
        <v>1.9219934617827786E-2</v>
      </c>
      <c r="K37" s="40">
        <v>0.33668968057401211</v>
      </c>
      <c r="L37" s="39">
        <v>1.8679879065454229E-2</v>
      </c>
      <c r="M37" s="40">
        <v>0.33345199323058644</v>
      </c>
      <c r="N37" s="39">
        <v>1.8146552342500368E-2</v>
      </c>
      <c r="O37" s="40">
        <v>0.3302406376966277</v>
      </c>
      <c r="P37" s="39">
        <v>1.7623021799546067E-2</v>
      </c>
      <c r="Q37" s="40">
        <v>0.32707526933033065</v>
      </c>
      <c r="R37" s="39">
        <v>1.7112791335014643E-2</v>
      </c>
      <c r="S37" s="40">
        <v>0.32397852210648581</v>
      </c>
      <c r="T37" s="39">
        <v>1.6619665628480218E-2</v>
      </c>
      <c r="U37" s="40">
        <v>0.32097515291286943</v>
      </c>
      <c r="V37" s="39">
        <v>1.6147046106656252E-2</v>
      </c>
      <c r="W37" s="40">
        <v>0.31808762583243672</v>
      </c>
      <c r="X37" s="39">
        <v>1.5696595591292752E-2</v>
      </c>
      <c r="Y37" s="40">
        <v>0.31532765336659641</v>
      </c>
      <c r="Z37" s="39">
        <v>1.5265378749462096E-2</v>
      </c>
      <c r="AA37" s="40">
        <v>0.31267808608637182</v>
      </c>
      <c r="AB37" s="39">
        <v>1.4840511087459736E-2</v>
      </c>
      <c r="AC37" s="40">
        <v>0.31005897834049806</v>
      </c>
      <c r="AD37" s="39">
        <v>1.4390105559273498E-2</v>
      </c>
      <c r="AE37" s="40">
        <v>0.30727004691357751</v>
      </c>
      <c r="AF37" s="39">
        <v>1.3849774155611491E-2</v>
      </c>
      <c r="AG37" s="40">
        <v>0.30390443931348787</v>
      </c>
      <c r="AH37" s="39">
        <v>1.3103492571350924E-2</v>
      </c>
      <c r="AI37" s="40">
        <v>0.29922553741650693</v>
      </c>
      <c r="AJ37" s="39">
        <v>1.1954117243187354E-2</v>
      </c>
      <c r="AK37" s="40">
        <v>0.29197777618390902</v>
      </c>
      <c r="AL37" s="39">
        <v>1.0109801978653054E-2</v>
      </c>
      <c r="AM37" s="40">
        <v>0.2803213508603572</v>
      </c>
      <c r="AN37" s="39">
        <v>7.299425883345847E-3</v>
      </c>
      <c r="AO37" s="40">
        <v>0.26278603936482248</v>
      </c>
      <c r="AP37" s="39">
        <v>6.5846304142220145E-3</v>
      </c>
      <c r="AQ37" s="40">
        <v>0.25844013447684894</v>
      </c>
      <c r="AR37" s="39">
        <v>5.7880451168011117E-3</v>
      </c>
      <c r="AS37" s="40">
        <v>0.25369101564203406</v>
      </c>
      <c r="AT37" s="39">
        <v>4.8650182284577575E-3</v>
      </c>
      <c r="AU37" s="40">
        <v>0.24835477042942042</v>
      </c>
      <c r="AV37" s="39">
        <v>3.6897656095307763E-3</v>
      </c>
      <c r="AW37" s="40">
        <v>0.24192780440142911</v>
      </c>
    </row>
    <row r="38" spans="1:49 16319:16321" x14ac:dyDescent="0.2">
      <c r="A38" t="s">
        <v>22</v>
      </c>
      <c r="B38" s="37">
        <v>0.18079094942242827</v>
      </c>
      <c r="C38" s="38">
        <v>6.0565413429233668E-2</v>
      </c>
      <c r="D38" s="37">
        <v>0.18120499176679125</v>
      </c>
      <c r="E38" s="38">
        <v>6.0862250606539624E-2</v>
      </c>
      <c r="F38" s="37">
        <v>0.18165058491044148</v>
      </c>
      <c r="G38" s="38">
        <v>6.1179149905536509E-2</v>
      </c>
      <c r="H38" s="37">
        <v>0.18213061122194121</v>
      </c>
      <c r="I38" s="38">
        <v>6.1517361664393491E-2</v>
      </c>
      <c r="J38" s="37">
        <v>0.18264807307356515</v>
      </c>
      <c r="K38" s="38">
        <v>6.1877960477836086E-2</v>
      </c>
      <c r="L38" s="37">
        <v>0.18320595406420259</v>
      </c>
      <c r="M38" s="38">
        <v>6.2261717592344785E-2</v>
      </c>
      <c r="N38" s="37">
        <v>0.18380704176146692</v>
      </c>
      <c r="O38" s="38">
        <v>6.2668935748043123E-2</v>
      </c>
      <c r="P38" s="37">
        <v>0.18445359264990532</v>
      </c>
      <c r="Q38" s="38">
        <v>6.3099262515464258E-2</v>
      </c>
      <c r="R38" s="37">
        <v>0.18514687712418818</v>
      </c>
      <c r="S38" s="38">
        <v>6.3551390500402649E-2</v>
      </c>
      <c r="T38" s="37">
        <v>0.18588621599272648</v>
      </c>
      <c r="U38" s="38">
        <v>6.4022930440163495E-2</v>
      </c>
      <c r="V38" s="37">
        <v>0.18666782106878449</v>
      </c>
      <c r="W38" s="38">
        <v>6.4510357191764081E-2</v>
      </c>
      <c r="X38" s="37">
        <v>0.18748264728524219</v>
      </c>
      <c r="Y38" s="38">
        <v>6.5009836818527275E-2</v>
      </c>
      <c r="Z38" s="37">
        <v>0.18831319356232035</v>
      </c>
      <c r="AA38" s="38">
        <v>6.5519216656323875E-2</v>
      </c>
      <c r="AB38" s="37">
        <v>0.18912854980241342</v>
      </c>
      <c r="AC38" s="38">
        <v>6.6043071396224756E-2</v>
      </c>
      <c r="AD38" s="37">
        <v>0.18987705475011768</v>
      </c>
      <c r="AE38" s="38">
        <v>6.6602764650667154E-2</v>
      </c>
      <c r="AF38" s="37">
        <v>0.19047441214063557</v>
      </c>
      <c r="AG38" s="38">
        <v>6.7255714420713306E-2</v>
      </c>
      <c r="AH38" s="37">
        <v>0.19077526218168231</v>
      </c>
      <c r="AI38" s="38">
        <v>6.8134244902341309E-2</v>
      </c>
      <c r="AJ38" s="37">
        <v>0.19047180936415395</v>
      </c>
      <c r="AK38" s="38">
        <v>6.9544293072765426E-2</v>
      </c>
      <c r="AL38" s="37">
        <v>0.18870206852192428</v>
      </c>
      <c r="AM38" s="38">
        <v>7.2238012194562967E-2</v>
      </c>
      <c r="AN38" s="37">
        <v>0.18224542163510635</v>
      </c>
      <c r="AO38" s="38">
        <v>7.8224100804147101E-2</v>
      </c>
      <c r="AP38" s="37">
        <v>0.17936067259572319</v>
      </c>
      <c r="AQ38" s="38">
        <v>8.0311143842978147E-2</v>
      </c>
      <c r="AR38" s="37">
        <v>0.17515058949769832</v>
      </c>
      <c r="AS38" s="38">
        <v>8.3026587828532089E-2</v>
      </c>
      <c r="AT38" s="37">
        <v>0.168443899310488</v>
      </c>
      <c r="AU38" s="38">
        <v>8.683060726962559E-2</v>
      </c>
      <c r="AV38" s="37">
        <v>0.15567898525277793</v>
      </c>
      <c r="AW38" s="38">
        <v>9.3136398296051165E-2</v>
      </c>
    </row>
    <row r="39" spans="1:49 16319:16321" x14ac:dyDescent="0.2">
      <c r="A39" t="s">
        <v>23</v>
      </c>
      <c r="B39" s="39">
        <v>0.23064923795098732</v>
      </c>
      <c r="C39" s="40">
        <v>0.22092201281804777</v>
      </c>
      <c r="D39" s="39">
        <v>0.23060027699158886</v>
      </c>
      <c r="E39" s="40">
        <v>0.22172742708134791</v>
      </c>
      <c r="F39" s="39">
        <v>0.2305460364788898</v>
      </c>
      <c r="G39" s="40">
        <v>0.22258226692491687</v>
      </c>
      <c r="H39" s="39">
        <v>0.23048580499922114</v>
      </c>
      <c r="I39" s="40">
        <v>0.22348843561723963</v>
      </c>
      <c r="J39" s="39">
        <v>0.23041875865610736</v>
      </c>
      <c r="K39" s="40">
        <v>0.22444712762500013</v>
      </c>
      <c r="L39" s="39">
        <v>0.23034398113664556</v>
      </c>
      <c r="M39" s="40">
        <v>0.22545836174670594</v>
      </c>
      <c r="N39" s="39">
        <v>0.23026046790839122</v>
      </c>
      <c r="O39" s="40">
        <v>0.22652051378076968</v>
      </c>
      <c r="P39" s="39">
        <v>0.23016719016435122</v>
      </c>
      <c r="Q39" s="40">
        <v>0.22762968480546217</v>
      </c>
      <c r="R39" s="39">
        <v>0.23006317512510274</v>
      </c>
      <c r="S39" s="40">
        <v>0.22877944601692241</v>
      </c>
      <c r="T39" s="39">
        <v>0.22994789382102801</v>
      </c>
      <c r="U39" s="40">
        <v>0.22996046321259653</v>
      </c>
      <c r="V39" s="39">
        <v>0.22982173815311091</v>
      </c>
      <c r="W39" s="40">
        <v>0.23116227434792005</v>
      </c>
      <c r="X39" s="39">
        <v>0.22968726398761161</v>
      </c>
      <c r="Y39" s="40">
        <v>0.23237732359975766</v>
      </c>
      <c r="Z39" s="39">
        <v>0.22955143949666892</v>
      </c>
      <c r="AA39" s="40">
        <v>0.23361197901179923</v>
      </c>
      <c r="AB39" s="39">
        <v>0.22942984728750615</v>
      </c>
      <c r="AC39" s="40">
        <v>0.23490935669892943</v>
      </c>
      <c r="AD39" s="39">
        <v>0.22935406798862901</v>
      </c>
      <c r="AE39" s="40">
        <v>0.23639368206724912</v>
      </c>
      <c r="AF39" s="39">
        <v>0.22938494920730784</v>
      </c>
      <c r="AG39" s="40">
        <v>0.2383526187487697</v>
      </c>
      <c r="AH39" s="39">
        <v>0.22964203072102593</v>
      </c>
      <c r="AI39" s="40">
        <v>0.24141084313714853</v>
      </c>
      <c r="AJ39" s="39">
        <v>0.2303936827032575</v>
      </c>
      <c r="AK39" s="40">
        <v>0.24700629763710946</v>
      </c>
      <c r="AL39" s="39">
        <v>0.23237655766869172</v>
      </c>
      <c r="AM39" s="40">
        <v>0.25888100981488155</v>
      </c>
      <c r="AN39" s="39">
        <v>0.23829038944828004</v>
      </c>
      <c r="AO39" s="40">
        <v>0.28886314528435997</v>
      </c>
      <c r="AP39" s="39">
        <v>0.24085587589936175</v>
      </c>
      <c r="AQ39" s="40">
        <v>0.30055052844929925</v>
      </c>
      <c r="AR39" s="39">
        <v>0.24465990831598958</v>
      </c>
      <c r="AS39" s="40">
        <v>0.31689796227204142</v>
      </c>
      <c r="AT39" s="39">
        <v>0.25102605290044816</v>
      </c>
      <c r="AU39" s="40">
        <v>0.34231917856709349</v>
      </c>
      <c r="AV39" s="39">
        <v>0.26488418062007069</v>
      </c>
      <c r="AW39" s="40">
        <v>0.3923368185890822</v>
      </c>
    </row>
    <row r="40" spans="1:49 16319:16321"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49 16319:16321" x14ac:dyDescent="0.2">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row>
    <row r="42" spans="1:49 16319:16321" x14ac:dyDescent="0.2">
      <c r="A42" t="s">
        <v>107</v>
      </c>
      <c r="B42" s="177">
        <f>10.8%+(1-10.8%)*(1-SUM(B26:C26)/SUM($B$26:$C$26))</f>
        <v>0.10800000000000001</v>
      </c>
      <c r="C42" s="135"/>
      <c r="D42" s="177">
        <f>10.8%+(1-10.8%)*(1-SUM(D26:E26)/SUM($B$26:$C$26))</f>
        <v>0.11584021835870296</v>
      </c>
      <c r="E42" s="135"/>
      <c r="F42" s="177">
        <f>10.8%+(1-10.8%)*(1-SUM(F26:G26)/SUM($B$26:$C$26))</f>
        <v>0.12482047116657817</v>
      </c>
      <c r="G42" s="135"/>
      <c r="H42" s="177">
        <f>10.8%+(1-10.8%)*(1-SUM(H26:I26)/SUM($B$26:$C$26))</f>
        <v>0.13516411785478163</v>
      </c>
      <c r="I42" s="135"/>
      <c r="J42" s="177">
        <f>10.8%+(1-10.8%)*(1-SUM(J26:K26)/SUM($B$26:$C$26))</f>
        <v>0.14714295128116645</v>
      </c>
      <c r="K42" s="135"/>
      <c r="L42" s="177">
        <f>10.8%+(1-10.8%)*(1-SUM(L26:M26)/SUM($B$26:$C$26))</f>
        <v>0.16108797010892348</v>
      </c>
      <c r="M42" s="135"/>
      <c r="N42" s="177">
        <f>10.8%+(1-10.8%)*(1-SUM(N26:O26)/SUM($B$26:$C$26))</f>
        <v>0.17739738716757222</v>
      </c>
      <c r="O42" s="135"/>
      <c r="P42" s="177">
        <f>10.8%+(1-10.8%)*(1-SUM(P26:Q26)/SUM($B$26:$C$26))</f>
        <v>0.19654288528524261</v>
      </c>
      <c r="Q42" s="135"/>
      <c r="R42" s="177">
        <f>10.8%+(1-10.8%)*(1-SUM(R26:S26)/SUM($B$26:$C$26))</f>
        <v>0.21906626716133751</v>
      </c>
      <c r="S42" s="135"/>
      <c r="T42" s="177">
        <f>10.8%+(1-10.8%)*(1-SUM(T26:U26)/SUM($B$26:$C$26))</f>
        <v>0.24556517512188766</v>
      </c>
      <c r="U42" s="135"/>
      <c r="V42" s="177">
        <f>10.8%+(1-10.8%)*(1-SUM(V26:W26)/SUM($B$26:$C$26))</f>
        <v>0.27664254864518789</v>
      </c>
      <c r="W42" s="135"/>
      <c r="X42" s="177">
        <f>10.8%+(1-10.8%)*(1-SUM(X26:Y26)/SUM($B$26:$C$26))</f>
        <v>0.31281655339444103</v>
      </c>
      <c r="Y42" s="162"/>
      <c r="Z42" s="177">
        <f>10.8%+(1-10.8%)*(1-SUM(Z26:AA26)/SUM($B$26:$C$26))</f>
        <v>0.35437184392026078</v>
      </c>
      <c r="AA42" s="135"/>
      <c r="AB42" s="177">
        <f>10.8%+(1-10.8%)*(1-SUM(AB26:AC26)/SUM($B$26:$C$26))</f>
        <v>0.40117071019409956</v>
      </c>
      <c r="AC42" s="135"/>
      <c r="AD42" s="177">
        <f>10.8%+(1-10.8%)*(1-SUM(AD26:AE26)/SUM($B$26:$C$26))</f>
        <v>0.45251826698423803</v>
      </c>
      <c r="AE42" s="135"/>
      <c r="AF42" s="177">
        <f>10.8%+(1-10.8%)*(1-SUM(AF26:AG26)/SUM($B$26:$C$26))</f>
        <v>0.50730217286994184</v>
      </c>
      <c r="AG42" s="135"/>
      <c r="AH42" s="177">
        <f>10.8%+(1-10.8%)*(1-SUM(AH26:AI26)/SUM($B$26:$C$26))</f>
        <v>0.56470108117527174</v>
      </c>
      <c r="AI42" s="135"/>
      <c r="AJ42" s="177">
        <f>10.8%+(1-10.8%)*(1-SUM(AJ26:AK26)/SUM($B$26:$C$26))</f>
        <v>0.62565116971424117</v>
      </c>
      <c r="AK42" s="135"/>
      <c r="AL42" s="177">
        <f>10.8%+(1-10.8%)*(1-SUM(AL26:AM26)/SUM($B$26:$C$26))</f>
        <v>0.69529412890350806</v>
      </c>
      <c r="AM42" s="135"/>
      <c r="AN42" s="177">
        <f>10.8%+(1-10.8%)*(1-SUM(AN26:AO26)/SUM($B$26:$C$26))</f>
        <v>0.78923201242793306</v>
      </c>
      <c r="AO42" s="135"/>
      <c r="AP42" s="177">
        <f>10.8%+(1-10.8%)*(1-SUM(AP26:AQ26)/SUM($B$26:$C$26))</f>
        <v>0.81457438232254797</v>
      </c>
      <c r="AQ42" s="135"/>
      <c r="AR42" s="177">
        <f>10.8%+(1-10.8%)*(1-SUM(AR26:AS26)/SUM($B$26:$C$26))</f>
        <v>0.84405478868123485</v>
      </c>
      <c r="AS42" s="135"/>
      <c r="AT42" s="177">
        <f>10.8%+(1-10.8%)*(1-SUM(AT26:AU26)/SUM($B$26:$C$26))</f>
        <v>0.87964051382022956</v>
      </c>
      <c r="AU42" s="135"/>
      <c r="AV42" s="177">
        <f>10.8%+(1-10.8%)*(1-SUM(AV26:AW26)/SUM($B$26:$C$26))</f>
        <v>0.92540390324149691</v>
      </c>
    </row>
    <row r="43" spans="1:49 16319:16321" x14ac:dyDescent="0.2">
      <c r="A43" t="s">
        <v>108</v>
      </c>
      <c r="B43" s="162">
        <f>SUM(B15:C15*B27:C27)/SUM(B15:C15*B27:C27,B13:C13*B26:C26)</f>
        <v>0.56058995943839174</v>
      </c>
      <c r="C43" s="135"/>
      <c r="D43" s="162">
        <f t="array" ref="D43">SUM(D15:E15*D27:E27)/SUM(D15:E15*D27:E27,D13:E13*D26:E26)</f>
        <v>0.56727372413117216</v>
      </c>
      <c r="E43" s="135"/>
      <c r="F43" s="162">
        <f t="array" ref="F43">SUM(F15:G15*F27:G27)/SUM(F15:G15*F27:G27,F13:G13*F26:G26)</f>
        <v>0.56737852909973296</v>
      </c>
      <c r="G43" s="135"/>
      <c r="H43" s="162">
        <f t="array" ref="H43">SUM(H15:I15*H27:I27)/SUM(H15:I15*H27:I27,H13:I13*H26:I26)</f>
        <v>0.56751810054965757</v>
      </c>
      <c r="I43" s="135"/>
      <c r="J43" s="162">
        <f t="array" ref="J43">SUM(J15:K15*J27:K27)/SUM(J15:K15*J27:K27,J13:K13*J26:K26)</f>
        <v>0.56769572714738403</v>
      </c>
      <c r="K43" s="135"/>
      <c r="L43" s="162">
        <f t="array" ref="L43">SUM(L15:M15*L27:M27)/SUM(L15:M15*L27:M27,L13:M13*L26:M26)</f>
        <v>0.56791475457072504</v>
      </c>
      <c r="M43" s="135"/>
      <c r="N43" s="162">
        <f t="array" ref="N43">SUM(N15:O15*N27:O27)/SUM(N15:O15*N27:O27,N13:O13*N26:O26)</f>
        <v>0.56817833248370431</v>
      </c>
      <c r="O43" s="135"/>
      <c r="P43" s="162">
        <f t="array" ref="P43">SUM(P15:Q15*P27:Q27)/SUM(P15:Q15*P27:Q27,P13:Q13*P26:Q26)</f>
        <v>0.56848901550610387</v>
      </c>
      <c r="Q43" s="135"/>
      <c r="R43" s="162">
        <f t="array" ref="R43">SUM(R15:S15*R27:S27)/SUM(R15:S15*R27:S27,R13:S13*R26:S26)</f>
        <v>0.56884800778405353</v>
      </c>
      <c r="S43" s="135"/>
      <c r="T43" s="162">
        <f t="array" ref="T43">SUM(T15:U15*T27:U27)/SUM(T15:U15*T27:U27,T13:U13*T26:U26)</f>
        <v>0.56925407687780472</v>
      </c>
      <c r="U43" s="135"/>
      <c r="V43" s="162">
        <f t="array" ref="V43">SUM(V15:W15*V27:W27)/SUM(V15:W15*V27:W27,V13:W13*V26:W26)</f>
        <v>0.56970136639125613</v>
      </c>
      <c r="W43" s="135"/>
      <c r="X43" s="162">
        <f t="array" ref="X43">SUM(X15:Y15*X27:Y27)/SUM(X15:Y15*X27:Y27,X13:Y13*X26:Y26)</f>
        <v>0.57017600846793914</v>
      </c>
      <c r="Y43" s="135"/>
      <c r="Z43" s="162">
        <f t="array" ref="Z43">SUM(Z15:AA15*Z27:AA27)/SUM(Z15:AA15*Z27:AA27,Z13:AA13*Z26:AA26)</f>
        <v>0.5706505747445676</v>
      </c>
      <c r="AA43" s="135"/>
      <c r="AB43" s="162">
        <f t="array" ref="AB43">SUM(AB15:AC15*AB27:AC27)/SUM(AB15:AC15*AB27:AC27,AB13:AC13*AB26:AC26)</f>
        <v>0.57107571420582415</v>
      </c>
      <c r="AC43" s="135"/>
      <c r="AD43" s="162">
        <f t="array" ref="AD43">SUM(AD15:AE15*AD27:AE27)/SUM(AD15:AE15*AD27:AE27,AD13:AE13*AD26:AE26)</f>
        <v>0.571369034530959</v>
      </c>
      <c r="AE43" s="135"/>
      <c r="AF43" s="162">
        <f t="array" ref="AF43">SUM(AF15:AG15*AF27:AG27)/SUM(AF15:AG15*AF27:AG27,AF13:AG13*AF26:AG26)</f>
        <v>0.5714015783265548</v>
      </c>
      <c r="AG43" s="135"/>
      <c r="AH43" s="162">
        <f t="array" ref="AH43">SUM(AH15:AI15*AH27:AI27)/SUM(AH15:AI15*AH27:AI27,AH13:AI13*AH26:AI26)</f>
        <v>0.57097204684619951</v>
      </c>
      <c r="AI43" s="135"/>
      <c r="AJ43" s="162">
        <f t="array" ref="AJ43">SUM(AJ15:AK15*AJ27:AK27)/SUM(AJ15:AK15*AJ27:AK27,AJ13:AK13*AJ26:AK26)</f>
        <v>0.56969654752451249</v>
      </c>
      <c r="AK43" s="135"/>
      <c r="AL43" s="162">
        <f t="array" ref="AL43">SUM(AL15:AM15*AL27:AM27)/SUM(AL15:AM15*AL27:AM27,AL13:AM13*AL26:AM26)</f>
        <v>0.56646389765334149</v>
      </c>
      <c r="AM43" s="135"/>
      <c r="AN43" s="162">
        <f t="array" ref="AN43">SUM(AN15:AO15*AN27:AO27)/SUM(AN15:AO15*AN27:AO27,AN13:AO13*AN26:AO26)</f>
        <v>0.55655196131480245</v>
      </c>
      <c r="AO43" s="135"/>
      <c r="AP43" s="162">
        <f t="array" ref="AP43">SUM(AP15:AQ15*AP27:AQ27)/SUM(AP15:AQ15*AP27:AQ27,AP13:AQ13*AP26:AQ26)</f>
        <v>0.55215889637536186</v>
      </c>
      <c r="AQ43" s="135"/>
      <c r="AR43" s="162">
        <f t="array" ref="AR43">SUM(AR15:AS15*AR27:AS27)/SUM(AR15:AS15*AR27:AS27,AR13:AS13*AR26:AS26)</f>
        <v>0.54565080329187987</v>
      </c>
      <c r="AS43" s="135"/>
      <c r="AT43" s="162">
        <f t="array" ref="AT43">SUM(AT15:AU15*AT27:AU27)/SUM(AT15:AU15*AT27:AU27,AT13:AU13*AT26:AU26)</f>
        <v>0.53493265113199084</v>
      </c>
      <c r="AU43" s="135"/>
      <c r="AV43" s="162">
        <f t="array" ref="AV43">SUM(AV15:AW15*AV27:AW27)/SUM(AV15:AW15*AV27:AW27,AV13:AW13*AV26:AW26)</f>
        <v>0.51289634274254225</v>
      </c>
    </row>
    <row r="44" spans="1:49 16319:16321" x14ac:dyDescent="0.2">
      <c r="A44" t="s">
        <v>142</v>
      </c>
      <c r="B44" s="193">
        <f>(SUM(B11:C11*B24:C24)+B34)/B32</f>
        <v>0.29754226190682465</v>
      </c>
      <c r="D44" s="193">
        <f>(SUM(D11:E11*D24:E24)+D34)/D32</f>
        <v>0.29916036574111582</v>
      </c>
      <c r="F44" s="193">
        <f>(SUM(F11:G11*F24:G24)+F34)/F32</f>
        <v>0.30079147163635672</v>
      </c>
      <c r="H44" s="193">
        <f>(SUM(H11:I11*H24:I24)+H34)/H32</f>
        <v>0.30243455256351787</v>
      </c>
      <c r="J44" s="193">
        <f>(SUM(J11:K11*J24:K24)+J34)/J32</f>
        <v>0.30408804543179124</v>
      </c>
      <c r="L44" s="193">
        <f>(SUM(L11:M11*L24:M24)+L34)/L32</f>
        <v>0.30574940695433317</v>
      </c>
      <c r="N44" s="193">
        <f>(SUM(N11:O11*N24:O24)+N34)/N32</f>
        <v>0.3074151096083429</v>
      </c>
      <c r="P44" s="193">
        <f>(SUM(P11:Q11*P24:Q24)+P34)/P32</f>
        <v>0.30908052598317243</v>
      </c>
      <c r="R44" s="193">
        <f>(SUM(R11:S11*R24:S24)+R34)/R32</f>
        <v>0.31074112841389062</v>
      </c>
      <c r="T44" s="193">
        <f>(SUM(T11:U11*T24:U24)+T34)/T32</f>
        <v>0.31239188023724973</v>
      </c>
      <c r="V44" s="193">
        <f>(SUM(V11:W11*V24:W24)+V34)/V32</f>
        <v>0.31403225800028278</v>
      </c>
      <c r="X44" s="193">
        <f>(SUM(X11:Y11*X24:Y24)+X34)/X32</f>
        <v>0.31567140526722753</v>
      </c>
      <c r="Z44" s="193">
        <f>(SUM(Z11:AA11*Z24:AA24)+Z34)/Z32</f>
        <v>0.31734223033682635</v>
      </c>
      <c r="AB44" s="193">
        <f>(SUM(AB11:AC11*AB24:AC24)+AB34)/AB32</f>
        <v>0.31912662780558027</v>
      </c>
      <c r="AD44" s="193">
        <f>(SUM(AD11:AE11*AD24:AE24)+AD34)/AD32</f>
        <v>0.32120128101903189</v>
      </c>
      <c r="AF44" s="193">
        <f>(SUM(AF11:AG11*AF24:AG24)+AF34)/AF32</f>
        <v>0.32391831255444536</v>
      </c>
      <c r="AH44" s="193">
        <f>(SUM(AH11:AI11*AH24:AI24)+AH34)/AH32</f>
        <v>0.327965443144281</v>
      </c>
      <c r="AJ44" s="193">
        <f>(SUM(AJ11:AK11*AJ24:AK24)+AJ34)/AJ32</f>
        <v>0.33475528442392938</v>
      </c>
      <c r="AL44" s="193">
        <f>(SUM(AL11:AM11*AL24:AM24)+AL34)/AL32</f>
        <v>0.34722308016073028</v>
      </c>
      <c r="AN44" s="193">
        <f>(SUM(AN11:AO11*AN24:AO24)+AN34)/AN32</f>
        <v>0.37149659324898937</v>
      </c>
      <c r="AP44" s="193">
        <f>(SUM(AP11:AQ11*AP24:AQ24)+AP34)/AP32</f>
        <v>0.37936251886396077</v>
      </c>
      <c r="AR44" s="193">
        <f>(SUM(AR11:AS11*AR24:AS24)+AR34)/AR32</f>
        <v>0.38948665702978741</v>
      </c>
      <c r="AT44" s="193">
        <f>(SUM(AT11:AU11*AT24:AU24)+AT34)/AT32</f>
        <v>0.40376710762128576</v>
      </c>
      <c r="AV44" s="193">
        <f>(SUM(AV11:AW11*AV24:AW24)+AV34)/AV32</f>
        <v>0.42826674342512783</v>
      </c>
    </row>
    <row r="45" spans="1:49 16319:16321" x14ac:dyDescent="0.2">
      <c r="A45" t="s">
        <v>82</v>
      </c>
      <c r="B45" s="193">
        <f>SUM(B11:C11*B24:C24)/B32</f>
        <v>0.22038438833194082</v>
      </c>
      <c r="D45" s="193">
        <f>SUM(D11:E11*D24:E24)/D32</f>
        <v>0.22247119905548218</v>
      </c>
      <c r="F45" s="193">
        <f>SUM(F11:G11*F24:G24)/F32</f>
        <v>0.22493462978951256</v>
      </c>
      <c r="H45" s="193">
        <f>SUM(H11:I11*H24:I24)/H32</f>
        <v>0.22786053592762281</v>
      </c>
      <c r="J45" s="193">
        <f>SUM(J11:K11*J24:K24)/J32</f>
        <v>0.23135972308898634</v>
      </c>
      <c r="L45" s="193">
        <f>SUM(L11:M11*L24:M24)/L32</f>
        <v>0.23557701076109253</v>
      </c>
      <c r="N45" s="193">
        <f>SUM(N11:O11*N24:O24)/N32</f>
        <v>0.24070295016342561</v>
      </c>
      <c r="P45" s="193">
        <f>SUM(P11:Q11*P24:Q24)/P32</f>
        <v>0.2469902699518704</v>
      </c>
      <c r="R45" s="193">
        <f>SUM(R11:S11*R24:S24)/R32</f>
        <v>0.25477546131641565</v>
      </c>
      <c r="T45" s="193">
        <f>SUM(T11:U11*T24:U24)/T32</f>
        <v>0.2645088602416491</v>
      </c>
      <c r="V45" s="193">
        <f>SUM(V11:W11*V24:W24)/V32</f>
        <v>0.27678887543571956</v>
      </c>
      <c r="X45" s="193">
        <f>SUM(X11:Y11*X24:Y24)/X32</f>
        <v>0.29240055950439359</v>
      </c>
      <c r="Z45" s="193">
        <f>SUM(Z11:AA11*Z24:AA24)/Z32</f>
        <v>0.31234377207592312</v>
      </c>
      <c r="AB45" s="193">
        <f>SUM(AB11:AC11*AB24:AC24)/AB32</f>
        <v>0.33782737751356745</v>
      </c>
      <c r="AD45" s="193">
        <f>SUM(AD11:AE11*AD24:AE24)/AD32</f>
        <v>0.37020773686530412</v>
      </c>
      <c r="AF45" s="193">
        <f>SUM(AF11:AG11*AF24:AG24)/AF32</f>
        <v>0.41092609880562975</v>
      </c>
      <c r="AH45" s="193">
        <f>SUM(AH11:AI11*AH24:AI24)/AH32</f>
        <v>0.46174007913856224</v>
      </c>
      <c r="AJ45" s="193">
        <f>SUM(AJ11:AK11*AJ24:AK24)/AJ32</f>
        <v>0.52602942647813511</v>
      </c>
      <c r="AL45" s="193">
        <f>SUM(AL11:AM11*AL24:AM24)/AL32</f>
        <v>0.61400244329698306</v>
      </c>
      <c r="AN45" s="193">
        <f>SUM(AN11:AO11*AN24:AO24)/AN32</f>
        <v>0.77478208195435805</v>
      </c>
      <c r="AP45" s="193">
        <f>SUM(AP11:AQ11*AP24:AQ24)/AP32</f>
        <v>0.83405919248708782</v>
      </c>
      <c r="AR45" s="193">
        <f>SUM(AR11:AS11*AR24:AS24)/AR32</f>
        <v>0.91790495893822599</v>
      </c>
      <c r="AT45" s="193">
        <f>SUM(AT11:AU11*AT24:AU24)/AT32</f>
        <v>1.0521044577487462</v>
      </c>
      <c r="AV45" s="193">
        <f>SUM(AV11:AW11*AV24:AW24)/AV32</f>
        <v>1.330825322857311</v>
      </c>
      <c r="XCQ45" s="193"/>
    </row>
    <row r="46" spans="1:49 16319:16321" x14ac:dyDescent="0.2">
      <c r="A46" t="s">
        <v>139</v>
      </c>
      <c r="B46" s="193">
        <f>B34/B32</f>
        <v>7.7157873574883795E-2</v>
      </c>
      <c r="D46" s="193">
        <f>D34/D32</f>
        <v>7.6689166685633636E-2</v>
      </c>
      <c r="F46" s="193">
        <f>F34/F32</f>
        <v>7.5856841846844159E-2</v>
      </c>
      <c r="H46" s="193">
        <f>H34/H32</f>
        <v>7.4574016635895052E-2</v>
      </c>
      <c r="J46" s="193">
        <f>J34/J32</f>
        <v>7.2728322342804907E-2</v>
      </c>
      <c r="L46" s="193">
        <f>L34/L32</f>
        <v>7.0172396193240644E-2</v>
      </c>
      <c r="N46" s="193">
        <f>N34/N32</f>
        <v>6.6712159444917318E-2</v>
      </c>
      <c r="P46" s="193">
        <f>P34/P32</f>
        <v>6.2090256031302041E-2</v>
      </c>
      <c r="R46" s="193">
        <f>R34/R32</f>
        <v>5.5965667097474976E-2</v>
      </c>
      <c r="T46" s="193">
        <f>T34/T32</f>
        <v>4.7883019995600642E-2</v>
      </c>
      <c r="V46" s="193">
        <f>V34/V32</f>
        <v>3.7243382564563207E-2</v>
      </c>
      <c r="X46" s="193">
        <f>X34/X32</f>
        <v>2.3270845762833951E-2</v>
      </c>
      <c r="Z46" s="193">
        <f>Z34/Z32</f>
        <v>4.9984582609032251E-3</v>
      </c>
      <c r="AB46" s="193">
        <f>AB34/AB32</f>
        <v>-1.8700749707987182E-2</v>
      </c>
      <c r="AD46" s="193">
        <f>AD34/AD32</f>
        <v>-4.9006455846272223E-2</v>
      </c>
      <c r="AF46" s="193">
        <f>AF34/AF32</f>
        <v>-8.7007786251184382E-2</v>
      </c>
      <c r="AH46" s="193">
        <f>AH34/AH32</f>
        <v>-0.13377463599428124</v>
      </c>
      <c r="AJ46" s="193">
        <f>AJ34/AJ32</f>
        <v>-0.1912741420542057</v>
      </c>
      <c r="AL46" s="193">
        <f>AL34/AL32</f>
        <v>-0.26677936313625278</v>
      </c>
      <c r="AN46" s="193">
        <f>AN34/AN32</f>
        <v>-0.40328548870536868</v>
      </c>
      <c r="AP46" s="193">
        <f>AP34/AP32</f>
        <v>-0.45469667362312705</v>
      </c>
      <c r="AR46" s="193">
        <f>AR34/AR32</f>
        <v>-0.52841830190843864</v>
      </c>
      <c r="AT46" s="193">
        <f>AT34/AT32</f>
        <v>-0.6483373501274603</v>
      </c>
      <c r="AV46" s="193">
        <f>AV34/AV32</f>
        <v>-0.90255857943218321</v>
      </c>
      <c r="XCS46" s="193"/>
    </row>
    <row r="48" spans="1:49 16319:16321" x14ac:dyDescent="0.2">
      <c r="A48" t="s">
        <v>159</v>
      </c>
      <c r="B48" s="191">
        <f>B24/$B$24</f>
        <v>1</v>
      </c>
      <c r="C48" s="191"/>
      <c r="D48" s="191">
        <f>D24/$B$24</f>
        <v>1</v>
      </c>
      <c r="E48" s="191"/>
      <c r="F48" s="191">
        <f>F24/$B$24</f>
        <v>1</v>
      </c>
      <c r="G48" s="191"/>
      <c r="H48" s="191">
        <f>H24/$B$24</f>
        <v>1</v>
      </c>
      <c r="I48" s="191"/>
      <c r="J48" s="191">
        <f>J24/$B$24</f>
        <v>1</v>
      </c>
      <c r="K48" s="191"/>
      <c r="L48" s="191">
        <f>L24/$B$24</f>
        <v>1</v>
      </c>
      <c r="M48" s="191"/>
      <c r="N48" s="191">
        <f>N24/$B$24</f>
        <v>1</v>
      </c>
      <c r="O48" s="191"/>
      <c r="P48" s="191">
        <f>P24/$B$24</f>
        <v>1</v>
      </c>
      <c r="Q48" s="191"/>
      <c r="R48" s="191">
        <f>R24/$B$24</f>
        <v>1</v>
      </c>
      <c r="S48" s="191"/>
      <c r="T48" s="191">
        <f>T24/$B$24</f>
        <v>1</v>
      </c>
      <c r="U48" s="191"/>
      <c r="V48" s="191">
        <f>V24/$B$24</f>
        <v>1</v>
      </c>
      <c r="W48" s="191"/>
      <c r="X48" s="191">
        <f>X24/$B$24</f>
        <v>1</v>
      </c>
      <c r="Y48" s="191"/>
      <c r="Z48" s="191">
        <f>Z24/$B$24</f>
        <v>1</v>
      </c>
      <c r="AA48" s="191"/>
      <c r="AB48" s="191">
        <f>AB24/$B$24</f>
        <v>1</v>
      </c>
      <c r="AC48" s="191"/>
      <c r="AD48" s="191">
        <f>AD24/$B$24</f>
        <v>1</v>
      </c>
      <c r="AE48" s="191"/>
      <c r="AF48" s="191">
        <f>AF24/$B$24</f>
        <v>1</v>
      </c>
      <c r="AG48" s="191"/>
      <c r="AH48" s="191">
        <f>AH24/$B$24</f>
        <v>1</v>
      </c>
      <c r="AI48" s="191"/>
      <c r="AJ48" s="191">
        <f>AJ24/$B$24</f>
        <v>1</v>
      </c>
      <c r="AK48" s="191"/>
      <c r="AL48" s="191">
        <f>AL24/$B$24</f>
        <v>1</v>
      </c>
      <c r="AM48" s="191"/>
      <c r="AN48" s="191">
        <f>AN24/$B$24</f>
        <v>1</v>
      </c>
      <c r="AO48" s="191"/>
      <c r="AP48" s="191">
        <f>AP24/$B$24</f>
        <v>1</v>
      </c>
      <c r="AQ48" s="191"/>
      <c r="AR48" s="191">
        <f>AR24/$B$24</f>
        <v>1</v>
      </c>
      <c r="AS48" s="191"/>
      <c r="AT48" s="191">
        <f>AT24/$B$24</f>
        <v>1</v>
      </c>
      <c r="AU48" s="191"/>
      <c r="AV48" s="191">
        <f>AV24/$B$24</f>
        <v>1</v>
      </c>
    </row>
    <row r="49" spans="1:48 16321:16384" x14ac:dyDescent="0.2">
      <c r="A49" t="s">
        <v>160</v>
      </c>
      <c r="B49" s="191">
        <f>B13/B35/$B$13*$B$35</f>
        <v>1</v>
      </c>
      <c r="C49" s="191"/>
      <c r="D49" s="191">
        <f>D13/D35/$B$13*$B$35</f>
        <v>0.99301662835478988</v>
      </c>
      <c r="E49" s="191"/>
      <c r="F49" s="191">
        <f>F13/F35/$B$13*$B$35</f>
        <v>0.98562992980095487</v>
      </c>
      <c r="G49" s="191"/>
      <c r="H49" s="191">
        <f>H13/H35/$B$13*$B$35</f>
        <v>0.97781426751260214</v>
      </c>
      <c r="I49" s="191"/>
      <c r="J49" s="191">
        <f>J13/J35/$B$13*$B$35</f>
        <v>0.96954616781494407</v>
      </c>
      <c r="K49" s="191"/>
      <c r="L49" s="191">
        <f>L13/L35/$B$13*$B$35</f>
        <v>0.96080681691143333</v>
      </c>
      <c r="M49" s="191"/>
      <c r="N49" s="191">
        <f>N13/N35/$B$13*$B$35</f>
        <v>0.95158516701156726</v>
      </c>
      <c r="O49" s="191"/>
      <c r="P49" s="191">
        <f>P13/P35/$B$13*$B$35</f>
        <v>0.94188263166987107</v>
      </c>
      <c r="Q49" s="191"/>
      <c r="R49" s="191">
        <f>R13/R35/$B$13*$B$35</f>
        <v>0.93171873618786083</v>
      </c>
      <c r="S49" s="191"/>
      <c r="T49" s="191">
        <f>T13/T35/$B$13*$B$35</f>
        <v>0.9211401245617632</v>
      </c>
      <c r="U49" s="191"/>
      <c r="V49" s="191">
        <f>V13/V35/$B$13*$B$35</f>
        <v>0.9102285962601262</v>
      </c>
      <c r="W49" s="191"/>
      <c r="X49" s="191">
        <f>X13/X35/$B$13*$B$35</f>
        <v>0.89911117998506895</v>
      </c>
      <c r="Y49" s="191"/>
      <c r="Z49" s="191">
        <f>Z13/Z35/$B$13*$B$35</f>
        <v>0.88796623047235357</v>
      </c>
      <c r="AA49" s="191"/>
      <c r="AB49" s="191">
        <f>AB13/AB35/$B$13*$B$35</f>
        <v>0.87701991112618971</v>
      </c>
      <c r="AC49" s="191"/>
      <c r="AD49" s="191">
        <f>AD13/AD35/$B$13*$B$35</f>
        <v>0.86652034503553321</v>
      </c>
      <c r="AE49" s="191"/>
      <c r="AF49" s="191">
        <f>AF13/AF35/$B$13*$B$35</f>
        <v>0.85667423131307452</v>
      </c>
      <c r="AG49" s="191"/>
      <c r="AH49" s="191">
        <f>AH13/AH35/$B$13*$B$35</f>
        <v>0.84754060219655236</v>
      </c>
      <c r="AI49" s="191"/>
      <c r="AJ49" s="191">
        <f>AJ13/AJ35/$B$13*$B$35</f>
        <v>0.83889798205427457</v>
      </c>
      <c r="AK49" s="191"/>
      <c r="AL49" s="191">
        <f>AL13/AL35/$B$13*$B$35</f>
        <v>0.83009064518771758</v>
      </c>
      <c r="AM49" s="191"/>
      <c r="AN49" s="191">
        <f>AN13/AN35/$B$13*$B$35</f>
        <v>0.81963766289944584</v>
      </c>
      <c r="AO49" s="191"/>
      <c r="AP49" s="191">
        <f>AP13/AP35/$B$13*$B$35</f>
        <v>0.81705125375665044</v>
      </c>
      <c r="AQ49" s="191"/>
      <c r="AR49" s="191">
        <f>AR13/AR35/$B$13*$B$35</f>
        <v>0.81415165815714718</v>
      </c>
      <c r="AS49" s="191"/>
      <c r="AT49" s="191">
        <f>AT13/AT35/$B$13*$B$35</f>
        <v>0.81079647740433169</v>
      </c>
      <c r="AU49" s="191"/>
      <c r="AV49" s="191">
        <f>AV13/AV35/$B$13*$B$35</f>
        <v>0.80669477278744928</v>
      </c>
    </row>
    <row r="51" spans="1:48 16321:16384" x14ac:dyDescent="0.2">
      <c r="A51" t="s">
        <v>166</v>
      </c>
      <c r="B51" s="29">
        <f>B30-B10*B23</f>
        <v>-405838.32800000021</v>
      </c>
      <c r="D51" s="29">
        <f>D30-D10*D23</f>
        <v>-362069.64926198963</v>
      </c>
      <c r="F51" s="29">
        <f>F30-F10*F23</f>
        <v>-318454.69788308023</v>
      </c>
      <c r="H51" s="29">
        <f>H30-H10*H23</f>
        <v>-275104.71601804579</v>
      </c>
      <c r="J51" s="29">
        <f>J30-J10*J23</f>
        <v>-232168.94739862904</v>
      </c>
      <c r="L51" s="29">
        <f>L30-L10*L23</f>
        <v>-189843.97748511797</v>
      </c>
      <c r="N51" s="29">
        <f>N30-N10*N23</f>
        <v>-148380.51661500568</v>
      </c>
      <c r="P51" s="29">
        <f>P30-P10*P23</f>
        <v>-108087.85281446064</v>
      </c>
      <c r="R51" s="29">
        <f>R30-R10*R23</f>
        <v>-69327.269909081515</v>
      </c>
      <c r="T51" s="29">
        <f>T30-T10*T23</f>
        <v>-32486.522881718352</v>
      </c>
      <c r="V51" s="29">
        <f>V30-V10*V23</f>
        <v>2091.6530848415568</v>
      </c>
      <c r="X51" s="29">
        <f>X30-X10*X23</f>
        <v>34255.551911337767</v>
      </c>
      <c r="Z51" s="29">
        <f>Z30-Z10*Z23</f>
        <v>64318.896920309402</v>
      </c>
      <c r="AB51" s="29">
        <f>AB30-AB10*AB23</f>
        <v>93536.71414443804</v>
      </c>
      <c r="AD51" s="29">
        <f>AD30-AD10*AD23</f>
        <v>124884.52670658147</v>
      </c>
      <c r="AF51" s="29">
        <f>AF30-AF10*AF23</f>
        <v>164401.59114269167</v>
      </c>
      <c r="AH51" s="29">
        <f>AH30-AH10*AH23</f>
        <v>224203.78703152388</v>
      </c>
      <c r="AJ51" s="29">
        <f>AJ30-AJ10*AJ23</f>
        <v>331438.45111132832</v>
      </c>
      <c r="AL51" s="29">
        <f>AL30-AL10*AL23</f>
        <v>554016.85368417716</v>
      </c>
      <c r="AN51" s="29">
        <f>AN30-AN10*AN23</f>
        <v>1074406.2761579412</v>
      </c>
      <c r="AP51" s="29">
        <f>AP30-AP10*AP23</f>
        <v>1260889.7767893248</v>
      </c>
      <c r="AQ51" s="29"/>
      <c r="AR51" s="29">
        <f>AR30-AR10*AR23</f>
        <v>1506740.9386293096</v>
      </c>
      <c r="AT51" s="29">
        <f>AT30-AT10*AT23</f>
        <v>1853529.7790851463</v>
      </c>
      <c r="AV51" s="29">
        <f>AV30-AV10*AV23</f>
        <v>2407753.6939601963</v>
      </c>
      <c r="XFD51" s="29"/>
    </row>
    <row r="52" spans="1:48 16321:16384" x14ac:dyDescent="0.2">
      <c r="A52" t="s">
        <v>167</v>
      </c>
      <c r="B52" s="29">
        <f t="array" ref="B52">Calibration!sL*SUM(B13:C13*B26:C26)</f>
        <v>2049247.8195702801</v>
      </c>
      <c r="D52" s="29">
        <f t="array" ref="D52">Calibration!sL*SUM(D13:E13*D26:E26)</f>
        <v>2021459.3899522426</v>
      </c>
      <c r="F52" s="29">
        <f t="array" ref="F52">Calibration!sL*SUM(F13:G13*F26:G26)</f>
        <v>1991487.3166670487</v>
      </c>
      <c r="H52" s="29">
        <f t="array" ref="H52">Calibration!sL*SUM(H13:I13*H26:I26)</f>
        <v>1959000.8382932304</v>
      </c>
      <c r="J52" s="29">
        <f t="array" ref="J52">Calibration!sL*SUM(J13:K13*J26:K26)</f>
        <v>1923617.9213848908</v>
      </c>
      <c r="L52" s="29">
        <f t="array" ref="L52">Calibration!sL*SUM(L13:M13*L26:M26)</f>
        <v>1884901.3934069329</v>
      </c>
      <c r="N52" s="29">
        <f t="array" ref="N52">Calibration!sL*SUM(N13:O13*N26:O26)</f>
        <v>1842363.6045842224</v>
      </c>
      <c r="P52" s="29">
        <f t="array" ref="P52">Calibration!sL*SUM(P13:Q13*P26:Q26)</f>
        <v>1795482.1915027902</v>
      </c>
      <c r="R52" s="29">
        <f t="array" ref="R52">Calibration!sL*SUM(R13:S13*R26:S26)</f>
        <v>1743738.5300903083</v>
      </c>
      <c r="T52" s="29">
        <f t="array" ref="T52">Calibration!sL*SUM(T13:U13*T26:U26)</f>
        <v>1686695.159174796</v>
      </c>
      <c r="V52" s="29">
        <f t="array" ref="V52">Calibration!sL*SUM(V13:W13*V26:W26)</f>
        <v>1624136.6889977048</v>
      </c>
      <c r="X52" s="29">
        <f t="array" ref="X52">Calibration!sL*SUM(X13:Y13*X26:Y26)</f>
        <v>1556304.7982009903</v>
      </c>
      <c r="Z52" s="29">
        <f t="array" ref="Z52">Calibration!sL*SUM(Z13:AA13*Z26:AA26)</f>
        <v>1484245.4451573496</v>
      </c>
      <c r="AB52" s="29">
        <f t="array" ref="AB52">Calibration!sL*SUM(AB13:AC13*AB26:AC26)</f>
        <v>1410253.5113296222</v>
      </c>
      <c r="AD52" s="29">
        <f t="array" ref="AD52">Calibration!sL*SUM(AD13:AE13*AD26:AE26)</f>
        <v>1338297.7385701251</v>
      </c>
      <c r="AF52" s="29">
        <f t="array" ref="AF52">Calibration!sL*SUM(AF13:AG13*AF26:AG26)</f>
        <v>1274256.8788799753</v>
      </c>
      <c r="AH52" s="29">
        <f t="array" ref="AH52">Calibration!sL*SUM(AH13:AI13*AH26:AI26)</f>
        <v>1226168.2462468061</v>
      </c>
      <c r="AJ52" s="29">
        <f t="array" ref="AJ52">Calibration!sL*SUM(AJ13:AK13*AJ26:AK26)</f>
        <v>1205924.7669038156</v>
      </c>
      <c r="AL52" s="29">
        <f t="array" ref="AL52">Calibration!sL*SUM(AL13:AM13*AL26:AM26)</f>
        <v>1233536.628805581</v>
      </c>
      <c r="AN52" s="29">
        <f t="array" ref="AN52">Calibration!sL*SUM(AN13:AO13*AN26:AO26)</f>
        <v>1333526.2797750849</v>
      </c>
      <c r="AP52" s="29">
        <f t="array" ref="AP52">Calibration!sL*SUM(AP13:AQ13*AP26:AQ26)</f>
        <v>1362970.4555104764</v>
      </c>
      <c r="AQ52" s="29"/>
      <c r="AR52" s="29">
        <f t="array" ref="AR52">Calibration!sL*SUM(AR13:AS13*AR26:AS26)</f>
        <v>1393823.3544931042</v>
      </c>
      <c r="AT52" s="29">
        <f t="array" ref="AT52">Calibration!sL*SUM(AT13:AU13*AT26:AU26)</f>
        <v>1420639.0325585946</v>
      </c>
      <c r="AV52" s="29">
        <f t="array" ref="AV52">Calibration!sL*SUM(AV13:AW13*AV26:AW26)</f>
        <v>1417200.2817277152</v>
      </c>
    </row>
    <row r="53" spans="1:48 16321:16384" x14ac:dyDescent="0.2">
      <c r="A53" t="s">
        <v>168</v>
      </c>
      <c r="B53" s="29">
        <f t="array" ref="B53">Calibration!sK*SUM(B15:C15*B27:C27)</f>
        <v>2740714.4444297408</v>
      </c>
      <c r="D53" s="29">
        <f t="array" ref="D53">Calibration!sK*SUM(D15:E15*D27:E27)</f>
        <v>2704355.6757095973</v>
      </c>
      <c r="F53" s="29">
        <f t="array" ref="F53">Calibration!sK*SUM(F15:G15*F27:G27)</f>
        <v>2665396.1125290422</v>
      </c>
      <c r="H53" s="29">
        <f t="array" ref="H53">Calibration!sK*SUM(H15:I15*H27:I27)</f>
        <v>2623407.7142382264</v>
      </c>
      <c r="J53" s="29">
        <f t="array" ref="J53">Calibration!sK*SUM(J15:K15*J27:K27)</f>
        <v>2577889.5114985588</v>
      </c>
      <c r="L53" s="29">
        <f t="array" ref="L53">Calibration!sK*SUM(L15:M15*L27:M27)</f>
        <v>2528260.0279368442</v>
      </c>
      <c r="N53" s="29">
        <f t="array" ref="N53">Calibration!sK*SUM(N15:O15*N27:O27)</f>
        <v>2473859.1597847734</v>
      </c>
      <c r="P53" s="29">
        <f t="array" ref="P53">Calibration!sK*SUM(P15:Q15*P27:Q27)</f>
        <v>2413963.5692136385</v>
      </c>
      <c r="R53" s="29">
        <f t="array" ref="R53">Calibration!sK*SUM(R15:S15*R27:S27)</f>
        <v>2347829.7199885682</v>
      </c>
      <c r="T53" s="29">
        <f t="array" ref="T53">Calibration!sK*SUM(T15:U15*T27:U27)</f>
        <v>2274788.1649674815</v>
      </c>
      <c r="V53" s="29">
        <f t="array" ref="V53">Calibration!sK*SUM(V15:W15*V27:W27)</f>
        <v>2194417.5040737847</v>
      </c>
      <c r="X53" s="29">
        <f t="array" ref="X53">Calibration!sK*SUM(X15:Y15*X27:Y27)</f>
        <v>2106843.7613106053</v>
      </c>
      <c r="Z53" s="29">
        <f t="array" ref="Z53">Calibration!sK*SUM(Z15:AA15*Z27:AA27)</f>
        <v>2013188.707276585</v>
      </c>
      <c r="AB53" s="29">
        <f t="array" ref="AB53">Calibration!sK*SUM(AB15:AC15*AB27:AC27)</f>
        <v>1916150.56759424</v>
      </c>
      <c r="AD53" s="29">
        <f t="array" ref="AD53">Calibration!sK*SUM(AD15:AE15*AD27:AE27)</f>
        <v>1820561.2273021955</v>
      </c>
      <c r="AF53" s="29">
        <f t="array" ref="AF53">Calibration!sK*SUM(AF15:AG15*AF27:AG27)</f>
        <v>1733673.2276557654</v>
      </c>
      <c r="AH53" s="29">
        <f t="array" ref="AH53">Calibration!sK*SUM(AH15:AI15*AH27:AI27)</f>
        <v>1665323.8824130001</v>
      </c>
      <c r="AJ53" s="29">
        <f t="array" ref="AJ53">Calibration!sK*SUM(AJ15:AK15*AJ27:AK27)</f>
        <v>1629327.3934271024</v>
      </c>
      <c r="AL53" s="29">
        <f t="array" ref="AL53">Calibration!sK*SUM(AL15:AM15*AL27:AM27)</f>
        <v>1644820.102236453</v>
      </c>
      <c r="AN53" s="29">
        <f t="array" ref="AN53">Calibration!sK*SUM(AN15:AO15*AN27:AO27)</f>
        <v>1707984.5801933175</v>
      </c>
      <c r="AP53" s="29">
        <f t="array" ref="AP53">Calibration!sK*SUM(AP15:AQ15*AP27:AQ27)</f>
        <v>1714928.240397569</v>
      </c>
      <c r="AQ53" s="29"/>
      <c r="AR53" s="29">
        <f t="array" ref="AR53">Calibration!sK*SUM(AR15:AS15*AR27:AS27)</f>
        <v>1708252.8703281318</v>
      </c>
      <c r="AT53" s="29">
        <f t="array" ref="AT53">Calibration!sK*SUM(AT15:AU15*AT27:AU27)</f>
        <v>1667578.8860469228</v>
      </c>
      <c r="AV53" s="29">
        <f t="array" ref="AV53">Calibration!sK*SUM(AV15:AW15*AV27:AW27)</f>
        <v>1522855.9678496914</v>
      </c>
      <c r="XFD53" s="29"/>
    </row>
    <row r="55" spans="1:48 16321:16384" x14ac:dyDescent="0.2">
      <c r="A55" t="s">
        <v>169</v>
      </c>
      <c r="B55" s="193">
        <f>B30/B32</f>
        <v>0.19850271905982084</v>
      </c>
      <c r="D55" s="193">
        <f>D30/D32</f>
        <v>0.20122420189416798</v>
      </c>
      <c r="F55" s="193">
        <f>F30/F32</f>
        <v>0.20396713610181363</v>
      </c>
      <c r="H55" s="193">
        <f>H30/H32</f>
        <v>0.20672990159792418</v>
      </c>
      <c r="J55" s="193">
        <f>J30/J32</f>
        <v>0.20950972945447088</v>
      </c>
      <c r="L55" s="193">
        <f>L30/L32</f>
        <v>0.21230234433282846</v>
      </c>
      <c r="N55" s="193">
        <f>N30/N32</f>
        <v>0.21510183296546517</v>
      </c>
      <c r="P55" s="193">
        <f>P30/P32</f>
        <v>0.21790064039124318</v>
      </c>
      <c r="R55" s="193">
        <f>R30/R32</f>
        <v>0.22069027593977791</v>
      </c>
      <c r="T55" s="193">
        <f>T30/T32</f>
        <v>0.22346322246242784</v>
      </c>
      <c r="V55" s="193">
        <f>V30/V32</f>
        <v>0.22621812486257056</v>
      </c>
      <c r="X55" s="193">
        <f>X30/X32</f>
        <v>0.22897082386335088</v>
      </c>
      <c r="Z55" s="193">
        <f>Z30/Z32</f>
        <v>0.23177683905480859</v>
      </c>
      <c r="AB55" s="193">
        <f>AB30/AB32</f>
        <v>0.23477444249196291</v>
      </c>
      <c r="AD55" s="193">
        <f>AD30/AD32</f>
        <v>0.23826185754582699</v>
      </c>
      <c r="AF55" s="193">
        <f>AF30/AF32</f>
        <v>0.24283281207769611</v>
      </c>
      <c r="AH55" s="193">
        <f>AH30/AH32</f>
        <v>0.24964642073681362</v>
      </c>
      <c r="AJ55" s="193">
        <f>AJ30/AJ32</f>
        <v>0.26108302622464175</v>
      </c>
      <c r="AL55" s="193">
        <f>AL30/AL32</f>
        <v>0.28209122225043259</v>
      </c>
      <c r="AN55" s="193">
        <f>AN30/AN32</f>
        <v>0.32302052599213177</v>
      </c>
      <c r="AP55" s="193">
        <f>AP30/AP32</f>
        <v>0.33629226169094167</v>
      </c>
      <c r="AR55" s="193">
        <f>AR30/AR32</f>
        <v>0.35337941619519969</v>
      </c>
      <c r="AT55" s="193">
        <f>AT30/AT32</f>
        <v>0.37748945980477294</v>
      </c>
      <c r="AV55" s="193">
        <f>AV30/AV32</f>
        <v>0.41886547915697819</v>
      </c>
      <c r="XCS55" s="193"/>
      <c r="XFD55" s="193"/>
    </row>
    <row r="56" spans="1:48 16321:16384" x14ac:dyDescent="0.2">
      <c r="A56" t="s">
        <v>170</v>
      </c>
      <c r="B56" s="193">
        <f>(Model!$C$52*B5*B20+B2*C5*C20)/B32</f>
        <v>2.9221206744340551E-2</v>
      </c>
      <c r="D56" s="193">
        <f>(Model!$C$52*D5*D20+D2*E5*E20)/D32</f>
        <v>3.2572017141102291E-2</v>
      </c>
      <c r="F56" s="193">
        <f>(Model!$C$52*F5*F20+F2*G5*G20)/F32</f>
        <v>3.5960147907114152E-2</v>
      </c>
      <c r="H56" s="193">
        <f>(Model!$C$52*H5*H20+H2*I5*I20)/H32</f>
        <v>3.9384725587200131E-2</v>
      </c>
      <c r="J56" s="193">
        <f>(Model!$C$52*J5*J20+J2*K5*K20)/J32</f>
        <v>4.2843545182067837E-2</v>
      </c>
      <c r="L56" s="193">
        <f>(Model!$C$52*L5*L20+L2*M5*M20)/L32</f>
        <v>4.633259986587536E-2</v>
      </c>
      <c r="N56" s="193">
        <f>(Model!$C$52*N5*N20+N2*O5*O20)/N32</f>
        <v>4.9845854812157371E-2</v>
      </c>
      <c r="P56" s="193">
        <f>(Model!$C$52*P5*P20+P2*Q5*Q20)/P32</f>
        <v>5.3375128324377352E-2</v>
      </c>
      <c r="R56" s="193">
        <f>(Model!$C$52*R5*R20+R2*S5*S20)/R32</f>
        <v>5.6910773919064093E-2</v>
      </c>
      <c r="T56" s="193">
        <f>(Model!$C$52*T5*T20+T2*U5*U20)/T32</f>
        <v>6.044352001307416E-2</v>
      </c>
      <c r="V56" s="193">
        <f>(Model!$C$52*V5*V20+V2*W5*W20)/V32</f>
        <v>6.3970236762690397E-2</v>
      </c>
      <c r="X56" s="193">
        <f>(Model!$C$52*X5*X20+X2*Y5*Y20)/X32</f>
        <v>6.7506141268345587E-2</v>
      </c>
      <c r="Z56" s="193">
        <f>(Model!$C$52*Z5*Z20+Z2*AA5*AA20)/Z32</f>
        <v>7.1110246314835299E-2</v>
      </c>
      <c r="AB56" s="193">
        <f>(Model!$C$52*AB5*AB20+AB2*AC5*AC20)/AB32</f>
        <v>7.4934618465300265E-2</v>
      </c>
      <c r="AD56" s="193">
        <f>(Model!$C$52*AD5*AD20+AD2*AE5*AE20)/AD32</f>
        <v>7.9313609195376264E-2</v>
      </c>
      <c r="AF56" s="193">
        <f>(Model!$C$52*AF5*AF20+AF2*AG5*AG20)/AF32</f>
        <v>8.4921891825004869E-2</v>
      </c>
      <c r="AH56" s="193">
        <f>(Model!$C$52*AH5*AH20+AH2*AI5*AI20)/AH32</f>
        <v>9.3088558735337001E-2</v>
      </c>
      <c r="AJ56" s="193">
        <f>(Model!$C$52*AJ5*AJ20+AJ2*AK5*AK20)/AJ32</f>
        <v>0.10654624372652231</v>
      </c>
      <c r="AL56" s="193">
        <f>(Model!$C$52*AL5*AL20+AL2*AM5*AM20)/AL32</f>
        <v>0.13088574433228975</v>
      </c>
      <c r="AN56" s="193">
        <f>(Model!$C$52*AN5*AN20+AN2*AO5*AO20)/AN32</f>
        <v>0.17722654654331102</v>
      </c>
      <c r="AP56" s="193">
        <f>(Model!$C$52*AP5*AP20+AP2*AQ5*AQ20)/AP32</f>
        <v>0.19196595693044197</v>
      </c>
      <c r="AR56" s="193">
        <f>(Model!$C$52*AR5*AR20+AR2*AS5*AS20)/AR32</f>
        <v>0.21076843790497049</v>
      </c>
      <c r="AT56" s="193">
        <f>(Model!$C$52*AT5*AT20+AT2*AU5*AU20)/AT32</f>
        <v>0.23703559322792012</v>
      </c>
      <c r="AV56" s="193">
        <f>(Model!$C$52*AV5*AV20+AV2*AW5*AW20)/AV32</f>
        <v>0.28170213596341986</v>
      </c>
      <c r="XFD56" s="193"/>
    </row>
    <row r="57" spans="1:48 16321:16384" x14ac:dyDescent="0.2">
      <c r="A57" t="s">
        <v>171</v>
      </c>
      <c r="B57" s="193">
        <f t="array" ref="B57">SUM(Model!tauL*B13:C13*B26:C26)/B32</f>
        <v>0.15852881819439493</v>
      </c>
      <c r="D57" s="193">
        <f t="array" ref="D57">SUM(Model!tauL*D13:E13*D26:E26)/D32</f>
        <v>0.15796381749546512</v>
      </c>
      <c r="F57" s="193">
        <f t="array" ref="F57">SUM(Model!tauL*F13:G13*F26:G26)/F32</f>
        <v>0.15738325892410593</v>
      </c>
      <c r="H57" s="193">
        <f t="array" ref="H57">SUM(Model!tauL*H13:I13*H26:I26)/H32</f>
        <v>0.15678643957844257</v>
      </c>
      <c r="J57" s="193">
        <f t="array" ref="J57">SUM(Model!tauL*J13:K13*J26:K26)/J32</f>
        <v>0.15617284672208914</v>
      </c>
      <c r="L57" s="193">
        <f t="array" ref="L57">SUM(Model!tauL*L13:M13*L26:M26)/L32</f>
        <v>0.1555422740516495</v>
      </c>
      <c r="N57" s="193">
        <f t="array" ref="N57">SUM(Model!tauL*N13:O13*N26:O26)/N32</f>
        <v>0.15489492913326786</v>
      </c>
      <c r="P57" s="193">
        <f t="array" ref="P57">SUM(Model!tauL*P13:Q13*P26:Q26)/P32</f>
        <v>0.1542315719200579</v>
      </c>
      <c r="R57" s="193">
        <f t="array" ref="R57">SUM(Model!tauL*R13:S13*R26:S26)/R32</f>
        <v>0.15355358122179827</v>
      </c>
      <c r="T57" s="193">
        <f t="array" ref="T57">SUM(Model!tauL*T13:U13*T26:U26)/T32</f>
        <v>0.15286310197694025</v>
      </c>
      <c r="V57" s="193">
        <f t="array" ref="V57">SUM(Model!tauL*V13:W13*V26:W26)/V32</f>
        <v>0.15216262099818154</v>
      </c>
      <c r="X57" s="193">
        <f t="array" ref="X57">SUM(Model!tauL*X13:Y13*X26:Y26)/X32</f>
        <v>0.15145406417740348</v>
      </c>
      <c r="Y57" s="193"/>
      <c r="Z57" s="193">
        <f t="array" ref="Z57">SUM(Model!tauL*Z13:AA13*Z26:AA26)/Z32</f>
        <v>0.15073626487547959</v>
      </c>
      <c r="AB57" s="193">
        <f t="array" ref="AB57">SUM(Model!tauL*AB13:AC13*AB26:AC26)/AB32</f>
        <v>0.14999941305729608</v>
      </c>
      <c r="AD57" s="193">
        <f t="array" ref="AD57">SUM(Model!tauL*AD13:AE13*AD26:AE26)/AD32</f>
        <v>0.14921370076681242</v>
      </c>
      <c r="AF57" s="193">
        <f t="array" ref="AF57">SUM(Model!tauL*AF13:AG13*AF26:AG26)/AF32</f>
        <v>0.14830705452526841</v>
      </c>
      <c r="AH57" s="193">
        <f t="array" ref="AH57">SUM(Model!tauL*AH13:AI13*AH26:AI26)/AH32</f>
        <v>0.14711975913138134</v>
      </c>
      <c r="AJ57" s="193">
        <f t="array" ref="AJ57">SUM(Model!tauL*AJ13:AK13*AJ26:AK26)/AJ32</f>
        <v>0.14530813526948486</v>
      </c>
      <c r="AL57" s="193">
        <f t="array" ref="AL57">SUM(Model!tauL*AL13:AM13*AL26:AM26)/AL32</f>
        <v>0.14223745959253703</v>
      </c>
      <c r="AN57" s="193">
        <f t="array" ref="AN57">SUM(Model!tauL*AN13:AO13*AN26:AO26)/AN32</f>
        <v>0.13719481377066128</v>
      </c>
      <c r="AP57" s="193">
        <f t="array" ref="AP57">SUM(Model!tauL*AP13:AQ13*AP26:AQ26)/AP32</f>
        <v>0.13583769003543214</v>
      </c>
      <c r="AR57" s="193">
        <f t="array" ref="AR57">SUM(Model!tauL*AR13:AS13*AR26:AS26)/AR32</f>
        <v>0.13426374135632418</v>
      </c>
      <c r="AT57" s="193">
        <f t="array" ref="AT57">SUM(Model!tauL*AT13:AU13*AT26:AU26)/AT32</f>
        <v>0.13230675386644</v>
      </c>
      <c r="AV57" s="193">
        <f t="array" ref="AV57">SUM(Model!tauL*AV13:AW13*AV26:AW26)/AV32</f>
        <v>0.12936521656253727</v>
      </c>
      <c r="XFD57" s="193"/>
    </row>
    <row r="58" spans="1:48 16321:16384" x14ac:dyDescent="0.2">
      <c r="A58" t="s">
        <v>172</v>
      </c>
      <c r="B58" s="193">
        <f t="array" ref="B58">SUM(Model!tauY/(1+Model!tauY)*B3:C3*B18:C18)/B32</f>
        <v>1.075269412108535E-2</v>
      </c>
      <c r="D58" s="193">
        <f t="array" ref="D58">SUM(Model!tauY/(1+Model!tauY)*D3:E3*D18:E18)/D32</f>
        <v>1.0688367257600587E-2</v>
      </c>
      <c r="F58" s="193">
        <f t="array" ref="F58">SUM(Model!tauY/(1+Model!tauY)*F3:G3*F18:G18)/F32</f>
        <v>1.062372927059357E-2</v>
      </c>
      <c r="H58" s="193">
        <f t="array" ref="H58">SUM(Model!tauY/(1+Model!tauY)*H3:I3*H18:I18)/H32</f>
        <v>1.0558736432281496E-2</v>
      </c>
      <c r="J58" s="193">
        <f t="array" ref="J58">SUM(Model!tauY/(1+Model!tauY)*J3:K3*J18:K18)/J32</f>
        <v>1.0493337550313897E-2</v>
      </c>
      <c r="L58" s="193">
        <f t="array" ref="L58">SUM(Model!tauY/(1+Model!tauY)*L3:M3*L18:M18)/L32</f>
        <v>1.042747041530359E-2</v>
      </c>
      <c r="N58" s="193">
        <f t="array" ref="N58">SUM(Model!tauY/(1+Model!tauY)*N3:O3*N18:O18)/N32</f>
        <v>1.0361049020039941E-2</v>
      </c>
      <c r="P58" s="193">
        <f t="array" ref="P58">SUM(Model!tauY/(1+Model!tauY)*P3:Q3*P18:Q18)/P32</f>
        <v>1.0293940146807965E-2</v>
      </c>
      <c r="R58" s="193">
        <f t="array" ref="R58">SUM(Model!tauY/(1+Model!tauY)*R3:S3*R18:S18)/R32</f>
        <v>1.0225920798915582E-2</v>
      </c>
      <c r="T58" s="193">
        <f t="array" ref="T58">SUM(Model!tauY/(1+Model!tauY)*T3:U3*T18:U18)/T32</f>
        <v>1.0156600472413412E-2</v>
      </c>
      <c r="V58" s="193">
        <f t="array" ref="V58">SUM(Model!tauY/(1+Model!tauY)*V3:W3*V18:W18)/V32</f>
        <v>1.0085267101698605E-2</v>
      </c>
      <c r="X58" s="193">
        <f t="array" ref="X58">SUM(Model!tauY/(1+Model!tauY)*X3:Y3*X18:Y18)/X32</f>
        <v>1.0010618417601801E-2</v>
      </c>
      <c r="Y58" s="193"/>
      <c r="Z58" s="193">
        <f t="array" ref="Z58">SUM(Model!tauY/(1+Model!tauY)*Z3:AA3*Z18:AA18)/Z32</f>
        <v>9.9303278644936842E-3</v>
      </c>
      <c r="AB58" s="193">
        <f t="array" ref="AB58">SUM(Model!tauY/(1+Model!tauY)*AB3:AC3*AB18:AC18)/AB32</f>
        <v>9.8404109693665288E-3</v>
      </c>
      <c r="AD58" s="193">
        <f t="array" ref="AD58">SUM(Model!tauY/(1+Model!tauY)*AD3:AE3*AD18:AE18)/AD32</f>
        <v>9.7345475836382866E-3</v>
      </c>
      <c r="AF58" s="193">
        <f t="array" ref="AF58">SUM(Model!tauY/(1+Model!tauY)*AF3:AG3*AF18:AG18)/AF32</f>
        <v>9.6038657274228334E-3</v>
      </c>
      <c r="AH58" s="193">
        <f t="array" ref="AH58">SUM(Model!tauY/(1+Model!tauY)*AH3:AI3*AH18:AI18)/AH32</f>
        <v>9.4381028700952999E-3</v>
      </c>
      <c r="AJ58" s="193">
        <f t="array" ref="AJ58">SUM(Model!tauY/(1+Model!tauY)*AJ3:AK3*AJ18:AK18)/AJ32</f>
        <v>9.2286472286345692E-3</v>
      </c>
      <c r="AL58" s="193">
        <f t="array" ref="AL58">SUM(Model!tauY/(1+Model!tauY)*AL3:AM3*AL18:AM18)/AL32</f>
        <v>8.9680183256058577E-3</v>
      </c>
      <c r="AN58" s="193">
        <f t="array" ref="AN58">SUM(Model!tauY/(1+Model!tauY)*AN3:AO3*AN18:AO18)/AN32</f>
        <v>8.5991656781594702E-3</v>
      </c>
      <c r="AP58" s="193">
        <f t="array" ref="AP58">SUM(Model!tauY/(1+Model!tauY)*AP3:AQ3*AP18:AQ18)/AP32</f>
        <v>8.488614725067567E-3</v>
      </c>
      <c r="AR58" s="193">
        <f t="array" ref="AR58">SUM(Model!tauY/(1+Model!tauY)*AR3:AS3*AR18:AS18)/AR32</f>
        <v>8.3472369339049873E-3</v>
      </c>
      <c r="AT58" s="193">
        <f t="array" ref="AT58">SUM(Model!tauY/(1+Model!tauY)*AT3:AU3*AT18:AU18)/AT32</f>
        <v>8.1471127104127718E-3</v>
      </c>
      <c r="AV58" s="193">
        <f t="array" ref="AV58">SUM(Model!tauY/(1+Model!tauY)*AV3:AW3*AV18:AW18)/AV32</f>
        <v>7.7981266310210547E-3</v>
      </c>
      <c r="XFD58" s="193"/>
    </row>
    <row r="59" spans="1:48 16321:16384" x14ac:dyDescent="0.2">
      <c r="A59" t="s">
        <v>173</v>
      </c>
      <c r="B59" s="193">
        <f>(B2*C5*C20)/B32</f>
        <v>5.5174232040962052E-4</v>
      </c>
      <c r="D59" s="193">
        <f>(D2*E5*E20)/D32</f>
        <v>3.9358258207457149E-3</v>
      </c>
      <c r="F59" s="193">
        <f>(F2*G5*G20)/F32</f>
        <v>7.3514345074101534E-3</v>
      </c>
      <c r="H59" s="193">
        <f>(H2*I5*I20)/H32</f>
        <v>1.0796256104018844E-2</v>
      </c>
      <c r="J59" s="193">
        <f>(J2*K5*K20)/J32</f>
        <v>1.4266224106794857E-2</v>
      </c>
      <c r="L59" s="193">
        <f>(L2*M5*M20)/L32</f>
        <v>1.7754893443566264E-2</v>
      </c>
      <c r="N59" s="193">
        <f>(N2*O5*O20)/N32</f>
        <v>2.1253032356364745E-2</v>
      </c>
      <c r="P59" s="193">
        <f>(P2*Q5*Q20)/P32</f>
        <v>2.4748250421925633E-2</v>
      </c>
      <c r="R59" s="193">
        <f>(R2*S5*S20)/R32</f>
        <v>2.8225387207679507E-2</v>
      </c>
      <c r="T59" s="193">
        <f>(T2*U5*U20)/T32</f>
        <v>3.1667913925111563E-2</v>
      </c>
      <c r="V59" s="193">
        <f>(V2*W5*W20)/V32</f>
        <v>3.506337463787923E-2</v>
      </c>
      <c r="X59" s="193">
        <f>(X2*Y5*Y20)/X32</f>
        <v>3.84153109980764E-2</v>
      </c>
      <c r="Z59" s="193">
        <f>(Z2*AA5*AA20)/Z32</f>
        <v>4.1768979038751736E-2</v>
      </c>
      <c r="AB59" s="193">
        <f>(AB2*AC5*AC20)/AB32</f>
        <v>4.5262002786372241E-2</v>
      </c>
      <c r="AD59" s="193">
        <f>(AD2*AE5*AE20)/AD32</f>
        <v>4.9216886480457633E-2</v>
      </c>
      <c r="AF59" s="193">
        <f>(AF2*AG5*AG20)/AF32</f>
        <v>5.4304075802584471E-2</v>
      </c>
      <c r="AH59" s="193">
        <f>(AH2*AI5*AI20)/AH32</f>
        <v>6.186051184939554E-2</v>
      </c>
      <c r="AJ59" s="193">
        <f>(AJ2*AK5*AK20)/AJ32</f>
        <v>7.4638409766260808E-2</v>
      </c>
      <c r="AL59" s="193">
        <f>(AL2*AM5*AM20)/AL32</f>
        <v>9.822273659133178E-2</v>
      </c>
      <c r="AN59" s="193">
        <f>(AN2*AO5*AO20)/AN32</f>
        <v>0.14331137122889831</v>
      </c>
      <c r="AP59" s="193">
        <f>(AP2*AQ5*AQ20)/AP32</f>
        <v>0.15754738035869978</v>
      </c>
      <c r="AR59" s="193">
        <f>(AR2*AS5*AS20)/AR32</f>
        <v>0.17559359966992424</v>
      </c>
      <c r="AT59" s="193">
        <f>(AT2*AU5*AU20)/AT32</f>
        <v>0.20056126224454804</v>
      </c>
      <c r="AV59" s="193">
        <f>(AV2*AW5*AW20)/AV32</f>
        <v>0.24227325532957633</v>
      </c>
      <c r="XFD59" s="193"/>
    </row>
    <row r="60" spans="1:48 16321:16384" x14ac:dyDescent="0.2">
      <c r="A60" t="s">
        <v>174</v>
      </c>
      <c r="B60" s="193">
        <f>Model!$C$52*B5*B20/B32</f>
        <v>2.8669464423930927E-2</v>
      </c>
      <c r="D60" s="193">
        <f>Model!$C$52*D5*D20/D32</f>
        <v>2.8636191320356573E-2</v>
      </c>
      <c r="F60" s="193">
        <f>Model!$C$52*F5*F20/F32</f>
        <v>2.8608713399703996E-2</v>
      </c>
      <c r="H60" s="193">
        <f>Model!$C$52*H5*H20/H32</f>
        <v>2.8588469483181285E-2</v>
      </c>
      <c r="J60" s="193">
        <f>Model!$C$52*J5*J20/J32</f>
        <v>2.8577321075272985E-2</v>
      </c>
      <c r="L60" s="193">
        <f>Model!$C$52*L5*L20/L32</f>
        <v>2.8577706422309102E-2</v>
      </c>
      <c r="N60" s="193">
        <f>Model!$C$52*N5*N20/N32</f>
        <v>2.8592822455792626E-2</v>
      </c>
      <c r="P60" s="193">
        <f>Model!$C$52*P5*P20/P32</f>
        <v>2.8626877902451719E-2</v>
      </c>
      <c r="R60" s="193">
        <f>Model!$C$52*R5*R20/R32</f>
        <v>2.8685386711384587E-2</v>
      </c>
      <c r="T60" s="193">
        <f>Model!$C$52*T5*T20/T32</f>
        <v>2.8775606087962594E-2</v>
      </c>
      <c r="V60" s="193">
        <f>Model!$C$52*V5*V20/V32</f>
        <v>2.890686212481117E-2</v>
      </c>
      <c r="X60" s="193">
        <f>Model!$C$52*X5*X20/X32</f>
        <v>2.9090830270269191E-2</v>
      </c>
      <c r="Z60" s="193">
        <f>Model!$C$52*Z5*Z20/Z32</f>
        <v>2.9341267276083566E-2</v>
      </c>
      <c r="AB60" s="193">
        <f>Model!$C$52*AB5*AB20/AB32</f>
        <v>2.9672615678928031E-2</v>
      </c>
      <c r="AD60" s="193">
        <f>Model!$C$52*AD5*AD20/AD32</f>
        <v>3.0096722714918634E-2</v>
      </c>
      <c r="AF60" s="193">
        <f>Model!$C$52*AF5*AF20/AF32</f>
        <v>3.0617816022420394E-2</v>
      </c>
      <c r="AH60" s="193">
        <f>Model!$C$52*AH5*AH20/AH32</f>
        <v>3.1228046885941461E-2</v>
      </c>
      <c r="AJ60" s="193">
        <f>Model!$C$52*AJ5*AJ20/AJ32</f>
        <v>3.1907833960261506E-2</v>
      </c>
      <c r="AL60" s="193">
        <f>Model!$C$52*AL5*AL20/AL32</f>
        <v>3.2663007740957962E-2</v>
      </c>
      <c r="AN60" s="193">
        <f>Model!$C$52*AN5*AN20/AN32</f>
        <v>3.3915175314412703E-2</v>
      </c>
      <c r="AP60" s="193">
        <f>Model!$C$52*AP5*AP20/AP32</f>
        <v>3.4418576571742146E-2</v>
      </c>
      <c r="AR60" s="193">
        <f>Model!$C$52*AR5*AR20/AR32</f>
        <v>3.5174838235046267E-2</v>
      </c>
      <c r="AT60" s="193">
        <f>Model!$C$52*AT5*AT20/AT32</f>
        <v>3.6474330983372105E-2</v>
      </c>
      <c r="AV60" s="193">
        <f>Model!$C$52*AV5*AV20/AV32</f>
        <v>3.942888063384354E-2</v>
      </c>
      <c r="XFD60" s="193"/>
    </row>
    <row r="62" spans="1:48 16321:16384" x14ac:dyDescent="0.2">
      <c r="A62" t="s">
        <v>175</v>
      </c>
      <c r="B62">
        <f>B13/B15</f>
        <v>1</v>
      </c>
      <c r="D62">
        <f>D13/D15</f>
        <v>0.99584220468385687</v>
      </c>
      <c r="F62">
        <f>F13/F15</f>
        <v>0.99138540249754636</v>
      </c>
      <c r="H62">
        <f>H13/H15</f>
        <v>0.98660461380593978</v>
      </c>
      <c r="J62">
        <f>J13/J15</f>
        <v>0.98147442330196932</v>
      </c>
      <c r="L62">
        <f>L13/L15</f>
        <v>0.97597023794328475</v>
      </c>
      <c r="N62">
        <f>N13/N15</f>
        <v>0.97007019516072668</v>
      </c>
      <c r="P62">
        <f>P13/P15</f>
        <v>0.96375844846186132</v>
      </c>
      <c r="R62">
        <f>R13/R15</f>
        <v>0.95703017030692294</v>
      </c>
      <c r="T62">
        <f>T13/T15</f>
        <v>0.94990062993637792</v>
      </c>
      <c r="V62">
        <f>V13/V15</f>
        <v>0.9424185991412527</v>
      </c>
      <c r="X62">
        <f>X13/X15</f>
        <v>0.9346897972517646</v>
      </c>
      <c r="Z62">
        <f>Z13/Z15</f>
        <v>0.92691496908617887</v>
      </c>
      <c r="AB62">
        <f>AB13/AB15</f>
        <v>0.91945217060662232</v>
      </c>
      <c r="AD62">
        <f>AD13/AD15</f>
        <v>0.91291645815524813</v>
      </c>
      <c r="AF62">
        <f>AF13/AF15</f>
        <v>0.90835350521428393</v>
      </c>
      <c r="AH62">
        <f>AH13/AH15</f>
        <v>0.90766022107673794</v>
      </c>
      <c r="AJ62">
        <f>AJ13/AJ15</f>
        <v>0.9150416627973984</v>
      </c>
      <c r="AL62">
        <f>AL13/AL15</f>
        <v>0.94275864665556885</v>
      </c>
      <c r="AN62">
        <f>AN13/AN15</f>
        <v>1.0418157916623392</v>
      </c>
      <c r="AP62">
        <f>AP13/AP15</f>
        <v>1.0891586348357272</v>
      </c>
      <c r="AR62">
        <f>AR13/AR15</f>
        <v>1.1631251447027355</v>
      </c>
      <c r="AT62">
        <f>AT13/AT15</f>
        <v>1.2956278875249423</v>
      </c>
      <c r="AV62">
        <f>AV13/AV15</f>
        <v>1.6159124206977526</v>
      </c>
    </row>
    <row r="65" spans="1:48 16384:16384" x14ac:dyDescent="0.2">
      <c r="A65" t="s">
        <v>176</v>
      </c>
      <c r="B65" s="191">
        <f>SQRT((B9:C9*$B$22:$C$22+B10:C10*$B$23:$C$23+B11:C11*$B$24:$C$24+B4:C4*($B$25:$C$25-$B$19:$C$19))/($B$9:$C$9*$B$22:$C$22+$B$10:$C$10*$B$23:$C$23+$B$11:$C$11*$B$24:$C$24+$B$4:$C$4*($B$25:$C$25-$B$19:$C$19))*(B9:C9*B22:C22+B10:C10*B23:C23+B11:C11*B24:C24+B4:C4*(B25:C25-B19:C19))/($B$9:$C$9*B22:C22+$B$10:$C$10*B23:C23+$B$11:$C$11*B24:C24+$B$4:$C$4*(B25:C25-B19:C19)))</f>
        <v>1</v>
      </c>
      <c r="C65" s="191"/>
      <c r="D65" s="191">
        <f t="array" ref="D65">SQRT((D9:E9*$B$22:$C$22+D10:E10*$B$23:$C$23+D11:E11*$B$24:$C$24+D4:E4*($B$25:$C$25-$B$19:$C$19))/($B$9:$C$9*$B$22:$C$22+$B$10:$C$10*$B$23:$C$23+$B$11:$C$11*$B$24:$C$24+$B$4:$C$4*($B$25:$C$25-$B$19:$C$19))*(D9:E9*D22:E22+D10:E10*D23:E23+D11:E11*D24:E24+D4:E4*(D25:E25-D19:E19))/($B$9:$C$9*D22:E22+$B$10:$C$10*D23:E23+$B$11:$C$11*D24:E24+$B$4:$C$4*(D25:E25-D19:E19)))</f>
        <v>0.99940134105992062</v>
      </c>
      <c r="E65" s="191"/>
      <c r="F65" s="191">
        <f t="array" ref="F65">SQRT((F9:G9*$B$22:$C$22+F10:G10*$B$23:$C$23+F11:G11*$B$24:$C$24+F4:G4*($B$25:$C$25-$B$19:$C$19))/($B$9:$C$9*$B$22:$C$22+$B$10:$C$10*$B$23:$C$23+$B$11:$C$11*$B$24:$C$24+$B$4:$C$4*($B$25:$C$25-$B$19:$C$19))*(F9:G9*F22:G22+F10:G10*F23:G23+F11:G11*F24:G24+F4:G4*(F25:G25-F19:G19))/($B$9:$C$9*F22:G22+$B$10:$C$10*F23:G23+$B$11:$C$11*F24:G24+$B$4:$C$4*(F25:G25-F19:G19)))</f>
        <v>0.99917978726425116</v>
      </c>
      <c r="G65" s="191"/>
      <c r="H65" s="191">
        <f t="array" ref="H65">SQRT((H9:I9*$B$22:$C$22+H10:I10*$B$23:$C$23+H11:I11*$B$24:$C$24+H4:I4*($B$25:$C$25-$B$19:$C$19))/($B$9:$C$9*$B$22:$C$22+$B$10:$C$10*$B$23:$C$23+$B$11:$C$11*$B$24:$C$24+$B$4:$C$4*($B$25:$C$25-$B$19:$C$19))*(H9:I9*H22:I22+H10:I10*H23:I23+H11:I11*H24:I24+H4:I4*(H25:I25-H19:I19))/($B$9:$C$9*H22:I22+$B$10:$C$10*H23:I23+$B$11:$C$11*H24:I24+$B$4:$C$4*(H25:I25-H19:I19)))</f>
        <v>0.99943065183266655</v>
      </c>
      <c r="I65" s="191"/>
      <c r="J65" s="191">
        <f t="array" ref="J65">SQRT((J9:K9*$B$22:$C$22+J10:K10*$B$23:$C$23+J11:K11*$B$24:$C$24+J4:K4*($B$25:$C$25-$B$19:$C$19))/($B$9:$C$9*$B$22:$C$22+$B$10:$C$10*$B$23:$C$23+$B$11:$C$11*$B$24:$C$24+$B$4:$C$4*($B$25:$C$25-$B$19:$C$19))*(J9:K9*J22:K22+J10:K10*J23:K23+J11:K11*J24:K24+J4:K4*(J25:K25-J19:K19))/($B$9:$C$9*J22:K22+$B$10:$C$10*J23:K23+$B$11:$C$11*J24:K24+$B$4:$C$4*(J25:K25-J19:K19)))</f>
        <v>1.0002808111648513</v>
      </c>
      <c r="K65" s="191"/>
      <c r="L65" s="191">
        <f t="array" ref="L65">SQRT((L9:M9*$B$22:$C$22+L10:M10*$B$23:$C$23+L11:M11*$B$24:$C$24+L4:M4*($B$25:$C$25-$B$19:$C$19))/($B$9:$C$9*$B$22:$C$22+$B$10:$C$10*$B$23:$C$23+$B$11:$C$11*$B$24:$C$24+$B$4:$C$4*($B$25:$C$25-$B$19:$C$19))*(L9:M9*L22:M22+L10:M10*L23:M23+L11:M11*L24:M24+L4:M4*(L25:M25-L19:M19))/($B$9:$C$9*L22:M22+$B$10:$C$10*L23:M23+$B$11:$C$11*L24:M24+$B$4:$C$4*(L25:M25-L19:M19)))</f>
        <v>1.0019024177942117</v>
      </c>
      <c r="M65" s="191"/>
      <c r="N65" s="191">
        <f t="array" ref="N65">SQRT((N9:O9*$B$22:$C$22+N10:O10*$B$23:$C$23+N11:O11*$B$24:$C$24+N4:O4*($B$25:$C$25-$B$19:$C$19))/($B$9:$C$9*$B$22:$C$22+$B$10:$C$10*$B$23:$C$23+$B$11:$C$11*$B$24:$C$24+$B$4:$C$4*($B$25:$C$25-$B$19:$C$19))*(N9:O9*N22:O22+N10:O10*N23:O23+N11:O11*N24:O24+N4:O4*(N25:O25-N19:O19))/($B$9:$C$9*N22:O22+$B$10:$C$10*N23:O23+$B$11:$C$11*N24:O24+$B$4:$C$4*(N25:O25-N19:O19)))</f>
        <v>1.0045316851643764</v>
      </c>
      <c r="O65" s="191"/>
      <c r="P65" s="191">
        <f t="array" ref="P65">SQRT((P9:Q9*$B$22:$C$22+P10:Q10*$B$23:$C$23+P11:Q11*$B$24:$C$24+P4:Q4*($B$25:$C$25-$B$19:$C$19))/($B$9:$C$9*$B$22:$C$22+$B$10:$C$10*$B$23:$C$23+$B$11:$C$11*$B$24:$C$24+$B$4:$C$4*($B$25:$C$25-$B$19:$C$19))*(P9:Q9*P22:Q22+P10:Q10*P23:Q23+P11:Q11*P24:Q24+P4:Q4*(P25:Q25-P19:Q19))/($B$9:$C$9*P22:Q22+$B$10:$C$10*P23:Q23+$B$11:$C$11*P24:Q24+$B$4:$C$4*(P25:Q25-P19:Q19)))</f>
        <v>1.0084980092208706</v>
      </c>
      <c r="Q65" s="191"/>
      <c r="R65" s="191">
        <f t="array" ref="R65">SQRT((R9:S9*$B$22:$C$22+R10:S10*$B$23:$C$23+R11:S11*$B$24:$C$24+R4:S4*($B$25:$C$25-$B$19:$C$19))/($B$9:$C$9*$B$22:$C$22+$B$10:$C$10*$B$23:$C$23+$B$11:$C$11*$B$24:$C$24+$B$4:$C$4*($B$25:$C$25-$B$19:$C$19))*(R9:S9*R22:S22+R10:S10*R23:S23+R11:S11*R24:S24+R4:S4*(R25:S25-R19:S19))/($B$9:$C$9*R22:S22+$B$10:$C$10*R23:S23+$B$11:$C$11*R24:S24+$B$4:$C$4*(R25:S25-R19:S19)))</f>
        <v>1.0142665411227525</v>
      </c>
      <c r="S65" s="191"/>
      <c r="T65" s="191">
        <f t="array" ref="T65">SQRT((T9:U9*$B$22:$C$22+T10:U10*$B$23:$C$23+T11:U11*$B$24:$C$24+T4:U4*($B$25:$C$25-$B$19:$C$19))/($B$9:$C$9*$B$22:$C$22+$B$10:$C$10*$B$23:$C$23+$B$11:$C$11*$B$24:$C$24+$B$4:$C$4*($B$25:$C$25-$B$19:$C$19))*(T9:U9*T22:U22+T10:U10*T23:U23+T11:U11*T24:U24+T4:U4*(T25:U25-T19:U19))/($B$9:$C$9*T22:U22+$B$10:$C$10*T23:U23+$B$11:$C$11*T24:U24+$B$4:$C$4*(T25:U25-T19:U19)))</f>
        <v>1.0225102604069538</v>
      </c>
      <c r="U65" s="191"/>
      <c r="V65" s="191">
        <f t="array" ref="V65">SQRT((V9:W9*$B$22:$C$22+V10:W10*$B$23:$C$23+V11:W11*$B$24:$C$24+V4:W4*($B$25:$C$25-$B$19:$C$19))/($B$9:$C$9*$B$22:$C$22+$B$10:$C$10*$B$23:$C$23+$B$11:$C$11*$B$24:$C$24+$B$4:$C$4*($B$25:$C$25-$B$19:$C$19))*(V9:W9*V22:W22+V10:W10*V23:W23+V11:W11*V24:W24+V4:W4*(V25:W25-V19:W19))/($B$9:$C$9*V22:W22+$B$10:$C$10*V23:W23+$B$11:$C$11*V24:W24+$B$4:$C$4*(V25:W25-V19:W19)))</f>
        <v>1.0342143063342968</v>
      </c>
      <c r="W65" s="191"/>
      <c r="X65" s="191">
        <f t="array" ref="X65">SQRT((X9:Y9*$B$22:$C$22+X10:Y10*$B$23:$C$23+X11:Y11*$B$24:$C$24+X4:Y4*($B$25:$C$25-$B$19:$C$19))/($B$9:$C$9*$B$22:$C$22+$B$10:$C$10*$B$23:$C$23+$B$11:$C$11*$B$24:$C$24+$B$4:$C$4*($B$25:$C$25-$B$19:$C$19))*(X9:Y9*X22:Y22+X10:Y10*X23:Y23+X11:Y11*X24:Y24+X4:Y4*(X25:Y25-X19:Y19))/($B$9:$C$9*X22:Y22+$B$10:$C$10*X23:Y23+$B$11:$C$11*X24:Y24+$B$4:$C$4*(X25:Y25-X19:Y19)))</f>
        <v>1.0508519135850294</v>
      </c>
      <c r="Y65" s="191"/>
      <c r="Z65" s="191">
        <f t="array" ref="Z65">SQRT((Z9:AA9*$B$22:$C$22+Z10:AA10*$B$23:$C$23+Z11:AA11*$B$24:$C$24+Z4:AA4*($B$25:$C$25-$B$19:$C$19))/($B$9:$C$9*$B$22:$C$22+$B$10:$C$10*$B$23:$C$23+$B$11:$C$11*$B$24:$C$24+$B$4:$C$4*($B$25:$C$25-$B$19:$C$19))*(Z9:AA9*Z22:AA22+Z10:AA10*Z23:AA23+Z11:AA11*Z24:AA24+Z4:AA4*(Z25:AA25-Z19:AA19))/($B$9:$C$9*Z22:AA22+$B$10:$C$10*Z23:AA23+$B$11:$C$11*Z24:AA24+$B$4:$C$4*(Z25:AA25-Z19:AA19)))</f>
        <v>1.0746676030265532</v>
      </c>
      <c r="AA65" s="191"/>
      <c r="AB65" s="191">
        <f t="array" ref="AB65">SQRT((AB9:AC9*$B$22:$C$22+AB10:AC10*$B$23:$C$23+AB11:AC11*$B$24:$C$24+AB4:AC4*($B$25:$C$25-$B$19:$C$19))/($B$9:$C$9*$B$22:$C$22+$B$10:$C$10*$B$23:$C$23+$B$11:$C$11*$B$24:$C$24+$B$4:$C$4*($B$25:$C$25-$B$19:$C$19))*(AB9:AC9*AB22:AC22+AB10:AC10*AB23:AC23+AB11:AC11*AB24:AC24+AB4:AC4*(AB25:AC25-AB19:AC19))/($B$9:$C$9*AB22:AC22+$B$10:$C$10*AB23:AC23+$B$11:$C$11*AB24:AC24+$B$4:$C$4*(AB25:AC25-AB19:AC19)))</f>
        <v>1.1091597456587188</v>
      </c>
      <c r="AC65" s="191"/>
      <c r="AD65" s="191">
        <f t="array" ref="AD65">SQRT((AD9:AE9*$B$22:$C$22+AD10:AE10*$B$23:$C$23+AD11:AE11*$B$24:$C$24+AD4:AE4*($B$25:$C$25-$B$19:$C$19))/($B$9:$C$9*$B$22:$C$22+$B$10:$C$10*$B$23:$C$23+$B$11:$C$11*$B$24:$C$24+$B$4:$C$4*($B$25:$C$25-$B$19:$C$19))*(AD9:AE9*AD22:AE22+AD10:AE10*AD23:AE23+AD11:AE11*AD24:AE24+AD4:AE4*(AD25:AE25-AD19:AE19))/($B$9:$C$9*AD22:AE22+$B$10:$C$10*AD23:AE23+$B$11:$C$11*AD24:AE24+$B$4:$C$4*(AD25:AE25-AD19:AE19)))</f>
        <v>1.1599771215542196</v>
      </c>
      <c r="AE65" s="191"/>
      <c r="AF65" s="191">
        <f t="array" ref="AF65">SQRT((AF9:AG9*$B$22:$C$22+AF10:AG10*$B$23:$C$23+AF11:AG11*$B$24:$C$24+AF4:AG4*($B$25:$C$25-$B$19:$C$19))/($B$9:$C$9*$B$22:$C$22+$B$10:$C$10*$B$23:$C$23+$B$11:$C$11*$B$24:$C$24+$B$4:$C$4*($B$25:$C$25-$B$19:$C$19))*(AF9:AG9*AF22:AG22+AF10:AG10*AF23:AG23+AF11:AG11*AF24:AG24+AF4:AG4*(AF25:AG25-AF19:AG19))/($B$9:$C$9*AF22:AG22+$B$10:$C$10*AF23:AG23+$B$11:$C$11*AF24:AG24+$B$4:$C$4*(AF25:AG25-AF19:AG19)))</f>
        <v>1.2369267953887539</v>
      </c>
      <c r="AG65" s="191"/>
      <c r="AH65" s="191">
        <f t="array" ref="AH65">SQRT((AH9:AI9*$B$22:$C$22+AH10:AI10*$B$23:$C$23+AH11:AI11*$B$24:$C$24+AH4:AI4*($B$25:$C$25-$B$19:$C$19))/($B$9:$C$9*$B$22:$C$22+$B$10:$C$10*$B$23:$C$23+$B$11:$C$11*$B$24:$C$24+$B$4:$C$4*($B$25:$C$25-$B$19:$C$19))*(AH9:AI9*AH22:AI22+AH10:AI10*AH23:AI23+AH11:AI11*AH24:AI24+AH4:AI4*(AH25:AI25-AH19:AI19))/($B$9:$C$9*AH22:AI22+$B$10:$C$10*AH23:AI23+$B$11:$C$11*AH24:AI24+$B$4:$C$4*(AH25:AI25-AH19:AI19)))</f>
        <v>1.3597015177647072</v>
      </c>
      <c r="AI65" s="191"/>
      <c r="AJ65" s="191">
        <f t="array" ref="AJ65">SQRT((AJ9:AK9*$B$22:$C$22+AJ10:AK10*$B$23:$C$23+AJ11:AK11*$B$24:$C$24+AJ4:AK4*($B$25:$C$25-$B$19:$C$19))/($B$9:$C$9*$B$22:$C$22+$B$10:$C$10*$B$23:$C$23+$B$11:$C$11*$B$24:$C$24+$B$4:$C$4*($B$25:$C$25-$B$19:$C$19))*(AJ9:AK9*AJ22:AK22+AJ10:AK10*AJ23:AK23+AJ11:AK11*AJ24:AK24+AJ4:AK4*(AJ25:AK25-AJ19:AK19))/($B$9:$C$9*AJ22:AK22+$B$10:$C$10*AJ23:AK23+$B$11:$C$11*AJ24:AK24+$B$4:$C$4*(AJ25:AK25-AJ19:AK19)))</f>
        <v>1.5781160718330431</v>
      </c>
      <c r="AK65" s="191"/>
      <c r="AL65" s="191">
        <f t="array" ref="AL65">SQRT((AL9:AM9*$B$22:$C$22+AL10:AM10*$B$23:$C$23+AL11:AM11*$B$24:$C$24+AL4:AM4*($B$25:$C$25-$B$19:$C$19))/($B$9:$C$9*$B$22:$C$22+$B$10:$C$10*$B$23:$C$23+$B$11:$C$11*$B$24:$C$24+$B$4:$C$4*($B$25:$C$25-$B$19:$C$19))*(AL9:AM9*AL22:AM22+AL10:AM10*AL23:AM23+AL11:AM11*AL24:AM24+AL4:AM4*(AL25:AM25-AL19:AM19))/($B$9:$C$9*AL22:AM22+$B$10:$C$10*AL23:AM23+$B$11:$C$11*AL24:AM24+$B$4:$C$4*(AL25:AM25-AL19:AM19)))</f>
        <v>2.0659292844548118</v>
      </c>
      <c r="AM65" s="191"/>
      <c r="AN65" s="191">
        <f t="array" ref="AN65">SQRT((AN9:AO9*$B$22:$C$22+AN10:AO10*$B$23:$C$23+AN11:AO11*$B$24:$C$24+AN4:AO4*($B$25:$C$25-$B$19:$C$19))/($B$9:$C$9*$B$22:$C$22+$B$10:$C$10*$B$23:$C$23+$B$11:$C$11*$B$24:$C$24+$B$4:$C$4*($B$25:$C$25-$B$19:$C$19))*(AN9:AO9*AN22:AO22+AN10:AO10*AN23:AO23+AN11:AO11*AN24:AO24+AN4:AO4*(AN25:AO25-AN19:AO19))/($B$9:$C$9*AN22:AO22+$B$10:$C$10*AN23:AO23+$B$11:$C$11*AN24:AO24+$B$4:$C$4*(AN25:AO25-AN19:AO19)))</f>
        <v>4.4682911417992814</v>
      </c>
      <c r="AO65" s="191"/>
      <c r="AP65" s="191">
        <f t="array" ref="AP65">SQRT((AP9:AQ9*$B$22:$C$22+AP10:AQ10*$B$23:$C$23+AP11:AQ11*$B$24:$C$24+AP4:AQ4*($B$25:$C$25-$B$19:$C$19))/($B$9:$C$9*$B$22:$C$22+$B$10:$C$10*$B$23:$C$23+$B$11:$C$11*$B$24:$C$24+$B$4:$C$4*($B$25:$C$25-$B$19:$C$19))*(AP9:AQ9*AP22:AQ22+AP10:AQ10*AP23:AQ23+AP11:AQ11*AP24:AQ24+AP4:AQ4*(AP25:AQ25-AP19:AQ19))/($B$9:$C$9*AP22:AQ22+$B$10:$C$10*AP23:AQ23+$B$11:$C$11*AP24:AQ24+$B$4:$C$4*(AP25:AQ25-AP19:AQ19)))</f>
        <v>9.13649496418609</v>
      </c>
      <c r="AQ65" s="191"/>
      <c r="AR65" s="191" t="e">
        <f t="array" ref="AR65">SQRT((AR9:AS9*$B$22:$C$22+AR10:AS10*$B$23:$C$23+AR11:AS11*$B$24:$C$24+AR4:AS4*($B$25:$C$25-$B$19:$C$19))/($B$9:$C$9*$B$22:$C$22+$B$10:$C$10*$B$23:$C$23+$B$11:$C$11*$B$24:$C$24+$B$4:$C$4*($B$25:$C$25-$B$19:$C$19))*(AR9:AS9*AR22:AS22+AR10:AS10*AR23:AS23+AR11:AS11*AR24:AS24+AR4:AS4*(AR25:AS25-AR19:AS19))/($B$9:$C$9*AR22:AS22+$B$10:$C$10*AR23:AS23+$B$11:$C$11*AR24:AS24+$B$4:$C$4*(AR25:AS25-AR19:AS19)))</f>
        <v>#NUM!</v>
      </c>
      <c r="AS65" s="191"/>
      <c r="AT65" s="191" t="e">
        <f t="array" ref="AT65">SQRT((AT9:AU9*$B$22:$C$22+AT10:AU10*$B$23:$C$23+AT11:AU11*$B$24:$C$24+AT4:AU4*($B$25:$C$25-$B$19:$C$19))/($B$9:$C$9*$B$22:$C$22+$B$10:$C$10*$B$23:$C$23+$B$11:$C$11*$B$24:$C$24+$B$4:$C$4*($B$25:$C$25-$B$19:$C$19))*(AT9:AU9*AT22:AU22+AT10:AU10*AT23:AU23+AT11:AU11*AT24:AU24+AT4:AU4*(AT25:AU25-AT19:AU19))/($B$9:$C$9*AT22:AU22+$B$10:$C$10*AT23:AU23+$B$11:$C$11*AT24:AU24+$B$4:$C$4*(AT25:AU25-AT19:AU19)))</f>
        <v>#NUM!</v>
      </c>
      <c r="AU65" s="191"/>
      <c r="AV65" s="191" t="e">
        <f t="array" ref="AV65">SQRT((AV9:AW9*$B$22:$C$22+AV10:AW10*$B$23:$C$23+AV11:AW11*$B$24:$C$24+AV4:AW4*($B$25:$C$25-$B$19:$C$19))/($B$9:$C$9*$B$22:$C$22+$B$10:$C$10*$B$23:$C$23+$B$11:$C$11*$B$24:$C$24+$B$4:$C$4*($B$25:$C$25-$B$19:$C$19))*(AV9:AW9*AV22:AW22+AV10:AW10*AV23:AW23+AV11:AW11*AV24:AW24+AV4:AW4*(AV25:AW25-AV19:AW19))/($B$9:$C$9*AV22:AW22+$B$10:$C$10*AV23:AW23+$B$11:$C$11*AV24:AW24+$B$4:$C$4*(AV25:AW25-AV19:AW19)))</f>
        <v>#NUM!</v>
      </c>
    </row>
    <row r="66" spans="1:48 16384:16384" x14ac:dyDescent="0.2">
      <c r="A66" t="s">
        <v>182</v>
      </c>
      <c r="B66" s="191">
        <f t="array" ref="B66">SQRT((B9:C9*$B$22:$C$22)/($B$9:$C$9*$B$22:$C$22)*(B9:C9*B22:C22)/($B$9:$C$9*B22:C22))</f>
        <v>1</v>
      </c>
      <c r="C66" s="191"/>
      <c r="D66" s="191">
        <f t="array" ref="D66">SQRT((D9:E9*$B$22:$C$22)/($B$9:$C$9*$B$22:$C$22)*(D9:E9*D22:E22)/($B$9:$C$9*D22:E22))</f>
        <v>0.99934192971028057</v>
      </c>
      <c r="E66" s="191"/>
      <c r="F66" s="191">
        <f t="array" ref="F66">SQRT((F9:G9*$B$22:$C$22)/($B$9:$C$9*$B$22:$C$22)*(F9:G9*F22:G22)/($B$9:$C$9*F22:G22))</f>
        <v>0.99909836216115211</v>
      </c>
      <c r="G66" s="191"/>
      <c r="H66" s="191">
        <f t="array" ref="H66">SQRT((H9:I9*$B$22:$C$22)/($B$9:$C$9*$B$22:$C$22)*(H9:I9*H22:I22)/($B$9:$C$9*H22:I22))</f>
        <v>0.99937424320811541</v>
      </c>
      <c r="I66" s="191"/>
      <c r="J66" s="191">
        <f t="array" ref="J66">SQRT((J9:K9*$B$22:$C$22)/($B$9:$C$9*$B$22:$C$22)*(J9:K9*J22:K22)/($B$9:$C$9*J22:K22))</f>
        <v>1.0003084960215356</v>
      </c>
      <c r="K66" s="191"/>
      <c r="L66" s="191">
        <f t="array" ref="L66">SQRT((L9:M9*$B$22:$C$22)/($B$9:$C$9*$B$22:$C$22)*(L9:M9*L22:M22)/($B$9:$C$9*L22:M22))</f>
        <v>1.0020883470679867</v>
      </c>
      <c r="M66" s="191"/>
      <c r="N66" s="191">
        <f t="array" ref="N66">SQRT((N9:O9*$B$22:$C$22)/($B$9:$C$9*$B$22:$C$22)*(N9:O9*N22:O22)/($B$9:$C$9*N22:O22))</f>
        <v>1.0049685534062542</v>
      </c>
      <c r="O66" s="191"/>
      <c r="P66" s="191">
        <f t="array" ref="P66">SQRT((P9:Q9*$B$22:$C$22)/($B$9:$C$9*$B$22:$C$22)*(P9:Q9*P22:Q22)/($B$9:$C$9*P22:Q22))</f>
        <v>1.0093007027362337</v>
      </c>
      <c r="Q66" s="191"/>
      <c r="R66" s="191">
        <f t="array" ref="R66">SQRT((R9:S9*$B$22:$C$22)/($B$9:$C$9*$B$22:$C$22)*(R9:S9*R22:S22)/($B$9:$C$9*R22:S22))</f>
        <v>1.0155748205592416</v>
      </c>
      <c r="S66" s="191"/>
      <c r="T66" s="191">
        <f t="array" ref="T66">SQRT((T9:U9*$B$22:$C$22)/($B$9:$C$9*$B$22:$C$22)*(T9:U9*T22:U22)/($B$9:$C$9*T22:U22))</f>
        <v>1.0244884538949954</v>
      </c>
      <c r="U66" s="191"/>
      <c r="V66" s="191">
        <f t="array" ref="V66">SQRT((V9:W9*$B$22:$C$22)/($B$9:$C$9*$B$22:$C$22)*(V9:W9*V22:W22)/($B$9:$C$9*V22:W22))</f>
        <v>1.0370415132336508</v>
      </c>
      <c r="W66" s="191"/>
      <c r="X66" s="191">
        <f t="array" ref="X66">SQRT((X9:Y9*$B$22:$C$22)/($B$9:$C$9*$B$22:$C$22)*(X9:Y9*X22:Y22)/($B$9:$C$9*X22:Y22))</f>
        <v>1.0546900228284612</v>
      </c>
      <c r="Y66" s="191"/>
      <c r="Z66" s="191">
        <f t="array" ref="Z66">SQRT((Z9:AA9*$B$22:$C$22)/($B$9:$C$9*$B$22:$C$22)*(Z9:AA9*Z22:AA22)/($B$9:$C$9*Z22:AA22))</f>
        <v>1.0795772893375559</v>
      </c>
      <c r="AA66" s="191"/>
      <c r="AB66" s="191">
        <f t="array" ref="AB66">SQRT((AB9:AC9*$B$22:$C$22)/($B$9:$C$9*$B$22:$C$22)*(AB9:AC9*AB22:AC22)/($B$9:$C$9*AB22:AC22))</f>
        <v>1.1148986401135677</v>
      </c>
      <c r="AC66" s="191"/>
      <c r="AD66" s="191">
        <f t="array" ref="AD66">SQRT((AD9:AE9*$B$22:$C$22)/($B$9:$C$9*$B$22:$C$22)*(AD9:AE9*AD22:AE22)/($B$9:$C$9*AD22:AE22))</f>
        <v>1.1655272904470968</v>
      </c>
      <c r="AE66" s="191"/>
      <c r="AF66" s="191">
        <f t="array" ref="AF66">SQRT((AF9:AG9*$B$22:$C$22)/($B$9:$C$9*$B$22:$C$22)*(AF9:AG9*AF22:AG22)/($B$9:$C$9*AF22:AG22))</f>
        <v>1.2393438501407388</v>
      </c>
      <c r="AG66" s="191"/>
      <c r="AH66" s="191">
        <f t="array" ref="AH66">SQRT((AH9:AI9*$B$22:$C$22)/($B$9:$C$9*$B$22:$C$22)*(AH9:AI9*AH22:AI22)/($B$9:$C$9*AH22:AI22))</f>
        <v>1.3508575262986136</v>
      </c>
      <c r="AI66" s="191"/>
      <c r="AJ66" s="191">
        <f t="array" ref="AJ66">SQRT((AJ9:AK9*$B$22:$C$22)/($B$9:$C$9*$B$22:$C$22)*(AJ9:AK9*AJ22:AK22)/($B$9:$C$9*AJ22:AK22))</f>
        <v>1.5324038644667717</v>
      </c>
      <c r="AK66" s="191"/>
      <c r="AL66" s="191">
        <f t="array" ref="AL66">SQRT((AL9:AM9*$B$22:$C$22)/($B$9:$C$9*$B$22:$C$22)*(AL9:AM9*AL22:AM22)/($B$9:$C$9*AL22:AM22))</f>
        <v>1.8691367485701764</v>
      </c>
      <c r="AM66" s="191"/>
      <c r="AN66" s="191">
        <f t="array" ref="AN66">SQRT((AN9:AO9*$B$22:$C$22)/($B$9:$C$9*$B$22:$C$22)*(AN9:AO9*AN22:AO22)/($B$9:$C$9*AN22:AO22))</f>
        <v>2.6434820543206872</v>
      </c>
      <c r="AO66" s="191"/>
      <c r="AP66" s="191">
        <f t="array" ref="AP66">SQRT((AP9:AQ9*$B$22:$C$22)/($B$9:$C$9*$B$22:$C$22)*(AP9:AQ9*AP22:AQ22)/($B$9:$C$9*AP22:AQ22))</f>
        <v>2.9376221986801565</v>
      </c>
      <c r="AQ66" s="191"/>
      <c r="AR66" s="191">
        <f t="array" ref="AR66">SQRT((AR9:AS9*$B$22:$C$22)/($B$9:$C$9*$B$22:$C$22)*(AR9:AS9*AR22:AS22)/($B$9:$C$9*AR22:AS22))</f>
        <v>3.3448729173068634</v>
      </c>
      <c r="AS66" s="191"/>
      <c r="AT66" s="191">
        <f t="array" ref="AT66">SQRT((AT9:AU9*$B$22:$C$22)/($B$9:$C$9*$B$22:$C$22)*(AT9:AU9*AT22:AU22)/($B$9:$C$9*AT22:AU22))</f>
        <v>3.9654593586327107</v>
      </c>
      <c r="AU66" s="191"/>
      <c r="AV66" s="191">
        <f t="array" ref="AV66">SQRT((AV9:AW9*$B$22:$C$22)/($B$9:$C$9*$B$22:$C$22)*(AV9:AW9*AV22:AW22)/($B$9:$C$9*AV22:AW22))</f>
        <v>5.1176158164992263</v>
      </c>
      <c r="XFD66" s="191"/>
    </row>
    <row r="67" spans="1:48 16384:16384" x14ac:dyDescent="0.2">
      <c r="A67" t="s">
        <v>183</v>
      </c>
      <c r="B67" s="191">
        <f t="array" ref="B67">SQRT((B4:C4*$B$19:$C$19)/($B$4:$C$4*$B$19:$C$19)*(B4:C4*B19:C19)/($B$4:$C$4*B19:C19))</f>
        <v>1</v>
      </c>
      <c r="C67" s="191"/>
      <c r="D67" s="191">
        <f t="array" ref="D67">SQRT((D4:E4*$B$19:$C$19)/($B$4:$C$4*$B$19:$C$19)*(D4:E4*D19:E19)/($B$4:$C$4*D19:E19))</f>
        <v>1</v>
      </c>
      <c r="E67" s="191"/>
      <c r="F67" s="191">
        <f t="array" ref="F67">SQRT((F4:G4*$B$19:$C$19)/($B$4:$C$4*$B$19:$C$19)*(F4:G4*F19:G19)/($B$4:$C$4*F19:G19))</f>
        <v>1</v>
      </c>
      <c r="G67" s="191"/>
      <c r="H67" s="191">
        <f t="array" ref="H67">SQRT((H4:I4*$B$19:$C$19)/($B$4:$C$4*$B$19:$C$19)*(H4:I4*H19:I19)/($B$4:$C$4*H19:I19))</f>
        <v>1</v>
      </c>
      <c r="I67" s="191"/>
      <c r="J67" s="191">
        <f t="array" ref="J67">SQRT((J4:K4*$B$19:$C$19)/($B$4:$C$4*$B$19:$C$19)*(J4:K4*J19:K19)/($B$4:$C$4*J19:K19))</f>
        <v>1</v>
      </c>
      <c r="K67" s="191"/>
      <c r="L67" s="191">
        <f t="array" ref="L67">SQRT((L4:M4*$B$19:$C$19)/($B$4:$C$4*$B$19:$C$19)*(L4:M4*L19:M19)/($B$4:$C$4*L19:M19))</f>
        <v>1</v>
      </c>
      <c r="M67" s="191"/>
      <c r="N67" s="191">
        <f t="array" ref="N67">SQRT((N4:O4*$B$19:$C$19)/($B$4:$C$4*$B$19:$C$19)*(N4:O4*N19:O19)/($B$4:$C$4*N19:O19))</f>
        <v>1</v>
      </c>
      <c r="O67" s="191"/>
      <c r="P67" s="191">
        <f t="array" ref="P67">SQRT((P4:Q4*$B$19:$C$19)/($B$4:$C$4*$B$19:$C$19)*(P4:Q4*P19:Q19)/($B$4:$C$4*P19:Q19))</f>
        <v>1</v>
      </c>
      <c r="Q67" s="191"/>
      <c r="R67" s="191">
        <f t="array" ref="R67">SQRT((R4:S4*$B$19:$C$19)/($B$4:$C$4*$B$19:$C$19)*(R4:S4*R19:S19)/($B$4:$C$4*R19:S19))</f>
        <v>1</v>
      </c>
      <c r="S67" s="191"/>
      <c r="T67" s="191">
        <f t="array" ref="T67">SQRT((T4:U4*$B$19:$C$19)/($B$4:$C$4*$B$19:$C$19)*(T4:U4*T19:U19)/($B$4:$C$4*T19:U19))</f>
        <v>1</v>
      </c>
      <c r="U67" s="191"/>
      <c r="V67" s="191">
        <f t="array" ref="V67">SQRT((V4:W4*$B$19:$C$19)/($B$4:$C$4*$B$19:$C$19)*(V4:W4*V19:W19)/($B$4:$C$4*V19:W19))</f>
        <v>1</v>
      </c>
      <c r="W67" s="191"/>
      <c r="X67" s="191">
        <f t="array" ref="X67">SQRT((X4:Y4*$B$19:$C$19)/($B$4:$C$4*$B$19:$C$19)*(X4:Y4*X19:Y19)/($B$4:$C$4*X19:Y19))</f>
        <v>1</v>
      </c>
      <c r="Y67" s="191"/>
      <c r="Z67" s="191">
        <f t="array" ref="Z67">SQRT((Z4:AA4*$B$19:$C$19)/($B$4:$C$4*$B$19:$C$19)*(Z4:AA4*Z19:AA19)/($B$4:$C$4*Z19:AA19))</f>
        <v>1</v>
      </c>
      <c r="AA67" s="191"/>
      <c r="AB67" s="191">
        <f t="array" ref="AB67">SQRT((AB4:AC4*$B$19:$C$19)/($B$4:$C$4*$B$19:$C$19)*(AB4:AC4*AB19:AC19)/($B$4:$C$4*AB19:AC19))</f>
        <v>1</v>
      </c>
      <c r="AC67" s="191"/>
      <c r="AD67" s="191">
        <f t="array" ref="AD67">SQRT((AD4:AE4*$B$19:$C$19)/($B$4:$C$4*$B$19:$C$19)*(AD4:AE4*AD19:AE19)/($B$4:$C$4*AD19:AE19))</f>
        <v>1</v>
      </c>
      <c r="AE67" s="191"/>
      <c r="AF67" s="191">
        <f t="array" ref="AF67">SQRT((AF4:AG4*$B$19:$C$19)/($B$4:$C$4*$B$19:$C$19)*(AF4:AG4*AF19:AG19)/($B$4:$C$4*AF19:AG19))</f>
        <v>1</v>
      </c>
      <c r="AG67" s="191"/>
      <c r="AH67" s="191">
        <f t="array" ref="AH67">SQRT((AH4:AI4*$B$19:$C$19)/($B$4:$C$4*$B$19:$C$19)*(AH4:AI4*AH19:AI19)/($B$4:$C$4*AH19:AI19))</f>
        <v>1</v>
      </c>
      <c r="AI67" s="191"/>
      <c r="AJ67" s="191">
        <f t="array" ref="AJ67">SQRT((AJ4:AK4*$B$19:$C$19)/($B$4:$C$4*$B$19:$C$19)*(AJ4:AK4*AJ19:AK19)/($B$4:$C$4*AJ19:AK19))</f>
        <v>1</v>
      </c>
      <c r="AK67" s="191"/>
      <c r="AL67" s="191">
        <f t="array" ref="AL67">SQRT((AL4:AM4*$B$19:$C$19)/($B$4:$C$4*$B$19:$C$19)*(AL4:AM4*AL19:AM19)/($B$4:$C$4*AL19:AM19))</f>
        <v>1</v>
      </c>
      <c r="AM67" s="191"/>
      <c r="AN67" s="191">
        <f t="array" ref="AN67">SQRT((AN4:AO4*$B$19:$C$19)/($B$4:$C$4*$B$19:$C$19)*(AN4:AO4*AN19:AO19)/($B$4:$C$4*AN19:AO19))</f>
        <v>1</v>
      </c>
      <c r="AO67" s="191"/>
      <c r="AP67" s="191">
        <f t="array" ref="AP67">SQRT((AP4:AQ4*$B$19:$C$19)/($B$4:$C$4*$B$19:$C$19)*(AP4:AQ4*AP19:AQ19)/($B$4:$C$4*AP19:AQ19))</f>
        <v>1</v>
      </c>
      <c r="AQ67" s="191"/>
      <c r="AR67" s="191">
        <f t="array" ref="AR67">SQRT((AR4:AS4*$B$19:$C$19)/($B$4:$C$4*$B$19:$C$19)*(AR4:AS4*AR19:AS19)/($B$4:$C$4*AR19:AS19))</f>
        <v>1</v>
      </c>
      <c r="AS67" s="191"/>
      <c r="AT67" s="191">
        <f t="array" ref="AT67">SQRT((AT4:AU4*$B$19:$C$19)/($B$4:$C$4*$B$19:$C$19)*(AT4:AU4*AT19:AU19)/($B$4:$C$4*AT19:AU19))</f>
        <v>1</v>
      </c>
      <c r="AU67" s="191"/>
      <c r="AV67" s="191">
        <f t="array" ref="AV67">SQRT((AV4:AW4*$B$19:$C$19)/($B$4:$C$4*$B$19:$C$19)*(AV4:AW4*AV19:AW19)/($B$4:$C$4*AV19:AW19))</f>
        <v>1</v>
      </c>
      <c r="XFD67" s="191"/>
    </row>
    <row r="68" spans="1:48 16384:16384" x14ac:dyDescent="0.2">
      <c r="A68" t="s">
        <v>181</v>
      </c>
      <c r="B68" s="191">
        <f>B66/B67</f>
        <v>1</v>
      </c>
      <c r="C68" s="191"/>
      <c r="D68" s="191">
        <f>D66/D67</f>
        <v>0.99934192971028057</v>
      </c>
      <c r="E68" s="191"/>
      <c r="F68" s="191">
        <f>F66/F67</f>
        <v>0.99909836216115211</v>
      </c>
      <c r="G68" s="191"/>
      <c r="H68" s="191">
        <f>H66/H67</f>
        <v>0.99937424320811541</v>
      </c>
      <c r="I68" s="191"/>
      <c r="J68" s="191">
        <f>J66/J67</f>
        <v>1.0003084960215356</v>
      </c>
      <c r="K68" s="191"/>
      <c r="L68" s="191">
        <f>L66/L67</f>
        <v>1.0020883470679867</v>
      </c>
      <c r="M68" s="191"/>
      <c r="N68" s="191">
        <f>N66/N67</f>
        <v>1.0049685534062542</v>
      </c>
      <c r="O68" s="191"/>
      <c r="P68" s="191">
        <f>P66/P67</f>
        <v>1.0093007027362337</v>
      </c>
      <c r="Q68" s="191"/>
      <c r="R68" s="191">
        <f>R66/R67</f>
        <v>1.0155748205592416</v>
      </c>
      <c r="S68" s="191"/>
      <c r="T68" s="191">
        <f>T66/T67</f>
        <v>1.0244884538949954</v>
      </c>
      <c r="U68" s="191"/>
      <c r="V68" s="191">
        <f>V66/V67</f>
        <v>1.0370415132336508</v>
      </c>
      <c r="W68" s="191"/>
      <c r="X68" s="191">
        <f>X66/X67</f>
        <v>1.0546900228284612</v>
      </c>
      <c r="Y68" s="191"/>
      <c r="Z68" s="191">
        <f>Z66/Z67</f>
        <v>1.0795772893375559</v>
      </c>
      <c r="AA68" s="191"/>
      <c r="AB68" s="191">
        <f>AB66/AB67</f>
        <v>1.1148986401135677</v>
      </c>
      <c r="AC68" s="191"/>
      <c r="AD68" s="191">
        <f>AD66/AD67</f>
        <v>1.1655272904470968</v>
      </c>
      <c r="AE68" s="191"/>
      <c r="AF68" s="191">
        <f>AF66/AF67</f>
        <v>1.2393438501407388</v>
      </c>
      <c r="AG68" s="191"/>
      <c r="AH68" s="191">
        <f>AH66/AH67</f>
        <v>1.3508575262986136</v>
      </c>
      <c r="AI68" s="191"/>
      <c r="AJ68" s="191">
        <f>AJ66/AJ67</f>
        <v>1.5324038644667717</v>
      </c>
      <c r="AK68" s="191"/>
      <c r="AL68" s="191">
        <f>AL66/AL67</f>
        <v>1.8691367485701764</v>
      </c>
      <c r="AM68" s="191"/>
      <c r="AN68" s="191">
        <f>AN66/AN67</f>
        <v>2.6434820543206872</v>
      </c>
      <c r="AO68" s="191"/>
      <c r="AP68" s="191">
        <f>AP66/AP67</f>
        <v>2.9376221986801565</v>
      </c>
      <c r="AQ68" s="191"/>
      <c r="AR68" s="191">
        <f>AR66/AR67</f>
        <v>3.3448729173068634</v>
      </c>
      <c r="AS68" s="191"/>
      <c r="AT68" s="191">
        <f>AT66/AT67</f>
        <v>3.9654593586327107</v>
      </c>
      <c r="AU68" s="191"/>
      <c r="AV68" s="191">
        <f>AV66/AV67</f>
        <v>5.1176158164992263</v>
      </c>
      <c r="XFD68" s="191"/>
    </row>
    <row r="69" spans="1:48 16384:16384" x14ac:dyDescent="0.2">
      <c r="A69" t="s">
        <v>177</v>
      </c>
      <c r="B69" s="191">
        <f>B32/B65/($B$32)</f>
        <v>1</v>
      </c>
      <c r="C69" s="191"/>
      <c r="D69" s="191">
        <f>D32/D65/($B$32)</f>
        <v>0.99056097189414238</v>
      </c>
      <c r="E69" s="191"/>
      <c r="F69" s="191">
        <f>F32/F65/($B$32)</f>
        <v>0.97969098393590459</v>
      </c>
      <c r="G69" s="191"/>
      <c r="H69" s="191">
        <f>H32/H65/($B$32)</f>
        <v>0.96713522055346834</v>
      </c>
      <c r="I69" s="191"/>
      <c r="J69" s="191">
        <f>J32/J65/($B$32)</f>
        <v>0.95258796555762149</v>
      </c>
      <c r="K69" s="191"/>
      <c r="L69" s="191">
        <f>L32/L65/($B$32)</f>
        <v>0.93568250027365985</v>
      </c>
      <c r="M69" s="191"/>
      <c r="N69" s="191">
        <f>N32/N65/($B$32)</f>
        <v>0.91598475542135727</v>
      </c>
      <c r="O69" s="191"/>
      <c r="P69" s="191">
        <f>P32/P65/($B$32)</f>
        <v>0.89298982852421227</v>
      </c>
      <c r="Q69" s="191"/>
      <c r="R69" s="191">
        <f>R32/R65/($B$32)</f>
        <v>0.86612994839523638</v>
      </c>
      <c r="S69" s="191"/>
      <c r="T69" s="191">
        <f>T32/T65/($B$32)</f>
        <v>0.83479530136211899</v>
      </c>
      <c r="U69" s="191"/>
      <c r="V69" s="191">
        <f>V32/V65/($B$32)</f>
        <v>0.79839497708283846</v>
      </c>
      <c r="W69" s="191"/>
      <c r="X69" s="191">
        <f>X32/X65/($B$32)</f>
        <v>0.75645996017596528</v>
      </c>
      <c r="Y69" s="191"/>
      <c r="Z69" s="191">
        <f>Z32/Z65/($B$32)</f>
        <v>0.708806283389664</v>
      </c>
      <c r="AA69" s="191"/>
      <c r="AB69" s="191">
        <f>AB32/AB65/($B$32)</f>
        <v>0.65573334831753305</v>
      </c>
      <c r="AC69" s="191"/>
      <c r="AD69" s="191">
        <f>AD32/AD65/($B$32)</f>
        <v>0.59814759247829075</v>
      </c>
      <c r="AE69" s="191"/>
      <c r="AF69" s="191">
        <f>AF32/AF65/($B$32)</f>
        <v>0.53735948592435512</v>
      </c>
      <c r="AG69" s="191"/>
      <c r="AH69" s="191">
        <f>AH32/AH65/($B$32)</f>
        <v>0.4741865354316514</v>
      </c>
      <c r="AI69" s="191"/>
      <c r="AJ69" s="191">
        <f>AJ32/AJ65/($B$32)</f>
        <v>0.40682261092128208</v>
      </c>
      <c r="AK69" s="191"/>
      <c r="AL69" s="191">
        <f>AL32/AL65/($B$32)</f>
        <v>0.32474042262772401</v>
      </c>
      <c r="AM69" s="191"/>
      <c r="AN69" s="191">
        <f>AN32/AN65/($B$32)</f>
        <v>0.16828141757708648</v>
      </c>
      <c r="AO69" s="191"/>
      <c r="AP69" s="191">
        <f>AP32/AP65/($B$32)</f>
        <v>8.495721660665502E-2</v>
      </c>
      <c r="AQ69" s="191"/>
      <c r="AR69" s="191" t="e">
        <f>AR32/AR65/($B$32)</f>
        <v>#NUM!</v>
      </c>
      <c r="AS69" s="191"/>
      <c r="AT69" s="191" t="e">
        <f>AT32/AT65/($B$32)</f>
        <v>#NUM!</v>
      </c>
      <c r="AU69" s="191"/>
      <c r="AV69" s="191" t="e">
        <f>AV32/AV65/($B$32)</f>
        <v>#NUM!</v>
      </c>
    </row>
    <row r="70" spans="1:48 16384:16384" x14ac:dyDescent="0.2">
      <c r="A70" t="s">
        <v>178</v>
      </c>
      <c r="B70" s="138">
        <f>B18/$B$18</f>
        <v>1</v>
      </c>
      <c r="C70" s="138"/>
      <c r="D70" s="138">
        <f>D18/$B$18</f>
        <v>0.98973080744643571</v>
      </c>
      <c r="E70" s="138"/>
      <c r="F70" s="138">
        <f>F18/$B$18</f>
        <v>0.97804765170986008</v>
      </c>
      <c r="G70" s="138"/>
      <c r="H70" s="138">
        <f>H18/$B$18</f>
        <v>0.96469894808339796</v>
      </c>
      <c r="I70" s="138"/>
      <c r="J70" s="138">
        <f>J18/$B$18</f>
        <v>0.9493829959942518</v>
      </c>
      <c r="K70" s="138"/>
      <c r="L70" s="138">
        <f>L18/$B$18</f>
        <v>0.93173814610855044</v>
      </c>
      <c r="M70" s="138"/>
      <c r="N70" s="138">
        <f>N18/$B$18</f>
        <v>0.91133663154544176</v>
      </c>
      <c r="O70" s="138"/>
      <c r="P70" s="138">
        <f>P18/$B$18</f>
        <v>0.88768144635358437</v>
      </c>
      <c r="Q70" s="138"/>
      <c r="R70" s="138">
        <f>R18/$B$18</f>
        <v>0.8602145364870748</v>
      </c>
      <c r="S70" s="138"/>
      <c r="T70" s="138">
        <f>T18/$B$18</f>
        <v>0.82833905347500247</v>
      </c>
      <c r="U70" s="138"/>
      <c r="V70" s="138">
        <f>V18/$B$18</f>
        <v>0.79148065383578448</v>
      </c>
      <c r="W70" s="138"/>
      <c r="X70" s="138">
        <f>X18/$B$18</f>
        <v>0.74919246303541776</v>
      </c>
      <c r="Y70" s="138"/>
      <c r="Z70" s="138">
        <f>Z18/$B$18</f>
        <v>0.70132015405431702</v>
      </c>
      <c r="AA70" s="138"/>
      <c r="AB70" s="138">
        <f>AB18/$B$18</f>
        <v>0.64820331798596864</v>
      </c>
      <c r="AC70" s="138"/>
      <c r="AD70" s="138">
        <f>AD18/$B$18</f>
        <v>0.59080590470142724</v>
      </c>
      <c r="AE70" s="138"/>
      <c r="AF70" s="138">
        <f>AF18/$B$18</f>
        <v>0.53053982307035508</v>
      </c>
      <c r="AG70" s="138"/>
      <c r="AH70" s="138">
        <f>AH18/$B$18</f>
        <v>0.46849315373801037</v>
      </c>
      <c r="AI70" s="138"/>
      <c r="AJ70" s="138">
        <f>AJ18/$B$18</f>
        <v>0.40394575539776378</v>
      </c>
      <c r="AK70" s="138"/>
      <c r="AL70" s="138">
        <f>AL18/$B$18</f>
        <v>0.33209221846099474</v>
      </c>
      <c r="AM70" s="138"/>
      <c r="AN70" s="138">
        <f>AN18/$B$18</f>
        <v>0.23788627960207523</v>
      </c>
      <c r="AO70" s="138"/>
      <c r="AP70" s="138">
        <f>AP18/$B$18</f>
        <v>0.21265000142943757</v>
      </c>
      <c r="AQ70" s="138"/>
      <c r="AR70" s="138">
        <f>AR18/$B$18</f>
        <v>0.18314027209730938</v>
      </c>
      <c r="AS70" s="138"/>
      <c r="AT70" s="138">
        <f>AT18/$B$18</f>
        <v>0.14697673360782948</v>
      </c>
      <c r="AU70" s="138"/>
      <c r="AV70" s="138">
        <f>AV18/$B$18</f>
        <v>9.856204002805645E-2</v>
      </c>
    </row>
    <row r="71" spans="1:48 16384:16384" x14ac:dyDescent="0.2">
      <c r="A71" t="s">
        <v>179</v>
      </c>
      <c r="B71" s="138">
        <f>C18/$C$18</f>
        <v>1</v>
      </c>
      <c r="D71" s="138">
        <f>E18/$C$18</f>
        <v>0.93372372285305871</v>
      </c>
      <c r="E71" s="138"/>
      <c r="F71" s="138">
        <f>G18/$C$18</f>
        <v>0.86778731349811034</v>
      </c>
      <c r="G71" s="138"/>
      <c r="H71" s="138">
        <f>I18/$C$18</f>
        <v>0.80226742009256291</v>
      </c>
      <c r="I71" s="138"/>
      <c r="J71" s="138">
        <f>K18/$C$18</f>
        <v>0.73725751971065767</v>
      </c>
      <c r="K71" s="138"/>
      <c r="L71" s="138">
        <f>M18/$C$18</f>
        <v>0.67287007718770409</v>
      </c>
      <c r="M71" s="138"/>
      <c r="N71" s="138">
        <f>O18/$C$18</f>
        <v>0.60923826018437199</v>
      </c>
      <c r="O71" s="138"/>
      <c r="P71" s="138">
        <f>Q18/$C$18</f>
        <v>0.54651536596364625</v>
      </c>
      <c r="Q71" s="138"/>
      <c r="R71" s="138">
        <f>S18/$C$18</f>
        <v>0.48487462943985687</v>
      </c>
      <c r="S71" s="138"/>
      <c r="T71" s="138">
        <f>U18/$C$18</f>
        <v>0.42449704341044964</v>
      </c>
      <c r="U71" s="138"/>
      <c r="V71" s="138">
        <f>W18/$C$18</f>
        <v>0.36555948018656292</v>
      </c>
      <c r="W71" s="138"/>
      <c r="X71" s="138">
        <f>Y18/$C$18</f>
        <v>0.30820710627682169</v>
      </c>
      <c r="Y71" s="138"/>
      <c r="Z71" s="138">
        <f>AA18/$C$18</f>
        <v>0.25253779947823074</v>
      </c>
      <c r="AA71" s="138"/>
      <c r="AB71" s="138">
        <f>AC18/$C$18</f>
        <v>0.19862508326094674</v>
      </c>
      <c r="AC71" s="138"/>
      <c r="AD71" s="138">
        <f>AE18/$C$18</f>
        <v>0.14668024409997971</v>
      </c>
      <c r="AE71" s="138"/>
      <c r="AF71" s="138">
        <f>AG18/$C$18</f>
        <v>9.7516940070158695E-2</v>
      </c>
      <c r="AG71" s="138"/>
      <c r="AH71" s="138">
        <f>AI18/$C$18</f>
        <v>5.3512682629421715E-2</v>
      </c>
      <c r="AI71" s="138"/>
      <c r="AJ71" s="138">
        <f>AK18/$C$18</f>
        <v>1.9878178162661853E-2</v>
      </c>
      <c r="AK71" s="138"/>
      <c r="AL71" s="138">
        <f>AM18/$C$18</f>
        <v>3.106252654547695E-3</v>
      </c>
      <c r="AM71" s="138"/>
      <c r="AN71" s="138">
        <f>AO18/$C$18</f>
        <v>6.3263771847154611E-5</v>
      </c>
      <c r="AO71" s="138"/>
      <c r="AP71" s="138">
        <f>AQ18/$C$18</f>
        <v>1.7086028858980237E-5</v>
      </c>
      <c r="AQ71" s="138"/>
      <c r="AR71" s="138">
        <f>AS18/$C$18</f>
        <v>3.1637625284046409E-6</v>
      </c>
      <c r="AS71" s="138"/>
      <c r="AT71" s="138">
        <f>AU18/$C$18</f>
        <v>3.0114538604284754E-7</v>
      </c>
      <c r="AU71" s="138"/>
      <c r="AV71" s="138">
        <f>AW18/$C$18</f>
        <v>6.0314510547689496E-9</v>
      </c>
      <c r="XFD71" s="138"/>
    </row>
    <row r="72" spans="1:48 16384:16384" x14ac:dyDescent="0.2">
      <c r="A72" t="s">
        <v>180</v>
      </c>
      <c r="B72" s="138">
        <f>C19/$C$19</f>
        <v>1</v>
      </c>
      <c r="D72" s="138">
        <f>E19/$C$19</f>
        <v>1.0104086762870665</v>
      </c>
      <c r="E72" s="138"/>
      <c r="F72" s="138">
        <f>G19/$C$19</f>
        <v>1.0219769797455336</v>
      </c>
      <c r="G72" s="138"/>
      <c r="H72" s="138">
        <f>I19/$C$19</f>
        <v>1.0346091063745757</v>
      </c>
      <c r="I72" s="138"/>
      <c r="J72" s="138">
        <f>K19/$C$19</f>
        <v>1.0481415983056575</v>
      </c>
      <c r="K72" s="138"/>
      <c r="L72" s="138">
        <f>M19/$C$19</f>
        <v>1.0623242220446663</v>
      </c>
      <c r="M72" s="138"/>
      <c r="N72" s="138">
        <f>O19/$C$19</f>
        <v>1.0768012017490649</v>
      </c>
      <c r="O72" s="138"/>
      <c r="P72" s="138">
        <f>Q19/$C$19</f>
        <v>1.0910980152709608</v>
      </c>
      <c r="Q72" s="138"/>
      <c r="R72" s="138">
        <f>S19/$C$19</f>
        <v>1.1046247811550358</v>
      </c>
      <c r="S72" s="138"/>
      <c r="T72" s="138">
        <f>U19/$C$19</f>
        <v>1.1167218935514793</v>
      </c>
      <c r="U72" s="138"/>
      <c r="V72" s="138">
        <f>W19/$C$19</f>
        <v>1.1267660052400257</v>
      </c>
      <c r="W72" s="138"/>
      <c r="X72" s="138">
        <f>Y19/$C$19</f>
        <v>1.134374906483361</v>
      </c>
      <c r="Y72" s="138"/>
      <c r="Z72" s="138">
        <f>AA19/$C$19</f>
        <v>1.1396859012336107</v>
      </c>
      <c r="AA72" s="138"/>
      <c r="AB72" s="138">
        <f>AC19/$C$19</f>
        <v>1.1435444064221609</v>
      </c>
      <c r="AC72" s="138"/>
      <c r="AD72" s="138">
        <f>AE19/$C$19</f>
        <v>1.1470165715418466</v>
      </c>
      <c r="AE72" s="138"/>
      <c r="AF72" s="138">
        <f>AG19/$C$19</f>
        <v>1.1487534088368963</v>
      </c>
      <c r="AG72" s="138"/>
      <c r="AH72" s="138">
        <f>AI19/$C$19</f>
        <v>1.1370221608471958</v>
      </c>
      <c r="AI72" s="138"/>
      <c r="AJ72" s="138">
        <f>AK19/$C$19</f>
        <v>1.0707413052598251</v>
      </c>
      <c r="AK72" s="138"/>
      <c r="AL72" s="138">
        <f>AM19/$C$19</f>
        <v>0.86070309692405722</v>
      </c>
      <c r="AM72" s="138"/>
      <c r="AN72" s="138">
        <f>AO19/$C$19</f>
        <v>0.46547748546433537</v>
      </c>
      <c r="AO72" s="138"/>
      <c r="AP72" s="138">
        <f>AQ19/$C$19</f>
        <v>0.37395993721562487</v>
      </c>
      <c r="AQ72" s="138"/>
      <c r="AR72" s="138">
        <f>AS19/$C$19</f>
        <v>0.28108177475222978</v>
      </c>
      <c r="AS72" s="138"/>
      <c r="AT72" s="138">
        <f>AU19/$C$19</f>
        <v>0.18755671730439835</v>
      </c>
      <c r="AU72" s="138"/>
      <c r="AV72" s="138">
        <f>AW19/$C$19</f>
        <v>9.3801619969446526E-2</v>
      </c>
      <c r="XFD72" s="138"/>
    </row>
    <row r="73" spans="1:48 16384:16384" x14ac:dyDescent="0.2">
      <c r="A73" t="s">
        <v>184</v>
      </c>
      <c r="B73" s="193">
        <f t="array" ref="B73">SUM(B9:C9*B22:C22)/B32</f>
        <v>0.47641153352875065</v>
      </c>
      <c r="D73" s="193">
        <f t="array" ref="D73">SUM(D9:E9*D22:E22)/D32</f>
        <v>0.47479342969445937</v>
      </c>
      <c r="E73" s="138"/>
      <c r="F73" s="193">
        <f t="array" ref="F73">SUM(F9:G9*F22:G22)/F32</f>
        <v>0.47316232379921846</v>
      </c>
      <c r="G73" s="138"/>
      <c r="H73" s="193">
        <f t="array" ref="H73">SUM(H9:I9*H22:I22)/H32</f>
        <v>0.47151924287205732</v>
      </c>
      <c r="I73" s="138"/>
      <c r="J73" s="193">
        <f t="array" ref="J73">SUM(J9:K9*J22:K22)/J32</f>
        <v>0.46986575000378394</v>
      </c>
      <c r="K73" s="138"/>
      <c r="L73" s="193">
        <f t="array" ref="L73">SUM(L9:M9*L22:M22)/L32</f>
        <v>0.4682043884812423</v>
      </c>
      <c r="M73" s="138"/>
      <c r="N73" s="193">
        <f t="array" ref="N73">SUM(N9:O9*N22:O22)/N32</f>
        <v>0.46653868582723235</v>
      </c>
      <c r="O73" s="138"/>
      <c r="P73" s="193">
        <f t="array" ref="P73">SUM(P9:Q9*P22:Q22)/P32</f>
        <v>0.46487326945240265</v>
      </c>
      <c r="Q73" s="138"/>
      <c r="R73" s="193">
        <f t="array" ref="R73">SUM(R9:S9*R22:S22)/R32</f>
        <v>0.46321266702168473</v>
      </c>
      <c r="S73" s="138"/>
      <c r="T73" s="193">
        <f t="array" ref="T73">SUM(T9:U9*T22:U22)/T32</f>
        <v>0.46156191519832557</v>
      </c>
      <c r="U73" s="138"/>
      <c r="V73" s="193">
        <f t="array" ref="V73">SUM(V9:W9*V22:W22)/V32</f>
        <v>0.45992153743529257</v>
      </c>
      <c r="W73" s="138"/>
      <c r="X73" s="193">
        <f t="array" ref="X73">SUM(X9:Y9*X22:Y22)/X32</f>
        <v>0.45828239016834765</v>
      </c>
      <c r="Y73" s="138"/>
      <c r="Z73" s="193">
        <f t="array" ref="Z73">SUM(Z9:AA9*Z22:AA22)/Z32</f>
        <v>0.45661156509874906</v>
      </c>
      <c r="AA73" s="138"/>
      <c r="AB73" s="193">
        <f t="array" ref="AB73">SUM(AB9:AC9*AB22:AC22)/AB32</f>
        <v>0.45482716762999509</v>
      </c>
      <c r="AC73" s="138"/>
      <c r="AD73" s="193">
        <f t="array" ref="AD73">SUM(AD9:AE9*AD22:AE22)/AD32</f>
        <v>0.45275251441654324</v>
      </c>
      <c r="AE73" s="138"/>
      <c r="AF73" s="193">
        <f t="array" ref="AF73">SUM(AF9:AG9*AF22:AG22)/AF32</f>
        <v>0.4500354828811301</v>
      </c>
      <c r="AG73" s="138"/>
      <c r="AH73" s="193">
        <f t="array" ref="AH73">SUM(AH9:AI9*AH22:AI22)/AH32</f>
        <v>0.44598835229129435</v>
      </c>
      <c r="AI73" s="138"/>
      <c r="AJ73" s="193">
        <f t="array" ref="AJ73">SUM(AJ9:AK9*AJ22:AK22)/AJ32</f>
        <v>0.43919851101164586</v>
      </c>
      <c r="AK73" s="138"/>
      <c r="AL73" s="193">
        <f t="array" ref="AL73">SUM(AL9:AM9*AL22:AM22)/AL32</f>
        <v>0.42673071527484502</v>
      </c>
      <c r="AM73" s="138"/>
      <c r="AN73" s="193">
        <f t="array" ref="AN73">SUM(AN9:AO9*AN22:AO22)/AN32</f>
        <v>0.40245720218658582</v>
      </c>
      <c r="AO73" s="138"/>
      <c r="AP73" s="193">
        <f t="array" ref="AP73">SUM(AP9:AQ9*AP22:AQ22)/AP32</f>
        <v>0.39459127657161458</v>
      </c>
      <c r="AQ73" s="138"/>
      <c r="AR73" s="193">
        <f t="array" ref="AR73">SUM(AR9:AS9*AR22:AS22)/AR32</f>
        <v>0.38446713840578778</v>
      </c>
      <c r="AS73" s="138"/>
      <c r="AT73" s="193">
        <f t="array" ref="AT73">SUM(AT9:AU9*AT22:AU22)/AT32</f>
        <v>0.37018668781428954</v>
      </c>
      <c r="AU73" s="138"/>
      <c r="AV73" s="193">
        <f t="array" ref="AV73">SUM(AV9:AW9*AV22:AW22)/AV32</f>
        <v>0.34568705201044742</v>
      </c>
      <c r="XFD73" s="193"/>
    </row>
    <row r="74" spans="1:48 16384:16384" x14ac:dyDescent="0.2">
      <c r="A74" t="s">
        <v>185</v>
      </c>
      <c r="B74" s="193">
        <f t="array" ref="B74">SUM(B10:C10*B23:C23)/B32</f>
        <v>0.22604620456442484</v>
      </c>
      <c r="D74" s="193">
        <f t="array" ref="D74">SUM(D10:E10*D23:E23)/D32</f>
        <v>0.22604620456442484</v>
      </c>
      <c r="E74" s="138"/>
      <c r="F74" s="193">
        <f t="array" ref="F74">SUM(F10:G10*F23:G23)/F32</f>
        <v>0.22604620456442487</v>
      </c>
      <c r="G74" s="138"/>
      <c r="H74" s="193">
        <f t="array" ref="H74">SUM(H10:I10*H23:I23)/H32</f>
        <v>0.22604620456442484</v>
      </c>
      <c r="I74" s="138"/>
      <c r="J74" s="193">
        <f t="array" ref="J74">SUM(J10:K10*J23:K23)/J32</f>
        <v>0.22604620456442481</v>
      </c>
      <c r="K74" s="138"/>
      <c r="L74" s="193">
        <f t="array" ref="L74">SUM(L10:M10*L23:M23)/L32</f>
        <v>0.22604620456442484</v>
      </c>
      <c r="M74" s="138"/>
      <c r="N74" s="193">
        <f t="array" ref="N74">SUM(N10:O10*N23:O23)/N32</f>
        <v>0.22604620456442484</v>
      </c>
      <c r="O74" s="138"/>
      <c r="P74" s="193">
        <f t="array" ref="P74">SUM(P10:Q10*P23:Q23)/P32</f>
        <v>0.22604620456442481</v>
      </c>
      <c r="Q74" s="138"/>
      <c r="R74" s="193">
        <f t="array" ref="R74">SUM(R10:S10*R23:S23)/R32</f>
        <v>0.22604620456442487</v>
      </c>
      <c r="S74" s="138"/>
      <c r="T74" s="193">
        <f t="array" ref="T74">SUM(T10:U10*T23:U23)/T32</f>
        <v>0.22604620456442484</v>
      </c>
      <c r="U74" s="138"/>
      <c r="V74" s="193">
        <f t="array" ref="V74">SUM(V10:W10*V23:W23)/V32</f>
        <v>0.22604620456442484</v>
      </c>
      <c r="W74" s="138"/>
      <c r="X74" s="193">
        <f t="array" ref="X74">SUM(X10:Y10*X23:Y23)/X32</f>
        <v>0.22604620456442484</v>
      </c>
      <c r="Y74" s="138"/>
      <c r="Z74" s="193">
        <f t="array" ref="Z74">SUM(Z10:AA10*Z23:AA23)/Z32</f>
        <v>0.22604620456442484</v>
      </c>
      <c r="AA74" s="138"/>
      <c r="AB74" s="193">
        <f t="array" ref="AB74">SUM(AB10:AC10*AB23:AC23)/AB32</f>
        <v>0.22604620456442484</v>
      </c>
      <c r="AC74" s="138"/>
      <c r="AD74" s="193">
        <f t="array" ref="AD74">SUM(AD10:AE10*AD23:AE23)/AD32</f>
        <v>0.22604620456442484</v>
      </c>
      <c r="AE74" s="138"/>
      <c r="AF74" s="193">
        <f t="array" ref="AF74">SUM(AF10:AG10*AF23:AG23)/AF32</f>
        <v>0.22604620456442484</v>
      </c>
      <c r="AG74" s="138"/>
      <c r="AH74" s="193">
        <f t="array" ref="AH74">SUM(AH10:AI10*AH23:AI23)/AH32</f>
        <v>0.22604620456442481</v>
      </c>
      <c r="AI74" s="138"/>
      <c r="AJ74" s="193">
        <f t="array" ref="AJ74">SUM(AJ10:AK10*AJ23:AK23)/AJ32</f>
        <v>0.22604620456442487</v>
      </c>
      <c r="AK74" s="138"/>
      <c r="AL74" s="193">
        <f t="array" ref="AL74">SUM(AL10:AM10*AL23:AM23)/AL32</f>
        <v>0.22604620456442481</v>
      </c>
      <c r="AM74" s="138"/>
      <c r="AN74" s="193">
        <f t="array" ref="AN74">SUM(AN10:AO10*AN23:AO23)/AN32</f>
        <v>0.22604620456442484</v>
      </c>
      <c r="AO74" s="138"/>
      <c r="AP74" s="193">
        <f t="array" ref="AP74">SUM(AP10:AQ10*AP23:AQ23)/AP32</f>
        <v>0.22604620456442484</v>
      </c>
      <c r="AQ74" s="138"/>
      <c r="AR74" s="193">
        <f t="array" ref="AR74">SUM(AR10:AS10*AR23:AS23)/AR32</f>
        <v>0.22604620456442487</v>
      </c>
      <c r="AS74" s="138"/>
      <c r="AT74" s="193">
        <f t="array" ref="AT74">SUM(AT10:AU10*AT23:AU23)/AT32</f>
        <v>0.22604620456442484</v>
      </c>
      <c r="AU74" s="138"/>
      <c r="AV74" s="193">
        <f t="array" ref="AV74">SUM(AV10:AW10*AV23:AW23)/AV32</f>
        <v>0.22604620456442487</v>
      </c>
      <c r="XFD74" s="193"/>
    </row>
    <row r="75" spans="1:48 16384:16384" x14ac:dyDescent="0.2">
      <c r="A75" t="s">
        <v>186</v>
      </c>
      <c r="B75" s="193">
        <f t="array" ref="B75">SUM(B11:C11*B24:C24)/B32</f>
        <v>0.22038438833194082</v>
      </c>
      <c r="D75" s="193">
        <f t="array" ref="D75">SUM(D11:E11*D24:E24)/D32</f>
        <v>0.22247119905548218</v>
      </c>
      <c r="E75" s="138"/>
      <c r="F75" s="193">
        <f t="array" ref="F75">SUM(F11:G11*F24:G24)/F32</f>
        <v>0.22493462978951256</v>
      </c>
      <c r="G75" s="138"/>
      <c r="H75" s="193">
        <f t="array" ref="H75">SUM(H11:I11*H24:I24)/H32</f>
        <v>0.22786053592762281</v>
      </c>
      <c r="I75" s="138"/>
      <c r="J75" s="193">
        <f t="array" ref="J75">SUM(J11:K11*J24:K24)/J32</f>
        <v>0.23135972308898634</v>
      </c>
      <c r="K75" s="138"/>
      <c r="L75" s="193">
        <f t="array" ref="L75">SUM(L11:M11*L24:M24)/L32</f>
        <v>0.23557701076109253</v>
      </c>
      <c r="M75" s="138"/>
      <c r="N75" s="193">
        <f t="array" ref="N75">SUM(N11:O11*N24:O24)/N32</f>
        <v>0.24070295016342561</v>
      </c>
      <c r="O75" s="138"/>
      <c r="P75" s="193">
        <f t="array" ref="P75">SUM(P11:Q11*P24:Q24)/P32</f>
        <v>0.2469902699518704</v>
      </c>
      <c r="Q75" s="138"/>
      <c r="R75" s="193">
        <f t="array" ref="R75">SUM(R11:S11*R24:S24)/R32</f>
        <v>0.25477546131641565</v>
      </c>
      <c r="S75" s="138"/>
      <c r="T75" s="193">
        <f t="array" ref="T75">SUM(T11:U11*T24:U24)/T32</f>
        <v>0.2645088602416491</v>
      </c>
      <c r="U75" s="138"/>
      <c r="V75" s="193">
        <f t="array" ref="V75">SUM(V11:W11*V24:W24)/V32</f>
        <v>0.27678887543571956</v>
      </c>
      <c r="W75" s="138"/>
      <c r="X75" s="193">
        <f t="array" ref="X75">SUM(X11:Y11*X24:Y24)/X32</f>
        <v>0.29240055950439359</v>
      </c>
      <c r="Y75" s="138"/>
      <c r="Z75" s="193">
        <f t="array" ref="Z75">SUM(Z11:AA11*Z24:AA24)/Z32</f>
        <v>0.31234377207592312</v>
      </c>
      <c r="AA75" s="138"/>
      <c r="AB75" s="193">
        <f t="array" ref="AB75">SUM(AB11:AC11*AB24:AC24)/AB32</f>
        <v>0.33782737751356745</v>
      </c>
      <c r="AC75" s="138"/>
      <c r="AD75" s="193">
        <f t="array" ref="AD75">SUM(AD11:AE11*AD24:AE24)/AD32</f>
        <v>0.37020773686530412</v>
      </c>
      <c r="AE75" s="138"/>
      <c r="AF75" s="193">
        <f t="array" ref="AF75">SUM(AF11:AG11*AF24:AG24)/AF32</f>
        <v>0.41092609880562975</v>
      </c>
      <c r="AG75" s="138"/>
      <c r="AH75" s="193">
        <f t="array" ref="AH75">SUM(AH11:AI11*AH24:AI24)/AH32</f>
        <v>0.46174007913856224</v>
      </c>
      <c r="AI75" s="138"/>
      <c r="AJ75" s="193">
        <f t="array" ref="AJ75">SUM(AJ11:AK11*AJ24:AK24)/AJ32</f>
        <v>0.52602942647813511</v>
      </c>
      <c r="AK75" s="138"/>
      <c r="AL75" s="193">
        <f t="array" ref="AL75">SUM(AL11:AM11*AL24:AM24)/AL32</f>
        <v>0.61400244329698306</v>
      </c>
      <c r="AM75" s="138"/>
      <c r="AN75" s="193">
        <f t="array" ref="AN75">SUM(AN11:AO11*AN24:AO24)/AN32</f>
        <v>0.77478208195435805</v>
      </c>
      <c r="AO75" s="138"/>
      <c r="AP75" s="193">
        <f t="array" ref="AP75">SUM(AP11:AQ11*AP24:AQ24)/AP32</f>
        <v>0.83405919248708782</v>
      </c>
      <c r="AQ75" s="138"/>
      <c r="AR75" s="193">
        <f t="array" ref="AR75">SUM(AR11:AS11*AR24:AS24)/AR32</f>
        <v>0.91790495893822599</v>
      </c>
      <c r="AS75" s="138"/>
      <c r="AT75" s="193">
        <f t="array" ref="AT75">SUM(AT11:AU11*AT24:AU24)/AT32</f>
        <v>1.0521044577487462</v>
      </c>
      <c r="AU75" s="138"/>
      <c r="AV75" s="193">
        <f t="array" ref="AV75">SUM(AV11:AW11*AV24:AW24)/AV32</f>
        <v>1.330825322857311</v>
      </c>
      <c r="XFD75" s="193"/>
    </row>
    <row r="76" spans="1:48 16384:16384" x14ac:dyDescent="0.2">
      <c r="A76" t="s">
        <v>187</v>
      </c>
      <c r="B76" s="193">
        <f t="array" ref="B76">SUM(B12:C12*B25:C25)/B32</f>
        <v>0.22301874374724867</v>
      </c>
      <c r="D76" s="193">
        <f t="array" ref="D76">SUM(D12:E12*D25:E25)/D32</f>
        <v>0.22268555222683084</v>
      </c>
      <c r="E76" s="138"/>
      <c r="F76" s="193">
        <f t="array" ref="F76">SUM(F12:G12*F25:G25)/F32</f>
        <v>0.22211630580346814</v>
      </c>
      <c r="G76" s="138"/>
      <c r="H76" s="193">
        <f t="array" ref="H76">SUM(H12:I12*H25:I25)/H32</f>
        <v>0.22124845982725513</v>
      </c>
      <c r="I76" s="138"/>
      <c r="J76" s="193">
        <f t="array" ref="J76">SUM(J12:K12*J25:K25)/J32</f>
        <v>0.2200005849028438</v>
      </c>
      <c r="K76" s="138"/>
      <c r="L76" s="193">
        <f t="array" ref="L76">SUM(L12:M12*L25:M25)/L32</f>
        <v>0.21826546563677807</v>
      </c>
      <c r="M76" s="138"/>
      <c r="N76" s="193">
        <f t="array" ref="N76">SUM(N12:O12*N25:O25)/N32</f>
        <v>0.21590180826134273</v>
      </c>
      <c r="O76" s="138"/>
      <c r="P76" s="193">
        <f t="array" ref="P76">SUM(P12:Q12*P25:Q25)/P32</f>
        <v>0.21272292656602135</v>
      </c>
      <c r="Q76" s="138"/>
      <c r="R76" s="193">
        <f t="array" ref="R76">SUM(R12:S12*R25:S25)/R32</f>
        <v>0.208483743099627</v>
      </c>
      <c r="S76" s="138"/>
      <c r="T76" s="193">
        <f t="array" ref="T76">SUM(T12:U12*T25:U25)/T32</f>
        <v>0.20286259586901198</v>
      </c>
      <c r="U76" s="138"/>
      <c r="V76" s="193">
        <f t="array" ref="V76">SUM(V12:W12*V25:W25)/V32</f>
        <v>0.19544851315590744</v>
      </c>
      <c r="W76" s="138"/>
      <c r="X76" s="193">
        <f t="array" ref="X76">SUM(X12:Y12*X25:Y25)/X32</f>
        <v>0.18573380664009689</v>
      </c>
      <c r="Y76" s="138"/>
      <c r="Z76" s="193">
        <f t="array" ref="Z76">SUM(Z12:AA12*Z25:AA25)/Z32</f>
        <v>0.17313529849727191</v>
      </c>
      <c r="AA76" s="138"/>
      <c r="AB76" s="193">
        <f t="array" ref="AB76">SUM(AB12:AC12*AB25:AC25)/AB32</f>
        <v>0.15707115357104037</v>
      </c>
      <c r="AC76" s="138"/>
      <c r="AD76" s="193">
        <f t="array" ref="AD76">SUM(AD12:AE12*AD25:AE25)/AD32</f>
        <v>0.13712357469206271</v>
      </c>
      <c r="AE76" s="138"/>
      <c r="AF76" s="193">
        <f t="array" ref="AF76">SUM(AF12:AG12*AF25:AG25)/AF32</f>
        <v>0.11326732116493718</v>
      </c>
      <c r="AG76" s="138"/>
      <c r="AH76" s="193">
        <f t="array" ref="AH76">SUM(AH12:AI12*AH25:AI25)/AH32</f>
        <v>8.6056413417037791E-2</v>
      </c>
      <c r="AI76" s="138"/>
      <c r="AJ76" s="193">
        <f t="array" ref="AJ76">SUM(AJ12:AK12*AJ25:AK25)/AJ32</f>
        <v>5.681858928836616E-2</v>
      </c>
      <c r="AK76" s="138"/>
      <c r="AL76" s="193">
        <f t="array" ref="AL76">SUM(AL12:AM12*AL25:AM25)/AL32</f>
        <v>2.8732838037041769E-2</v>
      </c>
      <c r="AM76" s="138"/>
      <c r="AN76" s="193">
        <f t="array" ref="AN76">SUM(AN12:AO12*AN25:AO25)/AN32</f>
        <v>8.113552231630284E-3</v>
      </c>
      <c r="AO76" s="138"/>
      <c r="AP76" s="193">
        <f t="array" ref="AP76">SUM(AP12:AQ12*AP25:AQ25)/AP32</f>
        <v>5.4058186296134739E-3</v>
      </c>
      <c r="AQ76" s="138"/>
      <c r="AR76" s="193">
        <f t="array" ref="AR76">SUM(AR12:AS12*AR25:AS25)/AR32</f>
        <v>3.2242517613436899E-3</v>
      </c>
      <c r="AS76" s="138"/>
      <c r="AT76" s="193">
        <f t="array" ref="AT76">SUM(AT12:AU12*AT25:AU25)/AT32</f>
        <v>1.5810108769557375E-3</v>
      </c>
      <c r="AU76" s="138"/>
      <c r="AV76" s="193">
        <f t="array" ref="AV76">SUM(AV12:AW12*AV25:AW25)/AV32</f>
        <v>4.9001307718089587E-4</v>
      </c>
      <c r="XFD76" s="193"/>
    </row>
    <row r="77" spans="1:48 16384:16384" x14ac:dyDescent="0.2">
      <c r="A77" t="s">
        <v>188</v>
      </c>
      <c r="B77" s="193">
        <f t="array" ref="B77">SUM(B4:C4*B19:C19)/B32</f>
        <v>0.14586087017236485</v>
      </c>
      <c r="D77" s="193">
        <f t="array" ref="D77">SUM(D4:E4*D19:E19)/D32</f>
        <v>0.1459963855411972</v>
      </c>
      <c r="E77" s="138"/>
      <c r="F77" s="193">
        <f t="array" ref="F77">SUM(F4:G4*F19:G19)/F32</f>
        <v>0.14625946395662395</v>
      </c>
      <c r="G77" s="138"/>
      <c r="H77" s="193">
        <f t="array" ref="H77">SUM(H4:I4*H19:I19)/H32</f>
        <v>0.14667444319136005</v>
      </c>
      <c r="I77" s="138"/>
      <c r="J77" s="193">
        <f t="array" ref="J77">SUM(J4:K4*J19:K19)/J32</f>
        <v>0.14727226256003889</v>
      </c>
      <c r="K77" s="138"/>
      <c r="L77" s="193">
        <f t="array" ref="L77">SUM(L4:M4*L19:M19)/L32</f>
        <v>0.14809306944353742</v>
      </c>
      <c r="M77" s="138"/>
      <c r="N77" s="193">
        <f t="array" ref="N77">SUM(N4:O4*N19:O19)/N32</f>
        <v>0.14918964881642544</v>
      </c>
      <c r="O77" s="138"/>
      <c r="P77" s="193">
        <f t="array" ref="P77">SUM(P4:Q4*P19:Q19)/P32</f>
        <v>0.15063267053471929</v>
      </c>
      <c r="Q77" s="138"/>
      <c r="R77" s="193">
        <f t="array" ref="R77">SUM(R4:S4*R19:S19)/R32</f>
        <v>0.15251807600215203</v>
      </c>
      <c r="S77" s="138"/>
      <c r="T77" s="193">
        <f t="array" ref="T77">SUM(T4:U4*T19:U19)/T32</f>
        <v>0.15497957587341132</v>
      </c>
      <c r="U77" s="138"/>
      <c r="V77" s="193">
        <f t="array" ref="V77">SUM(V4:W4*V19:W19)/V32</f>
        <v>0.15820513059134422</v>
      </c>
      <c r="W77" s="138"/>
      <c r="X77" s="193">
        <f t="array" ref="X77">SUM(X4:Y4*X19:Y19)/X32</f>
        <v>0.16246296087726292</v>
      </c>
      <c r="Y77" s="138"/>
      <c r="Z77" s="193">
        <f t="array" ref="Z77">SUM(Z4:AA4*Z19:AA19)/Z32</f>
        <v>0.16813684023636868</v>
      </c>
      <c r="AA77" s="138"/>
      <c r="AB77" s="193">
        <f t="array" ref="AB77">SUM(AB4:AC4*AB19:AC19)/AB32</f>
        <v>0.17577190327902753</v>
      </c>
      <c r="AC77" s="138"/>
      <c r="AD77" s="193">
        <f t="array" ref="AD77">SUM(AD4:AE4*AD19:AE19)/AD32</f>
        <v>0.18613003053833493</v>
      </c>
      <c r="AE77" s="138"/>
      <c r="AF77" s="193">
        <f t="array" ref="AF77">SUM(AF4:AG4*AF19:AG19)/AF32</f>
        <v>0.20027510741612156</v>
      </c>
      <c r="AG77" s="138"/>
      <c r="AH77" s="193">
        <f t="array" ref="AH77">SUM(AH4:AI4*AH19:AI19)/AH32</f>
        <v>0.21983104941131903</v>
      </c>
      <c r="AI77" s="138"/>
      <c r="AJ77" s="193">
        <f t="array" ref="AJ77">SUM(AJ4:AK4*AJ19:AK19)/AJ32</f>
        <v>0.24809273134257187</v>
      </c>
      <c r="AK77" s="138"/>
      <c r="AL77" s="193">
        <f t="array" ref="AL77">SUM(AL4:AM4*AL19:AM19)/AL32</f>
        <v>0.29551220117329452</v>
      </c>
      <c r="AM77" s="138"/>
      <c r="AN77" s="193">
        <f t="array" ref="AN77">SUM(AN4:AO4*AN19:AO19)/AN32</f>
        <v>0.41139904093699892</v>
      </c>
      <c r="AO77" s="138"/>
      <c r="AP77" s="193">
        <f t="array" ref="AP77">SUM(AP4:AQ4*AP19:AQ19)/AP32</f>
        <v>0.46010249225274064</v>
      </c>
      <c r="AQ77" s="138"/>
      <c r="AR77" s="193">
        <f t="array" ref="AR77">SUM(AR4:AS4*AR19:AS19)/AR32</f>
        <v>0.5316425536697823</v>
      </c>
      <c r="AS77" s="138"/>
      <c r="AT77" s="193">
        <f t="array" ref="AT77">SUM(AT4:AU4*AT19:AU19)/AT32</f>
        <v>0.64991836100441613</v>
      </c>
      <c r="AU77" s="138"/>
      <c r="AV77" s="193">
        <f t="array" ref="AV77">SUM(AV4:AW4*AV19:AW19)/AV32</f>
        <v>0.90304859250936409</v>
      </c>
      <c r="XFD77" s="193"/>
    </row>
    <row r="78" spans="1:48 16384:16384" x14ac:dyDescent="0.2">
      <c r="A78" t="s">
        <v>189</v>
      </c>
      <c r="B78" s="193">
        <f t="array" ref="B78">SUM(B13:C13*B26:C26)/B32</f>
        <v>0.346887593115773</v>
      </c>
      <c r="D78" s="193">
        <f t="array" ref="D78">SUM(D13:E13*D26:E26)/D32</f>
        <v>0.34565127700118392</v>
      </c>
      <c r="E78" s="138"/>
      <c r="F78" s="193">
        <f t="array" ref="F78">SUM(F13:G13*F26:G26)/F32</f>
        <v>0.34438091765721557</v>
      </c>
      <c r="G78" s="138"/>
      <c r="H78" s="193">
        <f t="array" ref="H78">SUM(H13:I13*H26:I26)/H32</f>
        <v>0.34307497701689477</v>
      </c>
      <c r="I78" s="138"/>
      <c r="J78" s="193">
        <f t="array" ref="J78">SUM(J13:K13*J26:K26)/J32</f>
        <v>0.34173233312717316</v>
      </c>
      <c r="K78" s="138"/>
      <c r="L78" s="193">
        <f t="array" ref="L78">SUM(L13:M13*L26:M26)/L32</f>
        <v>0.34035253456168357</v>
      </c>
      <c r="M78" s="138"/>
      <c r="N78" s="193">
        <f t="array" ref="N78">SUM(N13:O13*N26:O26)/N32</f>
        <v>0.33893603550989743</v>
      </c>
      <c r="O78" s="138"/>
      <c r="P78" s="193">
        <f t="array" ref="P78">SUM(P13:Q13*P26:Q26)/P32</f>
        <v>0.33748449887644932</v>
      </c>
      <c r="Q78" s="138"/>
      <c r="R78" s="193">
        <f t="array" ref="R78">SUM(R13:S13*R26:S26)/R32</f>
        <v>0.33600094172795814</v>
      </c>
      <c r="S78" s="138"/>
      <c r="T78" s="193">
        <f t="array" ref="T78">SUM(T13:U13*T26:U26)/T32</f>
        <v>0.33449005754883376</v>
      </c>
      <c r="U78" s="138"/>
      <c r="V78" s="193">
        <f t="array" ref="V78">SUM(V13:W13*V26:W26)/V32</f>
        <v>0.33295728790156986</v>
      </c>
      <c r="W78" s="138"/>
      <c r="X78" s="193">
        <f t="array" ref="X78">SUM(X13:Y13*X26:Y26)/X32</f>
        <v>0.33140684696001144</v>
      </c>
      <c r="Y78" s="138"/>
      <c r="Z78" s="193">
        <f t="array" ref="Z78">SUM(Z13:AA13*Z26:AA26)/Z32</f>
        <v>0.32983618192244563</v>
      </c>
      <c r="AA78" s="138"/>
      <c r="AB78" s="193">
        <f t="array" ref="AB78">SUM(AB13:AC13*AB26:AC26)/AB32</f>
        <v>0.32822382678977047</v>
      </c>
      <c r="AC78" s="138"/>
      <c r="AD78" s="193">
        <f t="array" ref="AD78">SUM(AD13:AE13*AD26:AE26)/AD32</f>
        <v>0.32650455676409518</v>
      </c>
      <c r="AE78" s="138"/>
      <c r="AF78" s="193">
        <f t="array" ref="AF78">SUM(AF13:AG13*AF26:AG26)/AF32</f>
        <v>0.32452066300825444</v>
      </c>
      <c r="AG78" s="138"/>
      <c r="AH78" s="193">
        <f t="array" ref="AH78">SUM(AH13:AI13*AH26:AI26)/AH32</f>
        <v>0.321922661924326</v>
      </c>
      <c r="AI78" s="138"/>
      <c r="AJ78" s="193">
        <f t="array" ref="AJ78">SUM(AJ13:AK13*AJ26:AK26)/AJ32</f>
        <v>0.31795852563515137</v>
      </c>
      <c r="AK78" s="138"/>
      <c r="AL78" s="193">
        <f t="array" ref="AL78">SUM(AL13:AM13*AL26:AM26)/AL32</f>
        <v>0.3112393731999808</v>
      </c>
      <c r="AM78" s="138"/>
      <c r="AN78" s="193">
        <f t="array" ref="AN78">SUM(AN13:AO13*AN26:AO26)/AN32</f>
        <v>0.30020521996519922</v>
      </c>
      <c r="AO78" s="138"/>
      <c r="AP78" s="193">
        <f t="array" ref="AP78">SUM(AP13:AQ13*AP26:AQ26)/AP32</f>
        <v>0.29723560603988347</v>
      </c>
      <c r="AQ78" s="138"/>
      <c r="AR78" s="193">
        <f t="array" ref="AR78">SUM(AR13:AS13*AR26:AS26)/AR32</f>
        <v>0.29379154283924824</v>
      </c>
      <c r="AS78" s="138"/>
      <c r="AT78" s="193">
        <f t="array" ref="AT78">SUM(AT13:AU13*AT26:AU26)/AT32</f>
        <v>0.28950932659708106</v>
      </c>
      <c r="AU78" s="138"/>
      <c r="AV78" s="193">
        <f t="array" ref="AV78">SUM(AV13:AW13*AV26:AW26)/AV32</f>
        <v>0.28307275054085995</v>
      </c>
      <c r="XFD78" s="193"/>
    </row>
    <row r="79" spans="1:48 16384:16384" x14ac:dyDescent="0.2">
      <c r="A79" t="s">
        <v>190</v>
      </c>
      <c r="B79" s="193">
        <f t="array" ref="B79">SUM(B15:C15*B27:C27)/B32</f>
        <v>0.45460968782440808</v>
      </c>
      <c r="D79" s="193">
        <f t="array" ref="D79">SUM(D15:E15*D27:E27)/D32</f>
        <v>0.45312452256676533</v>
      </c>
      <c r="F79" s="193">
        <f t="array" ref="F79">SUM(F15:G15*F27:G27)/F32</f>
        <v>0.45165196748963915</v>
      </c>
      <c r="H79" s="193">
        <f t="array" ref="H79">SUM(H15:I15*H27:I27)/H32</f>
        <v>0.45019516319688446</v>
      </c>
      <c r="J79" s="193">
        <f t="array" ref="J79">SUM(J15:K15*J27:K27)/J32</f>
        <v>0.44875796407069607</v>
      </c>
      <c r="L79" s="193">
        <f t="array" ref="L79">SUM(L15:M15*L27:M27)/L32</f>
        <v>0.44734512038495733</v>
      </c>
      <c r="N79" s="193">
        <f t="array" ref="N79">SUM(N15:O15*N27:O27)/N32</f>
        <v>0.44596213196593221</v>
      </c>
      <c r="P79" s="193">
        <f t="array" ref="P79">SUM(P15:Q15*P27:Q27)/P32</f>
        <v>0.44461494008052871</v>
      </c>
      <c r="R79" s="193">
        <f t="array" ref="R79">SUM(R15:S15*R27:S27)/R32</f>
        <v>0.44330878615025382</v>
      </c>
      <c r="T79" s="193">
        <f t="array" ref="T79">SUM(T15:U15*T27:U27)/T32</f>
        <v>0.44204673500937391</v>
      </c>
      <c r="V79" s="193">
        <f t="array" ref="V79">SUM(V15:W15*V27:W27)/V32</f>
        <v>0.44082459727242951</v>
      </c>
      <c r="X79" s="193">
        <f t="array" ref="X79">SUM(X15:Y15*X27:Y27)/X32</f>
        <v>0.4396223498485422</v>
      </c>
      <c r="Z79" s="193">
        <f t="array" ref="Z79">SUM(Z15:AA15*Z27:AA27)/Z32</f>
        <v>0.43838700068975084</v>
      </c>
      <c r="AB79" s="193">
        <f t="array" ref="AB79">SUM(AB15:AC15*AB27:AC27)/AB32</f>
        <v>0.43700173319932367</v>
      </c>
      <c r="AD79" s="193">
        <f t="array" ref="AD79">SUM(AD15:AE15*AD27:AE27)/AD32</f>
        <v>0.43523358879150831</v>
      </c>
      <c r="AF79" s="193">
        <f t="array" ref="AF79">SUM(AF15:AG15*AF27:AG27)/AF32</f>
        <v>0.43264652799813474</v>
      </c>
      <c r="AH79" s="193">
        <f t="array" ref="AH79">SUM(AH15:AI15*AH27:AI27)/AH32</f>
        <v>0.42843092123467441</v>
      </c>
      <c r="AJ79" s="193">
        <f t="array" ref="AJ79">SUM(AJ15:AK15*AJ27:AK27)/AJ32</f>
        <v>0.42095844982942277</v>
      </c>
      <c r="AL79" s="193">
        <f t="array" ref="AL79">SUM(AL15:AM15*AL27:AM27)/AL32</f>
        <v>0.40666940421277459</v>
      </c>
      <c r="AN79" s="193">
        <f t="array" ref="AN79">SUM(AN15:AO15*AN27:AO27)/AN32</f>
        <v>0.3767742540117146</v>
      </c>
      <c r="AP79" s="193">
        <f t="array" ref="AP79">SUM(AP15:AQ15*AP27:AQ27)/AP32</f>
        <v>0.36647213233916026</v>
      </c>
      <c r="AR79" s="193">
        <f t="array" ref="AR79">SUM(AR15:AS15*AR27:AS27)/AR32</f>
        <v>0.35282904099328738</v>
      </c>
      <c r="AT79" s="193">
        <f t="array" ref="AT79">SUM(AT15:AU15*AT27:AU27)/AT32</f>
        <v>0.33300121365425528</v>
      </c>
      <c r="AV79" s="193">
        <f t="array" ref="AV79">SUM(AV15:AW15*AV27:AW27)/AV32</f>
        <v>0.29806177046570742</v>
      </c>
      <c r="XFD79" s="193"/>
    </row>
    <row r="80" spans="1:48 16384:16384" x14ac:dyDescent="0.2">
      <c r="A80" t="s">
        <v>169</v>
      </c>
      <c r="B80" s="236">
        <f>B55</f>
        <v>0.19850271905982084</v>
      </c>
      <c r="D80" s="236">
        <f>D55</f>
        <v>0.20122420189416798</v>
      </c>
      <c r="F80" s="236">
        <f>F55</f>
        <v>0.20396713610181363</v>
      </c>
      <c r="H80" s="236">
        <f>H55</f>
        <v>0.20672990159792418</v>
      </c>
      <c r="J80" s="236">
        <f>J55</f>
        <v>0.20950972945447088</v>
      </c>
      <c r="L80" s="236">
        <f>L55</f>
        <v>0.21230234433282846</v>
      </c>
      <c r="N80" s="236">
        <f>N55</f>
        <v>0.21510183296546517</v>
      </c>
      <c r="P80" s="236">
        <f>P55</f>
        <v>0.21790064039124318</v>
      </c>
      <c r="R80" s="236">
        <f>R55</f>
        <v>0.22069027593977791</v>
      </c>
      <c r="T80" s="236">
        <f>T55</f>
        <v>0.22346322246242784</v>
      </c>
      <c r="V80" s="236">
        <f>V55</f>
        <v>0.22621812486257056</v>
      </c>
      <c r="X80" s="236">
        <f>X55</f>
        <v>0.22897082386335088</v>
      </c>
      <c r="Z80" s="236">
        <f>Z55</f>
        <v>0.23177683905480859</v>
      </c>
      <c r="AB80" s="236">
        <f>AB55</f>
        <v>0.23477444249196291</v>
      </c>
      <c r="AD80" s="236">
        <f>AD55</f>
        <v>0.23826185754582699</v>
      </c>
      <c r="AF80" s="236">
        <f>AF55</f>
        <v>0.24283281207769611</v>
      </c>
      <c r="AH80" s="236">
        <f>AH55</f>
        <v>0.24964642073681362</v>
      </c>
      <c r="AJ80" s="236">
        <f>AJ55</f>
        <v>0.26108302622464175</v>
      </c>
      <c r="AL80" s="236">
        <f>AL55</f>
        <v>0.28209122225043259</v>
      </c>
      <c r="AN80" s="236">
        <f>AN55</f>
        <v>0.32302052599213177</v>
      </c>
      <c r="AP80" s="236">
        <f>AP55</f>
        <v>0.33629226169094167</v>
      </c>
      <c r="AR80" s="236">
        <f>AR55</f>
        <v>0.35337941619519969</v>
      </c>
      <c r="AT80" s="236">
        <f>AT55</f>
        <v>0.37748945980477294</v>
      </c>
      <c r="AV80" s="236">
        <f>AV55</f>
        <v>0.41886547915697819</v>
      </c>
      <c r="XFD80" s="236"/>
    </row>
    <row r="81" spans="1:48 16384:16384" x14ac:dyDescent="0.2">
      <c r="A81" t="s">
        <v>191</v>
      </c>
      <c r="B81" s="236">
        <f>B51/B$32</f>
        <v>-2.7543485504603994E-2</v>
      </c>
      <c r="D81" s="236">
        <f>D51/D$32</f>
        <v>-2.4822002670256839E-2</v>
      </c>
      <c r="F81" s="236">
        <f>F51/F$32</f>
        <v>-2.207906846261122E-2</v>
      </c>
      <c r="H81" s="236">
        <f>H51/H$32</f>
        <v>-1.9316302966500644E-2</v>
      </c>
      <c r="J81" s="236">
        <f>J51/J$32</f>
        <v>-1.6536475109953944E-2</v>
      </c>
      <c r="L81" s="236">
        <f>L51/L$32</f>
        <v>-1.3743860231596386E-2</v>
      </c>
      <c r="N81" s="236">
        <f>N51/N$32</f>
        <v>-1.0944371598959668E-2</v>
      </c>
      <c r="P81" s="236">
        <f>P51/P$32</f>
        <v>-8.1455641731816488E-3</v>
      </c>
      <c r="R81" s="236">
        <f>R51/R$32</f>
        <v>-5.3559286246469438E-3</v>
      </c>
      <c r="T81" s="236">
        <f>T51/T$32</f>
        <v>-2.5829821019970121E-3</v>
      </c>
      <c r="V81" s="236">
        <f>V51/V$32</f>
        <v>1.7192029814570636E-4</v>
      </c>
      <c r="X81" s="236">
        <f>X51/X$32</f>
        <v>2.9246192989260469E-3</v>
      </c>
      <c r="Z81" s="236">
        <f>Z51/Z$32</f>
        <v>5.7306344903837294E-3</v>
      </c>
      <c r="AB81" s="236">
        <f>AB51/AB$32</f>
        <v>8.7282379275380566E-3</v>
      </c>
      <c r="AD81" s="236">
        <f>AD51/AD$32</f>
        <v>1.2215652981402153E-2</v>
      </c>
      <c r="AF81" s="236">
        <f>AF51/AF$32</f>
        <v>1.6786607513271278E-2</v>
      </c>
      <c r="AH81" s="236">
        <f>AH51/AH$32</f>
        <v>2.3600216172388798E-2</v>
      </c>
      <c r="AJ81" s="236">
        <f>AJ51/AJ$32</f>
        <v>3.5036821660216912E-2</v>
      </c>
      <c r="AL81" s="236">
        <f>AL51/AL$32</f>
        <v>5.6045017686007774E-2</v>
      </c>
      <c r="AN81" s="236">
        <f>AN51/AN$32</f>
        <v>9.6974321427706942E-2</v>
      </c>
      <c r="AP81" s="236">
        <f>AP51/AP$32</f>
        <v>0.11024605712651682</v>
      </c>
      <c r="AR81" s="236">
        <f>AR51/AR$32</f>
        <v>0.12733321163077482</v>
      </c>
      <c r="AT81" s="236">
        <f>AT51/AT$32</f>
        <v>0.1514432552403481</v>
      </c>
      <c r="AV81" s="236">
        <f>AV51/AV$32</f>
        <v>0.19281927459255335</v>
      </c>
      <c r="XFD81" s="236"/>
    </row>
    <row r="82" spans="1:48 16384:16384" x14ac:dyDescent="0.2">
      <c r="A82" t="s">
        <v>192</v>
      </c>
      <c r="B82" s="236">
        <f>B52/B$32</f>
        <v>0.13907860278212886</v>
      </c>
      <c r="D82" s="236">
        <f>D52/D$32</f>
        <v>0.13858292314057796</v>
      </c>
      <c r="F82" s="236">
        <f>F52/F$32</f>
        <v>0.13807359445285122</v>
      </c>
      <c r="H82" s="236">
        <f>H52/H$32</f>
        <v>0.1375500000575002</v>
      </c>
      <c r="J82" s="236">
        <f>J52/J$32</f>
        <v>0.13701169012678407</v>
      </c>
      <c r="L82" s="236">
        <f>L52/L$32</f>
        <v>0.13645848366907998</v>
      </c>
      <c r="N82" s="236">
        <f>N52/N$32</f>
        <v>0.13589056278382977</v>
      </c>
      <c r="P82" s="236">
        <f>P52/P$32</f>
        <v>0.13530859418399097</v>
      </c>
      <c r="R82" s="236">
        <f>R52/R$32</f>
        <v>0.13471378751043336</v>
      </c>
      <c r="T82" s="236">
        <f>T52/T$32</f>
        <v>0.13410802453485149</v>
      </c>
      <c r="V82" s="236">
        <f>V52/V$32</f>
        <v>0.13349348695795646</v>
      </c>
      <c r="X82" s="236">
        <f>X52/X$32</f>
        <v>0.13287186438013143</v>
      </c>
      <c r="Z82" s="236">
        <f>Z52/Z$32</f>
        <v>0.13224213329952025</v>
      </c>
      <c r="AB82" s="236">
        <f>AB52/AB$32</f>
        <v>0.13159568729369206</v>
      </c>
      <c r="AD82" s="236">
        <f>AD52/AD$32</f>
        <v>0.130906375603907</v>
      </c>
      <c r="AF82" s="236">
        <f>AF52/AF$32</f>
        <v>0.13011096758959256</v>
      </c>
      <c r="AH82" s="236">
        <f>AH52/AH$32</f>
        <v>0.12906934382457472</v>
      </c>
      <c r="AJ82" s="236">
        <f>AJ52/AJ$32</f>
        <v>0.12747999169069102</v>
      </c>
      <c r="AL82" s="236">
        <f>AL52/AL$32</f>
        <v>0.12478606330838715</v>
      </c>
      <c r="AN82" s="236">
        <f>AN52/AN$32</f>
        <v>0.12036210971294922</v>
      </c>
      <c r="AP82" s="236">
        <f>AP52/AP$32</f>
        <v>0.11917149418292818</v>
      </c>
      <c r="AR82" s="236">
        <f>AR52/AR$32</f>
        <v>0.11779065639182899</v>
      </c>
      <c r="AT82" s="236">
        <f>AT52/AT$32</f>
        <v>0.11607377558204809</v>
      </c>
      <c r="AV82" s="236">
        <f>AV52/AV$32</f>
        <v>0.11349314132943771</v>
      </c>
    </row>
    <row r="83" spans="1:48 16384:16384" x14ac:dyDescent="0.2">
      <c r="A83" t="s">
        <v>193</v>
      </c>
      <c r="B83" s="236">
        <f>B53/B$32</f>
        <v>0.18600714462930004</v>
      </c>
      <c r="D83" s="236">
        <f>D53/D$32</f>
        <v>0.18539947753316138</v>
      </c>
      <c r="F83" s="236">
        <f>F53/F$32</f>
        <v>0.18479696999198592</v>
      </c>
      <c r="H83" s="236">
        <f>H53/H$32</f>
        <v>0.18420090700864786</v>
      </c>
      <c r="J83" s="236">
        <f>J53/J$32</f>
        <v>0.18361286563406704</v>
      </c>
      <c r="L83" s="236">
        <f>L53/L$32</f>
        <v>0.18303478948032412</v>
      </c>
      <c r="N83" s="236">
        <f>N53/N$32</f>
        <v>0.18246892884477686</v>
      </c>
      <c r="P83" s="236">
        <f>P53/P$32</f>
        <v>0.1819177146437094</v>
      </c>
      <c r="R83" s="236">
        <f>R53/R$32</f>
        <v>0.18138329144613202</v>
      </c>
      <c r="T83" s="236">
        <f>T53/T$32</f>
        <v>0.18086691325319326</v>
      </c>
      <c r="V83" s="236">
        <f>V53/V$32</f>
        <v>0.18036686594474138</v>
      </c>
      <c r="X83" s="236">
        <f>X53/X$32</f>
        <v>0.17987495691498576</v>
      </c>
      <c r="Z83" s="236">
        <f>Z53/Z$32</f>
        <v>0.17936950404893129</v>
      </c>
      <c r="AB83" s="236">
        <f>AB53/AB$32</f>
        <v>0.17880271091331804</v>
      </c>
      <c r="AD83" s="236">
        <f>AD53/AD$32</f>
        <v>0.17807926066269988</v>
      </c>
      <c r="AF83" s="236">
        <f>AF53/AF$32</f>
        <v>0.17702074430450099</v>
      </c>
      <c r="AH83" s="236">
        <f>AH53/AH$32</f>
        <v>0.17529589549913616</v>
      </c>
      <c r="AJ83" s="236">
        <f>AJ53/AJ$32</f>
        <v>0.1722384748003678</v>
      </c>
      <c r="AL83" s="236">
        <f>AL53/AL$32</f>
        <v>0.16639199892047601</v>
      </c>
      <c r="AN83" s="236">
        <f>AN53/AN$32</f>
        <v>0.15416016208089017</v>
      </c>
      <c r="AP83" s="236">
        <f>AP53/AP$32</f>
        <v>0.14994496762450715</v>
      </c>
      <c r="AR83" s="236">
        <f>AR53/AR$32</f>
        <v>0.14436278903674524</v>
      </c>
      <c r="AT83" s="236">
        <f>AT53/AT$32</f>
        <v>0.13625007686559445</v>
      </c>
      <c r="AV83" s="236">
        <f>AV53/AV$32</f>
        <v>0.12195432770648361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7"/>
  <dimension ref="A1:XFD83"/>
  <sheetViews>
    <sheetView showGridLines="0" workbookViewId="0">
      <pane xSplit="1" ySplit="1" topLeftCell="B2" activePane="bottomRight" state="frozen"/>
      <selection pane="topRight" activeCell="B1" sqref="B1"/>
      <selection pane="bottomLeft" activeCell="A2" sqref="A2"/>
      <selection pane="bottomRight" sqref="A1:XFD1048576"/>
    </sheetView>
  </sheetViews>
  <sheetFormatPr baseColWidth="10" defaultRowHeight="10" x14ac:dyDescent="0.2"/>
  <sheetData>
    <row r="1" spans="1:49" x14ac:dyDescent="0.2">
      <c r="B1" s="94">
        <v>0</v>
      </c>
      <c r="D1" s="94">
        <v>0.05</v>
      </c>
      <c r="F1" s="94">
        <v>0.1</v>
      </c>
      <c r="H1" s="94">
        <v>0.15000000000000002</v>
      </c>
      <c r="J1" s="94">
        <v>0.2</v>
      </c>
      <c r="L1" s="94">
        <v>0.25</v>
      </c>
      <c r="N1" s="94">
        <v>0.3</v>
      </c>
      <c r="P1" s="94">
        <v>0.35</v>
      </c>
      <c r="R1" s="94">
        <v>0.39999999999999997</v>
      </c>
      <c r="T1" s="94">
        <v>0.44999999999999996</v>
      </c>
      <c r="V1" s="94">
        <v>0.49999999999999994</v>
      </c>
      <c r="X1" s="94">
        <v>0.54999999999999993</v>
      </c>
      <c r="Z1" s="94">
        <v>0.6</v>
      </c>
      <c r="AB1" s="94">
        <v>0.65</v>
      </c>
      <c r="AD1" s="94">
        <v>0.70000000000000007</v>
      </c>
      <c r="AF1" s="94">
        <v>0.75000000000000011</v>
      </c>
      <c r="AH1" s="94">
        <v>0.80000000000000016</v>
      </c>
      <c r="AJ1" s="94">
        <v>0.8500000000000002</v>
      </c>
      <c r="AL1" s="94">
        <v>0.90000000000000024</v>
      </c>
      <c r="AN1" s="94">
        <v>0.95000000000000029</v>
      </c>
      <c r="AP1" s="94">
        <v>0.9600000000000003</v>
      </c>
      <c r="AR1" s="94">
        <v>0.97000000000000031</v>
      </c>
      <c r="AT1" s="94">
        <v>0.98000000000000032</v>
      </c>
      <c r="AV1" s="94">
        <v>0.99000000000000032</v>
      </c>
    </row>
    <row r="2" spans="1:49" x14ac:dyDescent="0.2">
      <c r="A2" s="229" t="s">
        <v>155</v>
      </c>
      <c r="B2" s="226">
        <v>5.7716594496607888E-3</v>
      </c>
      <c r="C2" s="227"/>
      <c r="D2" s="226">
        <v>5.2791387594175745E-2</v>
      </c>
      <c r="E2" s="227"/>
      <c r="F2" s="226">
        <v>0.10439861272070942</v>
      </c>
      <c r="G2" s="227"/>
      <c r="H2" s="226">
        <v>0.16134112562507397</v>
      </c>
      <c r="I2" s="227"/>
      <c r="J2" s="226">
        <v>0.22455605081668825</v>
      </c>
      <c r="K2" s="227"/>
      <c r="L2" s="226">
        <v>0.29523663497827934</v>
      </c>
      <c r="M2" s="227"/>
      <c r="N2" s="226">
        <v>0.37494710506964452</v>
      </c>
      <c r="O2" s="227"/>
      <c r="P2" s="226">
        <v>0.46577672086627314</v>
      </c>
      <c r="Q2" s="227"/>
      <c r="R2" s="226">
        <v>0.57061082432700183</v>
      </c>
      <c r="S2" s="227"/>
      <c r="T2" s="226">
        <v>0.69357570735775587</v>
      </c>
      <c r="U2" s="227"/>
      <c r="V2" s="226">
        <v>0.84082133279318527</v>
      </c>
      <c r="W2" s="227"/>
      <c r="X2" s="226">
        <v>1.02197558859941</v>
      </c>
      <c r="Y2" s="227"/>
      <c r="Z2" s="226">
        <v>1.2530104490746272</v>
      </c>
      <c r="AA2" s="227"/>
      <c r="AB2" s="226">
        <v>1.5623173827593688</v>
      </c>
      <c r="AC2" s="227"/>
      <c r="AD2" s="226">
        <v>2.0046123114964454</v>
      </c>
      <c r="AE2" s="227"/>
      <c r="AF2" s="226">
        <v>2.6954812969478197</v>
      </c>
      <c r="AG2" s="227"/>
      <c r="AH2" s="226">
        <v>3.9038774801490379</v>
      </c>
      <c r="AI2" s="227"/>
      <c r="AJ2" s="226">
        <v>6.3258821959527696</v>
      </c>
      <c r="AK2" s="227"/>
      <c r="AL2" s="226">
        <v>12.14355226631435</v>
      </c>
      <c r="AM2" s="227"/>
      <c r="AN2" s="226">
        <v>32.219336356126149</v>
      </c>
      <c r="AO2" s="227"/>
      <c r="AP2" s="226">
        <v>42.382449364706758</v>
      </c>
      <c r="AQ2" s="227"/>
      <c r="AR2" s="226">
        <v>58.606228141104047</v>
      </c>
      <c r="AS2" s="227"/>
      <c r="AT2" s="226">
        <v>87.3956383089741</v>
      </c>
      <c r="AU2" s="227"/>
      <c r="AV2" s="226">
        <v>148.23021468144265</v>
      </c>
      <c r="AW2" s="227"/>
    </row>
    <row r="3" spans="1:49" x14ac:dyDescent="0.2">
      <c r="A3" t="s">
        <v>12</v>
      </c>
      <c r="B3" s="84">
        <v>1000</v>
      </c>
      <c r="C3" s="85">
        <v>1000</v>
      </c>
      <c r="D3" s="84">
        <v>998.60220511539944</v>
      </c>
      <c r="E3" s="85">
        <v>1021.5387780633123</v>
      </c>
      <c r="F3" s="84">
        <v>997.16524283925571</v>
      </c>
      <c r="G3" s="85">
        <v>1045.6355564876496</v>
      </c>
      <c r="H3" s="84">
        <v>995.68230011677826</v>
      </c>
      <c r="I3" s="85">
        <v>1072.744965173918</v>
      </c>
      <c r="J3" s="84">
        <v>994.14558804480953</v>
      </c>
      <c r="K3" s="85">
        <v>1103.4370523717294</v>
      </c>
      <c r="L3" s="84">
        <v>992.54646434386564</v>
      </c>
      <c r="M3" s="85">
        <v>1138.4358864731416</v>
      </c>
      <c r="N3" s="84">
        <v>990.87561726252238</v>
      </c>
      <c r="O3" s="85">
        <v>1178.6838596988407</v>
      </c>
      <c r="P3" s="84">
        <v>989.12377989679851</v>
      </c>
      <c r="Q3" s="85">
        <v>1225.4259992234358</v>
      </c>
      <c r="R3" s="84">
        <v>987.28303679561509</v>
      </c>
      <c r="S3" s="85">
        <v>1280.3545595982773</v>
      </c>
      <c r="T3" s="84">
        <v>985.34947216406567</v>
      </c>
      <c r="U3" s="85">
        <v>1345.8390233751372</v>
      </c>
      <c r="V3" s="84">
        <v>983.32824764519535</v>
      </c>
      <c r="W3" s="85">
        <v>1425.3211768053527</v>
      </c>
      <c r="X3" s="84">
        <v>981.243335892657</v>
      </c>
      <c r="Y3" s="85">
        <v>1524.0266952739214</v>
      </c>
      <c r="Z3" s="84">
        <v>979.15617945220129</v>
      </c>
      <c r="AA3" s="85">
        <v>1650.3275526137384</v>
      </c>
      <c r="AB3" s="84">
        <v>977.20145427992747</v>
      </c>
      <c r="AC3" s="85">
        <v>1818.537351127577</v>
      </c>
      <c r="AD3" s="84">
        <v>975.65288387535759</v>
      </c>
      <c r="AE3" s="85">
        <v>2055.0964154955154</v>
      </c>
      <c r="AF3" s="84">
        <v>975.02599598577558</v>
      </c>
      <c r="AG3" s="85">
        <v>2413.3865063372673</v>
      </c>
      <c r="AH3" s="84">
        <v>976.14213690187671</v>
      </c>
      <c r="AI3" s="85">
        <v>3012.1232842739382</v>
      </c>
      <c r="AJ3" s="84">
        <v>979.81664369434304</v>
      </c>
      <c r="AK3" s="85">
        <v>4147.3262783919672</v>
      </c>
      <c r="AL3" s="84">
        <v>985.96184471641197</v>
      </c>
      <c r="AM3" s="85">
        <v>6729.4142691992665</v>
      </c>
      <c r="AN3" s="84">
        <v>993.56379277045141</v>
      </c>
      <c r="AO3" s="85">
        <v>15253.26612627258</v>
      </c>
      <c r="AP3" s="84">
        <v>995.26598035873872</v>
      </c>
      <c r="AQ3" s="85">
        <v>19497.045227715629</v>
      </c>
      <c r="AR3" s="84">
        <v>997.13785681004822</v>
      </c>
      <c r="AS3" s="85">
        <v>26231.745195850839</v>
      </c>
      <c r="AT3" s="84">
        <v>999.38631281392156</v>
      </c>
      <c r="AU3" s="85">
        <v>38118.505766025599</v>
      </c>
      <c r="AV3" s="84">
        <v>1002.6320754102539</v>
      </c>
      <c r="AW3" s="85">
        <v>63119.093106271037</v>
      </c>
    </row>
    <row r="4" spans="1:49"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v>1000</v>
      </c>
      <c r="U4" s="102">
        <v>1000</v>
      </c>
      <c r="V4" s="101">
        <v>1000</v>
      </c>
      <c r="W4" s="102">
        <v>1000</v>
      </c>
      <c r="X4" s="101">
        <v>1000</v>
      </c>
      <c r="Y4" s="102">
        <v>1000</v>
      </c>
      <c r="Z4" s="101">
        <v>1000</v>
      </c>
      <c r="AA4" s="102">
        <v>1000</v>
      </c>
      <c r="AB4" s="101">
        <v>1000</v>
      </c>
      <c r="AC4" s="102">
        <v>1000</v>
      </c>
      <c r="AD4" s="101">
        <v>1000</v>
      </c>
      <c r="AE4" s="102">
        <v>1000</v>
      </c>
      <c r="AF4" s="101">
        <v>1000</v>
      </c>
      <c r="AG4" s="102">
        <v>1000</v>
      </c>
      <c r="AH4" s="101">
        <v>1000</v>
      </c>
      <c r="AI4" s="102">
        <v>1000</v>
      </c>
      <c r="AJ4" s="101">
        <v>1000</v>
      </c>
      <c r="AK4" s="102">
        <v>1000</v>
      </c>
      <c r="AL4" s="101">
        <v>1000</v>
      </c>
      <c r="AM4" s="102">
        <v>1000</v>
      </c>
      <c r="AN4" s="101">
        <v>1000</v>
      </c>
      <c r="AO4" s="102">
        <v>1000</v>
      </c>
      <c r="AP4" s="101">
        <v>1000</v>
      </c>
      <c r="AQ4" s="102">
        <v>1000</v>
      </c>
      <c r="AR4" s="101">
        <v>1000</v>
      </c>
      <c r="AS4" s="102">
        <v>1000</v>
      </c>
      <c r="AT4" s="101">
        <v>1000</v>
      </c>
      <c r="AU4" s="102">
        <v>1000</v>
      </c>
      <c r="AV4" s="101">
        <v>1000</v>
      </c>
      <c r="AW4" s="102">
        <v>1000</v>
      </c>
    </row>
    <row r="5" spans="1:49" x14ac:dyDescent="0.2">
      <c r="A5" t="s">
        <v>128</v>
      </c>
      <c r="B5" s="41">
        <v>1000</v>
      </c>
      <c r="C5" s="42">
        <v>1000</v>
      </c>
      <c r="D5" s="41">
        <v>998.53287248060599</v>
      </c>
      <c r="E5" s="42">
        <v>1018.7162323401435</v>
      </c>
      <c r="F5" s="41">
        <v>997.0237338928481</v>
      </c>
      <c r="G5" s="42">
        <v>1039.1946131135587</v>
      </c>
      <c r="H5" s="41">
        <v>995.46534310509799</v>
      </c>
      <c r="I5" s="42">
        <v>1061.6577283353943</v>
      </c>
      <c r="J5" s="41">
        <v>993.84941096598482</v>
      </c>
      <c r="K5" s="42">
        <v>1086.3616129297097</v>
      </c>
      <c r="L5" s="41">
        <v>992.16672459547146</v>
      </c>
      <c r="M5" s="42">
        <v>1113.6028361130282</v>
      </c>
      <c r="N5" s="41">
        <v>990.4073338730775</v>
      </c>
      <c r="O5" s="42">
        <v>1143.7202113958899</v>
      </c>
      <c r="P5" s="41">
        <v>988.56130037592959</v>
      </c>
      <c r="Q5" s="42">
        <v>1177.1032048175728</v>
      </c>
      <c r="R5" s="41">
        <v>986.62007127376717</v>
      </c>
      <c r="S5" s="42">
        <v>1214.1933697400568</v>
      </c>
      <c r="T5" s="41">
        <v>984.57927743986511</v>
      </c>
      <c r="U5" s="42">
        <v>1255.4813784546745</v>
      </c>
      <c r="V5" s="41">
        <v>982.44411447697132</v>
      </c>
      <c r="W5" s="42">
        <v>1301.4931866651223</v>
      </c>
      <c r="X5" s="41">
        <v>980.2396814689547</v>
      </c>
      <c r="Y5" s="42">
        <v>1352.7448009910349</v>
      </c>
      <c r="Z5" s="41">
        <v>978.03083384748356</v>
      </c>
      <c r="AA5" s="42">
        <v>1409.6322680128426</v>
      </c>
      <c r="AB5" s="41">
        <v>975.96027369748447</v>
      </c>
      <c r="AC5" s="42">
        <v>1472.1671549871394</v>
      </c>
      <c r="AD5" s="41">
        <v>974.31864762619557</v>
      </c>
      <c r="AE5" s="42">
        <v>1539.3851833139697</v>
      </c>
      <c r="AF5" s="41">
        <v>973.65376361790095</v>
      </c>
      <c r="AG5" s="42">
        <v>1608.1249610473167</v>
      </c>
      <c r="AH5" s="41">
        <v>974.83742409230217</v>
      </c>
      <c r="AI5" s="42">
        <v>1671.2813280460798</v>
      </c>
      <c r="AJ5" s="41">
        <v>978.73002807627165</v>
      </c>
      <c r="AK5" s="42">
        <v>1718.2010572727238</v>
      </c>
      <c r="AL5" s="41">
        <v>985.22579666653212</v>
      </c>
      <c r="AM5" s="42">
        <v>1742.4030046675434</v>
      </c>
      <c r="AN5" s="41">
        <v>993.23734708792745</v>
      </c>
      <c r="AO5" s="42">
        <v>1749.4057817362011</v>
      </c>
      <c r="AP5" s="41">
        <v>995.02766583159541</v>
      </c>
      <c r="AQ5" s="42">
        <v>1749.7514359879244</v>
      </c>
      <c r="AR5" s="41">
        <v>996.99496344258205</v>
      </c>
      <c r="AS5" s="42">
        <v>1749.9387233896209</v>
      </c>
      <c r="AT5" s="41">
        <v>999.35597922955924</v>
      </c>
      <c r="AU5" s="42">
        <v>1750.0267043684712</v>
      </c>
      <c r="AV5" s="41">
        <v>1002.7602980115989</v>
      </c>
      <c r="AW5" s="42">
        <v>1750.059874418426</v>
      </c>
    </row>
    <row r="6" spans="1:49" x14ac:dyDescent="0.2">
      <c r="A6" t="s">
        <v>77</v>
      </c>
      <c r="B6" s="41">
        <v>999.99999999999943</v>
      </c>
      <c r="C6" s="42">
        <v>999.99999999999909</v>
      </c>
      <c r="D6" s="41">
        <v>998.4208291269689</v>
      </c>
      <c r="E6" s="42">
        <v>1023.2111444565965</v>
      </c>
      <c r="F6" s="41">
        <v>996.79680852744389</v>
      </c>
      <c r="G6" s="42">
        <v>1049.0932476235735</v>
      </c>
      <c r="H6" s="41">
        <v>995.12017979967663</v>
      </c>
      <c r="I6" s="42">
        <v>1078.1135355547262</v>
      </c>
      <c r="J6" s="41">
        <v>993.38206602088121</v>
      </c>
      <c r="K6" s="42">
        <v>1110.8573790533896</v>
      </c>
      <c r="L6" s="41">
        <v>991.57260670339429</v>
      </c>
      <c r="M6" s="42">
        <v>1148.0677724619761</v>
      </c>
      <c r="N6" s="41">
        <v>989.68116212570681</v>
      </c>
      <c r="O6" s="42">
        <v>1190.711430482035</v>
      </c>
      <c r="P6" s="41">
        <v>987.69711849480723</v>
      </c>
      <c r="Q6" s="42">
        <v>1240.0650029847732</v>
      </c>
      <c r="R6" s="41">
        <v>985.61136618265107</v>
      </c>
      <c r="S6" s="42">
        <v>1297.8634787881588</v>
      </c>
      <c r="T6" s="41">
        <v>983.41930368504336</v>
      </c>
      <c r="U6" s="42">
        <v>1366.5360441904886</v>
      </c>
      <c r="V6" s="41">
        <v>981.1266087658006</v>
      </c>
      <c r="W6" s="42">
        <v>1449.6112904804493</v>
      </c>
      <c r="X6" s="41">
        <v>978.76031760147157</v>
      </c>
      <c r="Y6" s="42">
        <v>1552.4469771131658</v>
      </c>
      <c r="Z6" s="41">
        <v>976.39008672633224</v>
      </c>
      <c r="AA6" s="42">
        <v>1683.6270472024571</v>
      </c>
      <c r="AB6" s="41">
        <v>974.16897287415418</v>
      </c>
      <c r="AC6" s="42">
        <v>1857.8274849262266</v>
      </c>
      <c r="AD6" s="41">
        <v>972.40848061312454</v>
      </c>
      <c r="AE6" s="42">
        <v>2102.1564959310758</v>
      </c>
      <c r="AF6" s="41">
        <v>971.6955794990937</v>
      </c>
      <c r="AG6" s="42">
        <v>2471.3398688972111</v>
      </c>
      <c r="AH6" s="41">
        <v>972.96477274472409</v>
      </c>
      <c r="AI6" s="42">
        <v>3087.0798369631775</v>
      </c>
      <c r="AJ6" s="41">
        <v>977.14027913107043</v>
      </c>
      <c r="AK6" s="42">
        <v>4252.8909465897004</v>
      </c>
      <c r="AL6" s="41">
        <v>984.11367052462526</v>
      </c>
      <c r="AM6" s="42">
        <v>6902.5213951676424</v>
      </c>
      <c r="AN6" s="41">
        <v>992.72383548547884</v>
      </c>
      <c r="AO6" s="42">
        <v>15646.79182665559</v>
      </c>
      <c r="AP6" s="41">
        <v>994.64936697254075</v>
      </c>
      <c r="AQ6" s="42">
        <v>20000.130093691394</v>
      </c>
      <c r="AR6" s="41">
        <v>996.76585155483519</v>
      </c>
      <c r="AS6" s="42">
        <v>26908.658917205677</v>
      </c>
      <c r="AT6" s="41">
        <v>999.30675222547495</v>
      </c>
      <c r="AU6" s="42">
        <v>39102.194767873007</v>
      </c>
      <c r="AV6" s="41">
        <v>1002.9720607385091</v>
      </c>
      <c r="AW6" s="42">
        <v>64747.971488630057</v>
      </c>
    </row>
    <row r="7" spans="1:49" x14ac:dyDescent="0.2">
      <c r="A7" t="s">
        <v>13</v>
      </c>
      <c r="B7" s="33">
        <v>1015.9116825427475</v>
      </c>
      <c r="C7" s="34">
        <v>1015.9116825427475</v>
      </c>
      <c r="D7" s="33">
        <v>1014.4212105560151</v>
      </c>
      <c r="E7" s="34">
        <v>1014.4212105560151</v>
      </c>
      <c r="F7" s="33">
        <v>1012.8880590341358</v>
      </c>
      <c r="G7" s="34">
        <v>1012.8880590341358</v>
      </c>
      <c r="H7" s="33">
        <v>1011.3048716268935</v>
      </c>
      <c r="I7" s="34">
        <v>1011.3048716268935</v>
      </c>
      <c r="J7" s="33">
        <v>1009.6632272885721</v>
      </c>
      <c r="K7" s="34">
        <v>1009.6632272885721</v>
      </c>
      <c r="L7" s="33">
        <v>1007.9537665467121</v>
      </c>
      <c r="M7" s="34">
        <v>1007.9537665467121</v>
      </c>
      <c r="N7" s="33">
        <v>1006.1663809576747</v>
      </c>
      <c r="O7" s="34">
        <v>1006.1663809576747</v>
      </c>
      <c r="P7" s="33">
        <v>1004.290973961557</v>
      </c>
      <c r="Q7" s="34">
        <v>1004.290973961557</v>
      </c>
      <c r="R7" s="33">
        <v>1002.3188566381782</v>
      </c>
      <c r="S7" s="34">
        <v>1002.3188566381782</v>
      </c>
      <c r="T7" s="33">
        <v>1000.2455903406559</v>
      </c>
      <c r="U7" s="34">
        <v>1000.2455903406559</v>
      </c>
      <c r="V7" s="33">
        <v>998.07645334251947</v>
      </c>
      <c r="W7" s="34">
        <v>998.07645334251947</v>
      </c>
      <c r="X7" s="33">
        <v>995.83694409629254</v>
      </c>
      <c r="Y7" s="34">
        <v>995.83694409629254</v>
      </c>
      <c r="Z7" s="33">
        <v>993.59294999268332</v>
      </c>
      <c r="AA7" s="34">
        <v>993.59294999268332</v>
      </c>
      <c r="AB7" s="33">
        <v>991.48944374689177</v>
      </c>
      <c r="AC7" s="34">
        <v>991.48944374689177</v>
      </c>
      <c r="AD7" s="33">
        <v>989.82169664270259</v>
      </c>
      <c r="AE7" s="34">
        <v>989.82169664270259</v>
      </c>
      <c r="AF7" s="33">
        <v>989.14623321114027</v>
      </c>
      <c r="AG7" s="34">
        <v>989.14623321114027</v>
      </c>
      <c r="AH7" s="33">
        <v>990.34872771524851</v>
      </c>
      <c r="AI7" s="34">
        <v>990.34872771524851</v>
      </c>
      <c r="AJ7" s="33">
        <v>994.30326957807563</v>
      </c>
      <c r="AK7" s="34">
        <v>994.30326957807563</v>
      </c>
      <c r="AL7" s="33">
        <v>1000.9023967760154</v>
      </c>
      <c r="AM7" s="34">
        <v>1000.9023967760154</v>
      </c>
      <c r="AN7" s="33">
        <v>1009.0414244443912</v>
      </c>
      <c r="AO7" s="34">
        <v>1009.0414244443912</v>
      </c>
      <c r="AP7" s="33">
        <v>1010.8602301715588</v>
      </c>
      <c r="AQ7" s="34">
        <v>1010.8602301715588</v>
      </c>
      <c r="AR7" s="33">
        <v>1012.8588307975986</v>
      </c>
      <c r="AS7" s="34">
        <v>1012.8588307975986</v>
      </c>
      <c r="AT7" s="33">
        <v>1015.2574143182565</v>
      </c>
      <c r="AU7" s="34">
        <v>1015.2574143182565</v>
      </c>
      <c r="AV7" s="33">
        <v>1018.7159015400304</v>
      </c>
      <c r="AW7" s="34">
        <v>1018.7159015400304</v>
      </c>
    </row>
    <row r="8" spans="1:49" x14ac:dyDescent="0.2">
      <c r="B8" s="35">
        <v>1005.7716594496609</v>
      </c>
      <c r="C8" s="36">
        <v>1005.7716594496609</v>
      </c>
      <c r="D8" s="35">
        <v>1072.4956758100902</v>
      </c>
      <c r="E8" s="36">
        <v>1072.4956758100902</v>
      </c>
      <c r="F8" s="35">
        <v>1147.6850890694486</v>
      </c>
      <c r="G8" s="36">
        <v>1147.6850890694486</v>
      </c>
      <c r="H8" s="35">
        <v>1232.9467812535859</v>
      </c>
      <c r="I8" s="36">
        <v>1232.9467812535859</v>
      </c>
      <c r="J8" s="35">
        <v>1330.3106864880529</v>
      </c>
      <c r="K8" s="36">
        <v>1330.3106864880529</v>
      </c>
      <c r="L8" s="35">
        <v>1442.3791901493069</v>
      </c>
      <c r="M8" s="36">
        <v>1442.3791901493069</v>
      </c>
      <c r="N8" s="35">
        <v>1572.5547936684206</v>
      </c>
      <c r="O8" s="36">
        <v>1572.5547936684206</v>
      </c>
      <c r="P8" s="35">
        <v>1725.3704756786829</v>
      </c>
      <c r="Q8" s="36">
        <v>1725.3704756786829</v>
      </c>
      <c r="R8" s="35">
        <v>1907.0252493398107</v>
      </c>
      <c r="S8" s="36">
        <v>1907.0252493398107</v>
      </c>
      <c r="T8" s="35">
        <v>2126.2527635908659</v>
      </c>
      <c r="U8" s="36">
        <v>2126.2527635908659</v>
      </c>
      <c r="V8" s="35">
        <v>2395.8164224981401</v>
      </c>
      <c r="W8" s="36">
        <v>2395.8164224981401</v>
      </c>
      <c r="X8" s="35">
        <v>2735.2169652086395</v>
      </c>
      <c r="Y8" s="36">
        <v>2735.2169652086395</v>
      </c>
      <c r="Z8" s="35">
        <v>3175.9162291856996</v>
      </c>
      <c r="AA8" s="36">
        <v>3175.9162291856996</v>
      </c>
      <c r="AB8" s="35">
        <v>3772.1594915509531</v>
      </c>
      <c r="AC8" s="36">
        <v>3772.1594915509531</v>
      </c>
      <c r="AD8" s="35">
        <v>4625.2556739203656</v>
      </c>
      <c r="AE8" s="36">
        <v>4625.2556739203656</v>
      </c>
      <c r="AF8" s="35">
        <v>5942.7957167053</v>
      </c>
      <c r="AG8" s="36">
        <v>5942.7957167053</v>
      </c>
      <c r="AH8" s="35">
        <v>8195.7588675987481</v>
      </c>
      <c r="AI8" s="36">
        <v>8195.7588675987481</v>
      </c>
      <c r="AJ8" s="35">
        <v>12587.338534541472</v>
      </c>
      <c r="AK8" s="36">
        <v>12587.338534541472</v>
      </c>
      <c r="AL8" s="35">
        <v>22901.364960831022</v>
      </c>
      <c r="AM8" s="36">
        <v>22901.364960831022</v>
      </c>
      <c r="AN8" s="35">
        <v>58114.099086846669</v>
      </c>
      <c r="AO8" s="36">
        <v>58114.099086846669</v>
      </c>
      <c r="AP8" s="35">
        <v>75908.503072569074</v>
      </c>
      <c r="AQ8" s="36">
        <v>75908.503072569074</v>
      </c>
      <c r="AR8" s="35">
        <v>104307.24677931411</v>
      </c>
      <c r="AS8" s="36">
        <v>104307.24677931411</v>
      </c>
      <c r="AT8" s="35">
        <v>154694.72759040134</v>
      </c>
      <c r="AU8" s="36">
        <v>154694.72759040134</v>
      </c>
      <c r="AV8" s="35">
        <v>261161.81076484028</v>
      </c>
      <c r="AW8" s="36">
        <v>261161.81076484028</v>
      </c>
    </row>
    <row r="9" spans="1:49" x14ac:dyDescent="0.2">
      <c r="A9" t="s">
        <v>14</v>
      </c>
      <c r="B9" s="41">
        <v>1015.9116825427475</v>
      </c>
      <c r="C9" s="42">
        <v>1005.7716594496609</v>
      </c>
      <c r="D9" s="41">
        <v>1014.4212105560151</v>
      </c>
      <c r="E9" s="42">
        <v>1072.4956758100902</v>
      </c>
      <c r="F9" s="41">
        <v>1012.8880590341358</v>
      </c>
      <c r="G9" s="42">
        <v>1147.6850890694486</v>
      </c>
      <c r="H9" s="41">
        <v>1011.3048716268935</v>
      </c>
      <c r="I9" s="42">
        <v>1232.9467812535859</v>
      </c>
      <c r="J9" s="41">
        <v>1009.6632272885721</v>
      </c>
      <c r="K9" s="42">
        <v>1330.3106864880529</v>
      </c>
      <c r="L9" s="41">
        <v>1007.9537665467121</v>
      </c>
      <c r="M9" s="42">
        <v>1442.3791901493069</v>
      </c>
      <c r="N9" s="41">
        <v>1006.1663809576747</v>
      </c>
      <c r="O9" s="42">
        <v>1572.5547936684206</v>
      </c>
      <c r="P9" s="41">
        <v>1004.290973961557</v>
      </c>
      <c r="Q9" s="42">
        <v>1725.3704756786829</v>
      </c>
      <c r="R9" s="41">
        <v>1002.3188566381782</v>
      </c>
      <c r="S9" s="42">
        <v>1907.0252493398107</v>
      </c>
      <c r="T9" s="41">
        <v>1000.2455903406559</v>
      </c>
      <c r="U9" s="42">
        <v>2126.2527635908659</v>
      </c>
      <c r="V9" s="41">
        <v>998.07645334251947</v>
      </c>
      <c r="W9" s="42">
        <v>2395.8164224981401</v>
      </c>
      <c r="X9" s="41">
        <v>995.83694409629254</v>
      </c>
      <c r="Y9" s="42">
        <v>2735.2169652086395</v>
      </c>
      <c r="Z9" s="41">
        <v>993.59294999268332</v>
      </c>
      <c r="AA9" s="42">
        <v>3175.9162291856996</v>
      </c>
      <c r="AB9" s="41">
        <v>991.48944374689177</v>
      </c>
      <c r="AC9" s="42">
        <v>3772.1594915509531</v>
      </c>
      <c r="AD9" s="41">
        <v>989.82169664270259</v>
      </c>
      <c r="AE9" s="42">
        <v>4625.2556739203656</v>
      </c>
      <c r="AF9" s="41">
        <v>989.14623321114027</v>
      </c>
      <c r="AG9" s="42">
        <v>5942.7957167053</v>
      </c>
      <c r="AH9" s="41">
        <v>990.34872771524851</v>
      </c>
      <c r="AI9" s="42">
        <v>8195.7588675987481</v>
      </c>
      <c r="AJ9" s="41">
        <v>994.30326957807563</v>
      </c>
      <c r="AK9" s="42">
        <v>12587.338534541472</v>
      </c>
      <c r="AL9" s="41">
        <v>1000.9023967760154</v>
      </c>
      <c r="AM9" s="42">
        <v>22901.364960831022</v>
      </c>
      <c r="AN9" s="41">
        <v>1009.0414244443912</v>
      </c>
      <c r="AO9" s="42">
        <v>58114.099086846669</v>
      </c>
      <c r="AP9" s="41">
        <v>1010.8602301715588</v>
      </c>
      <c r="AQ9" s="42">
        <v>75908.503072569074</v>
      </c>
      <c r="AR9" s="41">
        <v>1012.8588307975986</v>
      </c>
      <c r="AS9" s="42">
        <v>104307.24677931411</v>
      </c>
      <c r="AT9" s="41">
        <v>1015.2574143182565</v>
      </c>
      <c r="AU9" s="42">
        <v>154694.72759040134</v>
      </c>
      <c r="AV9" s="41">
        <v>1018.7159015400304</v>
      </c>
      <c r="AW9" s="42">
        <v>261161.81076484028</v>
      </c>
    </row>
    <row r="10" spans="1:49" x14ac:dyDescent="0.2">
      <c r="A10" t="s">
        <v>15</v>
      </c>
      <c r="B10" s="41">
        <v>1015.9116825427475</v>
      </c>
      <c r="C10" s="42">
        <v>1005.7716594496609</v>
      </c>
      <c r="D10" s="41">
        <v>1014.4212105560151</v>
      </c>
      <c r="E10" s="42">
        <v>1072.4956758100902</v>
      </c>
      <c r="F10" s="41">
        <v>1012.8880590341358</v>
      </c>
      <c r="G10" s="42">
        <v>1147.6850890694486</v>
      </c>
      <c r="H10" s="41">
        <v>1011.3048716268935</v>
      </c>
      <c r="I10" s="42">
        <v>1232.9467812535859</v>
      </c>
      <c r="J10" s="41">
        <v>1009.6632272885721</v>
      </c>
      <c r="K10" s="42">
        <v>1330.3106864880529</v>
      </c>
      <c r="L10" s="41">
        <v>1007.9537665467121</v>
      </c>
      <c r="M10" s="42">
        <v>1442.3791901493069</v>
      </c>
      <c r="N10" s="41">
        <v>1006.1663809576747</v>
      </c>
      <c r="O10" s="42">
        <v>1572.5547936684206</v>
      </c>
      <c r="P10" s="41">
        <v>1004.290973961557</v>
      </c>
      <c r="Q10" s="42">
        <v>1725.3704756786829</v>
      </c>
      <c r="R10" s="41">
        <v>1002.3188566381782</v>
      </c>
      <c r="S10" s="42">
        <v>1907.0252493398107</v>
      </c>
      <c r="T10" s="41">
        <v>1000.2455903406559</v>
      </c>
      <c r="U10" s="42">
        <v>2126.2527635908659</v>
      </c>
      <c r="V10" s="41">
        <v>998.07645334251947</v>
      </c>
      <c r="W10" s="42">
        <v>2395.8164224981401</v>
      </c>
      <c r="X10" s="41">
        <v>995.83694409629254</v>
      </c>
      <c r="Y10" s="42">
        <v>2735.2169652086395</v>
      </c>
      <c r="Z10" s="41">
        <v>993.59294999268332</v>
      </c>
      <c r="AA10" s="42">
        <v>3175.9162291856996</v>
      </c>
      <c r="AB10" s="41">
        <v>991.48944374689177</v>
      </c>
      <c r="AC10" s="42">
        <v>3772.1594915509531</v>
      </c>
      <c r="AD10" s="41">
        <v>989.82169664270259</v>
      </c>
      <c r="AE10" s="42">
        <v>4625.2556739203656</v>
      </c>
      <c r="AF10" s="41">
        <v>989.14623321114027</v>
      </c>
      <c r="AG10" s="42">
        <v>5942.7957167053</v>
      </c>
      <c r="AH10" s="41">
        <v>990.34872771524851</v>
      </c>
      <c r="AI10" s="42">
        <v>8195.7588675987481</v>
      </c>
      <c r="AJ10" s="41">
        <v>994.30326957807563</v>
      </c>
      <c r="AK10" s="42">
        <v>12587.338534541472</v>
      </c>
      <c r="AL10" s="41">
        <v>1000.9023967760154</v>
      </c>
      <c r="AM10" s="42">
        <v>22901.364960831022</v>
      </c>
      <c r="AN10" s="41">
        <v>1009.0414244443912</v>
      </c>
      <c r="AO10" s="42">
        <v>58114.099086846669</v>
      </c>
      <c r="AP10" s="41">
        <v>1010.8602301715588</v>
      </c>
      <c r="AQ10" s="42">
        <v>75908.503072569074</v>
      </c>
      <c r="AR10" s="41">
        <v>1012.8588307975986</v>
      </c>
      <c r="AS10" s="42">
        <v>104307.24677931411</v>
      </c>
      <c r="AT10" s="41">
        <v>1015.2574143182565</v>
      </c>
      <c r="AU10" s="42">
        <v>154694.72759040134</v>
      </c>
      <c r="AV10" s="41">
        <v>1018.7159015400304</v>
      </c>
      <c r="AW10" s="42">
        <v>261161.81076484028</v>
      </c>
    </row>
    <row r="11" spans="1:49" x14ac:dyDescent="0.2">
      <c r="A11" t="s">
        <v>29</v>
      </c>
      <c r="B11" s="41">
        <v>1015.9116825427475</v>
      </c>
      <c r="C11" s="42">
        <v>1005.7716594496609</v>
      </c>
      <c r="D11" s="41">
        <v>1014.4212105560151</v>
      </c>
      <c r="E11" s="42">
        <v>1072.4956758100902</v>
      </c>
      <c r="F11" s="41">
        <v>1012.8880590341358</v>
      </c>
      <c r="G11" s="42">
        <v>1147.6850890694486</v>
      </c>
      <c r="H11" s="41">
        <v>1011.3048716268935</v>
      </c>
      <c r="I11" s="42">
        <v>1232.9467812535859</v>
      </c>
      <c r="J11" s="41">
        <v>1009.6632272885721</v>
      </c>
      <c r="K11" s="42">
        <v>1330.3106864880529</v>
      </c>
      <c r="L11" s="41">
        <v>1007.9537665467121</v>
      </c>
      <c r="M11" s="42">
        <v>1442.3791901493069</v>
      </c>
      <c r="N11" s="41">
        <v>1006.1663809576747</v>
      </c>
      <c r="O11" s="42">
        <v>1572.5547936684206</v>
      </c>
      <c r="P11" s="41">
        <v>1004.290973961557</v>
      </c>
      <c r="Q11" s="42">
        <v>1725.3704756786829</v>
      </c>
      <c r="R11" s="41">
        <v>1002.3188566381782</v>
      </c>
      <c r="S11" s="42">
        <v>1907.0252493398107</v>
      </c>
      <c r="T11" s="41">
        <v>1000.2455903406559</v>
      </c>
      <c r="U11" s="42">
        <v>2126.2527635908659</v>
      </c>
      <c r="V11" s="41">
        <v>998.07645334251947</v>
      </c>
      <c r="W11" s="42">
        <v>2395.8164224981401</v>
      </c>
      <c r="X11" s="41">
        <v>995.83694409629254</v>
      </c>
      <c r="Y11" s="42">
        <v>2735.2169652086395</v>
      </c>
      <c r="Z11" s="41">
        <v>993.59294999268332</v>
      </c>
      <c r="AA11" s="42">
        <v>3175.9162291856996</v>
      </c>
      <c r="AB11" s="41">
        <v>991.48944374689177</v>
      </c>
      <c r="AC11" s="42">
        <v>3772.1594915509531</v>
      </c>
      <c r="AD11" s="41">
        <v>989.82169664270259</v>
      </c>
      <c r="AE11" s="42">
        <v>4625.2556739203656</v>
      </c>
      <c r="AF11" s="41">
        <v>989.14623321114027</v>
      </c>
      <c r="AG11" s="42">
        <v>5942.7957167053</v>
      </c>
      <c r="AH11" s="41">
        <v>990.34872771524851</v>
      </c>
      <c r="AI11" s="42">
        <v>8195.7588675987481</v>
      </c>
      <c r="AJ11" s="41">
        <v>994.30326957807563</v>
      </c>
      <c r="AK11" s="42">
        <v>12587.338534541472</v>
      </c>
      <c r="AL11" s="41">
        <v>1000.9023967760154</v>
      </c>
      <c r="AM11" s="42">
        <v>22901.364960831022</v>
      </c>
      <c r="AN11" s="41">
        <v>1009.0414244443912</v>
      </c>
      <c r="AO11" s="42">
        <v>58114.099086846669</v>
      </c>
      <c r="AP11" s="41">
        <v>1010.8602301715588</v>
      </c>
      <c r="AQ11" s="42">
        <v>75908.503072569074</v>
      </c>
      <c r="AR11" s="41">
        <v>1012.8588307975986</v>
      </c>
      <c r="AS11" s="42">
        <v>104307.24677931411</v>
      </c>
      <c r="AT11" s="41">
        <v>1015.2574143182565</v>
      </c>
      <c r="AU11" s="42">
        <v>154694.72759040134</v>
      </c>
      <c r="AV11" s="41">
        <v>1018.7159015400304</v>
      </c>
      <c r="AW11" s="42">
        <v>261161.81076484028</v>
      </c>
    </row>
    <row r="12" spans="1:49"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v>1000</v>
      </c>
      <c r="AA12" s="42">
        <v>1000</v>
      </c>
      <c r="AB12" s="41">
        <v>1000</v>
      </c>
      <c r="AC12" s="42">
        <v>1000</v>
      </c>
      <c r="AD12" s="41">
        <v>1000</v>
      </c>
      <c r="AE12" s="42">
        <v>1000</v>
      </c>
      <c r="AF12" s="41">
        <v>1000</v>
      </c>
      <c r="AG12" s="42">
        <v>1000</v>
      </c>
      <c r="AH12" s="41">
        <v>1000</v>
      </c>
      <c r="AI12" s="42">
        <v>1000</v>
      </c>
      <c r="AJ12" s="41">
        <v>1000</v>
      </c>
      <c r="AK12" s="42">
        <v>1000</v>
      </c>
      <c r="AL12" s="41">
        <v>1000</v>
      </c>
      <c r="AM12" s="42">
        <v>1000</v>
      </c>
      <c r="AN12" s="41">
        <v>1000</v>
      </c>
      <c r="AO12" s="42">
        <v>1000</v>
      </c>
      <c r="AP12" s="41">
        <v>1000</v>
      </c>
      <c r="AQ12" s="42">
        <v>1000</v>
      </c>
      <c r="AR12" s="41">
        <v>1000</v>
      </c>
      <c r="AS12" s="42">
        <v>1000</v>
      </c>
      <c r="AT12" s="41">
        <v>1000</v>
      </c>
      <c r="AU12" s="42">
        <v>1000</v>
      </c>
      <c r="AV12" s="41">
        <v>1000</v>
      </c>
      <c r="AW12" s="42">
        <v>1000</v>
      </c>
    </row>
    <row r="13" spans="1:49" x14ac:dyDescent="0.2">
      <c r="A13" t="s">
        <v>17</v>
      </c>
      <c r="B13" s="97">
        <v>1000</v>
      </c>
      <c r="C13" s="98">
        <v>1000</v>
      </c>
      <c r="D13" s="97">
        <v>997.13436235699419</v>
      </c>
      <c r="E13" s="98">
        <v>997.13436235699419</v>
      </c>
      <c r="F13" s="97">
        <v>993.97346870268768</v>
      </c>
      <c r="G13" s="98">
        <v>993.97346870268768</v>
      </c>
      <c r="H13" s="97">
        <v>990.4738170915823</v>
      </c>
      <c r="I13" s="98">
        <v>990.4738170915823</v>
      </c>
      <c r="J13" s="97">
        <v>986.58296436258934</v>
      </c>
      <c r="K13" s="98">
        <v>986.58296436258934</v>
      </c>
      <c r="L13" s="97">
        <v>982.2368457807579</v>
      </c>
      <c r="M13" s="98">
        <v>982.2368457807579</v>
      </c>
      <c r="N13" s="97">
        <v>977.35655982022786</v>
      </c>
      <c r="O13" s="98">
        <v>977.35655982022786</v>
      </c>
      <c r="P13" s="97">
        <v>971.84331964393834</v>
      </c>
      <c r="Q13" s="98">
        <v>971.84331964393834</v>
      </c>
      <c r="R13" s="97">
        <v>965.57135056439654</v>
      </c>
      <c r="S13" s="98">
        <v>965.57135056439654</v>
      </c>
      <c r="T13" s="97">
        <v>958.37711239464704</v>
      </c>
      <c r="U13" s="98">
        <v>958.37711239464704</v>
      </c>
      <c r="V13" s="97">
        <v>950.0420077881123</v>
      </c>
      <c r="W13" s="98">
        <v>950.0420077881123</v>
      </c>
      <c r="X13" s="97">
        <v>940.26370182615869</v>
      </c>
      <c r="Y13" s="98">
        <v>940.26370182615869</v>
      </c>
      <c r="Z13" s="97">
        <v>928.60510842893405</v>
      </c>
      <c r="AA13" s="98">
        <v>928.60510842893405</v>
      </c>
      <c r="AB13" s="97">
        <v>914.39770767259085</v>
      </c>
      <c r="AC13" s="98">
        <v>914.39770767259085</v>
      </c>
      <c r="AD13" s="97">
        <v>896.54363695040684</v>
      </c>
      <c r="AE13" s="98">
        <v>896.54363695040684</v>
      </c>
      <c r="AF13" s="97">
        <v>873.0797630837676</v>
      </c>
      <c r="AG13" s="98">
        <v>873.0797630837676</v>
      </c>
      <c r="AH13" s="97">
        <v>840.15326555922127</v>
      </c>
      <c r="AI13" s="98">
        <v>840.15326555922127</v>
      </c>
      <c r="AJ13" s="97">
        <v>789.48413008800514</v>
      </c>
      <c r="AK13" s="98">
        <v>789.48413008800514</v>
      </c>
      <c r="AL13" s="97">
        <v>701.12662061801575</v>
      </c>
      <c r="AM13" s="98">
        <v>701.12662061801575</v>
      </c>
      <c r="AN13" s="97">
        <v>513.49760095469242</v>
      </c>
      <c r="AO13" s="98">
        <v>513.49760095469242</v>
      </c>
      <c r="AP13" s="97">
        <v>448.39633988148347</v>
      </c>
      <c r="AQ13" s="98">
        <v>448.39633988148347</v>
      </c>
      <c r="AR13" s="97">
        <v>365.65198313838346</v>
      </c>
      <c r="AS13" s="98">
        <v>365.65198313838346</v>
      </c>
      <c r="AT13" s="97">
        <v>258.23156704018663</v>
      </c>
      <c r="AU13" s="98">
        <v>258.23156704018663</v>
      </c>
      <c r="AV13" s="97">
        <v>119.96716877354426</v>
      </c>
      <c r="AW13" s="98">
        <v>119.96716877354426</v>
      </c>
    </row>
    <row r="14" spans="1:49" x14ac:dyDescent="0.2">
      <c r="A14" t="s">
        <v>36</v>
      </c>
      <c r="B14" s="41">
        <v>1457.0034251455234</v>
      </c>
      <c r="C14" s="42">
        <v>1457.0034251455236</v>
      </c>
      <c r="D14" s="41">
        <v>1452.828181284438</v>
      </c>
      <c r="E14" s="42">
        <v>1452.8281812844382</v>
      </c>
      <c r="F14" s="41">
        <v>1448.2227484035925</v>
      </c>
      <c r="G14" s="42">
        <v>1448.2227484035927</v>
      </c>
      <c r="H14" s="41">
        <v>1443.1237440193959</v>
      </c>
      <c r="I14" s="42">
        <v>1443.1237440193961</v>
      </c>
      <c r="J14" s="41">
        <v>1437.4547582665164</v>
      </c>
      <c r="K14" s="42">
        <v>1437.4547582665166</v>
      </c>
      <c r="L14" s="41">
        <v>1431.1224486066994</v>
      </c>
      <c r="M14" s="42">
        <v>1431.1224486066997</v>
      </c>
      <c r="N14" s="41">
        <v>1424.0118552465176</v>
      </c>
      <c r="O14" s="42">
        <v>1424.0118552465178</v>
      </c>
      <c r="P14" s="41">
        <v>1415.9790454260137</v>
      </c>
      <c r="Q14" s="42">
        <v>1415.979045426014</v>
      </c>
      <c r="R14" s="41">
        <v>1406.8407649947146</v>
      </c>
      <c r="S14" s="42">
        <v>1406.8407649947148</v>
      </c>
      <c r="T14" s="41">
        <v>1396.3587353400769</v>
      </c>
      <c r="U14" s="42">
        <v>1396.3587353400771</v>
      </c>
      <c r="V14" s="41">
        <v>1384.2144593794096</v>
      </c>
      <c r="W14" s="42">
        <v>1384.2144593794098</v>
      </c>
      <c r="X14" s="41">
        <v>1369.9674341007221</v>
      </c>
      <c r="Y14" s="42">
        <v>1369.9674341007224</v>
      </c>
      <c r="Z14" s="41">
        <v>1352.9808235885869</v>
      </c>
      <c r="AA14" s="42">
        <v>1352.9808235885871</v>
      </c>
      <c r="AB14" s="41">
        <v>1332.2805920241799</v>
      </c>
      <c r="AC14" s="42">
        <v>1332.2805920241799</v>
      </c>
      <c r="AD14" s="41">
        <v>1306.2671498291672</v>
      </c>
      <c r="AE14" s="42">
        <v>1306.2671498291675</v>
      </c>
      <c r="AF14" s="41">
        <v>1272.0802052382915</v>
      </c>
      <c r="AG14" s="42">
        <v>1272.0802052382917</v>
      </c>
      <c r="AH14" s="41">
        <v>1224.1061855669818</v>
      </c>
      <c r="AI14" s="42">
        <v>1224.106185566982</v>
      </c>
      <c r="AJ14" s="41">
        <v>1150.2810816362573</v>
      </c>
      <c r="AK14" s="42">
        <v>1150.2810816362576</v>
      </c>
      <c r="AL14" s="41">
        <v>1021.5438877011549</v>
      </c>
      <c r="AM14" s="42">
        <v>1021.543887701155</v>
      </c>
      <c r="AN14" s="41">
        <v>748.16776339499597</v>
      </c>
      <c r="AO14" s="42">
        <v>748.16776339499609</v>
      </c>
      <c r="AP14" s="41">
        <v>653.31500303003759</v>
      </c>
      <c r="AQ14" s="42">
        <v>653.3150030300377</v>
      </c>
      <c r="AR14" s="41">
        <v>532.75619184387779</v>
      </c>
      <c r="AS14" s="42">
        <v>532.7561918438779</v>
      </c>
      <c r="AT14" s="41">
        <v>376.24427765824777</v>
      </c>
      <c r="AU14" s="42">
        <v>376.24427765824782</v>
      </c>
      <c r="AV14" s="41">
        <v>174.79257580806504</v>
      </c>
      <c r="AW14" s="42">
        <v>174.79257580806507</v>
      </c>
    </row>
    <row r="15" spans="1:49" x14ac:dyDescent="0.2">
      <c r="A15" t="s">
        <v>18</v>
      </c>
      <c r="B15" s="154">
        <v>1000</v>
      </c>
      <c r="C15" s="155">
        <v>1000</v>
      </c>
      <c r="D15" s="154">
        <v>994.20996000681782</v>
      </c>
      <c r="E15" s="155">
        <v>994.20996000681782</v>
      </c>
      <c r="F15" s="154">
        <v>988.14805956025759</v>
      </c>
      <c r="G15" s="155">
        <v>988.14805956025759</v>
      </c>
      <c r="H15" s="154">
        <v>981.77272384721107</v>
      </c>
      <c r="I15" s="155">
        <v>981.77272384721107</v>
      </c>
      <c r="J15" s="154">
        <v>975.03402575870609</v>
      </c>
      <c r="K15" s="155">
        <v>975.03402575870609</v>
      </c>
      <c r="L15" s="154">
        <v>967.87188384418016</v>
      </c>
      <c r="M15" s="155">
        <v>967.87188384418016</v>
      </c>
      <c r="N15" s="154">
        <v>960.21249436226458</v>
      </c>
      <c r="O15" s="155">
        <v>960.21249436226458</v>
      </c>
      <c r="P15" s="154">
        <v>951.96488866138247</v>
      </c>
      <c r="Q15" s="155">
        <v>951.96488866138247</v>
      </c>
      <c r="R15" s="154">
        <v>943.014744661745</v>
      </c>
      <c r="S15" s="155">
        <v>943.014744661745</v>
      </c>
      <c r="T15" s="154">
        <v>933.21553436798968</v>
      </c>
      <c r="U15" s="155">
        <v>933.21553436798968</v>
      </c>
      <c r="V15" s="154">
        <v>922.3744253574115</v>
      </c>
      <c r="W15" s="155">
        <v>922.3744253574115</v>
      </c>
      <c r="X15" s="154">
        <v>910.22842876862592</v>
      </c>
      <c r="Y15" s="155">
        <v>910.22842876862592</v>
      </c>
      <c r="Z15" s="154">
        <v>896.40136163486648</v>
      </c>
      <c r="AA15" s="155">
        <v>896.40136163486648</v>
      </c>
      <c r="AB15" s="154">
        <v>880.31988884851694</v>
      </c>
      <c r="AC15" s="155">
        <v>880.31988884851694</v>
      </c>
      <c r="AD15" s="154">
        <v>861.03528069547872</v>
      </c>
      <c r="AE15" s="155">
        <v>861.03528069547872</v>
      </c>
      <c r="AF15" s="154">
        <v>836.81224026817904</v>
      </c>
      <c r="AG15" s="155">
        <v>836.81224026817904</v>
      </c>
      <c r="AH15" s="154">
        <v>804.11876602961547</v>
      </c>
      <c r="AI15" s="155">
        <v>804.11876602961547</v>
      </c>
      <c r="AJ15" s="154">
        <v>755.07898195495159</v>
      </c>
      <c r="AK15" s="155">
        <v>755.07898195495159</v>
      </c>
      <c r="AL15" s="154">
        <v>670.42675036453261</v>
      </c>
      <c r="AM15" s="155">
        <v>670.42675036453261</v>
      </c>
      <c r="AN15" s="154">
        <v>490.99955845378059</v>
      </c>
      <c r="AO15" s="155">
        <v>490.99955845378059</v>
      </c>
      <c r="AP15" s="154">
        <v>428.75039072999425</v>
      </c>
      <c r="AQ15" s="155">
        <v>428.75039072999425</v>
      </c>
      <c r="AR15" s="154">
        <v>349.6313166402818</v>
      </c>
      <c r="AS15" s="155">
        <v>349.6313166402818</v>
      </c>
      <c r="AT15" s="154">
        <v>246.91740321762529</v>
      </c>
      <c r="AU15" s="155">
        <v>246.91740321762529</v>
      </c>
      <c r="AV15" s="154">
        <v>114.71092331631927</v>
      </c>
      <c r="AW15" s="155">
        <v>114.71092331631927</v>
      </c>
    </row>
    <row r="16" spans="1:49" s="29" customFormat="1" x14ac:dyDescent="0.2">
      <c r="A16" t="s">
        <v>61</v>
      </c>
      <c r="B16" s="41">
        <v>1000</v>
      </c>
      <c r="C16" s="42">
        <v>1000</v>
      </c>
      <c r="D16" s="41">
        <v>995.76848562846919</v>
      </c>
      <c r="E16" s="42">
        <v>995.04439750269955</v>
      </c>
      <c r="F16" s="41">
        <v>991.2513633554039</v>
      </c>
      <c r="G16" s="42">
        <v>989.80973478299961</v>
      </c>
      <c r="H16" s="41">
        <v>986.40604423205252</v>
      </c>
      <c r="I16" s="42">
        <v>984.25389230819269</v>
      </c>
      <c r="J16" s="41">
        <v>981.18127515837</v>
      </c>
      <c r="K16" s="42">
        <v>978.32623107930669</v>
      </c>
      <c r="L16" s="41">
        <v>975.51486857841758</v>
      </c>
      <c r="M16" s="42">
        <v>971.9655397213379</v>
      </c>
      <c r="N16" s="41">
        <v>969.330326967063</v>
      </c>
      <c r="O16" s="42">
        <v>965.0965693063381</v>
      </c>
      <c r="P16" s="41">
        <v>962.53254751730253</v>
      </c>
      <c r="Q16" s="42">
        <v>957.62613354017253</v>
      </c>
      <c r="R16" s="41">
        <v>955.00115412739899</v>
      </c>
      <c r="S16" s="42">
        <v>949.43666268925585</v>
      </c>
      <c r="T16" s="41">
        <v>946.58063126056368</v>
      </c>
      <c r="U16" s="42">
        <v>940.37680682327755</v>
      </c>
      <c r="V16" s="41">
        <v>937.06454414899713</v>
      </c>
      <c r="W16" s="42">
        <v>930.24643455045498</v>
      </c>
      <c r="X16" s="41">
        <v>926.16914775733665</v>
      </c>
      <c r="Y16" s="42">
        <v>918.77141767407818</v>
      </c>
      <c r="Z16" s="41">
        <v>913.48615475167082</v>
      </c>
      <c r="AA16" s="42">
        <v>905.55833935773137</v>
      </c>
      <c r="AB16" s="41">
        <v>898.39208557321899</v>
      </c>
      <c r="AC16" s="42">
        <v>890.00694496884114</v>
      </c>
      <c r="AD16" s="41">
        <v>879.85967528184574</v>
      </c>
      <c r="AE16" s="42">
        <v>871.12633864265126</v>
      </c>
      <c r="AF16" s="41">
        <v>856.03364008893902</v>
      </c>
      <c r="AG16" s="42">
        <v>847.11680287944557</v>
      </c>
      <c r="AH16" s="41">
        <v>823.21287136094111</v>
      </c>
      <c r="AI16" s="42">
        <v>814.35556234223145</v>
      </c>
      <c r="AJ16" s="41">
        <v>773.30787011279085</v>
      </c>
      <c r="AK16" s="42">
        <v>764.8521472075787</v>
      </c>
      <c r="AL16" s="41">
        <v>686.6919734928897</v>
      </c>
      <c r="AM16" s="42">
        <v>679.14718620296276</v>
      </c>
      <c r="AN16" s="41">
        <v>502.91929068369905</v>
      </c>
      <c r="AO16" s="42">
        <v>497.39020896084372</v>
      </c>
      <c r="AP16" s="41">
        <v>439.15904904375861</v>
      </c>
      <c r="AQ16" s="42">
        <v>434.33089349239941</v>
      </c>
      <c r="AR16" s="41">
        <v>358.11925672710248</v>
      </c>
      <c r="AS16" s="42">
        <v>354.18204468950296</v>
      </c>
      <c r="AT16" s="41">
        <v>252.91178204058426</v>
      </c>
      <c r="AU16" s="42">
        <v>250.13123262010197</v>
      </c>
      <c r="AV16" s="41">
        <v>117.49574479311654</v>
      </c>
      <c r="AW16" s="42">
        <v>116.20397876913069</v>
      </c>
    </row>
    <row r="17" spans="1:49" x14ac:dyDescent="0.2">
      <c r="A17" t="s">
        <v>62</v>
      </c>
      <c r="B17" s="35">
        <v>1000.0000000000002</v>
      </c>
      <c r="C17" s="36">
        <v>999.99999999999977</v>
      </c>
      <c r="D17" s="35">
        <v>998.66668796938143</v>
      </c>
      <c r="E17" s="36">
        <v>1032.8307527199502</v>
      </c>
      <c r="F17" s="35">
        <v>997.29685621804265</v>
      </c>
      <c r="G17" s="36">
        <v>1069.6480222605439</v>
      </c>
      <c r="H17" s="35">
        <v>995.88409561723006</v>
      </c>
      <c r="I17" s="36">
        <v>1111.1817522838389</v>
      </c>
      <c r="J17" s="35">
        <v>994.4210870083831</v>
      </c>
      <c r="K17" s="36">
        <v>1158.3505962782542</v>
      </c>
      <c r="L17" s="35">
        <v>992.89969158164934</v>
      </c>
      <c r="M17" s="36">
        <v>1212.3281428017033</v>
      </c>
      <c r="N17" s="35">
        <v>991.31123302268429</v>
      </c>
      <c r="O17" s="36">
        <v>1274.6439310917719</v>
      </c>
      <c r="P17" s="35">
        <v>989.64705475770813</v>
      </c>
      <c r="Q17" s="36">
        <v>1347.3294118017393</v>
      </c>
      <c r="R17" s="35">
        <v>987.89983642348557</v>
      </c>
      <c r="S17" s="36">
        <v>1433.1550694234129</v>
      </c>
      <c r="T17" s="35">
        <v>986.06608747252619</v>
      </c>
      <c r="U17" s="36">
        <v>1536.0141965141231</v>
      </c>
      <c r="V17" s="35">
        <v>984.15094016593775</v>
      </c>
      <c r="W17" s="36">
        <v>1661.5826922530255</v>
      </c>
      <c r="X17" s="35">
        <v>982.17732301978231</v>
      </c>
      <c r="Y17" s="36">
        <v>1818.5112969164275</v>
      </c>
      <c r="Z17" s="35">
        <v>980.20350020623187</v>
      </c>
      <c r="AA17" s="36">
        <v>2020.7191507649941</v>
      </c>
      <c r="AB17" s="35">
        <v>978.35667190134768</v>
      </c>
      <c r="AC17" s="36">
        <v>2292.126918865979</v>
      </c>
      <c r="AD17" s="35">
        <v>976.89479312509968</v>
      </c>
      <c r="AE17" s="36">
        <v>2677.2205507242297</v>
      </c>
      <c r="AF17" s="35">
        <v>976.30330628388549</v>
      </c>
      <c r="AG17" s="36">
        <v>3266.6418191723837</v>
      </c>
      <c r="AH17" s="35">
        <v>977.35653905103834</v>
      </c>
      <c r="AI17" s="36">
        <v>4264.5303298456765</v>
      </c>
      <c r="AJ17" s="35">
        <v>980.82788968087573</v>
      </c>
      <c r="AK17" s="36">
        <v>6188.1017674188115</v>
      </c>
      <c r="AL17" s="35">
        <v>986.64667118236912</v>
      </c>
      <c r="AM17" s="36">
        <v>10653.592939245063</v>
      </c>
      <c r="AN17" s="35">
        <v>993.86743537654127</v>
      </c>
      <c r="AO17" s="36">
        <v>25745.138424068093</v>
      </c>
      <c r="AP17" s="35">
        <v>995.48763466928494</v>
      </c>
      <c r="AQ17" s="36">
        <v>33345.166799859981</v>
      </c>
      <c r="AR17" s="35">
        <v>997.27075206959455</v>
      </c>
      <c r="AS17" s="36">
        <v>45463.633110797738</v>
      </c>
      <c r="AT17" s="35">
        <v>999.41452613632964</v>
      </c>
      <c r="AU17" s="36">
        <v>66955.372914291147</v>
      </c>
      <c r="AV17" s="35">
        <v>1002.5128462686212</v>
      </c>
      <c r="AW17" s="36">
        <v>112376.52830842283</v>
      </c>
    </row>
    <row r="18" spans="1:49" x14ac:dyDescent="0.2">
      <c r="A18" t="s">
        <v>19</v>
      </c>
      <c r="B18" s="33">
        <v>27857.010133999996</v>
      </c>
      <c r="C18" s="34">
        <v>1236.7674480000003</v>
      </c>
      <c r="D18" s="33">
        <v>27867.668043409514</v>
      </c>
      <c r="E18" s="34">
        <v>1150.6496384898637</v>
      </c>
      <c r="F18" s="33">
        <v>27874.701609086169</v>
      </c>
      <c r="G18" s="34">
        <v>1064.6203231981335</v>
      </c>
      <c r="H18" s="33">
        <v>27877.566724751359</v>
      </c>
      <c r="I18" s="34">
        <v>978.70500442034108</v>
      </c>
      <c r="J18" s="33">
        <v>27875.595213969435</v>
      </c>
      <c r="K18" s="34">
        <v>892.93971337302457</v>
      </c>
      <c r="L18" s="33">
        <v>27867.946170203933</v>
      </c>
      <c r="M18" s="34">
        <v>807.38864173235982</v>
      </c>
      <c r="N18" s="33">
        <v>27853.552695184397</v>
      </c>
      <c r="O18" s="34">
        <v>722.13905577412891</v>
      </c>
      <c r="P18" s="33">
        <v>27831.021354441629</v>
      </c>
      <c r="Q18" s="34">
        <v>637.33399692366913</v>
      </c>
      <c r="R18" s="33">
        <v>27798.491131913423</v>
      </c>
      <c r="S18" s="34">
        <v>553.19375237424333</v>
      </c>
      <c r="T18" s="33">
        <v>27753.405638721484</v>
      </c>
      <c r="U18" s="34">
        <v>470.05823273511135</v>
      </c>
      <c r="V18" s="33">
        <v>27692.133750895293</v>
      </c>
      <c r="W18" s="34">
        <v>388.45603777140735</v>
      </c>
      <c r="X18" s="33">
        <v>27609.322350420891</v>
      </c>
      <c r="Y18" s="34">
        <v>309.20662978661147</v>
      </c>
      <c r="Z18" s="33">
        <v>27496.730772503644</v>
      </c>
      <c r="AA18" s="34">
        <v>233.5804065446292</v>
      </c>
      <c r="AB18" s="33">
        <v>27341.038584166236</v>
      </c>
      <c r="AC18" s="34">
        <v>163.52980538891674</v>
      </c>
      <c r="AD18" s="33">
        <v>27119.532569348685</v>
      </c>
      <c r="AE18" s="34">
        <v>101.97006711066892</v>
      </c>
      <c r="AF18" s="33">
        <v>26791.386009507005</v>
      </c>
      <c r="AG18" s="34">
        <v>52.864752219321318</v>
      </c>
      <c r="AH18" s="33">
        <v>26279.883982468215</v>
      </c>
      <c r="AI18" s="34">
        <v>20.229007498529512</v>
      </c>
      <c r="AJ18" s="33">
        <v>25433.088872811957</v>
      </c>
      <c r="AK18" s="34">
        <v>4.7000903357471175</v>
      </c>
      <c r="AL18" s="33">
        <v>23893.185422528451</v>
      </c>
      <c r="AM18" s="34">
        <v>0.47729884356921498</v>
      </c>
      <c r="AN18" s="33">
        <v>20367.983013641537</v>
      </c>
      <c r="AO18" s="34">
        <v>9.1832001613702148E-3</v>
      </c>
      <c r="AP18" s="33">
        <v>19016.519095009124</v>
      </c>
      <c r="AQ18" s="34">
        <v>2.75419156894227E-3</v>
      </c>
      <c r="AR18" s="33">
        <v>17156.085457507321</v>
      </c>
      <c r="AS18" s="34">
        <v>6.3067098802648219E-4</v>
      </c>
      <c r="AT18" s="33">
        <v>14400.9349238635</v>
      </c>
      <c r="AU18" s="34">
        <v>9.4310800170519874E-5</v>
      </c>
      <c r="AV18" s="33">
        <v>9799.419494602902</v>
      </c>
      <c r="AW18" s="34">
        <v>6.2728409096572624E-6</v>
      </c>
    </row>
    <row r="19" spans="1:49" x14ac:dyDescent="0.2">
      <c r="A19" t="s">
        <v>3</v>
      </c>
      <c r="B19" s="41">
        <v>1886.3937399999918</v>
      </c>
      <c r="C19" s="42">
        <v>262.78711299999759</v>
      </c>
      <c r="D19" s="41">
        <v>1880.4767244845416</v>
      </c>
      <c r="E19" s="42">
        <v>268.8690159581347</v>
      </c>
      <c r="F19" s="41">
        <v>1874.1328020754743</v>
      </c>
      <c r="G19" s="42">
        <v>275.82545621292155</v>
      </c>
      <c r="H19" s="41">
        <v>1867.2964327944878</v>
      </c>
      <c r="I19" s="42">
        <v>283.76668525176126</v>
      </c>
      <c r="J19" s="41">
        <v>1859.8900701751261</v>
      </c>
      <c r="K19" s="42">
        <v>292.81487523917883</v>
      </c>
      <c r="L19" s="41">
        <v>1851.8218137767174</v>
      </c>
      <c r="M19" s="42">
        <v>303.10054983939301</v>
      </c>
      <c r="N19" s="41">
        <v>1842.9831867741266</v>
      </c>
      <c r="O19" s="42">
        <v>314.76140190100085</v>
      </c>
      <c r="P19" s="41">
        <v>1833.2464384345872</v>
      </c>
      <c r="Q19" s="42">
        <v>327.92603270088125</v>
      </c>
      <c r="R19" s="41">
        <v>1822.4622044635066</v>
      </c>
      <c r="S19" s="42">
        <v>342.69429796705128</v>
      </c>
      <c r="T19" s="41">
        <v>1810.4580513587357</v>
      </c>
      <c r="U19" s="42">
        <v>359.09390538558864</v>
      </c>
      <c r="V19" s="41">
        <v>1797.0387892967804</v>
      </c>
      <c r="W19" s="42">
        <v>377.00042142680326</v>
      </c>
      <c r="X19" s="41">
        <v>1781.9912369699819</v>
      </c>
      <c r="Y19" s="42">
        <v>395.98652707109841</v>
      </c>
      <c r="Z19" s="41">
        <v>1765.0963346768647</v>
      </c>
      <c r="AA19" s="42">
        <v>415.03752214620391</v>
      </c>
      <c r="AB19" s="41">
        <v>1746.1510759208497</v>
      </c>
      <c r="AC19" s="42">
        <v>432.01704070703749</v>
      </c>
      <c r="AD19" s="41">
        <v>1724.9810564679744</v>
      </c>
      <c r="AE19" s="42">
        <v>442.70499763080335</v>
      </c>
      <c r="AF19" s="41">
        <v>1701.302515931623</v>
      </c>
      <c r="AG19" s="42">
        <v>439.36269594079698</v>
      </c>
      <c r="AH19" s="41">
        <v>1673.7231890816288</v>
      </c>
      <c r="AI19" s="42">
        <v>410.04575423890975</v>
      </c>
      <c r="AJ19" s="41">
        <v>1635.4414177952649</v>
      </c>
      <c r="AK19" s="42">
        <v>343.55102123742546</v>
      </c>
      <c r="AL19" s="41">
        <v>1561.1072450845886</v>
      </c>
      <c r="AM19" s="42">
        <v>242.21359258067798</v>
      </c>
      <c r="AN19" s="41">
        <v>1356.9634597465435</v>
      </c>
      <c r="AO19" s="42">
        <v>123.06549374383341</v>
      </c>
      <c r="AP19" s="41">
        <v>1272.4203067782303</v>
      </c>
      <c r="AQ19" s="42">
        <v>98.530228392858689</v>
      </c>
      <c r="AR19" s="41">
        <v>1153.3954652495879</v>
      </c>
      <c r="AS19" s="42">
        <v>73.929315376326898</v>
      </c>
      <c r="AT19" s="41">
        <v>973.68173976308833</v>
      </c>
      <c r="AU19" s="42">
        <v>49.296122787167832</v>
      </c>
      <c r="AV19" s="41">
        <v>667.99059316283103</v>
      </c>
      <c r="AW19" s="42">
        <v>24.649930162882601</v>
      </c>
    </row>
    <row r="20" spans="1:49" x14ac:dyDescent="0.2">
      <c r="A20" t="s">
        <v>127</v>
      </c>
      <c r="B20" s="82">
        <v>26548.356269999993</v>
      </c>
      <c r="C20" s="83">
        <v>1408.5418709999938</v>
      </c>
      <c r="D20" s="82">
        <v>26542.909074390303</v>
      </c>
      <c r="E20" s="83">
        <v>1338.1147774499941</v>
      </c>
      <c r="F20" s="82">
        <v>26533.50721606463</v>
      </c>
      <c r="G20" s="83">
        <v>1267.6876838999945</v>
      </c>
      <c r="H20" s="82">
        <v>26519.557212290205</v>
      </c>
      <c r="I20" s="83">
        <v>1197.2605903499946</v>
      </c>
      <c r="J20" s="82">
        <v>26500.337000851716</v>
      </c>
      <c r="K20" s="83">
        <v>1126.8334967999949</v>
      </c>
      <c r="L20" s="82">
        <v>26474.951374023214</v>
      </c>
      <c r="M20" s="83">
        <v>1056.4064032499953</v>
      </c>
      <c r="N20" s="82">
        <v>26442.284194461743</v>
      </c>
      <c r="O20" s="83">
        <v>985.97930969999561</v>
      </c>
      <c r="P20" s="82">
        <v>26400.912065476823</v>
      </c>
      <c r="Q20" s="83">
        <v>915.55221614999596</v>
      </c>
      <c r="R20" s="82">
        <v>26348.987313573223</v>
      </c>
      <c r="S20" s="83">
        <v>845.1251225999963</v>
      </c>
      <c r="T20" s="82">
        <v>26284.05548852024</v>
      </c>
      <c r="U20" s="83">
        <v>774.69802904999653</v>
      </c>
      <c r="V20" s="82">
        <v>26202.759547782127</v>
      </c>
      <c r="W20" s="83">
        <v>704.27093549999688</v>
      </c>
      <c r="X20" s="82">
        <v>26100.347876171199</v>
      </c>
      <c r="Y20" s="83">
        <v>633.84384194999711</v>
      </c>
      <c r="Z20" s="82">
        <v>25969.800304832155</v>
      </c>
      <c r="AA20" s="83">
        <v>563.41674839999746</v>
      </c>
      <c r="AB20" s="82">
        <v>25800.185360969608</v>
      </c>
      <c r="AC20" s="83">
        <v>492.98965484999781</v>
      </c>
      <c r="AD20" s="82">
        <v>25573.348164268285</v>
      </c>
      <c r="AE20" s="83">
        <v>422.56256129999809</v>
      </c>
      <c r="AF20" s="82">
        <v>25256.766019723298</v>
      </c>
      <c r="AG20" s="83">
        <v>352.13546774999827</v>
      </c>
      <c r="AH20" s="82">
        <v>24787.03254004538</v>
      </c>
      <c r="AI20" s="83">
        <v>281.70837419999856</v>
      </c>
      <c r="AJ20" s="82">
        <v>24027.824807958772</v>
      </c>
      <c r="AK20" s="83">
        <v>211.28128064999879</v>
      </c>
      <c r="AL20" s="82">
        <v>22634.269390160924</v>
      </c>
      <c r="AM20" s="83">
        <v>140.85418709999902</v>
      </c>
      <c r="AN20" s="82">
        <v>19358.306474404744</v>
      </c>
      <c r="AO20" s="83">
        <v>70.427093549999285</v>
      </c>
      <c r="AP20" s="82">
        <v>18086.959656265386</v>
      </c>
      <c r="AQ20" s="83">
        <v>56.341674839999335</v>
      </c>
      <c r="AR20" s="82">
        <v>16330.42928533094</v>
      </c>
      <c r="AS20" s="83">
        <v>42.256256129999379</v>
      </c>
      <c r="AT20" s="82">
        <v>13720.877453463847</v>
      </c>
      <c r="AU20" s="83">
        <v>28.170837419999433</v>
      </c>
      <c r="AV20" s="82">
        <v>9349.3490852407358</v>
      </c>
      <c r="AW20" s="83">
        <v>14.08541870999948</v>
      </c>
    </row>
    <row r="21" spans="1:49" x14ac:dyDescent="0.2">
      <c r="A21" t="s">
        <v>76</v>
      </c>
      <c r="B21" s="82">
        <v>24661.962529999968</v>
      </c>
      <c r="C21" s="83">
        <v>1145.7547579999991</v>
      </c>
      <c r="D21" s="82">
        <v>24662.436719981284</v>
      </c>
      <c r="E21" s="83">
        <v>1069.4668235610573</v>
      </c>
      <c r="F21" s="82">
        <v>24659.392392051399</v>
      </c>
      <c r="G21" s="83">
        <v>992.80872200296631</v>
      </c>
      <c r="H21" s="82">
        <v>24652.302491382809</v>
      </c>
      <c r="I21" s="83">
        <v>915.77971298726948</v>
      </c>
      <c r="J21" s="82">
        <v>24640.523611982833</v>
      </c>
      <c r="K21" s="83">
        <v>838.39276944484754</v>
      </c>
      <c r="L21" s="82">
        <v>24623.253818909398</v>
      </c>
      <c r="M21" s="83">
        <v>760.68390262586649</v>
      </c>
      <c r="N21" s="82">
        <v>24599.487123100469</v>
      </c>
      <c r="O21" s="83">
        <v>682.7205660948274</v>
      </c>
      <c r="P21" s="82">
        <v>24567.929853896982</v>
      </c>
      <c r="Q21" s="83">
        <v>604.62443753791979</v>
      </c>
      <c r="R21" s="82">
        <v>24526.885917178246</v>
      </c>
      <c r="S21" s="83">
        <v>526.59706823753515</v>
      </c>
      <c r="T21" s="82">
        <v>24474.075523721949</v>
      </c>
      <c r="U21" s="83">
        <v>448.96374795630425</v>
      </c>
      <c r="V21" s="82">
        <v>24406.338486396686</v>
      </c>
      <c r="W21" s="83">
        <v>372.24012875904231</v>
      </c>
      <c r="X21" s="82">
        <v>24319.136180073703</v>
      </c>
      <c r="Y21" s="83">
        <v>297.23565996630492</v>
      </c>
      <c r="Z21" s="82">
        <v>24205.662709323606</v>
      </c>
      <c r="AA21" s="83">
        <v>225.21192941861227</v>
      </c>
      <c r="AB21" s="82">
        <v>24055.174762168372</v>
      </c>
      <c r="AC21" s="83">
        <v>158.11277065165152</v>
      </c>
      <c r="AD21" s="82">
        <v>23849.657221788089</v>
      </c>
      <c r="AE21" s="83">
        <v>98.842074963515458</v>
      </c>
      <c r="AF21" s="82">
        <v>23556.804475520858</v>
      </c>
      <c r="AG21" s="83">
        <v>51.354781309377074</v>
      </c>
      <c r="AH21" s="82">
        <v>23114.509788165818</v>
      </c>
      <c r="AI21" s="83">
        <v>19.684685491023117</v>
      </c>
      <c r="AJ21" s="82">
        <v>22393.214872452561</v>
      </c>
      <c r="AK21" s="83">
        <v>4.5786965630880081</v>
      </c>
      <c r="AL21" s="82">
        <v>21073.540047203987</v>
      </c>
      <c r="AM21" s="83">
        <v>0.46521645879640783</v>
      </c>
      <c r="AN21" s="82">
        <v>18001.410732993034</v>
      </c>
      <c r="AO21" s="83">
        <v>8.9520538519688719E-3</v>
      </c>
      <c r="AP21" s="82">
        <v>16814.573554589846</v>
      </c>
      <c r="AQ21" s="83">
        <v>2.684885767730984E-3</v>
      </c>
      <c r="AR21" s="82">
        <v>15177.045099892624</v>
      </c>
      <c r="AS21" s="83">
        <v>6.1480313722119982E-4</v>
      </c>
      <c r="AT21" s="82">
        <v>12747.196148998428</v>
      </c>
      <c r="AU21" s="83">
        <v>9.1938164703442589E-5</v>
      </c>
      <c r="AV21" s="82">
        <v>8681.3639408423496</v>
      </c>
      <c r="AW21" s="83">
        <v>6.1150305582647317E-6</v>
      </c>
    </row>
    <row r="22" spans="1:49" x14ac:dyDescent="0.2">
      <c r="A22" t="s">
        <v>28</v>
      </c>
      <c r="B22" s="41">
        <v>6533.6044688320644</v>
      </c>
      <c r="C22" s="42">
        <v>379.90788307663382</v>
      </c>
      <c r="D22" s="41">
        <v>6504.4761296855186</v>
      </c>
      <c r="E22" s="42">
        <v>363.35586823601312</v>
      </c>
      <c r="F22" s="41">
        <v>6473.0489091486315</v>
      </c>
      <c r="G22" s="42">
        <v>346.63903455603867</v>
      </c>
      <c r="H22" s="41">
        <v>6438.9993309664487</v>
      </c>
      <c r="I22" s="42">
        <v>329.75271667794192</v>
      </c>
      <c r="J22" s="41">
        <v>6401.9369745500007</v>
      </c>
      <c r="K22" s="42">
        <v>312.6912064982223</v>
      </c>
      <c r="L22" s="41">
        <v>6361.3785452184302</v>
      </c>
      <c r="M22" s="42">
        <v>295.44695175636224</v>
      </c>
      <c r="N22" s="41">
        <v>6316.7290767925333</v>
      </c>
      <c r="O22" s="42">
        <v>278.00926111753097</v>
      </c>
      <c r="P22" s="41">
        <v>6267.2270267691847</v>
      </c>
      <c r="Q22" s="42">
        <v>260.36312833773286</v>
      </c>
      <c r="R22" s="41">
        <v>6211.8834052792208</v>
      </c>
      <c r="S22" s="42">
        <v>242.48642368978167</v>
      </c>
      <c r="T22" s="41">
        <v>6149.3773905172175</v>
      </c>
      <c r="U22" s="42">
        <v>224.34638737911547</v>
      </c>
      <c r="V22" s="41">
        <v>6077.8839685357461</v>
      </c>
      <c r="W22" s="42">
        <v>205.89397326890406</v>
      </c>
      <c r="X22" s="41">
        <v>5994.7842496802086</v>
      </c>
      <c r="Y22" s="42">
        <v>187.05587683911841</v>
      </c>
      <c r="Z22" s="41">
        <v>5896.1461669473993</v>
      </c>
      <c r="AA22" s="42">
        <v>167.72325308008229</v>
      </c>
      <c r="AB22" s="41">
        <v>5775.7589463618342</v>
      </c>
      <c r="AC22" s="42">
        <v>147.7382098141947</v>
      </c>
      <c r="AD22" s="41">
        <v>5623.2605683243764</v>
      </c>
      <c r="AE22" s="42">
        <v>126.88582822423123</v>
      </c>
      <c r="AF22" s="41">
        <v>5420.475111974687</v>
      </c>
      <c r="AG22" s="42">
        <v>104.92520713757081</v>
      </c>
      <c r="AH22" s="41">
        <v>5134.5014048982648</v>
      </c>
      <c r="AI22" s="42">
        <v>81.753737427974542</v>
      </c>
      <c r="AJ22" s="41">
        <v>4704.9646558463473</v>
      </c>
      <c r="AK22" s="42">
        <v>57.803102798604144</v>
      </c>
      <c r="AL22" s="41">
        <v>4010.1991651195522</v>
      </c>
      <c r="AM22" s="42">
        <v>34.336610839584658</v>
      </c>
      <c r="AN22" s="41">
        <v>2720.1839684162082</v>
      </c>
      <c r="AO22" s="42">
        <v>13.262915632215352</v>
      </c>
      <c r="AP22" s="41">
        <v>2315.6957852718338</v>
      </c>
      <c r="AQ22" s="42">
        <v>9.603596082111121</v>
      </c>
      <c r="AR22" s="41">
        <v>1827.7497743529441</v>
      </c>
      <c r="AS22" s="42">
        <v>6.2516939485350909</v>
      </c>
      <c r="AT22" s="41">
        <v>1234.6586830991732</v>
      </c>
      <c r="AU22" s="42">
        <v>3.3254182810249762</v>
      </c>
      <c r="AV22" s="41">
        <v>536.52032120784088</v>
      </c>
      <c r="AW22" s="42">
        <v>1.0520869222066815</v>
      </c>
    </row>
    <row r="23" spans="1:49" x14ac:dyDescent="0.2">
      <c r="A23" t="s">
        <v>7</v>
      </c>
      <c r="B23" s="116">
        <v>3278.5018080150408</v>
      </c>
      <c r="C23" s="8">
        <v>0</v>
      </c>
      <c r="D23" s="116">
        <v>3283.7276575349042</v>
      </c>
      <c r="E23" s="8">
        <v>0</v>
      </c>
      <c r="F23" s="116">
        <v>3288.5712955069198</v>
      </c>
      <c r="G23" s="8">
        <v>0</v>
      </c>
      <c r="H23" s="116">
        <v>3292.9704778772439</v>
      </c>
      <c r="I23" s="8">
        <v>0</v>
      </c>
      <c r="J23" s="116">
        <v>3296.8490846012837</v>
      </c>
      <c r="K23" s="8">
        <v>0</v>
      </c>
      <c r="L23" s="116">
        <v>3300.1114519836665</v>
      </c>
      <c r="M23" s="8">
        <v>0</v>
      </c>
      <c r="N23" s="116">
        <v>3302.6388854418251</v>
      </c>
      <c r="O23" s="8">
        <v>0</v>
      </c>
      <c r="P23" s="116">
        <v>3304.2793196060361</v>
      </c>
      <c r="Q23" s="8">
        <v>0</v>
      </c>
      <c r="R23" s="116">
        <v>3304.8362585701448</v>
      </c>
      <c r="S23" s="8">
        <v>0</v>
      </c>
      <c r="T23" s="116">
        <v>3304.0511574549155</v>
      </c>
      <c r="U23" s="8">
        <v>0</v>
      </c>
      <c r="V23" s="116">
        <v>3301.575483607267</v>
      </c>
      <c r="W23" s="8">
        <v>0</v>
      </c>
      <c r="X23" s="116">
        <v>3296.926253131548</v>
      </c>
      <c r="Y23" s="8">
        <v>0</v>
      </c>
      <c r="Z23" s="116">
        <v>3289.4082713685375</v>
      </c>
      <c r="AA23" s="8">
        <v>0</v>
      </c>
      <c r="AB23" s="116">
        <v>3277.9682784409242</v>
      </c>
      <c r="AC23" s="8">
        <v>0</v>
      </c>
      <c r="AD23" s="116">
        <v>3260.8882899736432</v>
      </c>
      <c r="AE23" s="8">
        <v>0</v>
      </c>
      <c r="AF23" s="116">
        <v>3235.0545403055603</v>
      </c>
      <c r="AG23" s="8">
        <v>0</v>
      </c>
      <c r="AH23" s="116">
        <v>3193.9587206569868</v>
      </c>
      <c r="AI23" s="8">
        <v>0</v>
      </c>
      <c r="AJ23" s="116">
        <v>3121.695536430499</v>
      </c>
      <c r="AK23" s="8">
        <v>0</v>
      </c>
      <c r="AL23" s="116">
        <v>2972.9426434681359</v>
      </c>
      <c r="AM23" s="8">
        <v>0</v>
      </c>
      <c r="AN23" s="116">
        <v>2573.6731824931794</v>
      </c>
      <c r="AO23" s="8">
        <v>0</v>
      </c>
      <c r="AP23" s="116">
        <v>2408.2137085787731</v>
      </c>
      <c r="AQ23" s="8">
        <v>0</v>
      </c>
      <c r="AR23" s="116">
        <v>2174.2575896799381</v>
      </c>
      <c r="AS23" s="8">
        <v>0</v>
      </c>
      <c r="AT23" s="116">
        <v>1820.1412297899255</v>
      </c>
      <c r="AU23" s="8">
        <v>0</v>
      </c>
      <c r="AV23" s="116">
        <v>1223.3981001203426</v>
      </c>
      <c r="AW23" s="8">
        <v>0</v>
      </c>
    </row>
    <row r="24" spans="1:49" x14ac:dyDescent="0.2">
      <c r="A24" t="s">
        <v>8</v>
      </c>
      <c r="B24" s="97">
        <v>3196.3846373657216</v>
      </c>
      <c r="C24" s="8">
        <v>0</v>
      </c>
      <c r="D24" s="97">
        <v>3233.5804140928672</v>
      </c>
      <c r="E24" s="8">
        <v>0</v>
      </c>
      <c r="F24" s="97">
        <v>3271.3255351384055</v>
      </c>
      <c r="G24" s="8">
        <v>0</v>
      </c>
      <c r="H24" s="97">
        <v>3309.6834973169762</v>
      </c>
      <c r="I24" s="8">
        <v>0</v>
      </c>
      <c r="J24" s="97">
        <v>3348.7296962893897</v>
      </c>
      <c r="K24" s="8">
        <v>0</v>
      </c>
      <c r="L24" s="97">
        <v>3388.5552457425579</v>
      </c>
      <c r="M24" s="8">
        <v>0</v>
      </c>
      <c r="N24" s="97">
        <v>3429.2739749776247</v>
      </c>
      <c r="O24" s="8">
        <v>0</v>
      </c>
      <c r="P24" s="97">
        <v>3471.034719378642</v>
      </c>
      <c r="Q24" s="8">
        <v>0</v>
      </c>
      <c r="R24" s="97">
        <v>3514.0407151259774</v>
      </c>
      <c r="S24" s="8">
        <v>0</v>
      </c>
      <c r="T24" s="97">
        <v>3558.5845431074672</v>
      </c>
      <c r="U24" s="8">
        <v>0</v>
      </c>
      <c r="V24" s="97">
        <v>3605.111761162073</v>
      </c>
      <c r="W24" s="8">
        <v>0</v>
      </c>
      <c r="X24" s="97">
        <v>3654.3376548583155</v>
      </c>
      <c r="Y24" s="8">
        <v>0</v>
      </c>
      <c r="Z24" s="97">
        <v>3707.4686013415808</v>
      </c>
      <c r="AA24" s="8">
        <v>0</v>
      </c>
      <c r="AB24" s="97">
        <v>3766.6258920203254</v>
      </c>
      <c r="AC24" s="8">
        <v>0</v>
      </c>
      <c r="AD24" s="97">
        <v>3835.6358875739988</v>
      </c>
      <c r="AE24" s="8">
        <v>0</v>
      </c>
      <c r="AF24" s="97">
        <v>3921.3109106606948</v>
      </c>
      <c r="AG24" s="8">
        <v>0</v>
      </c>
      <c r="AH24" s="97">
        <v>4034.4327836834709</v>
      </c>
      <c r="AI24" s="8">
        <v>0</v>
      </c>
      <c r="AJ24" s="97">
        <v>4186.0233298364756</v>
      </c>
      <c r="AK24" s="8">
        <v>0</v>
      </c>
      <c r="AL24" s="97">
        <v>4368.3619842750768</v>
      </c>
      <c r="AM24" s="8">
        <v>0</v>
      </c>
      <c r="AN24" s="97">
        <v>4449.4043055462062</v>
      </c>
      <c r="AO24" s="8">
        <v>0</v>
      </c>
      <c r="AP24" s="97">
        <v>4386.5508770407396</v>
      </c>
      <c r="AQ24" s="8">
        <v>0</v>
      </c>
      <c r="AR24" s="97">
        <v>4230.662734871933</v>
      </c>
      <c r="AS24" s="8">
        <v>0</v>
      </c>
      <c r="AT24" s="97">
        <v>3869.3012333100864</v>
      </c>
      <c r="AU24" s="8">
        <v>0</v>
      </c>
      <c r="AV24" s="97">
        <v>2964.9333755172261</v>
      </c>
      <c r="AW24" s="8">
        <v>0</v>
      </c>
    </row>
    <row r="25" spans="1:49" x14ac:dyDescent="0.2">
      <c r="A25" t="s">
        <v>0</v>
      </c>
      <c r="B25" s="41">
        <v>3195.0476040000012</v>
      </c>
      <c r="C25" s="42">
        <v>91.012690000004397</v>
      </c>
      <c r="D25" s="41">
        <v>3205.2242378847159</v>
      </c>
      <c r="E25" s="42">
        <v>81.142296589188263</v>
      </c>
      <c r="F25" s="41">
        <v>3215.2799582734528</v>
      </c>
      <c r="G25" s="42">
        <v>71.655242715910887</v>
      </c>
      <c r="H25" s="41">
        <v>3225.1960647153624</v>
      </c>
      <c r="I25" s="42">
        <v>62.585358448642587</v>
      </c>
      <c r="J25" s="41">
        <v>3234.9457467526236</v>
      </c>
      <c r="K25" s="42">
        <v>53.968570795700721</v>
      </c>
      <c r="L25" s="41">
        <v>3244.4874657878331</v>
      </c>
      <c r="M25" s="42">
        <v>45.843670821240877</v>
      </c>
      <c r="N25" s="41">
        <v>3253.7572174640281</v>
      </c>
      <c r="O25" s="42">
        <v>38.250759721140497</v>
      </c>
      <c r="P25" s="41">
        <v>3262.6515182427825</v>
      </c>
      <c r="Q25" s="42">
        <v>31.232504378301009</v>
      </c>
      <c r="R25" s="41">
        <v>3271.0012065104206</v>
      </c>
      <c r="S25" s="42">
        <v>24.833084511259177</v>
      </c>
      <c r="T25" s="41">
        <v>3278.5252876651807</v>
      </c>
      <c r="U25" s="42">
        <v>19.097623826502378</v>
      </c>
      <c r="V25" s="41">
        <v>3284.7492439027674</v>
      </c>
      <c r="W25" s="42">
        <v>14.071173088259405</v>
      </c>
      <c r="X25" s="41">
        <v>3288.8581145780859</v>
      </c>
      <c r="Y25" s="42">
        <v>9.7966491156031772</v>
      </c>
      <c r="Z25" s="41">
        <v>3289.4247385419021</v>
      </c>
      <c r="AA25" s="42">
        <v>6.3111719659854506</v>
      </c>
      <c r="AB25" s="41">
        <v>3283.89777608959</v>
      </c>
      <c r="AC25" s="42">
        <v>3.6388686014380123</v>
      </c>
      <c r="AD25" s="41">
        <v>3267.6412182807412</v>
      </c>
      <c r="AE25" s="42">
        <v>1.7767331537474955</v>
      </c>
      <c r="AF25" s="41">
        <v>3232.2550516737729</v>
      </c>
      <c r="AG25" s="42">
        <v>0.66792291789278724</v>
      </c>
      <c r="AH25" s="41">
        <v>3163.298345025406</v>
      </c>
      <c r="AI25" s="42">
        <v>0.16407521934361904</v>
      </c>
      <c r="AJ25" s="41">
        <v>3038.4515470268016</v>
      </c>
      <c r="AK25" s="42">
        <v>2.0108686473856986E-2</v>
      </c>
      <c r="AL25" s="41">
        <v>2819.0103285455834</v>
      </c>
      <c r="AM25" s="42">
        <v>7.7562135413907808E-4</v>
      </c>
      <c r="AN25" s="41">
        <v>2366.4609471105118</v>
      </c>
      <c r="AO25" s="42">
        <v>2.9045727603553333E-6</v>
      </c>
      <c r="AP25" s="41">
        <v>2201.8895781177193</v>
      </c>
      <c r="AQ25" s="42">
        <v>5.3317582663798692E-7</v>
      </c>
      <c r="AR25" s="41">
        <v>1979.0220012681361</v>
      </c>
      <c r="AS25" s="42">
        <v>6.7446961221415563E-8</v>
      </c>
      <c r="AT25" s="41">
        <v>1653.7380708933426</v>
      </c>
      <c r="AU25" s="42">
        <v>4.7764319875555396E-9</v>
      </c>
      <c r="AV25" s="41">
        <v>1118.0468239217698</v>
      </c>
      <c r="AW25" s="42">
        <v>1.158661768962562E-10</v>
      </c>
    </row>
    <row r="26" spans="1:49" x14ac:dyDescent="0.2">
      <c r="A26" t="s">
        <v>27</v>
      </c>
      <c r="B26" s="33">
        <v>5036.2953101960647</v>
      </c>
      <c r="C26" s="34">
        <v>74.905331803938267</v>
      </c>
      <c r="D26" s="33">
        <v>5041.1729159102051</v>
      </c>
      <c r="E26" s="34">
        <v>70.027726089797753</v>
      </c>
      <c r="F26" s="33">
        <v>5046.061276120101</v>
      </c>
      <c r="G26" s="34">
        <v>65.139365879884494</v>
      </c>
      <c r="H26" s="33">
        <v>5050.9621525785833</v>
      </c>
      <c r="I26" s="34">
        <v>60.238489421436597</v>
      </c>
      <c r="J26" s="33">
        <v>5055.8772745238821</v>
      </c>
      <c r="K26" s="34">
        <v>55.323367476122783</v>
      </c>
      <c r="L26" s="33">
        <v>5060.8075502244192</v>
      </c>
      <c r="M26" s="34">
        <v>50.393091775581695</v>
      </c>
      <c r="N26" s="33">
        <v>5065.7533113721693</v>
      </c>
      <c r="O26" s="34">
        <v>45.44733062782916</v>
      </c>
      <c r="P26" s="33">
        <v>5070.7126827946258</v>
      </c>
      <c r="Q26" s="34">
        <v>40.487959205370124</v>
      </c>
      <c r="R26" s="33">
        <v>5075.6803753455106</v>
      </c>
      <c r="S26" s="34">
        <v>35.52026665449219</v>
      </c>
      <c r="T26" s="33">
        <v>5080.6451984638115</v>
      </c>
      <c r="U26" s="34">
        <v>30.555443536189578</v>
      </c>
      <c r="V26" s="33">
        <v>5085.5858465199381</v>
      </c>
      <c r="W26" s="34">
        <v>25.614795480060238</v>
      </c>
      <c r="X26" s="33">
        <v>5090.4641742712465</v>
      </c>
      <c r="Y26" s="34">
        <v>20.736467728762111</v>
      </c>
      <c r="Z26" s="33">
        <v>5095.2140270151649</v>
      </c>
      <c r="AA26" s="34">
        <v>15.986614984835398</v>
      </c>
      <c r="AB26" s="33">
        <v>5099.7236079695349</v>
      </c>
      <c r="AC26" s="34">
        <v>11.477034030473966</v>
      </c>
      <c r="AD26" s="33">
        <v>5103.8105000025334</v>
      </c>
      <c r="AE26" s="34">
        <v>7.3901419974710016</v>
      </c>
      <c r="AF26" s="33">
        <v>5107.2013687439749</v>
      </c>
      <c r="AG26" s="34">
        <v>3.9992732560282471</v>
      </c>
      <c r="AH26" s="33">
        <v>5109.5749032292979</v>
      </c>
      <c r="AI26" s="34">
        <v>1.6257387707117286</v>
      </c>
      <c r="AJ26" s="33">
        <v>5110.7872425898258</v>
      </c>
      <c r="AK26" s="34">
        <v>0.41339941017786358</v>
      </c>
      <c r="AL26" s="33">
        <v>5111.1521224465723</v>
      </c>
      <c r="AM26" s="34">
        <v>4.8519553427847639E-2</v>
      </c>
      <c r="AN26" s="33">
        <v>5111.199411732422</v>
      </c>
      <c r="AO26" s="34">
        <v>1.2302675830826633E-3</v>
      </c>
      <c r="AP26" s="33">
        <v>5111.200236680932</v>
      </c>
      <c r="AQ26" s="34">
        <v>4.0531907215050087E-4</v>
      </c>
      <c r="AR26" s="33">
        <v>5111.2005369511007</v>
      </c>
      <c r="AS26" s="34">
        <v>1.0504890373677847E-4</v>
      </c>
      <c r="AT26" s="33">
        <v>5111.2006232107005</v>
      </c>
      <c r="AU26" s="34">
        <v>1.8789308684818039E-5</v>
      </c>
      <c r="AV26" s="33">
        <v>5111.2006402851785</v>
      </c>
      <c r="AW26" s="34">
        <v>1.7148254373506788E-6</v>
      </c>
    </row>
    <row r="27" spans="1:49" x14ac:dyDescent="0.2">
      <c r="A27" t="s">
        <v>2</v>
      </c>
      <c r="B27" s="35">
        <v>6425.1981590000305</v>
      </c>
      <c r="C27" s="36">
        <v>273.22915400000028</v>
      </c>
      <c r="D27" s="35">
        <v>6442.7648074407834</v>
      </c>
      <c r="E27" s="36">
        <v>255.66253262456965</v>
      </c>
      <c r="F27" s="35">
        <v>6460.401686880361</v>
      </c>
      <c r="G27" s="36">
        <v>238.02565937605539</v>
      </c>
      <c r="H27" s="35">
        <v>6478.1153537900645</v>
      </c>
      <c r="I27" s="36">
        <v>220.31200677357748</v>
      </c>
      <c r="J27" s="35">
        <v>6495.9124864471469</v>
      </c>
      <c r="K27" s="36">
        <v>202.5148795215961</v>
      </c>
      <c r="L27" s="35">
        <v>6513.7962452239653</v>
      </c>
      <c r="M27" s="36">
        <v>184.63106754753997</v>
      </c>
      <c r="N27" s="35">
        <v>6531.7684878356604</v>
      </c>
      <c r="O27" s="36">
        <v>166.65882425409018</v>
      </c>
      <c r="P27" s="35">
        <v>6549.8225719272386</v>
      </c>
      <c r="Q27" s="36">
        <v>148.60473889700151</v>
      </c>
      <c r="R27" s="35">
        <v>6567.9394051531699</v>
      </c>
      <c r="S27" s="36">
        <v>130.48791020847057</v>
      </c>
      <c r="T27" s="35">
        <v>6586.078312978254</v>
      </c>
      <c r="U27" s="36">
        <v>112.34900265493819</v>
      </c>
      <c r="V27" s="35">
        <v>6604.1611486825159</v>
      </c>
      <c r="W27" s="36">
        <v>94.26616654862606</v>
      </c>
      <c r="X27" s="35">
        <v>6622.0474624538865</v>
      </c>
      <c r="Y27" s="36">
        <v>76.37985471677591</v>
      </c>
      <c r="Z27" s="35">
        <v>6639.4928439998075</v>
      </c>
      <c r="AA27" s="36">
        <v>58.93447870099704</v>
      </c>
      <c r="AB27" s="35">
        <v>6656.0832720547878</v>
      </c>
      <c r="AC27" s="36">
        <v>42.344043567083702</v>
      </c>
      <c r="AD27" s="35">
        <v>6671.1417889941704</v>
      </c>
      <c r="AE27" s="36">
        <v>27.285528172586726</v>
      </c>
      <c r="AF27" s="35">
        <v>6683.6524609294138</v>
      </c>
      <c r="AG27" s="36">
        <v>14.774855072930617</v>
      </c>
      <c r="AH27" s="35">
        <v>6692.4186677025318</v>
      </c>
      <c r="AI27" s="36">
        <v>6.0086449742889538</v>
      </c>
      <c r="AJ27" s="35">
        <v>6696.8990806499687</v>
      </c>
      <c r="AK27" s="36">
        <v>1.528232709338647</v>
      </c>
      <c r="AL27" s="35">
        <v>6698.2479367498145</v>
      </c>
      <c r="AM27" s="36">
        <v>0.17937610376406488</v>
      </c>
      <c r="AN27" s="35">
        <v>6698.422764696702</v>
      </c>
      <c r="AO27" s="36">
        <v>4.5483202108222865E-3</v>
      </c>
      <c r="AP27" s="35">
        <v>6698.4258145422209</v>
      </c>
      <c r="AQ27" s="36">
        <v>1.4984719004720007E-3</v>
      </c>
      <c r="AR27" s="35">
        <v>6698.4269246540543</v>
      </c>
      <c r="AS27" s="36">
        <v>3.88367787330958E-4</v>
      </c>
      <c r="AT27" s="35">
        <v>6698.4272515466992</v>
      </c>
      <c r="AU27" s="36">
        <v>6.9464399375819604E-5</v>
      </c>
      <c r="AV27" s="35">
        <v>6698.4273066600344</v>
      </c>
      <c r="AW27" s="36">
        <v>6.3397424119534299E-6</v>
      </c>
    </row>
    <row r="28" spans="1:49" x14ac:dyDescent="0.2">
      <c r="A28" t="s">
        <v>35</v>
      </c>
      <c r="B28" s="41">
        <v>13763.097676000029</v>
      </c>
      <c r="C28" s="42">
        <v>382.36647899999997</v>
      </c>
      <c r="D28" s="41">
        <v>13787.762131100286</v>
      </c>
      <c r="E28" s="42">
        <v>357.69307493189217</v>
      </c>
      <c r="F28" s="41">
        <v>13812.494613889743</v>
      </c>
      <c r="G28" s="42">
        <v>332.93358643110389</v>
      </c>
      <c r="H28" s="41">
        <v>13837.304063726744</v>
      </c>
      <c r="I28" s="42">
        <v>308.07895777673235</v>
      </c>
      <c r="J28" s="41">
        <v>13862.199467085709</v>
      </c>
      <c r="K28" s="42">
        <v>283.12001385373884</v>
      </c>
      <c r="L28" s="41">
        <v>13887.185088400189</v>
      </c>
      <c r="M28" s="42">
        <v>258.05225989096664</v>
      </c>
      <c r="N28" s="41">
        <v>13912.263042834595</v>
      </c>
      <c r="O28" s="42">
        <v>232.8735072745738</v>
      </c>
      <c r="P28" s="41">
        <v>13937.423783983657</v>
      </c>
      <c r="Q28" s="42">
        <v>207.59311863917975</v>
      </c>
      <c r="R28" s="41">
        <v>13962.640469738635</v>
      </c>
      <c r="S28" s="42">
        <v>182.23794091834165</v>
      </c>
      <c r="T28" s="41">
        <v>13987.856352697663</v>
      </c>
      <c r="U28" s="42">
        <v>156.86498643391059</v>
      </c>
      <c r="V28" s="41">
        <v>14012.963023384951</v>
      </c>
      <c r="W28" s="42">
        <v>131.58348899239189</v>
      </c>
      <c r="X28" s="41">
        <v>14037.766245747545</v>
      </c>
      <c r="Y28" s="42">
        <v>106.5895159376234</v>
      </c>
      <c r="Z28" s="41">
        <v>14061.928831285204</v>
      </c>
      <c r="AA28" s="42">
        <v>82.22389130217573</v>
      </c>
      <c r="AB28" s="41">
        <v>14084.880618412562</v>
      </c>
      <c r="AC28" s="42">
        <v>59.063509241564525</v>
      </c>
      <c r="AD28" s="41">
        <v>14105.690698861416</v>
      </c>
      <c r="AE28" s="42">
        <v>38.051084742198043</v>
      </c>
      <c r="AF28" s="41">
        <v>14122.963617514522</v>
      </c>
      <c r="AG28" s="42">
        <v>20.600672608818591</v>
      </c>
      <c r="AH28" s="41">
        <v>14135.058002981119</v>
      </c>
      <c r="AI28" s="42">
        <v>8.3768581968816953</v>
      </c>
      <c r="AJ28" s="41">
        <v>14141.236679637303</v>
      </c>
      <c r="AK28" s="42">
        <v>2.130427331601696</v>
      </c>
      <c r="AL28" s="41">
        <v>14143.096442160077</v>
      </c>
      <c r="AM28" s="42">
        <v>0.25005388379396432</v>
      </c>
      <c r="AN28" s="41">
        <v>14143.337477221674</v>
      </c>
      <c r="AO28" s="42">
        <v>6.3404339378421272E-3</v>
      </c>
      <c r="AP28" s="41">
        <v>14143.341682016749</v>
      </c>
      <c r="AQ28" s="42">
        <v>2.0888945669726294E-3</v>
      </c>
      <c r="AR28" s="41">
        <v>14143.343212514377</v>
      </c>
      <c r="AS28" s="42">
        <v>5.41391066013787E-4</v>
      </c>
      <c r="AT28" s="41">
        <v>14143.343659983275</v>
      </c>
      <c r="AU28" s="42">
        <v>9.6834524702590704E-5</v>
      </c>
      <c r="AV28" s="41">
        <v>14143.343739191216</v>
      </c>
      <c r="AW28" s="42">
        <v>8.8377047997331479E-6</v>
      </c>
    </row>
    <row r="29" spans="1:49" x14ac:dyDescent="0.2">
      <c r="A29" t="s">
        <v>53</v>
      </c>
      <c r="B29" s="35">
        <v>14362.768558000025</v>
      </c>
      <c r="C29" s="36">
        <v>817.26650999999993</v>
      </c>
      <c r="D29" s="35">
        <v>14367.61425613065</v>
      </c>
      <c r="E29" s="36">
        <v>757.43914761331018</v>
      </c>
      <c r="F29" s="35">
        <v>14370.56243039589</v>
      </c>
      <c r="G29" s="36">
        <v>697.94179656172287</v>
      </c>
      <c r="H29" s="35">
        <v>14371.328565731365</v>
      </c>
      <c r="I29" s="36">
        <v>638.81695931838431</v>
      </c>
      <c r="J29" s="35">
        <v>14369.563543767998</v>
      </c>
      <c r="K29" s="36">
        <v>580.11671574335799</v>
      </c>
      <c r="L29" s="35">
        <v>14364.828744765668</v>
      </c>
      <c r="M29" s="36">
        <v>521.91433781177318</v>
      </c>
      <c r="N29" s="35">
        <v>14356.568160760484</v>
      </c>
      <c r="O29" s="36">
        <v>464.30081633020939</v>
      </c>
      <c r="P29" s="35">
        <v>14344.057563448892</v>
      </c>
      <c r="Q29" s="36">
        <v>407.40597484115517</v>
      </c>
      <c r="R29" s="35">
        <v>14326.332187931659</v>
      </c>
      <c r="S29" s="36">
        <v>351.41143873613277</v>
      </c>
      <c r="T29" s="35">
        <v>14302.070990009594</v>
      </c>
      <c r="U29" s="36">
        <v>296.57639169767083</v>
      </c>
      <c r="V29" s="35">
        <v>14269.404304268091</v>
      </c>
      <c r="W29" s="36">
        <v>243.2788208509223</v>
      </c>
      <c r="X29" s="35">
        <v>14225.586480022297</v>
      </c>
      <c r="Y29" s="36">
        <v>192.07518005409494</v>
      </c>
      <c r="Z29" s="35">
        <v>14166.407363064172</v>
      </c>
      <c r="AA29" s="36">
        <v>143.7919377427996</v>
      </c>
      <c r="AB29" s="35">
        <v>14085.085698155444</v>
      </c>
      <c r="AC29" s="36">
        <v>99.653331292347815</v>
      </c>
      <c r="AD29" s="35">
        <v>13970.087830251965</v>
      </c>
      <c r="AE29" s="36">
        <v>61.425709497973024</v>
      </c>
      <c r="AF29" s="35">
        <v>13800.691456281507</v>
      </c>
      <c r="AG29" s="36">
        <v>31.421414786009869</v>
      </c>
      <c r="AH29" s="35">
        <v>13537.832295425289</v>
      </c>
      <c r="AI29" s="36">
        <v>11.83588589172335</v>
      </c>
      <c r="AJ29" s="35">
        <v>13103.55612268615</v>
      </c>
      <c r="AK29" s="36">
        <v>2.6999494098802792</v>
      </c>
      <c r="AL29" s="35">
        <v>12313.078015480918</v>
      </c>
      <c r="AM29" s="36">
        <v>0.26855574471427934</v>
      </c>
      <c r="AN29" s="35">
        <v>10499.262433957218</v>
      </c>
      <c r="AO29" s="36">
        <v>5.0524656892495939E-3</v>
      </c>
      <c r="AP29" s="35">
        <v>9803.1802202432482</v>
      </c>
      <c r="AQ29" s="36">
        <v>1.5083334693101365E-3</v>
      </c>
      <c r="AR29" s="35">
        <v>8844.6641549111482</v>
      </c>
      <c r="AS29" s="36">
        <v>3.4378393341392695E-4</v>
      </c>
      <c r="AT29" s="35">
        <v>7424.8172130085522</v>
      </c>
      <c r="AU29" s="36">
        <v>5.1169330958039163E-5</v>
      </c>
      <c r="AV29" s="35">
        <v>5052.8937117581318</v>
      </c>
      <c r="AW29" s="36">
        <v>3.3873473165086635E-6</v>
      </c>
    </row>
    <row r="30" spans="1:49" x14ac:dyDescent="0.2">
      <c r="A30" t="s">
        <v>48</v>
      </c>
      <c r="B30" s="119">
        <v>2924829.9599999995</v>
      </c>
      <c r="D30" s="119">
        <v>2980096.0297713466</v>
      </c>
      <c r="F30" s="119">
        <v>3036289.3432796709</v>
      </c>
      <c r="H30" s="119">
        <v>3093530.6421928769</v>
      </c>
      <c r="J30" s="119">
        <v>3151965.099887033</v>
      </c>
      <c r="L30" s="119">
        <v>3211768.4583407925</v>
      </c>
      <c r="N30" s="119">
        <v>3273173.8505876237</v>
      </c>
      <c r="P30" s="119">
        <v>3336486.7214684244</v>
      </c>
      <c r="R30" s="119">
        <v>3402137.7751853783</v>
      </c>
      <c r="T30" s="119">
        <v>3470762.7085031359</v>
      </c>
      <c r="V30" s="119">
        <v>3543346.8339830367</v>
      </c>
      <c r="X30" s="119">
        <v>3621493.1230007717</v>
      </c>
      <c r="Z30" s="119">
        <v>3707927.5874892389</v>
      </c>
      <c r="AB30" s="119">
        <v>3807476.5317617655</v>
      </c>
      <c r="AD30" s="119">
        <v>3928933.6054319954</v>
      </c>
      <c r="AF30" s="119">
        <v>4088329.5215854491</v>
      </c>
      <c r="AH30" s="119">
        <v>4312779.6412167223</v>
      </c>
      <c r="AJ30" s="119">
        <v>4638263.4765438698</v>
      </c>
      <c r="AL30" s="119">
        <v>5089389.1857386818</v>
      </c>
      <c r="AN30" s="119">
        <v>5575034.6883611493</v>
      </c>
      <c r="AP30" s="119">
        <v>5605538.7262619799</v>
      </c>
      <c r="AR30" s="119">
        <v>5531426.2031885348</v>
      </c>
      <c r="AT30" s="119">
        <v>5201098.318389453</v>
      </c>
      <c r="AV30" s="119">
        <v>4131893.8322544601</v>
      </c>
    </row>
    <row r="31" spans="1:49" x14ac:dyDescent="0.2">
      <c r="A31" t="s">
        <v>47</v>
      </c>
      <c r="B31" s="80">
        <v>1</v>
      </c>
      <c r="D31" s="80">
        <v>0.99334584998173547</v>
      </c>
      <c r="F31" s="80">
        <v>0.98618977343658798</v>
      </c>
      <c r="H31" s="80">
        <v>0.97846476991396281</v>
      </c>
      <c r="J31" s="80">
        <v>0.97009051426869153</v>
      </c>
      <c r="L31" s="80">
        <v>0.96096860580254162</v>
      </c>
      <c r="N31" s="80">
        <v>0.95097837942777186</v>
      </c>
      <c r="P31" s="80">
        <v>0.93996707159343196</v>
      </c>
      <c r="R31" s="80">
        <v>0.92773797072118225</v>
      </c>
      <c r="T31" s="80">
        <v>0.91403084987320837</v>
      </c>
      <c r="V31" s="80">
        <v>0.89848994911744717</v>
      </c>
      <c r="X31" s="80">
        <v>0.8806107233647793</v>
      </c>
      <c r="Z31" s="80">
        <v>0.85964600692326598</v>
      </c>
      <c r="AB31" s="80">
        <v>0.83443539228920049</v>
      </c>
      <c r="AD31" s="80">
        <v>0.80308548988928385</v>
      </c>
      <c r="AF31" s="80">
        <v>0.76237915418844926</v>
      </c>
      <c r="AH31" s="80">
        <v>0.70677779099265736</v>
      </c>
      <c r="AJ31" s="80">
        <v>0.62694262650855104</v>
      </c>
      <c r="AL31" s="80">
        <v>0.50641103504755847</v>
      </c>
      <c r="AN31" s="80">
        <v>0.30856575829341004</v>
      </c>
      <c r="AP31" s="80">
        <v>0.25315476989376873</v>
      </c>
      <c r="AR31" s="80">
        <v>0.19045780743679727</v>
      </c>
      <c r="AT31" s="80">
        <v>0.12045670284524095</v>
      </c>
      <c r="AV31" s="80">
        <v>4.74023306442896E-2</v>
      </c>
    </row>
    <row r="32" spans="1:49" x14ac:dyDescent="0.2">
      <c r="A32" t="s">
        <v>64</v>
      </c>
      <c r="B32" s="86">
        <v>14734457.915000005</v>
      </c>
      <c r="D32" s="86">
        <v>14736292.48458999</v>
      </c>
      <c r="F32" s="86">
        <v>14735724.507827472</v>
      </c>
      <c r="H32" s="86">
        <v>14732373.378344715</v>
      </c>
      <c r="J32" s="86">
        <v>14725782.691446166</v>
      </c>
      <c r="L32" s="86">
        <v>14715397.564230453</v>
      </c>
      <c r="N32" s="86">
        <v>14700553.019141752</v>
      </c>
      <c r="P32" s="86">
        <v>14680440.675934428</v>
      </c>
      <c r="R32" s="86">
        <v>14654082.365370285</v>
      </c>
      <c r="T32" s="86">
        <v>14620296.796721084</v>
      </c>
      <c r="V32" s="86">
        <v>14577660.153467391</v>
      </c>
      <c r="X32" s="86">
        <v>14524468.442882543</v>
      </c>
      <c r="Z32" s="86">
        <v>14458693.851450618</v>
      </c>
      <c r="AB32" s="86">
        <v>14377905.39891615</v>
      </c>
      <c r="AD32" s="86">
        <v>14278930.212358927</v>
      </c>
      <c r="AF32" s="86">
        <v>14156141.302800927</v>
      </c>
      <c r="AH32" s="86">
        <v>13993302.658953307</v>
      </c>
      <c r="AJ32" s="86">
        <v>13731316.942397464</v>
      </c>
      <c r="AL32" s="86">
        <v>13163792.876145395</v>
      </c>
      <c r="AN32" s="86">
        <v>11488548.808511842</v>
      </c>
      <c r="AP32" s="86">
        <v>10769335.713674542</v>
      </c>
      <c r="AR32" s="86">
        <v>9742326.8149073422</v>
      </c>
      <c r="AT32" s="86">
        <v>8174929.9096234227</v>
      </c>
      <c r="AV32" s="86">
        <v>5513452.8841480799</v>
      </c>
    </row>
    <row r="33" spans="1:49 16319:16321" x14ac:dyDescent="0.2">
      <c r="A33" t="s">
        <v>54</v>
      </c>
      <c r="B33" s="117">
        <v>7019665.6909999885</v>
      </c>
      <c r="D33" s="117">
        <v>6987976.1469716299</v>
      </c>
      <c r="F33" s="117">
        <v>6954306.3968699817</v>
      </c>
      <c r="H33" s="117">
        <v>6918358.9424463697</v>
      </c>
      <c r="J33" s="117">
        <v>6879776.8001976162</v>
      </c>
      <c r="L33" s="117">
        <v>6838122.000088782</v>
      </c>
      <c r="N33" s="117">
        <v>6792865.2309410451</v>
      </c>
      <c r="P33" s="117">
        <v>6743342.3893414801</v>
      </c>
      <c r="R33" s="117">
        <v>6688715.6049476657</v>
      </c>
      <c r="T33" s="117">
        <v>6627904.7443718445</v>
      </c>
      <c r="V33" s="117">
        <v>6559477.0375945466</v>
      </c>
      <c r="X33" s="117">
        <v>6481466.035490457</v>
      </c>
      <c r="Z33" s="117">
        <v>6391044.2650741711</v>
      </c>
      <c r="AB33" s="117">
        <v>6283896.1153597878</v>
      </c>
      <c r="AD33" s="117">
        <v>6152904.7133370498</v>
      </c>
      <c r="AF33" s="117">
        <v>5985191.6107760668</v>
      </c>
      <c r="AH33" s="117">
        <v>5754980.8522778135</v>
      </c>
      <c r="AJ33" s="117">
        <v>5405748.9638302382</v>
      </c>
      <c r="AL33" s="117">
        <v>4800173.2122726887</v>
      </c>
      <c r="AN33" s="117">
        <v>3515540.6994725363</v>
      </c>
      <c r="AP33" s="117">
        <v>3069839.3772138376</v>
      </c>
      <c r="AR33" s="117">
        <v>2503349.4829202909</v>
      </c>
      <c r="AT33" s="117">
        <v>1767921.0572761493</v>
      </c>
      <c r="AV33" s="117">
        <v>821326.70839929674</v>
      </c>
    </row>
    <row r="34" spans="1:49 16319:16321" x14ac:dyDescent="0.2">
      <c r="A34" t="s">
        <v>75</v>
      </c>
      <c r="B34" s="117">
        <v>1136879.4410000162</v>
      </c>
      <c r="D34" s="117">
        <v>1137020.7940312275</v>
      </c>
      <c r="F34" s="117">
        <v>1136976.9427009677</v>
      </c>
      <c r="H34" s="117">
        <v>1136718.3051177557</v>
      </c>
      <c r="J34" s="117">
        <v>1136209.3721340192</v>
      </c>
      <c r="L34" s="117">
        <v>1135408.7729929637</v>
      </c>
      <c r="N34" s="117">
        <v>1134263.3885100409</v>
      </c>
      <c r="P34" s="117">
        <v>1132711.5514856151</v>
      </c>
      <c r="R34" s="117">
        <v>1130677.7885911218</v>
      </c>
      <c r="T34" s="117">
        <v>1128070.9547473588</v>
      </c>
      <c r="V34" s="117">
        <v>1124781.2062674435</v>
      </c>
      <c r="X34" s="117">
        <v>1120676.999652609</v>
      </c>
      <c r="Z34" s="117">
        <v>1115602.053684819</v>
      </c>
      <c r="AB34" s="117">
        <v>1109368.5280631408</v>
      </c>
      <c r="AD34" s="117">
        <v>1101731.8973357109</v>
      </c>
      <c r="AF34" s="117">
        <v>1092257.7627192456</v>
      </c>
      <c r="AH34" s="117">
        <v>1079693.4769242108</v>
      </c>
      <c r="AJ34" s="117">
        <v>1059479.2166805849</v>
      </c>
      <c r="AL34" s="117">
        <v>1015690.2665016709</v>
      </c>
      <c r="AN34" s="117">
        <v>886431.99652470765</v>
      </c>
      <c r="AP34" s="117">
        <v>830939.04347980628</v>
      </c>
      <c r="AR34" s="117">
        <v>751697.22070966812</v>
      </c>
      <c r="AT34" s="117">
        <v>630760.20834786294</v>
      </c>
      <c r="AV34" s="117">
        <v>425406.30059617211</v>
      </c>
    </row>
    <row r="35" spans="1:49 16319:16321" x14ac:dyDescent="0.2">
      <c r="A35" t="s">
        <v>78</v>
      </c>
      <c r="B35" s="233">
        <v>1</v>
      </c>
      <c r="D35" s="233">
        <v>1.0021551662138921</v>
      </c>
      <c r="F35" s="233">
        <v>1.0045718144426472</v>
      </c>
      <c r="H35" s="233">
        <v>1.0072949484552227</v>
      </c>
      <c r="J35" s="233">
        <v>1.0103816183768475</v>
      </c>
      <c r="L35" s="233">
        <v>1.0139055144051634</v>
      </c>
      <c r="N35" s="233">
        <v>1.0179640378259869</v>
      </c>
      <c r="P35" s="233">
        <v>1.0226887058970275</v>
      </c>
      <c r="R35" s="233">
        <v>1.028262309975744</v>
      </c>
      <c r="T35" s="233">
        <v>1.0349468966169399</v>
      </c>
      <c r="V35" s="233">
        <v>1.0431320125916843</v>
      </c>
      <c r="X35" s="233">
        <v>1.0534214700043243</v>
      </c>
      <c r="Z35" s="233">
        <v>1.0667978791648984</v>
      </c>
      <c r="AB35" s="233">
        <v>1.0849531213178978</v>
      </c>
      <c r="AD35" s="233">
        <v>1.1109923893521372</v>
      </c>
      <c r="AF35" s="233">
        <v>1.151013605434366</v>
      </c>
      <c r="AH35" s="233">
        <v>1.2177770789212901</v>
      </c>
      <c r="AJ35" s="233">
        <v>1.3398690439470575</v>
      </c>
      <c r="AL35" s="233">
        <v>1.5926396231167921</v>
      </c>
      <c r="AN35" s="233">
        <v>2.2739665994237233</v>
      </c>
      <c r="AP35" s="233">
        <v>2.5615636843745646</v>
      </c>
      <c r="AR35" s="233">
        <v>2.9751809449977684</v>
      </c>
      <c r="AT35" s="233">
        <v>3.6190325384174007</v>
      </c>
      <c r="AV35" s="233">
        <v>4.7626733755176156</v>
      </c>
    </row>
    <row r="36" spans="1:49 16319:16321" x14ac:dyDescent="0.2">
      <c r="A36" t="s">
        <v>21</v>
      </c>
      <c r="B36" s="37">
        <v>0.47195767671988198</v>
      </c>
      <c r="C36" s="38">
        <v>0.31738834428178964</v>
      </c>
      <c r="D36" s="37">
        <v>0.47198061636867039</v>
      </c>
      <c r="E36" s="38">
        <v>0.31992879998960816</v>
      </c>
      <c r="F36" s="37">
        <v>0.47200456663879042</v>
      </c>
      <c r="G36" s="38">
        <v>0.32272095061360634</v>
      </c>
      <c r="H36" s="37">
        <v>0.47202967852149047</v>
      </c>
      <c r="I36" s="38">
        <v>0.32580337578817103</v>
      </c>
      <c r="J36" s="37">
        <v>0.47205612881442111</v>
      </c>
      <c r="K36" s="38">
        <v>0.32922314755821447</v>
      </c>
      <c r="L36" s="37">
        <v>0.47208411477868262</v>
      </c>
      <c r="M36" s="38">
        <v>0.33303842542009132</v>
      </c>
      <c r="N36" s="37">
        <v>0.47211387117006098</v>
      </c>
      <c r="O36" s="38">
        <v>0.3373224086157664</v>
      </c>
      <c r="P36" s="37">
        <v>0.4721456376582544</v>
      </c>
      <c r="Q36" s="38">
        <v>0.34216862957732463</v>
      </c>
      <c r="R36" s="37">
        <v>0.47217964897825448</v>
      </c>
      <c r="S36" s="38">
        <v>0.34769950922028819</v>
      </c>
      <c r="T36" s="37">
        <v>0.47221608141297583</v>
      </c>
      <c r="U36" s="38">
        <v>0.3540795292278503</v>
      </c>
      <c r="V36" s="37">
        <v>0.4722549477845645</v>
      </c>
      <c r="W36" s="38">
        <v>0.36153694147554671</v>
      </c>
      <c r="X36" s="37">
        <v>0.47229588708063186</v>
      </c>
      <c r="Y36" s="38">
        <v>0.37040093319913786</v>
      </c>
      <c r="Z36" s="37">
        <v>0.47233774366052883</v>
      </c>
      <c r="AA36" s="38">
        <v>0.38116861757502107</v>
      </c>
      <c r="AB36" s="37">
        <v>0.47237774652057635</v>
      </c>
      <c r="AC36" s="38">
        <v>0.394632183846782</v>
      </c>
      <c r="AD36" s="37">
        <v>0.4724099946953948</v>
      </c>
      <c r="AE36" s="38">
        <v>0.41213252585335225</v>
      </c>
      <c r="AF36" s="37">
        <v>0.47242319056585125</v>
      </c>
      <c r="AG36" s="38">
        <v>0.4360826332785131</v>
      </c>
      <c r="AH36" s="37">
        <v>0.47239975244125881</v>
      </c>
      <c r="AI36" s="38">
        <v>0.47105342523514115</v>
      </c>
      <c r="AJ36" s="37">
        <v>0.47232440285098748</v>
      </c>
      <c r="AK36" s="38">
        <v>0.52611153711763581</v>
      </c>
      <c r="AL36" s="37">
        <v>0.47220446402382771</v>
      </c>
      <c r="AM36" s="38">
        <v>0.62179252277544206</v>
      </c>
      <c r="AN36" s="37">
        <v>0.47206625365822252</v>
      </c>
      <c r="AO36" s="38">
        <v>0.82565650324188933</v>
      </c>
      <c r="AP36" s="37">
        <v>0.47203679938112864</v>
      </c>
      <c r="AQ36" s="38">
        <v>0.89916159456864353</v>
      </c>
      <c r="AR36" s="37">
        <v>0.47200502572723868</v>
      </c>
      <c r="AS36" s="38">
        <v>0.99686867915787902</v>
      </c>
      <c r="AT36" s="37">
        <v>0.47196770518702508</v>
      </c>
      <c r="AU36" s="38">
        <v>1.1352367776939196</v>
      </c>
      <c r="AV36" s="37">
        <v>0.47191543156784904</v>
      </c>
      <c r="AW36" s="38">
        <v>1.3527833227727997</v>
      </c>
    </row>
    <row r="37" spans="1:49 16319:16321" x14ac:dyDescent="0.2">
      <c r="B37" s="39">
        <v>2.1403217525954466E-2</v>
      </c>
      <c r="C37" s="40">
        <v>0.3496246130199252</v>
      </c>
      <c r="D37" s="39">
        <v>2.0711981042507179E-2</v>
      </c>
      <c r="E37" s="40">
        <v>0.3455128749772412</v>
      </c>
      <c r="F37" s="39">
        <v>2.0007346622302791E-2</v>
      </c>
      <c r="G37" s="40">
        <v>0.34129520233077137</v>
      </c>
      <c r="H37" s="39">
        <v>1.9288541491428075E-2</v>
      </c>
      <c r="I37" s="40">
        <v>0.33696594453460149</v>
      </c>
      <c r="J37" s="39">
        <v>1.8554666493055511E-2</v>
      </c>
      <c r="K37" s="40">
        <v>0.33251877212542819</v>
      </c>
      <c r="L37" s="39">
        <v>1.7804654717088204E-2</v>
      </c>
      <c r="M37" s="40">
        <v>0.32794647520578163</v>
      </c>
      <c r="N37" s="39">
        <v>1.7037162384917266E-2</v>
      </c>
      <c r="O37" s="40">
        <v>0.32324035705486087</v>
      </c>
      <c r="P37" s="39">
        <v>1.625050883861107E-2</v>
      </c>
      <c r="Q37" s="40">
        <v>0.31838995382649726</v>
      </c>
      <c r="R37" s="39">
        <v>1.5442482960125306E-2</v>
      </c>
      <c r="S37" s="40">
        <v>0.31338196765102733</v>
      </c>
      <c r="T37" s="39">
        <v>1.46101042284498E-2</v>
      </c>
      <c r="U37" s="40">
        <v>0.30819897402712276</v>
      </c>
      <c r="V37" s="39">
        <v>1.3749237440277347E-2</v>
      </c>
      <c r="W37" s="40">
        <v>0.30281732734625139</v>
      </c>
      <c r="X37" s="39">
        <v>1.2854008880060374E-2</v>
      </c>
      <c r="Y37" s="40">
        <v>0.2972040324920735</v>
      </c>
      <c r="Z37" s="39">
        <v>1.191591432641482E-2</v>
      </c>
      <c r="AA37" s="40">
        <v>0.29131211509716365</v>
      </c>
      <c r="AB37" s="39">
        <v>1.0922528087355504E-2</v>
      </c>
      <c r="AC37" s="40">
        <v>0.28507441737399114</v>
      </c>
      <c r="AD37" s="39">
        <v>9.8559402972155496E-3</v>
      </c>
      <c r="AE37" s="40">
        <v>0.27839778023580014</v>
      </c>
      <c r="AF37" s="39">
        <v>8.6921606832932076E-3</v>
      </c>
      <c r="AG37" s="40">
        <v>0.27116797889441235</v>
      </c>
      <c r="AH37" s="39">
        <v>7.4059830501136559E-3</v>
      </c>
      <c r="AI37" s="40">
        <v>0.2632982019775133</v>
      </c>
      <c r="AJ37" s="39">
        <v>5.9874874120449091E-3</v>
      </c>
      <c r="AK37" s="40">
        <v>0.25486282672046767</v>
      </c>
      <c r="AL37" s="39">
        <v>4.4531551201074373E-3</v>
      </c>
      <c r="AM37" s="40">
        <v>0.24620900777656168</v>
      </c>
      <c r="AN37" s="39">
        <v>2.8064631557661226E-3</v>
      </c>
      <c r="AO37" s="40">
        <v>0.23782852548644512</v>
      </c>
      <c r="AP37" s="39">
        <v>2.4577278254722555E-3</v>
      </c>
      <c r="AQ37" s="40">
        <v>0.23623270921719966</v>
      </c>
      <c r="AR37" s="39">
        <v>2.0986380760246517E-3</v>
      </c>
      <c r="AS37" s="40">
        <v>0.23467743219096712</v>
      </c>
      <c r="AT37" s="39">
        <v>1.7252627815427617E-3</v>
      </c>
      <c r="AU37" s="40">
        <v>0.23317231241723854</v>
      </c>
      <c r="AV37" s="39">
        <v>1.3300104502455914E-3</v>
      </c>
      <c r="AW37" s="40">
        <v>0.23173313172513935</v>
      </c>
    </row>
    <row r="38" spans="1:49 16319:16321" x14ac:dyDescent="0.2">
      <c r="A38" t="s">
        <v>22</v>
      </c>
      <c r="B38" s="37">
        <v>0.18079094942242827</v>
      </c>
      <c r="C38" s="38">
        <v>6.0565413429233668E-2</v>
      </c>
      <c r="D38" s="37">
        <v>0.18089683385267694</v>
      </c>
      <c r="E38" s="38">
        <v>6.0859295260113744E-2</v>
      </c>
      <c r="F38" s="37">
        <v>0.18102655758923938</v>
      </c>
      <c r="G38" s="38">
        <v>6.1185536721866232E-2</v>
      </c>
      <c r="H38" s="37">
        <v>0.18118375260112063</v>
      </c>
      <c r="I38" s="38">
        <v>6.1549178914349301E-2</v>
      </c>
      <c r="J38" s="37">
        <v>0.18137289036218338</v>
      </c>
      <c r="K38" s="38">
        <v>6.1956441904842806E-2</v>
      </c>
      <c r="L38" s="37">
        <v>0.18159958826228007</v>
      </c>
      <c r="M38" s="38">
        <v>6.2414912931468308E-2</v>
      </c>
      <c r="N38" s="37">
        <v>0.18187099386599928</v>
      </c>
      <c r="O38" s="38">
        <v>6.2934320286983897E-2</v>
      </c>
      <c r="P38" s="37">
        <v>0.18219642815894635</v>
      </c>
      <c r="Q38" s="38">
        <v>6.352706650014027E-2</v>
      </c>
      <c r="R38" s="37">
        <v>0.18258834090165749</v>
      </c>
      <c r="S38" s="38">
        <v>6.4209450128536932E-2</v>
      </c>
      <c r="T38" s="37">
        <v>0.18306384681580512</v>
      </c>
      <c r="U38" s="38">
        <v>6.5003528091397728E-2</v>
      </c>
      <c r="V38" s="37">
        <v>0.18364730909749849</v>
      </c>
      <c r="W38" s="38">
        <v>6.5940011196668896E-2</v>
      </c>
      <c r="X38" s="37">
        <v>0.18437483215496758</v>
      </c>
      <c r="Y38" s="38">
        <v>6.7063464140703216E-2</v>
      </c>
      <c r="Z38" s="37">
        <v>0.18530253902439592</v>
      </c>
      <c r="AA38" s="38">
        <v>6.844159243203006E-2</v>
      </c>
      <c r="AB38" s="37">
        <v>0.18652267331654662</v>
      </c>
      <c r="AC38" s="38">
        <v>7.0183132690573261E-2</v>
      </c>
      <c r="AD38" s="37">
        <v>0.18819684620121419</v>
      </c>
      <c r="AE38" s="38">
        <v>7.2473640617009907E-2</v>
      </c>
      <c r="AF38" s="37">
        <v>0.19062848659385032</v>
      </c>
      <c r="AG38" s="38">
        <v>7.565103567375786E-2</v>
      </c>
      <c r="AH38" s="37">
        <v>0.19442912710870366</v>
      </c>
      <c r="AI38" s="38">
        <v>8.0366709579296314E-2</v>
      </c>
      <c r="AJ38" s="37">
        <v>0.2009503158719062</v>
      </c>
      <c r="AK38" s="38">
        <v>8.795563077452008E-2</v>
      </c>
      <c r="AL38" s="37">
        <v>0.2139167311541206</v>
      </c>
      <c r="AM38" s="38">
        <v>0.1016544541885353</v>
      </c>
      <c r="AN38" s="37">
        <v>0.25094283554288005</v>
      </c>
      <c r="AO38" s="38">
        <v>0.1339693746693959</v>
      </c>
      <c r="AP38" s="37">
        <v>0.26877685717058303</v>
      </c>
      <c r="AQ38" s="38">
        <v>0.14716444444936019</v>
      </c>
      <c r="AR38" s="37">
        <v>0.29792347150582033</v>
      </c>
      <c r="AS38" s="38">
        <v>0.16656688785621993</v>
      </c>
      <c r="AT38" s="37">
        <v>0.35492144435296574</v>
      </c>
      <c r="AU38" s="38">
        <v>0.1992275396968935</v>
      </c>
      <c r="AV38" s="37">
        <v>0.5215819817796562</v>
      </c>
      <c r="AW38" s="38">
        <v>0.27337301583890705</v>
      </c>
    </row>
    <row r="39" spans="1:49 16319:16321" x14ac:dyDescent="0.2">
      <c r="A39" t="s">
        <v>23</v>
      </c>
      <c r="B39" s="39">
        <v>0.23064923795098732</v>
      </c>
      <c r="C39" s="40">
        <v>0.22092201281804777</v>
      </c>
      <c r="D39" s="39">
        <v>0.23119138628337604</v>
      </c>
      <c r="E39" s="40">
        <v>0.22218973010768631</v>
      </c>
      <c r="F39" s="39">
        <v>0.23176577017687242</v>
      </c>
      <c r="G39" s="40">
        <v>0.22357797816692354</v>
      </c>
      <c r="H39" s="39">
        <v>0.23237735982310137</v>
      </c>
      <c r="I39" s="40">
        <v>0.22510563017306934</v>
      </c>
      <c r="J39" s="39">
        <v>0.23303224331481964</v>
      </c>
      <c r="K39" s="40">
        <v>0.22679569123049603</v>
      </c>
      <c r="L39" s="39">
        <v>0.23373793696316367</v>
      </c>
      <c r="M39" s="40">
        <v>0.22867682055990959</v>
      </c>
      <c r="N39" s="39">
        <v>0.23450396289895681</v>
      </c>
      <c r="O39" s="40">
        <v>0.23078494774864777</v>
      </c>
      <c r="P39" s="39">
        <v>0.23534251540797063</v>
      </c>
      <c r="Q39" s="40">
        <v>0.23316618855152535</v>
      </c>
      <c r="R39" s="39">
        <v>0.23626963686575769</v>
      </c>
      <c r="S39" s="40">
        <v>0.2358810265814312</v>
      </c>
      <c r="T39" s="39">
        <v>0.23730703174638046</v>
      </c>
      <c r="U39" s="40">
        <v>0.23901081787508963</v>
      </c>
      <c r="V39" s="39">
        <v>0.23848509501255033</v>
      </c>
      <c r="W39" s="40">
        <v>0.2426688154712075</v>
      </c>
      <c r="X39" s="39">
        <v>0.23984824322763346</v>
      </c>
      <c r="Y39" s="40">
        <v>0.24701881317838137</v>
      </c>
      <c r="Z39" s="39">
        <v>0.24146480899610109</v>
      </c>
      <c r="AA39" s="40">
        <v>0.25230917084535803</v>
      </c>
      <c r="AB39" s="39">
        <v>0.24344661420102248</v>
      </c>
      <c r="AC39" s="40">
        <v>0.25893777263648338</v>
      </c>
      <c r="AD39" s="39">
        <v>0.24599029396745933</v>
      </c>
      <c r="AE39" s="40">
        <v>0.26758370319569885</v>
      </c>
      <c r="AF39" s="39">
        <v>0.24947020130118314</v>
      </c>
      <c r="AG39" s="40">
        <v>0.27948405038642393</v>
      </c>
      <c r="AH39" s="39">
        <v>0.25465936882244861</v>
      </c>
      <c r="AI39" s="40">
        <v>0.29703113090079847</v>
      </c>
      <c r="AJ39" s="39">
        <v>0.26331442138783906</v>
      </c>
      <c r="AK39" s="40">
        <v>0.32514964610690233</v>
      </c>
      <c r="AL39" s="39">
        <v>0.28034135333140459</v>
      </c>
      <c r="AM39" s="40">
        <v>0.37581508143346853</v>
      </c>
      <c r="AN39" s="39">
        <v>0.32887020576413517</v>
      </c>
      <c r="AO39" s="40">
        <v>0.49528706016396323</v>
      </c>
      <c r="AP39" s="39">
        <v>0.35224247829352845</v>
      </c>
      <c r="AQ39" s="40">
        <v>0.54406959826962198</v>
      </c>
      <c r="AR39" s="39">
        <v>0.39044028669855418</v>
      </c>
      <c r="AS39" s="40">
        <v>0.61580094011657671</v>
      </c>
      <c r="AT39" s="39">
        <v>0.46513835990237479</v>
      </c>
      <c r="AU39" s="40">
        <v>0.73654766209409306</v>
      </c>
      <c r="AV39" s="39">
        <v>0.68355348093315527</v>
      </c>
      <c r="AW39" s="40">
        <v>1.0106652636755333</v>
      </c>
    </row>
    <row r="40" spans="1:49 16319:16321"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49 16319:16321" x14ac:dyDescent="0.2">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row>
    <row r="42" spans="1:49 16319:16321" x14ac:dyDescent="0.2">
      <c r="A42" t="s">
        <v>107</v>
      </c>
      <c r="B42" s="177">
        <f>10.8%+(1-10.8%)*(1-SUM(B26:C26)/SUM($B$26:$C$26))</f>
        <v>0.10800000000000001</v>
      </c>
      <c r="C42" s="135"/>
      <c r="D42" s="177">
        <f>10.8%+(1-10.8%)*(1-SUM(D26:E26)/SUM($B$26:$C$26))</f>
        <v>0.10800000000000021</v>
      </c>
      <c r="E42" s="135"/>
      <c r="F42" s="177">
        <f>10.8%+(1-10.8%)*(1-SUM(F26:G26)/SUM($B$26:$C$26))</f>
        <v>0.10800000000000318</v>
      </c>
      <c r="G42" s="135"/>
      <c r="H42" s="177">
        <f>10.8%+(1-10.8%)*(1-SUM(H26:I26)/SUM($B$26:$C$26))</f>
        <v>0.10799999999999724</v>
      </c>
      <c r="I42" s="135"/>
      <c r="J42" s="177">
        <f>10.8%+(1-10.8%)*(1-SUM(J26:K26)/SUM($B$26:$C$26))</f>
        <v>0.10799999999999961</v>
      </c>
      <c r="K42" s="135"/>
      <c r="L42" s="177">
        <f>10.8%+(1-10.8%)*(1-SUM(L26:M26)/SUM($B$26:$C$26))</f>
        <v>0.10800000000000051</v>
      </c>
      <c r="M42" s="135"/>
      <c r="N42" s="177">
        <f>10.8%+(1-10.8%)*(1-SUM(N26:O26)/SUM($B$26:$C$26))</f>
        <v>0.108000000000001</v>
      </c>
      <c r="O42" s="135"/>
      <c r="P42" s="177">
        <f>10.8%+(1-10.8%)*(1-SUM(P26:Q26)/SUM($B$26:$C$26))</f>
        <v>0.1080000000000013</v>
      </c>
      <c r="Q42" s="135"/>
      <c r="R42" s="177">
        <f>10.8%+(1-10.8%)*(1-SUM(R26:S26)/SUM($B$26:$C$26))</f>
        <v>0.10800000000000021</v>
      </c>
      <c r="S42" s="135"/>
      <c r="T42" s="177">
        <f>10.8%+(1-10.8%)*(1-SUM(T26:U26)/SUM($B$26:$C$26))</f>
        <v>0.10800000000000051</v>
      </c>
      <c r="U42" s="135"/>
      <c r="V42" s="177">
        <f>10.8%+(1-10.8%)*(1-SUM(V26:W26)/SUM($B$26:$C$26))</f>
        <v>0.108000000000001</v>
      </c>
      <c r="W42" s="135"/>
      <c r="X42" s="177">
        <f>10.8%+(1-10.8%)*(1-SUM(X26:Y26)/SUM($B$26:$C$26))</f>
        <v>0.10799999999999903</v>
      </c>
      <c r="Y42" s="162"/>
      <c r="Z42" s="177">
        <f>10.8%+(1-10.8%)*(1-SUM(Z26:AA26)/SUM($B$26:$C$26))</f>
        <v>0.10800000000000051</v>
      </c>
      <c r="AA42" s="135"/>
      <c r="AB42" s="177">
        <f>10.8%+(1-10.8%)*(1-SUM(AB26:AC26)/SUM($B$26:$C$26))</f>
        <v>0.10799999999999903</v>
      </c>
      <c r="AC42" s="135"/>
      <c r="AD42" s="177">
        <f>10.8%+(1-10.8%)*(1-SUM(AD26:AE26)/SUM($B$26:$C$26))</f>
        <v>0.10799999999999982</v>
      </c>
      <c r="AE42" s="135"/>
      <c r="AF42" s="177">
        <f>10.8%+(1-10.8%)*(1-SUM(AF26:AG26)/SUM($B$26:$C$26))</f>
        <v>0.10800000000000001</v>
      </c>
      <c r="AG42" s="135"/>
      <c r="AH42" s="177">
        <f>10.8%+(1-10.8%)*(1-SUM(AH26:AI26)/SUM($B$26:$C$26))</f>
        <v>0.10799999999999882</v>
      </c>
      <c r="AI42" s="135"/>
      <c r="AJ42" s="177">
        <f>10.8%+(1-10.8%)*(1-SUM(AJ26:AK26)/SUM($B$26:$C$26))</f>
        <v>0.10800000000000001</v>
      </c>
      <c r="AK42" s="135"/>
      <c r="AL42" s="177">
        <f>10.8%+(1-10.8%)*(1-SUM(AL26:AM26)/SUM($B$26:$C$26))</f>
        <v>0.10800000000000061</v>
      </c>
      <c r="AM42" s="135"/>
      <c r="AN42" s="177">
        <f>10.8%+(1-10.8%)*(1-SUM(AN26:AO26)/SUM($B$26:$C$26))</f>
        <v>0.10799999999999961</v>
      </c>
      <c r="AO42" s="135"/>
      <c r="AP42" s="177">
        <f>10.8%+(1-10.8%)*(1-SUM(AP26:AQ26)/SUM($B$26:$C$26))</f>
        <v>0.10799999999999982</v>
      </c>
      <c r="AQ42" s="135"/>
      <c r="AR42" s="177">
        <f>10.8%+(1-10.8%)*(1-SUM(AR26:AS26)/SUM($B$26:$C$26))</f>
        <v>0.10799999999999982</v>
      </c>
      <c r="AS42" s="135"/>
      <c r="AT42" s="177">
        <f>10.8%+(1-10.8%)*(1-SUM(AT26:AU26)/SUM($B$26:$C$26))</f>
        <v>0.10799999999999903</v>
      </c>
      <c r="AU42" s="135"/>
      <c r="AV42" s="177">
        <f>10.8%+(1-10.8%)*(1-SUM(AV26:AW26)/SUM($B$26:$C$26))</f>
        <v>0.10799999999999982</v>
      </c>
    </row>
    <row r="43" spans="1:49 16319:16321" x14ac:dyDescent="0.2">
      <c r="A43" t="s">
        <v>108</v>
      </c>
      <c r="B43" s="162">
        <f>SUM(B15:C15*B27:C27)/SUM(B15:C15*B27:C27,B13:C13*B26:C26)</f>
        <v>0.56058995943839174</v>
      </c>
      <c r="C43" s="135"/>
      <c r="D43" s="162">
        <f t="array" ref="D43">SUM(D15:E15*D27:E27)/SUM(D15:E15*D27:E27,D13:E13*D26:E26)</f>
        <v>0.56647938056425984</v>
      </c>
      <c r="E43" s="135"/>
      <c r="F43" s="162">
        <f t="array" ref="F43">SUM(F15:G15*F27:G27)/SUM(F15:G15*F27:G27,F13:G13*F26:G26)</f>
        <v>0.5657570235516538</v>
      </c>
      <c r="G43" s="135"/>
      <c r="H43" s="162">
        <f t="array" ref="H43">SUM(H15:I15*H27:I27)/SUM(H15:I15*H27:I27,H13:I13*H26:I26)</f>
        <v>0.56503321577433252</v>
      </c>
      <c r="I43" s="135"/>
      <c r="J43" s="162">
        <f t="array" ref="J43">SUM(J15:K15*J27:K27)/SUM(J15:K15*J27:K27,J13:K13*J26:K26)</f>
        <v>0.56430769472722109</v>
      </c>
      <c r="K43" s="135"/>
      <c r="L43" s="162">
        <f t="array" ref="L43">SUM(L15:M15*L27:M27)/SUM(L15:M15*L27:M27,L13:M13*L26:M26)</f>
        <v>0.5635803648476202</v>
      </c>
      <c r="M43" s="135"/>
      <c r="N43" s="162">
        <f t="array" ref="N43">SUM(N15:O15*N27:O27)/SUM(N15:O15*N27:O27,N13:O13*N26:O26)</f>
        <v>0.56285116264939083</v>
      </c>
      <c r="O43" s="135"/>
      <c r="P43" s="162">
        <f t="array" ref="P43">SUM(P15:Q15*P27:Q27)/SUM(P15:Q15*P27:Q27,P13:Q13*P26:Q26)</f>
        <v>0.56212037855878494</v>
      </c>
      <c r="Q43" s="135"/>
      <c r="R43" s="162">
        <f t="array" ref="R43">SUM(R15:S15*R27:S27)/SUM(R15:S15*R27:S27,R13:S13*R26:S26)</f>
        <v>0.56138880268227254</v>
      </c>
      <c r="S43" s="135"/>
      <c r="T43" s="162">
        <f t="array" ref="T43">SUM(T15:U15*T27:U27)/SUM(T15:U15*T27:U27,T13:U13*T26:U26)</f>
        <v>0.5606580821126369</v>
      </c>
      <c r="U43" s="135"/>
      <c r="V43" s="162">
        <f t="array" ref="V43">SUM(V15:W15*V27:W27)/SUM(V15:W15*V27:W27,V13:W13*V26:W26)</f>
        <v>0.55993135602113031</v>
      </c>
      <c r="W43" s="135"/>
      <c r="X43" s="162">
        <f t="array" ref="X43">SUM(X15:Y15*X27:Y27)/SUM(X15:Y15*X27:Y27,X13:Y13*X26:Y26)</f>
        <v>0.5592142276452855</v>
      </c>
      <c r="Y43" s="135"/>
      <c r="Z43" s="162">
        <f t="array" ref="Z43">SUM(Z15:AA15*Z27:AA27)/SUM(Z15:AA15*Z27:AA27,Z13:AA13*Z26:AA26)</f>
        <v>0.55851640244935452</v>
      </c>
      <c r="AA43" s="135"/>
      <c r="AB43" s="162">
        <f t="array" ref="AB43">SUM(AB15:AC15*AB27:AC27)/SUM(AB15:AC15*AB27:AC27,AB13:AC13*AB26:AC26)</f>
        <v>0.55785425768146935</v>
      </c>
      <c r="AC43" s="135"/>
      <c r="AD43" s="162">
        <f t="array" ref="AD43">SUM(AD15:AE15*AD27:AE27)/SUM(AD15:AE15*AD27:AE27,AD13:AE13*AD26:AE26)</f>
        <v>0.55725450314880043</v>
      </c>
      <c r="AE43" s="135"/>
      <c r="AF43" s="162">
        <f t="array" ref="AF43">SUM(AF15:AG15*AF27:AG27)/SUM(AF15:AG15*AF27:AG27,AF13:AG13*AF26:AG26)</f>
        <v>0.55675712578269498</v>
      </c>
      <c r="AG43" s="135"/>
      <c r="AH43" s="162">
        <f t="array" ref="AH43">SUM(AH15:AI15*AH27:AI27)/SUM(AH15:AI15*AH27:AI27,AH13:AI13*AH26:AI26)</f>
        <v>0.55640910067443805</v>
      </c>
      <c r="AI43" s="135"/>
      <c r="AJ43" s="162">
        <f t="array" ref="AJ43">SUM(AJ15:AK15*AJ27:AK27)/SUM(AJ15:AK15*AJ27:AK27,AJ13:AK13*AJ26:AK26)</f>
        <v>0.55623137966797798</v>
      </c>
      <c r="AK43" s="135"/>
      <c r="AL43" s="162">
        <f t="array" ref="AL43">SUM(AL15:AM15*AL27:AM27)/SUM(AL15:AM15*AL27:AM27,AL13:AM13*AL26:AM26)</f>
        <v>0.55617789606442225</v>
      </c>
      <c r="AM43" s="135"/>
      <c r="AN43" s="162">
        <f t="array" ref="AN43">SUM(AN15:AO15*AN27:AO27)/SUM(AN15:AO15*AN27:AO27,AN13:AO13*AN26:AO26)</f>
        <v>0.55617096465843208</v>
      </c>
      <c r="AO43" s="135"/>
      <c r="AP43" s="162">
        <f t="array" ref="AP43">SUM(AP15:AQ15*AP27:AQ27)/SUM(AP15:AQ15*AP27:AQ27,AP13:AQ13*AP26:AQ26)</f>
        <v>0.55617084374213732</v>
      </c>
      <c r="AQ43" s="135"/>
      <c r="AR43" s="162">
        <f t="array" ref="AR43">SUM(AR15:AS15*AR27:AS27)/SUM(AR15:AS15*AR27:AS27,AR13:AS13*AR26:AS26)</f>
        <v>0.55617079973056549</v>
      </c>
      <c r="AS43" s="135"/>
      <c r="AT43" s="162">
        <f t="array" ref="AT43">SUM(AT15:AU15*AT27:AU27)/SUM(AT15:AU15*AT27:AU27,AT13:AU13*AT26:AU26)</f>
        <v>0.55617078738159043</v>
      </c>
      <c r="AU43" s="135"/>
      <c r="AV43" s="162">
        <f t="array" ref="AV43">SUM(AV15:AW15*AV27:AW27)/SUM(AV15:AW15*AV27:AW27,AV13:AW13*AV26:AW26)</f>
        <v>0.55617078458362879</v>
      </c>
    </row>
    <row r="44" spans="1:49 16319:16321" x14ac:dyDescent="0.2">
      <c r="A44" t="s">
        <v>142</v>
      </c>
      <c r="B44" s="193">
        <f>(SUM(B11:C11*B24:C24)+B34)/B32</f>
        <v>0.29754226190682465</v>
      </c>
      <c r="D44" s="193">
        <f>(SUM(D11:E11*D24:E24)+D34)/D32</f>
        <v>0.29975201406627322</v>
      </c>
      <c r="F44" s="193">
        <f>(SUM(F11:G11*F24:G24)+F34)/F32</f>
        <v>0.30201864265934603</v>
      </c>
      <c r="H44" s="193">
        <f>(SUM(H11:I11*H24:I24)+H34)/H32</f>
        <v>0.30435132441649648</v>
      </c>
      <c r="J44" s="193">
        <f>(SUM(J11:K11*J24:K24)+J34)/J32</f>
        <v>0.30676118881141906</v>
      </c>
      <c r="L44" s="193">
        <f>(SUM(L11:M11*L24:M24)+L34)/L32</f>
        <v>0.30926217088099356</v>
      </c>
      <c r="N44" s="193">
        <f>(SUM(N11:O11*N24:O24)+N34)/N32</f>
        <v>0.3118715035588015</v>
      </c>
      <c r="P44" s="193">
        <f>(SUM(P11:Q11*P24:Q24)+P34)/P32</f>
        <v>0.31461183573570001</v>
      </c>
      <c r="R44" s="193">
        <f>(SUM(R11:S11*R24:S24)+R34)/R32</f>
        <v>0.31751336892657267</v>
      </c>
      <c r="T44" s="193">
        <f>(SUM(T11:U11*T24:U24)+T34)/T32</f>
        <v>0.32061794073129207</v>
      </c>
      <c r="V44" s="193">
        <f>(SUM(V11:W11*V24:W24)+V34)/V32</f>
        <v>0.32398603870787201</v>
      </c>
      <c r="X44" s="193">
        <f>(SUM(X11:Y11*X24:Y24)+X34)/X32</f>
        <v>0.32770916617572893</v>
      </c>
      <c r="Z44" s="193">
        <f>(SUM(Z11:AA11*Z24:AA24)+Z34)/Z32</f>
        <v>0.33193293720757078</v>
      </c>
      <c r="AB44" s="193">
        <f>(SUM(AB11:AC11*AB24:AC24)+AB34)/AB32</f>
        <v>0.33690153079670171</v>
      </c>
      <c r="AD44" s="193">
        <f>(SUM(AD11:AE11*AD24:AE24)+AD34)/AD32</f>
        <v>0.34304583371646191</v>
      </c>
      <c r="AF44" s="193">
        <f>(SUM(AF11:AG11*AF24:AG24)+AF34)/AF32</f>
        <v>0.35115555665338388</v>
      </c>
      <c r="AH44" s="193">
        <f>(SUM(AH11:AI11*AH24:AI24)+AH34)/AH32</f>
        <v>0.36268699212694988</v>
      </c>
      <c r="AJ44" s="193">
        <f>(SUM(AJ11:AK11*AJ24:AK24)+AJ34)/AJ32</f>
        <v>0.38027349612362854</v>
      </c>
      <c r="AL44" s="193">
        <f>(SUM(AL11:AM11*AL24:AM24)+AL34)/AL32</f>
        <v>0.40930408866517592</v>
      </c>
      <c r="AN44" s="193">
        <f>(SUM(AN11:AO11*AN24:AO24)+AN34)/AN32</f>
        <v>0.46794989902806028</v>
      </c>
      <c r="AP44" s="193">
        <f>(SUM(AP11:AQ11*AP24:AQ24)+AP34)/AP32</f>
        <v>0.48890005964053818</v>
      </c>
      <c r="AR44" s="193">
        <f>(SUM(AR11:AS11*AR24:AS24)+AR34)/AR32</f>
        <v>0.51699777964171378</v>
      </c>
      <c r="AT44" s="193">
        <f>(SUM(AT11:AU11*AT24:AU24)+AT34)/AT32</f>
        <v>0.55769248471840616</v>
      </c>
      <c r="AV44" s="193">
        <f>(SUM(AV11:AW11*AV24:AW24)+AV34)/AV32</f>
        <v>0.62498603863099245</v>
      </c>
    </row>
    <row r="45" spans="1:49 16319:16321" x14ac:dyDescent="0.2">
      <c r="A45" t="s">
        <v>82</v>
      </c>
      <c r="B45" s="193">
        <f>SUM(B11:C11*B24:C24)/B32</f>
        <v>0.22038438833194082</v>
      </c>
      <c r="D45" s="193">
        <f>SUM(D11:E11*D24:E24)/D32</f>
        <v>0.22259415395863547</v>
      </c>
      <c r="F45" s="193">
        <f>SUM(F11:G11*F24:G24)/F32</f>
        <v>0.22486078441511673</v>
      </c>
      <c r="H45" s="193">
        <f>SUM(H11:I11*H24:I24)/H32</f>
        <v>0.22719347103296555</v>
      </c>
      <c r="J45" s="193">
        <f>SUM(J11:K11*J24:K24)/J32</f>
        <v>0.22960336325189792</v>
      </c>
      <c r="L45" s="193">
        <f>SUM(L11:M11*L24:M24)/L32</f>
        <v>0.23210429811288935</v>
      </c>
      <c r="N45" s="193">
        <f>SUM(N11:O11*N24:O24)/N32</f>
        <v>0.23471363153636099</v>
      </c>
      <c r="P45" s="193">
        <f>SUM(P11:Q11*P24:Q24)/P32</f>
        <v>0.23745396449124456</v>
      </c>
      <c r="R45" s="193">
        <f>SUM(R11:S11*R24:S24)/R32</f>
        <v>0.2403554984847443</v>
      </c>
      <c r="T45" s="193">
        <f>SUM(T11:U11*T24:U24)/T32</f>
        <v>0.2434600710633964</v>
      </c>
      <c r="V45" s="193">
        <f>SUM(V11:W11*V24:W24)/V32</f>
        <v>0.24682816875986754</v>
      </c>
      <c r="X45" s="193">
        <f>SUM(X11:Y11*X24:Y24)/X32</f>
        <v>0.25055129949994176</v>
      </c>
      <c r="Z45" s="193">
        <f>SUM(Z11:AA11*Z24:AA24)/Z32</f>
        <v>0.25477506491657598</v>
      </c>
      <c r="AB45" s="193">
        <f>SUM(AB11:AC11*AB24:AC24)/AB32</f>
        <v>0.25974366271483434</v>
      </c>
      <c r="AD45" s="193">
        <f>SUM(AD11:AE11*AD24:AE24)/AD32</f>
        <v>0.2658879597755891</v>
      </c>
      <c r="AF45" s="193">
        <f>SUM(AF11:AG11*AF24:AG24)/AF32</f>
        <v>0.27399768295349841</v>
      </c>
      <c r="AH45" s="193">
        <f>SUM(AH11:AI11*AH24:AI24)/AH32</f>
        <v>0.28552911858996949</v>
      </c>
      <c r="AJ45" s="193">
        <f>SUM(AJ11:AK11*AJ24:AK24)/AJ32</f>
        <v>0.30311562254711183</v>
      </c>
      <c r="AL45" s="193">
        <f>SUM(AL11:AM11*AL24:AM24)/AL32</f>
        <v>0.33214621509043735</v>
      </c>
      <c r="AN45" s="193">
        <f>SUM(AN11:AO11*AN24:AO24)/AN32</f>
        <v>0.39079202545329234</v>
      </c>
      <c r="AP45" s="193">
        <f>SUM(AP11:AQ11*AP24:AQ24)/AP32</f>
        <v>0.41174218606578211</v>
      </c>
      <c r="AR45" s="193">
        <f>SUM(AR11:AS11*AR24:AS24)/AR32</f>
        <v>0.43983990606684564</v>
      </c>
      <c r="AT45" s="193">
        <f>SUM(AT11:AU11*AT24:AU24)/AT32</f>
        <v>0.48053461115604812</v>
      </c>
      <c r="AV45" s="193">
        <f>SUM(AV11:AW11*AV24:AW24)/AV32</f>
        <v>0.54782816505610932</v>
      </c>
      <c r="XCQ45" s="193"/>
    </row>
    <row r="46" spans="1:49 16319:16321" x14ac:dyDescent="0.2">
      <c r="A46" t="s">
        <v>139</v>
      </c>
      <c r="B46" s="193">
        <f>B34/B32</f>
        <v>7.7157873574883795E-2</v>
      </c>
      <c r="D46" s="193">
        <f>D34/D32</f>
        <v>7.7157860107637713E-2</v>
      </c>
      <c r="F46" s="193">
        <f>F34/F32</f>
        <v>7.7157858244229299E-2</v>
      </c>
      <c r="H46" s="193">
        <f>H34/H32</f>
        <v>7.7157853383530928E-2</v>
      </c>
      <c r="J46" s="193">
        <f>J34/J32</f>
        <v>7.7157825559521151E-2</v>
      </c>
      <c r="L46" s="193">
        <f>L34/L32</f>
        <v>7.7157872768104194E-2</v>
      </c>
      <c r="N46" s="193">
        <f>N34/N32</f>
        <v>7.7157872022440524E-2</v>
      </c>
      <c r="P46" s="193">
        <f>P34/P32</f>
        <v>7.7157871244455445E-2</v>
      </c>
      <c r="R46" s="193">
        <f>R34/R32</f>
        <v>7.7157870441828341E-2</v>
      </c>
      <c r="T46" s="193">
        <f>T34/T32</f>
        <v>7.7157869667895729E-2</v>
      </c>
      <c r="V46" s="193">
        <f>V34/V32</f>
        <v>7.7157869948004443E-2</v>
      </c>
      <c r="X46" s="193">
        <f>X34/X32</f>
        <v>7.715786667578714E-2</v>
      </c>
      <c r="Z46" s="193">
        <f>Z34/Z32</f>
        <v>7.7157872290994828E-2</v>
      </c>
      <c r="AB46" s="193">
        <f>AB34/AB32</f>
        <v>7.7157868081867365E-2</v>
      </c>
      <c r="AD46" s="193">
        <f>AD34/AD32</f>
        <v>7.7157873940872854E-2</v>
      </c>
      <c r="AF46" s="193">
        <f>AF34/AF32</f>
        <v>7.7157873699885443E-2</v>
      </c>
      <c r="AH46" s="193">
        <f>AH34/AH32</f>
        <v>7.7157873536980393E-2</v>
      </c>
      <c r="AJ46" s="193">
        <f>AJ34/AJ32</f>
        <v>7.715787357651667E-2</v>
      </c>
      <c r="AL46" s="193">
        <f>AL34/AL32</f>
        <v>7.7157873574738592E-2</v>
      </c>
      <c r="AN46" s="193">
        <f>AN34/AN32</f>
        <v>7.7157873574767943E-2</v>
      </c>
      <c r="AP46" s="193">
        <f>AP34/AP32</f>
        <v>7.715787357475612E-2</v>
      </c>
      <c r="AR46" s="193">
        <f>AR34/AR32</f>
        <v>7.7157873574868099E-2</v>
      </c>
      <c r="AT46" s="193">
        <f>AT34/AT32</f>
        <v>7.7157873562358023E-2</v>
      </c>
      <c r="AV46" s="193">
        <f>AV34/AV32</f>
        <v>7.7157873574883087E-2</v>
      </c>
      <c r="XCS46" s="193"/>
    </row>
    <row r="48" spans="1:49 16319:16321" x14ac:dyDescent="0.2">
      <c r="A48" t="s">
        <v>159</v>
      </c>
      <c r="B48" s="191">
        <f>B24/$B$24</f>
        <v>1</v>
      </c>
      <c r="C48" s="191"/>
      <c r="D48" s="191">
        <f>D24/$B$24</f>
        <v>1.0116368275245498</v>
      </c>
      <c r="E48" s="191"/>
      <c r="F48" s="191">
        <f>F24/$B$24</f>
        <v>1.0234455193209933</v>
      </c>
      <c r="G48" s="191"/>
      <c r="H48" s="191">
        <f>H24/$B$24</f>
        <v>1.0354459405876224</v>
      </c>
      <c r="I48" s="191"/>
      <c r="J48" s="191">
        <f>J24/$B$24</f>
        <v>1.0476616791179494</v>
      </c>
      <c r="K48" s="191"/>
      <c r="L48" s="191">
        <f>L24/$B$24</f>
        <v>1.0601212401443689</v>
      </c>
      <c r="M48" s="191"/>
      <c r="N48" s="191">
        <f>N24/$B$24</f>
        <v>1.0728602355578323</v>
      </c>
      <c r="O48" s="191"/>
      <c r="P48" s="191">
        <f>P24/$B$24</f>
        <v>1.0859252290235231</v>
      </c>
      <c r="Q48" s="191"/>
      <c r="R48" s="191">
        <f>R24/$B$24</f>
        <v>1.0993798036840929</v>
      </c>
      <c r="S48" s="191"/>
      <c r="T48" s="191">
        <f>T24/$B$24</f>
        <v>1.1133154944832453</v>
      </c>
      <c r="U48" s="191"/>
      <c r="V48" s="191">
        <f>V24/$B$24</f>
        <v>1.1278716957334649</v>
      </c>
      <c r="W48" s="191"/>
      <c r="X48" s="191">
        <f>X24/$B$24</f>
        <v>1.143272187001253</v>
      </c>
      <c r="Y48" s="191"/>
      <c r="Z48" s="191">
        <f>Z24/$B$24</f>
        <v>1.1598943875531404</v>
      </c>
      <c r="AA48" s="191"/>
      <c r="AB48" s="191">
        <f>AB24/$B$24</f>
        <v>1.178401950750384</v>
      </c>
      <c r="AC48" s="191"/>
      <c r="AD48" s="191">
        <f>AD24/$B$24</f>
        <v>1.1999919667787891</v>
      </c>
      <c r="AE48" s="191"/>
      <c r="AF48" s="191">
        <f>AF24/$B$24</f>
        <v>1.2267956943668759</v>
      </c>
      <c r="AG48" s="191"/>
      <c r="AH48" s="191">
        <f>AH24/$B$24</f>
        <v>1.2621862639811774</v>
      </c>
      <c r="AI48" s="191"/>
      <c r="AJ48" s="191">
        <f>AJ24/$B$24</f>
        <v>1.3096118911666268</v>
      </c>
      <c r="AK48" s="191"/>
      <c r="AL48" s="191">
        <f>AL24/$B$24</f>
        <v>1.3666571704822208</v>
      </c>
      <c r="AM48" s="191"/>
      <c r="AN48" s="191">
        <f>AN24/$B$24</f>
        <v>1.3920115412684351</v>
      </c>
      <c r="AO48" s="191"/>
      <c r="AP48" s="191">
        <f>AP24/$B$24</f>
        <v>1.3723476285557064</v>
      </c>
      <c r="AQ48" s="191"/>
      <c r="AR48" s="191">
        <f>AR24/$B$24</f>
        <v>1.3235774835780103</v>
      </c>
      <c r="AS48" s="191"/>
      <c r="AT48" s="191">
        <f>AT24/$B$24</f>
        <v>1.2105242867450847</v>
      </c>
      <c r="AU48" s="191"/>
      <c r="AV48" s="191">
        <f>AV24/$B$24</f>
        <v>0.92758967142351034</v>
      </c>
    </row>
    <row r="49" spans="1:48 16321:16384" x14ac:dyDescent="0.2">
      <c r="A49" t="s">
        <v>160</v>
      </c>
      <c r="B49" s="191">
        <f>B13/B35/$B$13*$B$35</f>
        <v>1</v>
      </c>
      <c r="C49" s="191"/>
      <c r="D49" s="191">
        <f>D13/D35/$B$13*$B$35</f>
        <v>0.99498999353975659</v>
      </c>
      <c r="E49" s="191"/>
      <c r="F49" s="191">
        <f>F13/F35/$B$13*$B$35</f>
        <v>0.98944988741711848</v>
      </c>
      <c r="G49" s="191"/>
      <c r="H49" s="191">
        <f>H13/H35/$B$13*$B$35</f>
        <v>0.98330068924753655</v>
      </c>
      <c r="I49" s="191"/>
      <c r="J49" s="191">
        <f>J13/J35/$B$13*$B$35</f>
        <v>0.97644587591321186</v>
      </c>
      <c r="K49" s="191"/>
      <c r="L49" s="191">
        <f>L13/L35/$B$13*$B$35</f>
        <v>0.96876566092750283</v>
      </c>
      <c r="M49" s="191"/>
      <c r="N49" s="191">
        <f>N13/N35/$B$13*$B$35</f>
        <v>0.96010912321374109</v>
      </c>
      <c r="O49" s="191"/>
      <c r="P49" s="191">
        <f>P13/P35/$B$13*$B$35</f>
        <v>0.9502826363878818</v>
      </c>
      <c r="Q49" s="191"/>
      <c r="R49" s="191">
        <f>R13/R35/$B$13*$B$35</f>
        <v>0.93903213333490143</v>
      </c>
      <c r="S49" s="191"/>
      <c r="T49" s="191">
        <f>T13/T35/$B$13*$B$35</f>
        <v>0.92601573619614097</v>
      </c>
      <c r="U49" s="191"/>
      <c r="V49" s="191">
        <f>V13/V35/$B$13*$B$35</f>
        <v>0.91075913337920889</v>
      </c>
      <c r="W49" s="191"/>
      <c r="X49" s="191">
        <f>X13/X35/$B$13*$B$35</f>
        <v>0.89258072727746751</v>
      </c>
      <c r="Y49" s="191"/>
      <c r="Z49" s="191">
        <f>Z13/Z35/$B$13*$B$35</f>
        <v>0.87046021234674431</v>
      </c>
      <c r="AA49" s="191"/>
      <c r="AB49" s="191">
        <f>AB13/AB35/$B$13*$B$35</f>
        <v>0.84279927833367352</v>
      </c>
      <c r="AC49" s="191"/>
      <c r="AD49" s="191">
        <f>AD13/AD35/$B$13*$B$35</f>
        <v>0.8069754982509072</v>
      </c>
      <c r="AE49" s="191"/>
      <c r="AF49" s="191">
        <f>AF13/AF35/$B$13*$B$35</f>
        <v>0.758531227573359</v>
      </c>
      <c r="AG49" s="191"/>
      <c r="AH49" s="191">
        <f>AH13/AH35/$B$13*$B$35</f>
        <v>0.68990727457559886</v>
      </c>
      <c r="AI49" s="191"/>
      <c r="AJ49" s="191">
        <f>AJ13/AJ35/$B$13*$B$35</f>
        <v>0.58922484525972829</v>
      </c>
      <c r="AK49" s="191"/>
      <c r="AL49" s="191">
        <f>AL13/AL35/$B$13*$B$35</f>
        <v>0.44022929634634644</v>
      </c>
      <c r="AM49" s="191"/>
      <c r="AN49" s="191">
        <f>AN13/AN35/$B$13*$B$35</f>
        <v>0.22581580621493069</v>
      </c>
      <c r="AO49" s="191"/>
      <c r="AP49" s="191">
        <f>AP13/AP35/$B$13*$B$35</f>
        <v>0.17504789852256383</v>
      </c>
      <c r="AQ49" s="191"/>
      <c r="AR49" s="191">
        <f>AR13/AR35/$B$13*$B$35</f>
        <v>0.12290075457533481</v>
      </c>
      <c r="AS49" s="191"/>
      <c r="AT49" s="191">
        <f>AT13/AT35/$B$13*$B$35</f>
        <v>7.1353756645998828E-2</v>
      </c>
      <c r="AU49" s="191"/>
      <c r="AV49" s="191">
        <f>AV13/AV35/$B$13*$B$35</f>
        <v>2.5189039708293247E-2</v>
      </c>
    </row>
    <row r="51" spans="1:48 16321:16384" x14ac:dyDescent="0.2">
      <c r="A51" t="s">
        <v>166</v>
      </c>
      <c r="B51" s="29">
        <f>B30-B10*B23</f>
        <v>-405838.32800000021</v>
      </c>
      <c r="D51" s="29">
        <f>D30-D10*D23</f>
        <v>-350986.95572147891</v>
      </c>
      <c r="F51" s="29">
        <f>F30-F10*F23</f>
        <v>-294665.25322170649</v>
      </c>
      <c r="H51" s="29">
        <f>H30-H10*H23</f>
        <v>-236666.4442079193</v>
      </c>
      <c r="J51" s="29">
        <f>J30-J10*J23</f>
        <v>-176742.18675487395</v>
      </c>
      <c r="L51" s="29">
        <f>L30-L10*L23</f>
        <v>-114591.30971008353</v>
      </c>
      <c r="N51" s="29">
        <f>N30-N10*N23</f>
        <v>-49830.364387466107</v>
      </c>
      <c r="P51" s="29">
        <f>P30-P10*P23</f>
        <v>18028.825340247247</v>
      </c>
      <c r="R51" s="29">
        <f>R30-R10*R23</f>
        <v>89638.075118956156</v>
      </c>
      <c r="T51" s="29">
        <f>T30-T10*T23</f>
        <v>165900.10799891641</v>
      </c>
      <c r="V51" s="29">
        <f>V30-V10*V23</f>
        <v>248122.08486168226</v>
      </c>
      <c r="X51" s="29">
        <f>X30-X10*X23</f>
        <v>338292.15817141114</v>
      </c>
      <c r="Z51" s="29">
        <f>Z30-Z10*Z23</f>
        <v>439594.71940984065</v>
      </c>
      <c r="AB51" s="29">
        <f>AB30-AB10*AB23</f>
        <v>557405.58675041702</v>
      </c>
      <c r="AD51" s="29">
        <f>AD30-AD10*AD23</f>
        <v>701235.62568796286</v>
      </c>
      <c r="AF51" s="29">
        <f>AF30-AF10*AF23</f>
        <v>888387.50880960701</v>
      </c>
      <c r="AH51" s="29">
        <f>AH30-AH10*AH23</f>
        <v>1149646.6858390528</v>
      </c>
      <c r="AJ51" s="29">
        <f>AJ30-AJ10*AJ23</f>
        <v>1534351.3980437401</v>
      </c>
      <c r="AL51" s="29">
        <f>AL30-AL10*AL23</f>
        <v>2113763.7684138017</v>
      </c>
      <c r="AN51" s="29">
        <f>AN30-AN10*AN23</f>
        <v>2978091.834243902</v>
      </c>
      <c r="AP51" s="29">
        <f>AP30-AP10*AP23</f>
        <v>3171171.2625057381</v>
      </c>
      <c r="AQ51" s="29"/>
      <c r="AR51" s="29">
        <f>AR30-AR10*AR23</f>
        <v>3329210.2030525082</v>
      </c>
      <c r="AT51" s="29">
        <f>AT30-AT10*AT23</f>
        <v>3353186.4397388818</v>
      </c>
      <c r="AV51" s="29">
        <f>AV30-AV10*AV23</f>
        <v>2885598.7337480048</v>
      </c>
      <c r="XFD51" s="29"/>
    </row>
    <row r="52" spans="1:48 16321:16384" x14ac:dyDescent="0.2">
      <c r="A52" t="s">
        <v>167</v>
      </c>
      <c r="B52" s="29">
        <f t="array" ref="B52">Calibration!sL*SUM(B13:C13*B26:C26)</f>
        <v>2049247.8195702801</v>
      </c>
      <c r="D52" s="29">
        <f t="array" ref="D52">Calibration!sL*SUM(D13:E13*D26:E26)</f>
        <v>2043375.417878672</v>
      </c>
      <c r="F52" s="29">
        <f t="array" ref="F52">Calibration!sL*SUM(F13:G13*F26:G26)</f>
        <v>2036897.963449684</v>
      </c>
      <c r="H52" s="29">
        <f t="array" ref="H52">Calibration!sL*SUM(H13:I13*H26:I26)</f>
        <v>2029726.3100163843</v>
      </c>
      <c r="J52" s="29">
        <f t="array" ref="J52">Calibration!sL*SUM(J13:K13*J26:K26)</f>
        <v>2021752.9885452203</v>
      </c>
      <c r="L52" s="29">
        <f t="array" ref="L52">Calibration!sL*SUM(L13:M13*L26:M26)</f>
        <v>2012846.7145178071</v>
      </c>
      <c r="N52" s="29">
        <f t="array" ref="N52">Calibration!sL*SUM(N13:O13*N26:O26)</f>
        <v>2002845.7991543103</v>
      </c>
      <c r="P52" s="29">
        <f t="array" ref="P52">Calibration!sL*SUM(P13:Q13*P26:Q26)</f>
        <v>1991547.8037442807</v>
      </c>
      <c r="R52" s="29">
        <f t="array" ref="R52">Calibration!sL*SUM(R13:S13*R26:S26)</f>
        <v>1978694.9847836201</v>
      </c>
      <c r="T52" s="29">
        <f t="array" ref="T52">Calibration!sL*SUM(T13:U13*T26:U26)</f>
        <v>1963952.2079007912</v>
      </c>
      <c r="V52" s="29">
        <f t="array" ref="V52">Calibration!sL*SUM(V13:W13*V26:W26)</f>
        <v>1946871.5129599585</v>
      </c>
      <c r="X52" s="29">
        <f t="array" ref="X52">Calibration!sL*SUM(X13:Y13*X26:Y26)</f>
        <v>1926833.3407883379</v>
      </c>
      <c r="Z52" s="29">
        <f t="array" ref="Z52">Calibration!sL*SUM(Z13:AA13*Z26:AA26)</f>
        <v>1902941.9936898155</v>
      </c>
      <c r="AB52" s="29">
        <f t="array" ref="AB52">Calibration!sL*SUM(AB13:AC13*AB26:AC26)</f>
        <v>1873827.5086681214</v>
      </c>
      <c r="AD52" s="29">
        <f t="array" ref="AD52">Calibration!sL*SUM(AD13:AE13*AD26:AE26)</f>
        <v>1837240.0931702307</v>
      </c>
      <c r="AF52" s="29">
        <f t="array" ref="AF52">Calibration!sL*SUM(AF13:AG13*AF26:AG26)</f>
        <v>1789156.8008103478</v>
      </c>
      <c r="AH52" s="29">
        <f t="array" ref="AH52">Calibration!sL*SUM(AH13:AI13*AH26:AI26)</f>
        <v>1721682.2475520871</v>
      </c>
      <c r="AJ52" s="29">
        <f t="array" ref="AJ52">Calibration!sL*SUM(AJ13:AK13*AJ26:AK26)</f>
        <v>1617848.6321681843</v>
      </c>
      <c r="AL52" s="29">
        <f t="array" ref="AL52">Calibration!sL*SUM(AL13:AM13*AL26:AM26)</f>
        <v>1436782.198544147</v>
      </c>
      <c r="AN52" s="29">
        <f t="array" ref="AN52">Calibration!sL*SUM(AN13:AO13*AN26:AO26)</f>
        <v>1052283.8391109738</v>
      </c>
      <c r="AP52" s="29">
        <f t="array" ref="AP52">Calibration!sL*SUM(AP13:AQ13*AP26:AQ26)</f>
        <v>918875.22180542455</v>
      </c>
      <c r="AQ52" s="29"/>
      <c r="AR52" s="29">
        <f t="array" ref="AR52">Calibration!sL*SUM(AR13:AS13*AR26:AS26)</f>
        <v>749311.52916788135</v>
      </c>
      <c r="AT52" s="29">
        <f t="array" ref="AT52">Calibration!sL*SUM(AT13:AU13*AT26:AU26)</f>
        <v>529180.47570131975</v>
      </c>
      <c r="AV52" s="29">
        <f t="array" ref="AV52">Calibration!sL*SUM(AV13:AW13*AV26:AW26)</f>
        <v>245842.45902920543</v>
      </c>
    </row>
    <row r="53" spans="1:48 16321:16384" x14ac:dyDescent="0.2">
      <c r="A53" t="s">
        <v>168</v>
      </c>
      <c r="B53" s="29">
        <f t="array" ref="B53">Calibration!sK*SUM(B15:C15*B27:C27)</f>
        <v>2740714.4444297408</v>
      </c>
      <c r="D53" s="29">
        <f t="array" ref="D53">Calibration!sK*SUM(D15:E15*D27:E27)</f>
        <v>2724845.609196472</v>
      </c>
      <c r="F53" s="29">
        <f t="array" ref="F53">Calibration!sK*SUM(F15:G15*F27:G27)</f>
        <v>2708231.6735178595</v>
      </c>
      <c r="H53" s="29">
        <f t="array" ref="H53">Calibration!sK*SUM(H15:I15*H27:I27)</f>
        <v>2690758.7045014878</v>
      </c>
      <c r="J53" s="29">
        <f t="array" ref="J53">Calibration!sK*SUM(J15:K15*J27:K27)</f>
        <v>2672289.8593388558</v>
      </c>
      <c r="L53" s="29">
        <f t="array" ref="L53">Calibration!sK*SUM(L15:M15*L27:M27)</f>
        <v>2652660.4523186698</v>
      </c>
      <c r="N53" s="29">
        <f t="array" ref="N53">Calibration!sK*SUM(N15:O15*N27:O27)</f>
        <v>2631668.2526629404</v>
      </c>
      <c r="P53" s="29">
        <f t="array" ref="P53">Calibration!sK*SUM(P15:Q15*P27:Q27)</f>
        <v>2609063.9200967215</v>
      </c>
      <c r="R53" s="29">
        <f t="array" ref="R53">Calibration!sK*SUM(R15:S15*R27:S27)</f>
        <v>2584534.1329158763</v>
      </c>
      <c r="T53" s="29">
        <f t="array" ref="T53">Calibration!sK*SUM(T15:U15*T27:U27)</f>
        <v>2557677.2958139949</v>
      </c>
      <c r="V53" s="29">
        <f t="array" ref="V53">Calibration!sK*SUM(V15:W15*V27:W27)</f>
        <v>2527964.9115916532</v>
      </c>
      <c r="X53" s="29">
        <f t="array" ref="X53">Calibration!sK*SUM(X15:Y15*X27:Y27)</f>
        <v>2494676.2040100168</v>
      </c>
      <c r="Z53" s="29">
        <f t="array" ref="Z53">Calibration!sK*SUM(Z15:AA15*Z27:AA27)</f>
        <v>2456780.1633971161</v>
      </c>
      <c r="AB53" s="29">
        <f t="array" ref="AB53">Calibration!sK*SUM(AB15:AC15*AB27:AC27)</f>
        <v>2412705.4360302747</v>
      </c>
      <c r="AD53" s="29">
        <f t="array" ref="AD53">Calibration!sK*SUM(AD15:AE15*AD27:AE27)</f>
        <v>2359851.8324336493</v>
      </c>
      <c r="AF53" s="29">
        <f t="array" ref="AF53">Calibration!sK*SUM(AF15:AG15*AF27:AG27)</f>
        <v>2293463.395206566</v>
      </c>
      <c r="AH53" s="29">
        <f t="array" ref="AH53">Calibration!sK*SUM(AH15:AI15*AH27:AI27)</f>
        <v>2203859.9169880464</v>
      </c>
      <c r="AJ53" s="29">
        <f t="array" ref="AJ53">Calibration!sK*SUM(AJ15:AK15*AJ27:AK27)</f>
        <v>2069455.8726402367</v>
      </c>
      <c r="AL53" s="29">
        <f t="array" ref="AL53">Calibration!sK*SUM(AL15:AM15*AL27:AM27)</f>
        <v>1837448.278615993</v>
      </c>
      <c r="AN53" s="29">
        <f t="array" ref="AN53">Calibration!sK*SUM(AN15:AO15*AN27:AO27)</f>
        <v>1345689.5820662929</v>
      </c>
      <c r="AP53" s="29">
        <f t="array" ref="AP53">Calibration!sK*SUM(AP15:AQ15*AP27:AQ27)</f>
        <v>1175082.3889310623</v>
      </c>
      <c r="AQ53" s="29"/>
      <c r="AR53" s="29">
        <f t="array" ref="AR53">Calibration!sK*SUM(AR15:AS15*AR27:AS27)</f>
        <v>958239.59974412876</v>
      </c>
      <c r="AT53" s="29">
        <f t="array" ref="AT53">Calibration!sK*SUM(AT15:AU15*AT27:AU27)</f>
        <v>676730.09438897192</v>
      </c>
      <c r="AV53" s="29">
        <f t="array" ref="AV53">Calibration!sK*SUM(AV15:AW15*AV27:AW27)</f>
        <v>314389.88446689659</v>
      </c>
      <c r="XFD53" s="29"/>
    </row>
    <row r="55" spans="1:48 16321:16384" x14ac:dyDescent="0.2">
      <c r="A55" t="s">
        <v>169</v>
      </c>
      <c r="B55" s="193">
        <f>B30/B32</f>
        <v>0.19850271905982084</v>
      </c>
      <c r="D55" s="193">
        <f>D30/D32</f>
        <v>0.20222834426553948</v>
      </c>
      <c r="F55" s="193">
        <f>F30/F32</f>
        <v>0.20604954589554275</v>
      </c>
      <c r="H55" s="193">
        <f>H30/H32</f>
        <v>0.2099818245673907</v>
      </c>
      <c r="J55" s="193">
        <f>J30/J32</f>
        <v>0.21404397755495397</v>
      </c>
      <c r="L55" s="193">
        <f>L30/L32</f>
        <v>0.21825903407107528</v>
      </c>
      <c r="N55" s="193">
        <f>N30/N32</f>
        <v>0.22265651137923775</v>
      </c>
      <c r="P55" s="193">
        <f>P30/P32</f>
        <v>0.22727428931598151</v>
      </c>
      <c r="R55" s="193">
        <f>R30/R32</f>
        <v>0.23216313996058338</v>
      </c>
      <c r="T55" s="193">
        <f>T30/T32</f>
        <v>0.23739345081431787</v>
      </c>
      <c r="V55" s="193">
        <f>V30/V32</f>
        <v>0.24306691174579403</v>
      </c>
      <c r="X55" s="193">
        <f>X30/X32</f>
        <v>0.24933739484114614</v>
      </c>
      <c r="Z55" s="193">
        <f>Z30/Z32</f>
        <v>0.25644969217722446</v>
      </c>
      <c r="AB55" s="193">
        <f>AB30/AB32</f>
        <v>0.2648144097574035</v>
      </c>
      <c r="AD55" s="193">
        <f>AD30/AD32</f>
        <v>0.27515601988385391</v>
      </c>
      <c r="AF55" s="193">
        <f>AF30/AF32</f>
        <v>0.28880253694391522</v>
      </c>
      <c r="AH55" s="193">
        <f>AH30/AH32</f>
        <v>0.30820312733372385</v>
      </c>
      <c r="AJ55" s="193">
        <f>AJ30/AJ32</f>
        <v>0.33778722725586124</v>
      </c>
      <c r="AL55" s="193">
        <f>AL30/AL32</f>
        <v>0.38662027225917206</v>
      </c>
      <c r="AN55" s="193">
        <f>AN30/AN32</f>
        <v>0.48526883432227902</v>
      </c>
      <c r="AP55" s="193">
        <f>AP30/AP32</f>
        <v>0.52050923801588378</v>
      </c>
      <c r="AR55" s="193">
        <f>AR30/AR32</f>
        <v>0.56777259768421584</v>
      </c>
      <c r="AT55" s="193">
        <f>AT30/AT32</f>
        <v>0.6362254326201362</v>
      </c>
      <c r="AV55" s="193">
        <f>AV30/AV32</f>
        <v>0.74942035763726422</v>
      </c>
      <c r="XCS55" s="193"/>
      <c r="XFD55" s="193"/>
    </row>
    <row r="56" spans="1:48 16321:16384" x14ac:dyDescent="0.2">
      <c r="A56" t="s">
        <v>170</v>
      </c>
      <c r="B56" s="193">
        <f>(Model!$C$52*B5*B20+B2*C5*C20)/B32</f>
        <v>2.9221206744340551E-2</v>
      </c>
      <c r="D56" s="193">
        <f>(Model!$C$52*D5*D20+D2*E5*E20)/D32</f>
        <v>3.3501356017817098E-2</v>
      </c>
      <c r="F56" s="193">
        <f>(Model!$C$52*F5*F20+F2*G5*G20)/F32</f>
        <v>3.7898932319712655E-2</v>
      </c>
      <c r="H56" s="193">
        <f>(Model!$C$52*H5*H20+H2*I5*I20)/H32</f>
        <v>4.2432736356361814E-2</v>
      </c>
      <c r="J56" s="193">
        <f>(Model!$C$52*J5*J20+J2*K5*K20)/J32</f>
        <v>4.7125607104069663E-2</v>
      </c>
      <c r="L56" s="193">
        <f>(Model!$C$52*L5*L20+L2*M5*M20)/L32</f>
        <v>5.2005568337486915E-2</v>
      </c>
      <c r="N56" s="193">
        <f>(Model!$C$52*N5*N20+N2*O5*O20)/N32</f>
        <v>5.7108547274121249E-2</v>
      </c>
      <c r="P56" s="193">
        <f>(Model!$C$52*P5*P20+P2*Q5*Q20)/P32</f>
        <v>6.2480756830129658E-2</v>
      </c>
      <c r="R56" s="193">
        <f>(Model!$C$52*R5*R20+R2*S5*S20)/R32</f>
        <v>6.8184189134524315E-2</v>
      </c>
      <c r="T56" s="193">
        <f>(Model!$C$52*T5*T20+T2*U5*U20)/T32</f>
        <v>7.4304860462661021E-2</v>
      </c>
      <c r="V56" s="193">
        <f>(Model!$C$52*V5*V20+V2*W5*W20)/V32</f>
        <v>8.0967072429807524E-2</v>
      </c>
      <c r="X56" s="193">
        <f>(Model!$C$52*X5*X20+X2*Y5*Y20)/X32</f>
        <v>8.8358858259974971E-2</v>
      </c>
      <c r="Z56" s="193">
        <f>(Model!$C$52*Z5*Z20+Z2*AA5*AA20)/Z32</f>
        <v>9.6779074869624671E-2</v>
      </c>
      <c r="AB56" s="193">
        <f>(Model!$C$52*AB5*AB20+AB2*AC5*AC20)/AB32</f>
        <v>0.10672819519682185</v>
      </c>
      <c r="AD56" s="193">
        <f>(Model!$C$52*AD5*AD20+AD2*AE5*AE20)/AD32</f>
        <v>0.11908722734605026</v>
      </c>
      <c r="AF56" s="193">
        <f>(Model!$C$52*AF5*AF20+AF2*AG5*AG20)/AF32</f>
        <v>0.13546636421964475</v>
      </c>
      <c r="AH56" s="193">
        <f>(Model!$C$52*AH5*AH20+AH2*AI5*AI20)/AH32</f>
        <v>0.1588244892559571</v>
      </c>
      <c r="AJ56" s="193">
        <f>(Model!$C$52*AJ5*AJ20+AJ2*AK5*AK20)/AJ32</f>
        <v>0.19449237210523004</v>
      </c>
      <c r="AL56" s="193">
        <f>(Model!$C$52*AL5*AL20+AL2*AM5*AM20)/AL32</f>
        <v>0.25335834493862691</v>
      </c>
      <c r="AN56" s="193">
        <f>(Model!$C$52*AN5*AN20+AN2*AO5*AO20)/AN32</f>
        <v>0.37215681219545504</v>
      </c>
      <c r="AP56" s="193">
        <f>(Model!$C$52*AP5*AP20+AP2*AQ5*AQ20)/AP32</f>
        <v>0.41456514518826632</v>
      </c>
      <c r="AR56" s="193">
        <f>(Model!$C$52*AR5*AR20+AR2*AS5*AS20)/AR32</f>
        <v>0.47142245671944671</v>
      </c>
      <c r="AT56" s="193">
        <f>(Model!$C$52*AT5*AT20+AT2*AU5*AU20)/AT32</f>
        <v>0.55373709562552409</v>
      </c>
      <c r="AV56" s="193">
        <f>(Model!$C$52*AV5*AV20+AV2*AW5*AW20)/AV32</f>
        <v>0.68978509778746722</v>
      </c>
      <c r="XFD56" s="193"/>
    </row>
    <row r="57" spans="1:48 16321:16384" x14ac:dyDescent="0.2">
      <c r="A57" t="s">
        <v>171</v>
      </c>
      <c r="B57" s="193">
        <f t="array" ref="B57">SUM(Model!tauL*B13:C13*B26:C26)/B32</f>
        <v>0.15852881819439493</v>
      </c>
      <c r="D57" s="193">
        <f t="array" ref="D57">SUM(Model!tauL*D13:E13*D26:E26)/D32</f>
        <v>0.15805485282631368</v>
      </c>
      <c r="F57" s="193">
        <f t="array" ref="F57">SUM(Model!tauL*F13:G13*F26:G26)/F32</f>
        <v>0.1575598952601211</v>
      </c>
      <c r="H57" s="193">
        <f t="array" ref="H57">SUM(Model!tauL*H13:I13*H26:I26)/H32</f>
        <v>0.15704086081034763</v>
      </c>
      <c r="J57" s="193">
        <f t="array" ref="J57">SUM(Model!tauL*J13:K13*J26:K26)/J32</f>
        <v>0.15649397052423364</v>
      </c>
      <c r="L57" s="193">
        <f t="array" ref="L57">SUM(Model!tauL*L13:M13*L26:M26)/L32</f>
        <v>0.15591453586857226</v>
      </c>
      <c r="N57" s="193">
        <f t="array" ref="N57">SUM(Model!tauL*N13:O13*N26:O26)/N32</f>
        <v>0.15529652726417187</v>
      </c>
      <c r="P57" s="193">
        <f t="array" ref="P57">SUM(Model!tauL*P13:Q13*P26:Q26)/P32</f>
        <v>0.15463206158884502</v>
      </c>
      <c r="R57" s="193">
        <f t="array" ref="R57">SUM(Model!tauL*R13:S13*R26:S26)/R32</f>
        <v>0.15391045703831188</v>
      </c>
      <c r="T57" s="193">
        <f t="array" ref="T57">SUM(Model!tauL*T13:U13*T26:U26)/T32</f>
        <v>0.15311672420254427</v>
      </c>
      <c r="V57" s="193">
        <f t="array" ref="V57">SUM(Model!tauL*V13:W13*V26:W26)/V32</f>
        <v>0.15222899216677885</v>
      </c>
      <c r="X57" s="193">
        <f t="array" ref="X57">SUM(Model!tauL*X13:Y13*X26:Y26)/X32</f>
        <v>0.15121393260679417</v>
      </c>
      <c r="Y57" s="193"/>
      <c r="Z57" s="193">
        <f t="array" ref="Z57">SUM(Model!tauL*Z13:AA13*Z26:AA26)/Z32</f>
        <v>0.15001835228398644</v>
      </c>
      <c r="AB57" s="193">
        <f t="array" ref="AB57">SUM(Model!tauL*AB13:AC13*AB26:AC26)/AB32</f>
        <v>0.1485531589976706</v>
      </c>
      <c r="AD57" s="193">
        <f t="array" ref="AD57">SUM(Model!tauL*AD13:AE13*AD26:AE26)/AD32</f>
        <v>0.14666218343555112</v>
      </c>
      <c r="AF57" s="193">
        <f t="array" ref="AF57">SUM(Model!tauL*AF13:AG13*AF26:AG26)/AF32</f>
        <v>0.14406265609223456</v>
      </c>
      <c r="AH57" s="193">
        <f t="array" ref="AH57">SUM(Model!tauL*AH13:AI13*AH26:AI26)/AH32</f>
        <v>0.14024283323749928</v>
      </c>
      <c r="AJ57" s="193">
        <f t="array" ref="AJ57">SUM(Model!tauL*AJ13:AK13*AJ26:AK26)/AJ32</f>
        <v>0.13429925316858163</v>
      </c>
      <c r="AL57" s="193">
        <f t="array" ref="AL57">SUM(Model!tauL*AL13:AM13*AL26:AM26)/AL32</f>
        <v>0.12441071935969113</v>
      </c>
      <c r="AN57" s="193">
        <f t="array" ref="AN57">SUM(Model!tauL*AN13:AO13*AN26:AO26)/AN32</f>
        <v>0.10440363747547106</v>
      </c>
      <c r="AP57" s="193">
        <f t="array" ref="AP57">SUM(Model!tauL*AP13:AQ13*AP26:AQ26)/AP32</f>
        <v>9.7255803931596663E-2</v>
      </c>
      <c r="AR57" s="193">
        <f t="array" ref="AR57">SUM(Model!tauL*AR13:AS13*AR26:AS26)/AR32</f>
        <v>8.7669317098817617E-2</v>
      </c>
      <c r="AT57" s="193">
        <f t="array" ref="AT57">SUM(Model!tauL*AT13:AU13*AT26:AU26)/AT32</f>
        <v>7.3784931362546824E-2</v>
      </c>
      <c r="AV57" s="193">
        <f t="array" ref="AV57">SUM(Model!tauL*AV13:AW13*AV26:AW26)/AV32</f>
        <v>5.0825437619760029E-2</v>
      </c>
      <c r="XFD57" s="193"/>
    </row>
    <row r="58" spans="1:48 16321:16384" x14ac:dyDescent="0.2">
      <c r="A58" t="s">
        <v>172</v>
      </c>
      <c r="B58" s="193">
        <f t="array" ref="B58">SUM(Model!tauY/(1+Model!tauY)*B3:C3*B18:C18)/B32</f>
        <v>1.075269412108535E-2</v>
      </c>
      <c r="D58" s="193">
        <f t="array" ref="D58">SUM(Model!tauY/(1+Model!tauY)*D3:E3*D18:E18)/D32</f>
        <v>1.0672135421408706E-2</v>
      </c>
      <c r="F58" s="193">
        <f t="array" ref="F58">SUM(Model!tauY/(1+Model!tauY)*F3:G3*F18:G18)/F32</f>
        <v>1.0590718315708991E-2</v>
      </c>
      <c r="H58" s="193">
        <f t="array" ref="H58">SUM(Model!tauY/(1+Model!tauY)*H3:I3*H18:I18)/H32</f>
        <v>1.0508227400681242E-2</v>
      </c>
      <c r="J58" s="193">
        <f t="array" ref="J58">SUM(Model!tauY/(1+Model!tauY)*J3:K3*J18:K18)/J32</f>
        <v>1.0424399926650663E-2</v>
      </c>
      <c r="L58" s="193">
        <f t="array" ref="L58">SUM(Model!tauY/(1+Model!tauY)*L3:M3*L18:M18)/L32</f>
        <v>1.0338929865016127E-2</v>
      </c>
      <c r="N58" s="193">
        <f t="array" ref="N58">SUM(Model!tauY/(1+Model!tauY)*N3:O3*N18:O18)/N32</f>
        <v>1.0251436840944695E-2</v>
      </c>
      <c r="P58" s="193">
        <f t="array" ref="P58">SUM(Model!tauY/(1+Model!tauY)*P3:Q3*P18:Q18)/P32</f>
        <v>1.016147089700682E-2</v>
      </c>
      <c r="R58" s="193">
        <f t="array" ref="R58">SUM(Model!tauY/(1+Model!tauY)*R3:S3*R18:S18)/R32</f>
        <v>1.0068493787747183E-2</v>
      </c>
      <c r="T58" s="193">
        <f t="array" ref="T58">SUM(Model!tauY/(1+Model!tauY)*T3:U3*T18:U18)/T32</f>
        <v>9.9718661491125862E-3</v>
      </c>
      <c r="V58" s="193">
        <f t="array" ref="V58">SUM(Model!tauY/(1+Model!tauY)*V3:W3*V18:W18)/V32</f>
        <v>9.8708471492076812E-3</v>
      </c>
      <c r="X58" s="193">
        <f t="array" ref="X58">SUM(Model!tauY/(1+Model!tauY)*X3:Y3*X18:Y18)/X32</f>
        <v>9.7646039743770272E-3</v>
      </c>
      <c r="Y58" s="193"/>
      <c r="Z58" s="193">
        <f t="array" ref="Z58">SUM(Model!tauY/(1+Model!tauY)*Z3:AA3*Z18:AA18)/Z32</f>
        <v>9.6522650236133441E-3</v>
      </c>
      <c r="AB58" s="193">
        <f t="array" ref="AB58">SUM(Model!tauY/(1+Model!tauY)*AB3:AC3*AB18:AC18)/AB32</f>
        <v>9.5330555629110445E-3</v>
      </c>
      <c r="AD58" s="193">
        <f t="array" ref="AD58">SUM(Model!tauY/(1+Model!tauY)*AD3:AE3*AD18:AE18)/AD32</f>
        <v>9.4066091022524997E-3</v>
      </c>
      <c r="AF58" s="193">
        <f t="array" ref="AF58">SUM(Model!tauY/(1+Model!tauY)*AF3:AG3*AF18:AG18)/AF32</f>
        <v>9.2735166320359365E-3</v>
      </c>
      <c r="AH58" s="193">
        <f t="array" ref="AH58">SUM(Model!tauY/(1+Model!tauY)*AH3:AI3*AH18:AI18)/AH32</f>
        <v>9.1358048402674398E-3</v>
      </c>
      <c r="AJ58" s="193">
        <f t="array" ref="AJ58">SUM(Model!tauY/(1+Model!tauY)*AJ3:AK3*AJ18:AK18)/AJ32</f>
        <v>8.99560198204955E-3</v>
      </c>
      <c r="AL58" s="193">
        <f t="array" ref="AL58">SUM(Model!tauY/(1+Model!tauY)*AL3:AM3*AL18:AM18)/AL32</f>
        <v>8.851207960854016E-3</v>
      </c>
      <c r="AN58" s="193">
        <f t="array" ref="AN58">SUM(Model!tauY/(1+Model!tauY)*AN3:AO3*AN18:AO18)/AN32</f>
        <v>8.7083846513529382E-3</v>
      </c>
      <c r="AP58" s="193">
        <f t="array" ref="AP58">SUM(Model!tauY/(1+Model!tauY)*AP3:AQ3*AP18:AQ18)/AP32</f>
        <v>8.6882888960208935E-3</v>
      </c>
      <c r="AR58" s="193">
        <f t="array" ref="AR58">SUM(Model!tauY/(1+Model!tauY)*AR3:AS3*AR18:AS18)/AR32</f>
        <v>8.6808238659514831E-3</v>
      </c>
      <c r="AT58" s="193">
        <f t="array" ref="AT58">SUM(Model!tauY/(1+Model!tauY)*AT3:AU3*AT18:AU18)/AT32</f>
        <v>8.7034056320653246E-3</v>
      </c>
      <c r="AV58" s="193">
        <f t="array" ref="AV58">SUM(Model!tauY/(1+Model!tauY)*AV3:AW3*AV18:AW18)/AV32</f>
        <v>8.8098222300369844E-3</v>
      </c>
      <c r="XFD58" s="193"/>
    </row>
    <row r="59" spans="1:48 16321:16384" x14ac:dyDescent="0.2">
      <c r="A59" t="s">
        <v>173</v>
      </c>
      <c r="B59" s="193">
        <f>(B2*C5*C20)/B32</f>
        <v>5.5174232040962052E-4</v>
      </c>
      <c r="D59" s="193">
        <f>(D2*E5*E20)/D32</f>
        <v>4.8833903171659789E-3</v>
      </c>
      <c r="F59" s="193">
        <f>(F2*G5*G20)/F32</f>
        <v>9.3332391031519628E-3</v>
      </c>
      <c r="H59" s="193">
        <f>(H2*I5*I20)/H32</f>
        <v>1.3920203306737487E-2</v>
      </c>
      <c r="J59" s="193">
        <f>(J2*K5*K20)/J32</f>
        <v>1.8667258193246581E-2</v>
      </c>
      <c r="L59" s="193">
        <f>(L2*M5*M20)/L32</f>
        <v>2.3602586618887287E-2</v>
      </c>
      <c r="N59" s="193">
        <f>(N2*O5*O20)/N32</f>
        <v>2.8762321040167311E-2</v>
      </c>
      <c r="P59" s="193">
        <f>(P2*Q5*Q20)/P32</f>
        <v>3.4192932348568524E-2</v>
      </c>
      <c r="R59" s="193">
        <f>(R2*S5*S20)/R32</f>
        <v>3.9956758300445962E-2</v>
      </c>
      <c r="T59" s="193">
        <f>(T2*U5*U20)/T32</f>
        <v>4.6140299694150733E-2</v>
      </c>
      <c r="V59" s="193">
        <f>(V2*W5*W20)/V32</f>
        <v>5.28685701906823E-2</v>
      </c>
      <c r="X59" s="193">
        <f>(X2*Y5*Y20)/X32</f>
        <v>6.0330708239172436E-2</v>
      </c>
      <c r="Z59" s="193">
        <f>(Z2*AA5*AA20)/Z32</f>
        <v>6.8827376551391345E-2</v>
      </c>
      <c r="AB59" s="193">
        <f>(AB2*AC5*AC20)/AB32</f>
        <v>7.8862142760078899E-2</v>
      </c>
      <c r="AD59" s="193">
        <f>(AD2*AE5*AE20)/AD32</f>
        <v>9.1321500907826036E-2</v>
      </c>
      <c r="AF59" s="193">
        <f>(AF2*AG5*AG20)/AF32</f>
        <v>0.10782537991365283</v>
      </c>
      <c r="AH59" s="193">
        <f>(AH2*AI5*AI20)/AH32</f>
        <v>0.13134854615581296</v>
      </c>
      <c r="AJ59" s="193">
        <f>(AJ2*AK5*AK20)/AJ32</f>
        <v>0.1672414448950359</v>
      </c>
      <c r="AL59" s="193">
        <f>(AL2*AM5*AM20)/AL32</f>
        <v>0.22640347005276704</v>
      </c>
      <c r="AN59" s="193">
        <f>(AN2*AO5*AO20)/AN32</f>
        <v>0.34552680190338436</v>
      </c>
      <c r="AP59" s="193">
        <f>(AP2*AQ5*AQ20)/AP32</f>
        <v>0.38797455872260994</v>
      </c>
      <c r="AR59" s="193">
        <f>(AR2*AS5*AS20)/AR32</f>
        <v>0.4448308868660768</v>
      </c>
      <c r="AT59" s="193">
        <f>(AT2*AU5*AU20)/AT32</f>
        <v>0.52704798090548399</v>
      </c>
      <c r="AV59" s="193">
        <f>(AV2*AW5*AW20)/AV32</f>
        <v>0.66272863963183459</v>
      </c>
      <c r="XFD59" s="193"/>
    </row>
    <row r="60" spans="1:48 16321:16384" x14ac:dyDescent="0.2">
      <c r="A60" t="s">
        <v>174</v>
      </c>
      <c r="B60" s="193">
        <f>Model!$C$52*B5*B20/B32</f>
        <v>2.8669464423930927E-2</v>
      </c>
      <c r="D60" s="193">
        <f>Model!$C$52*D5*D20/D32</f>
        <v>2.8617965700651119E-2</v>
      </c>
      <c r="F60" s="193">
        <f>Model!$C$52*F5*F20/F32</f>
        <v>2.8565693216560693E-2</v>
      </c>
      <c r="H60" s="193">
        <f>Model!$C$52*H5*H20/H32</f>
        <v>2.8512533049624336E-2</v>
      </c>
      <c r="J60" s="193">
        <f>Model!$C$52*J5*J20/J32</f>
        <v>2.8458348910823078E-2</v>
      </c>
      <c r="L60" s="193">
        <f>Model!$C$52*L5*L20/L32</f>
        <v>2.8402981718599622E-2</v>
      </c>
      <c r="N60" s="193">
        <f>Model!$C$52*N5*N20/N32</f>
        <v>2.8346226233953945E-2</v>
      </c>
      <c r="P60" s="193">
        <f>Model!$C$52*P5*P20/P32</f>
        <v>2.8287824481561131E-2</v>
      </c>
      <c r="R60" s="193">
        <f>Model!$C$52*R5*R20/R32</f>
        <v>2.8227430834078353E-2</v>
      </c>
      <c r="T60" s="193">
        <f>Model!$C$52*T5*T20/T32</f>
        <v>2.8164560768510288E-2</v>
      </c>
      <c r="V60" s="193">
        <f>Model!$C$52*V5*V20/V32</f>
        <v>2.8098502239125231E-2</v>
      </c>
      <c r="X60" s="193">
        <f>Model!$C$52*X5*X20/X32</f>
        <v>2.8028150020802545E-2</v>
      </c>
      <c r="Z60" s="193">
        <f>Model!$C$52*Z5*Z20/Z32</f>
        <v>2.7951698318233329E-2</v>
      </c>
      <c r="AB60" s="193">
        <f>Model!$C$52*AB5*AB20/AB32</f>
        <v>2.7866052436742943E-2</v>
      </c>
      <c r="AD60" s="193">
        <f>Model!$C$52*AD5*AD20/AD32</f>
        <v>2.7765726438224225E-2</v>
      </c>
      <c r="AF60" s="193">
        <f>Model!$C$52*AF5*AF20/AF32</f>
        <v>2.7640984305991906E-2</v>
      </c>
      <c r="AH60" s="193">
        <f>Model!$C$52*AH5*AH20/AH32</f>
        <v>2.7475943100144153E-2</v>
      </c>
      <c r="AJ60" s="193">
        <f>Model!$C$52*AJ5*AJ20/AJ32</f>
        <v>2.7250927210194141E-2</v>
      </c>
      <c r="AL60" s="193">
        <f>Model!$C$52*AL5*AL20/AL32</f>
        <v>2.6954874885859872E-2</v>
      </c>
      <c r="AN60" s="193">
        <f>Model!$C$52*AN5*AN20/AN32</f>
        <v>2.66300102920707E-2</v>
      </c>
      <c r="AP60" s="193">
        <f>Model!$C$52*AP5*AP20/AP32</f>
        <v>2.6590586465656353E-2</v>
      </c>
      <c r="AR60" s="193">
        <f>Model!$C$52*AR5*AR20/AR32</f>
        <v>2.6591569853369895E-2</v>
      </c>
      <c r="AT60" s="193">
        <f>Model!$C$52*AT5*AT20/AT32</f>
        <v>2.6689114720040014E-2</v>
      </c>
      <c r="AV60" s="193">
        <f>Model!$C$52*AV5*AV20/AV32</f>
        <v>2.7056458155632592E-2</v>
      </c>
      <c r="XFD60" s="193"/>
    </row>
    <row r="62" spans="1:48 16321:16384" x14ac:dyDescent="0.2">
      <c r="A62" t="s">
        <v>175</v>
      </c>
      <c r="B62">
        <f>B13/B15</f>
        <v>1</v>
      </c>
      <c r="D62">
        <f>D13/D15</f>
        <v>1.0029414333670086</v>
      </c>
      <c r="F62">
        <f>F13/F15</f>
        <v>1.0058952796456662</v>
      </c>
      <c r="H62">
        <f>H13/H15</f>
        <v>1.008862634938843</v>
      </c>
      <c r="J62">
        <f>J13/J15</f>
        <v>1.0118446518775555</v>
      </c>
      <c r="L62">
        <f>L13/L15</f>
        <v>1.0148418010444968</v>
      </c>
      <c r="N62">
        <f>N13/N15</f>
        <v>1.0178544494667816</v>
      </c>
      <c r="P62">
        <f>P13/P15</f>
        <v>1.0208814749570314</v>
      </c>
      <c r="R62">
        <f>R13/R15</f>
        <v>1.0239196746714099</v>
      </c>
      <c r="T62">
        <f>T13/T15</f>
        <v>1.0269622365895332</v>
      </c>
      <c r="V62">
        <f>V13/V15</f>
        <v>1.02999604246397</v>
      </c>
      <c r="X62">
        <f>X13/X15</f>
        <v>1.0329975115127585</v>
      </c>
      <c r="Z62">
        <f>Z13/Z15</f>
        <v>1.0359255888850214</v>
      </c>
      <c r="AB62">
        <f>AB13/AB15</f>
        <v>1.0387107223814387</v>
      </c>
      <c r="AD62">
        <f>AD13/AD15</f>
        <v>1.041239142054954</v>
      </c>
      <c r="AF62">
        <f>AF13/AF15</f>
        <v>1.0433400959861268</v>
      </c>
      <c r="AH62">
        <f>AH13/AH15</f>
        <v>1.0448124096239269</v>
      </c>
      <c r="AJ62">
        <f>AJ13/AJ15</f>
        <v>1.0455649659906785</v>
      </c>
      <c r="AL62">
        <f>AL13/AL15</f>
        <v>1.0457915353717473</v>
      </c>
      <c r="AN62">
        <f>AN13/AN15</f>
        <v>1.0458209016964517</v>
      </c>
      <c r="AP62">
        <f>AP13/AP15</f>
        <v>1.0458214139887776</v>
      </c>
      <c r="AR62">
        <f>AR13/AR15</f>
        <v>1.0458216004563017</v>
      </c>
      <c r="AT62">
        <f>AT13/AT15</f>
        <v>1.0458216540232661</v>
      </c>
      <c r="AV62">
        <f>AV13/AV15</f>
        <v>1.045821664626748</v>
      </c>
    </row>
    <row r="65" spans="1:48 16384:16384" x14ac:dyDescent="0.2">
      <c r="A65" t="s">
        <v>176</v>
      </c>
      <c r="B65" s="191">
        <f>SQRT((B9:C9*$B$22:$C$22+B10:C10*$B$23:$C$23+B11:C11*$B$24:$C$24+B4:C4*($B$25:$C$25-$B$19:$C$19))/($B$9:$C$9*$B$22:$C$22+$B$10:$C$10*$B$23:$C$23+$B$11:$C$11*$B$24:$C$24+$B$4:$C$4*($B$25:$C$25-$B$19:$C$19))*(B9:C9*B22:C22+B10:C10*B23:C23+B11:C11*B24:C24+B4:C4*(B25:C25-B19:C19))/($B$9:$C$9*B22:C22+$B$10:$C$10*B23:C23+$B$11:$C$11*B24:C24+$B$4:$C$4*(B25:C25-B19:C19)))</f>
        <v>1</v>
      </c>
      <c r="C65" s="191"/>
      <c r="D65" s="191">
        <f t="array" ref="D65">SQRT((D9:E9*$B$22:$C$22+D10:E10*$B$23:$C$23+D11:E11*$B$24:$C$24+D4:E4*($B$25:$C$25-$B$19:$C$19))/($B$9:$C$9*$B$22:$C$22+$B$10:$C$10*$B$23:$C$23+$B$11:$C$11*$B$24:$C$24+$B$4:$C$4*($B$25:$C$25-$B$19:$C$19))*(D9:E9*D22:E22+D10:E10*D23:E23+D11:E11*D24:E24+D4:E4*(D25:E25-D19:E19))/($B$9:$C$9*D22:E22+$B$10:$C$10*D23:E23+$B$11:$C$11*D24:E24+$B$4:$C$4*(D25:E25-D19:E19)))</f>
        <v>0.99866574041969425</v>
      </c>
      <c r="E65" s="191"/>
      <c r="F65" s="191">
        <f t="array" ref="F65">SQRT((F9:G9*$B$22:$C$22+F10:G10*$B$23:$C$23+F11:G11*$B$24:$C$24+F4:G4*($B$25:$C$25-$B$19:$C$19))/($B$9:$C$9*$B$22:$C$22+$B$10:$C$10*$B$23:$C$23+$B$11:$C$11*$B$24:$C$24+$B$4:$C$4*($B$25:$C$25-$B$19:$C$19))*(F9:G9*F22:G22+F10:G10*F23:G23+F11:G11*F24:G24+F4:G4*(F25:G25-F19:G19))/($B$9:$C$9*F22:G22+$B$10:$C$10*F23:G23+$B$11:$C$11*F24:G24+$B$4:$C$4*(F25:G25-F19:G19)))</f>
        <v>0.99729469043533447</v>
      </c>
      <c r="G65" s="191"/>
      <c r="H65" s="191">
        <f t="array" ref="H65">SQRT((H9:I9*$B$22:$C$22+H10:I10*$B$23:$C$23+H11:I11*$B$24:$C$24+H4:I4*($B$25:$C$25-$B$19:$C$19))/($B$9:$C$9*$B$22:$C$22+$B$10:$C$10*$B$23:$C$23+$B$11:$C$11*$B$24:$C$24+$B$4:$C$4*($B$25:$C$25-$B$19:$C$19))*(H9:I9*H22:I22+H10:I10*H23:I23+H11:I11*H24:I24+H4:I4*(H25:I25-H19:I19))/($B$9:$C$9*H22:I22+$B$10:$C$10*H23:I23+$B$11:$C$11*H24:I24+$B$4:$C$4*(H25:I25-H19:I19)))</f>
        <v>0.99588040898265873</v>
      </c>
      <c r="I65" s="191"/>
      <c r="J65" s="191">
        <f t="array" ref="J65">SQRT((J9:K9*$B$22:$C$22+J10:K10*$B$23:$C$23+J11:K11*$B$24:$C$24+J4:K4*($B$25:$C$25-$B$19:$C$19))/($B$9:$C$9*$B$22:$C$22+$B$10:$C$10*$B$23:$C$23+$B$11:$C$11*$B$24:$C$24+$B$4:$C$4*($B$25:$C$25-$B$19:$C$19))*(J9:K9*J22:K22+J10:K10*J23:K23+J11:K11*J24:K24+J4:K4*(J25:K25-J19:K19))/($B$9:$C$9*J22:K22+$B$10:$C$10*J23:K23+$B$11:$C$11*J24:K24+$B$4:$C$4*(J25:K25-J19:K19)))</f>
        <v>0.99441554079553918</v>
      </c>
      <c r="K65" s="191"/>
      <c r="L65" s="191">
        <f t="array" ref="L65">SQRT((L9:M9*$B$22:$C$22+L10:M10*$B$23:$C$23+L11:M11*$B$24:$C$24+L4:M4*($B$25:$C$25-$B$19:$C$19))/($B$9:$C$9*$B$22:$C$22+$B$10:$C$10*$B$23:$C$23+$B$11:$C$11*$B$24:$C$24+$B$4:$C$4*($B$25:$C$25-$B$19:$C$19))*(L9:M9*L22:M22+L10:M10*L23:M23+L11:M11*L24:M24+L4:M4*(L25:M25-L19:M19))/($B$9:$C$9*L22:M22+$B$10:$C$10*L23:M23+$B$11:$C$11*L24:M24+$B$4:$C$4*(L25:M25-L19:M19)))</f>
        <v>0.99289193769596373</v>
      </c>
      <c r="M65" s="191"/>
      <c r="N65" s="191">
        <f t="array" ref="N65">SQRT((N9:O9*$B$22:$C$22+N10:O10*$B$23:$C$23+N11:O11*$B$24:$C$24+N4:O4*($B$25:$C$25-$B$19:$C$19))/($B$9:$C$9*$B$22:$C$22+$B$10:$C$10*$B$23:$C$23+$B$11:$C$11*$B$24:$C$24+$B$4:$C$4*($B$25:$C$25-$B$19:$C$19))*(N9:O9*N22:O22+N10:O10*N23:O23+N11:O11*N24:O24+N4:O4*(N25:O25-N19:O19))/($B$9:$C$9*N22:O22+$B$10:$C$10*N23:O23+$B$11:$C$11*N24:O24+$B$4:$C$4*(N25:O25-N19:O19)))</f>
        <v>0.9913008361697051</v>
      </c>
      <c r="O65" s="191"/>
      <c r="P65" s="191">
        <f t="array" ref="P65">SQRT((P9:Q9*$B$22:$C$22+P10:Q10*$B$23:$C$23+P11:Q11*$B$24:$C$24+P4:Q4*($B$25:$C$25-$B$19:$C$19))/($B$9:$C$9*$B$22:$C$22+$B$10:$C$10*$B$23:$C$23+$B$11:$C$11*$B$24:$C$24+$B$4:$C$4*($B$25:$C$25-$B$19:$C$19))*(P9:Q9*P22:Q22+P10:Q10*P23:Q23+P11:Q11*P24:Q24+P4:Q4*(P25:Q25-P19:Q19))/($B$9:$C$9*P22:Q22+$B$10:$C$10*P23:Q23+$B$11:$C$11*P24:Q24+$B$4:$C$4*(P25:Q25-P19:Q19)))</f>
        <v>0.9896335428361358</v>
      </c>
      <c r="Q65" s="191"/>
      <c r="R65" s="191">
        <f t="array" ref="R65">SQRT((R9:S9*$B$22:$C$22+R10:S10*$B$23:$C$23+R11:S11*$B$24:$C$24+R4:S4*($B$25:$C$25-$B$19:$C$19))/($B$9:$C$9*$B$22:$C$22+$B$10:$C$10*$B$23:$C$23+$B$11:$C$11*$B$24:$C$24+$B$4:$C$4*($B$25:$C$25-$B$19:$C$19))*(R9:S9*R22:S22+R10:S10*R23:S23+R11:S11*R24:S24+R4:S4*(R25:S25-R19:S19))/($B$9:$C$9*R22:S22+$B$10:$C$10*R23:S23+$B$11:$C$11*R24:S24+$B$4:$C$4*(R25:S25-R19:S19)))</f>
        <v>0.98788267824062115</v>
      </c>
      <c r="S65" s="191"/>
      <c r="T65" s="191">
        <f t="array" ref="T65">SQRT((T9:U9*$B$22:$C$22+T10:U10*$B$23:$C$23+T11:U11*$B$24:$C$24+T4:U4*($B$25:$C$25-$B$19:$C$19))/($B$9:$C$9*$B$22:$C$22+$B$10:$C$10*$B$23:$C$23+$B$11:$C$11*$B$24:$C$24+$B$4:$C$4*($B$25:$C$25-$B$19:$C$19))*(T9:U9*T22:U22+T10:U10*T23:U23+T11:U11*T24:U24+T4:U4*(T25:U25-T19:U19))/($B$9:$C$9*T22:U22+$B$10:$C$10*T23:U23+$B$11:$C$11*T24:U24+$B$4:$C$4*(T25:U25-T19:U19)))</f>
        <v>0.98604469124166771</v>
      </c>
      <c r="U65" s="191"/>
      <c r="V65" s="191">
        <f t="array" ref="V65">SQRT((V9:W9*$B$22:$C$22+V10:W10*$B$23:$C$23+V11:W11*$B$24:$C$24+V4:W4*($B$25:$C$25-$B$19:$C$19))/($B$9:$C$9*$B$22:$C$22+$B$10:$C$10*$B$23:$C$23+$B$11:$C$11*$B$24:$C$24+$B$4:$C$4*($B$25:$C$25-$B$19:$C$19))*(V9:W9*V22:W22+V10:W10*V23:W23+V11:W11*V24:W24+V4:W4*(V25:W25-V19:W19))/($B$9:$C$9*V22:W22+$B$10:$C$10*V23:W23+$B$11:$C$11*V24:W24+$B$4:$C$4*(V25:W25-V19:W19)))</f>
        <v>0.98412466763105899</v>
      </c>
      <c r="W65" s="191"/>
      <c r="X65" s="191">
        <f t="array" ref="X65">SQRT((X9:Y9*$B$22:$C$22+X10:Y10*$B$23:$C$23+X11:Y11*$B$24:$C$24+X4:Y4*($B$25:$C$25-$B$19:$C$19))/($B$9:$C$9*$B$22:$C$22+$B$10:$C$10*$B$23:$C$23+$B$11:$C$11*$B$24:$C$24+$B$4:$C$4*($B$25:$C$25-$B$19:$C$19))*(X9:Y9*X22:Y22+X10:Y10*X23:Y23+X11:Y11*X24:Y24+X4:Y4*(X25:Y25-X19:Y19))/($B$9:$C$9*X22:Y22+$B$10:$C$10*X23:Y23+$B$11:$C$11*X24:Y24+$B$4:$C$4*(X25:Y25-X19:Y19)))</f>
        <v>0.98214552986915749</v>
      </c>
      <c r="Y65" s="191"/>
      <c r="Z65" s="191">
        <f t="array" ref="Z65">SQRT((Z9:AA9*$B$22:$C$22+Z10:AA10*$B$23:$C$23+Z11:AA11*$B$24:$C$24+Z4:AA4*($B$25:$C$25-$B$19:$C$19))/($B$9:$C$9*$B$22:$C$22+$B$10:$C$10*$B$23:$C$23+$B$11:$C$11*$B$24:$C$24+$B$4:$C$4*($B$25:$C$25-$B$19:$C$19))*(Z9:AA9*Z22:AA22+Z10:AA10*Z23:AA23+Z11:AA11*Z24:AA24+Z4:AA4*(Z25:AA25-Z19:AA19))/($B$9:$C$9*Z22:AA22+$B$10:$C$10*Z23:AA23+$B$11:$C$11*Z24:AA24+$B$4:$C$4*(Z25:AA25-Z19:AA19)))</f>
        <v>0.98016564705094711</v>
      </c>
      <c r="AA65" s="191"/>
      <c r="AB65" s="191">
        <f t="array" ref="AB65">SQRT((AB9:AC9*$B$22:$C$22+AB10:AC10*$B$23:$C$23+AB11:AC11*$B$24:$C$24+AB4:AC4*($B$25:$C$25-$B$19:$C$19))/($B$9:$C$9*$B$22:$C$22+$B$10:$C$10*$B$23:$C$23+$B$11:$C$11*$B$24:$C$24+$B$4:$C$4*($B$25:$C$25-$B$19:$C$19))*(AB9:AC9*AB22:AC22+AB10:AC10*AB23:AC23+AB11:AC11*AB24:AC24+AB4:AC4*(AB25:AC25-AB19:AC19))/($B$9:$C$9*AB22:AC22+$B$10:$C$10*AB23:AC23+$B$11:$C$11*AB24:AC24+$B$4:$C$4*(AB25:AC25-AB19:AC19)))</f>
        <v>0.97831255913597137</v>
      </c>
      <c r="AC65" s="191"/>
      <c r="AD65" s="191">
        <f t="array" ref="AD65">SQRT((AD9:AE9*$B$22:$C$22+AD10:AE10*$B$23:$C$23+AD11:AE11*$B$24:$C$24+AD4:AE4*($B$25:$C$25-$B$19:$C$19))/($B$9:$C$9*$B$22:$C$22+$B$10:$C$10*$B$23:$C$23+$B$11:$C$11*$B$24:$C$24+$B$4:$C$4*($B$25:$C$25-$B$19:$C$19))*(AD9:AE9*AD22:AE22+AD10:AE10*AD23:AE23+AD11:AE11*AD24:AE24+AD4:AE4*(AD25:AE25-AD19:AE19))/($B$9:$C$9*AD22:AE22+$B$10:$C$10*AD23:AE23+$B$11:$C$11*AD24:AE24+$B$4:$C$4*(AD25:AE25-AD19:AE19)))</f>
        <v>0.97684504056522192</v>
      </c>
      <c r="AE65" s="191"/>
      <c r="AF65" s="191">
        <f t="array" ref="AF65">SQRT((AF9:AG9*$B$22:$C$22+AF10:AG10*$B$23:$C$23+AF11:AG11*$B$24:$C$24+AF4:AG4*($B$25:$C$25-$B$19:$C$19))/($B$9:$C$9*$B$22:$C$22+$B$10:$C$10*$B$23:$C$23+$B$11:$C$11*$B$24:$C$24+$B$4:$C$4*($B$25:$C$25-$B$19:$C$19))*(AF9:AG9*AF22:AG22+AF10:AG10*AF23:AG23+AF11:AG11*AF24:AG24+AF4:AG4*(AF25:AG25-AF19:AG19))/($B$9:$C$9*AF22:AG22+$B$10:$C$10*AF23:AG23+$B$11:$C$11*AF24:AG24+$B$4:$C$4*(AF25:AG25-AF19:AG19)))</f>
        <v>0.9762501921744422</v>
      </c>
      <c r="AG65" s="191"/>
      <c r="AH65" s="191">
        <f t="array" ref="AH65">SQRT((AH9:AI9*$B$22:$C$22+AH10:AI10*$B$23:$C$23+AH11:AI11*$B$24:$C$24+AH4:AI4*($B$25:$C$25-$B$19:$C$19))/($B$9:$C$9*$B$22:$C$22+$B$10:$C$10*$B$23:$C$23+$B$11:$C$11*$B$24:$C$24+$B$4:$C$4*($B$25:$C$25-$B$19:$C$19))*(AH9:AI9*AH22:AI22+AH10:AI10*AH23:AI23+AH11:AI11*AH24:AI24+AH4:AI4*(AH25:AI25-AH19:AI19))/($B$9:$C$9*AH22:AI22+$B$10:$C$10*AH23:AI23+$B$11:$C$11*AH24:AI24+$B$4:$C$4*(AH25:AI25-AH19:AI19)))</f>
        <v>0.9773049437687813</v>
      </c>
      <c r="AI65" s="191"/>
      <c r="AJ65" s="191">
        <f t="array" ref="AJ65">SQRT((AJ9:AK9*$B$22:$C$22+AJ10:AK10*$B$23:$C$23+AJ11:AK11*$B$24:$C$24+AJ4:AK4*($B$25:$C$25-$B$19:$C$19))/($B$9:$C$9*$B$22:$C$22+$B$10:$C$10*$B$23:$C$23+$B$11:$C$11*$B$24:$C$24+$B$4:$C$4*($B$25:$C$25-$B$19:$C$19))*(AJ9:AK9*AJ22:AK22+AJ10:AK10*AJ23:AK23+AJ11:AK11*AJ24:AK24+AJ4:AK4*(AJ25:AK25-AJ19:AK19))/($B$9:$C$9*AJ22:AK22+$B$10:$C$10*AJ23:AK23+$B$11:$C$11*AJ24:AK24+$B$4:$C$4*(AJ25:AK25-AJ19:AK19)))</f>
        <v>0.98078483289758644</v>
      </c>
      <c r="AK65" s="191"/>
      <c r="AL65" s="191">
        <f t="array" ref="AL65">SQRT((AL9:AM9*$B$22:$C$22+AL10:AM10*$B$23:$C$23+AL11:AM11*$B$24:$C$24+AL4:AM4*($B$25:$C$25-$B$19:$C$19))/($B$9:$C$9*$B$22:$C$22+$B$10:$C$10*$B$23:$C$23+$B$11:$C$11*$B$24:$C$24+$B$4:$C$4*($B$25:$C$25-$B$19:$C$19))*(AL9:AM9*AL22:AM22+AL10:AM10*AL23:AM23+AL11:AM11*AL24:AM24+AL4:AM4*(AL25:AM25-AL19:AM19))/($B$9:$C$9*AL22:AM22+$B$10:$C$10*AL23:AM23+$B$11:$C$11*AL24:AM24+$B$4:$C$4*(AL25:AM25-AL19:AM19)))</f>
        <v>0.98661791133443011</v>
      </c>
      <c r="AM65" s="191"/>
      <c r="AN65" s="191">
        <f t="array" ref="AN65">SQRT((AN9:AO9*$B$22:$C$22+AN10:AO10*$B$23:$C$23+AN11:AO11*$B$24:$C$24+AN4:AO4*($B$25:$C$25-$B$19:$C$19))/($B$9:$C$9*$B$22:$C$22+$B$10:$C$10*$B$23:$C$23+$B$11:$C$11*$B$24:$C$24+$B$4:$C$4*($B$25:$C$25-$B$19:$C$19))*(AN9:AO9*AN22:AO22+AN10:AO10*AN23:AO23+AN11:AO11*AN24:AO24+AN4:AO4*(AN25:AO25-AN19:AO19))/($B$9:$C$9*AN22:AO22+$B$10:$C$10*AN23:AO23+$B$11:$C$11*AN24:AO24+$B$4:$C$4*(AN25:AO25-AN19:AO19)))</f>
        <v>0.99385494747437075</v>
      </c>
      <c r="AO65" s="191"/>
      <c r="AP65" s="191">
        <f t="array" ref="AP65">SQRT((AP9:AQ9*$B$22:$C$22+AP10:AQ10*$B$23:$C$23+AP11:AQ11*$B$24:$C$24+AP4:AQ4*($B$25:$C$25-$B$19:$C$19))/($B$9:$C$9*$B$22:$C$22+$B$10:$C$10*$B$23:$C$23+$B$11:$C$11*$B$24:$C$24+$B$4:$C$4*($B$25:$C$25-$B$19:$C$19))*(AP9:AQ9*AP22:AQ22+AP10:AQ10*AP23:AQ23+AP11:AQ11*AP24:AQ24+AP4:AQ4*(AP25:AQ25-AP19:AQ19))/($B$9:$C$9*AP22:AQ22+$B$10:$C$10*AP23:AQ23+$B$11:$C$11*AP24:AQ24+$B$4:$C$4*(AP25:AQ25-AP19:AQ19)))</f>
        <v>0.99547856117683842</v>
      </c>
      <c r="AQ65" s="191"/>
      <c r="AR65" s="191">
        <f t="array" ref="AR65">SQRT((AR9:AS9*$B$22:$C$22+AR10:AS10*$B$23:$C$23+AR11:AS11*$B$24:$C$24+AR4:AS4*($B$25:$C$25-$B$19:$C$19))/($B$9:$C$9*$B$22:$C$22+$B$10:$C$10*$B$23:$C$23+$B$11:$C$11*$B$24:$C$24+$B$4:$C$4*($B$25:$C$25-$B$19:$C$19))*(AR9:AS9*AR22:AS22+AR10:AS10*AR23:AS23+AR11:AS11*AR24:AS24+AR4:AS4*(AR25:AS25-AR19:AS19))/($B$9:$C$9*AR22:AS22+$B$10:$C$10*AR23:AS23+$B$11:$C$11*AR24:AS24+$B$4:$C$4*(AR25:AS25-AR19:AS19)))</f>
        <v>0.9972653395382014</v>
      </c>
      <c r="AS65" s="191"/>
      <c r="AT65" s="191">
        <f t="array" ref="AT65">SQRT((AT9:AU9*$B$22:$C$22+AT10:AU10*$B$23:$C$23+AT11:AU11*$B$24:$C$24+AT4:AU4*($B$25:$C$25-$B$19:$C$19))/($B$9:$C$9*$B$22:$C$22+$B$10:$C$10*$B$23:$C$23+$B$11:$C$11*$B$24:$C$24+$B$4:$C$4*($B$25:$C$25-$B$19:$C$19))*(AT9:AU9*AT22:AU22+AT10:AU10*AT23:AU23+AT11:AU11*AT24:AU24+AT4:AU4*(AT25:AU25-AT19:AU19))/($B$9:$C$9*AT22:AU22+$B$10:$C$10*AT23:AU23+$B$11:$C$11*AT24:AU24+$B$4:$C$4*(AT25:AU25-AT19:AU19)))</f>
        <v>0.99941337982292155</v>
      </c>
      <c r="AU65" s="191"/>
      <c r="AV65" s="191">
        <f t="array" ref="AV65">SQRT((AV9:AW9*$B$22:$C$22+AV10:AW10*$B$23:$C$23+AV11:AW11*$B$24:$C$24+AV4:AW4*($B$25:$C$25-$B$19:$C$19))/($B$9:$C$9*$B$22:$C$22+$B$10:$C$10*$B$23:$C$23+$B$11:$C$11*$B$24:$C$24+$B$4:$C$4*($B$25:$C$25-$B$19:$C$19))*(AV9:AW9*AV22:AW22+AV10:AW10*AV23:AW23+AV11:AW11*AV24:AW24+AV4:AW4*(AV25:AW25-AV19:AW19))/($B$9:$C$9*AV22:AW22+$B$10:$C$10*AV23:AW23+$B$11:$C$11*AV24:AW24+$B$4:$C$4*(AV25:AW25-AV19:AW19)))</f>
        <v>1.0025176324789069</v>
      </c>
    </row>
    <row r="66" spans="1:48 16384:16384" x14ac:dyDescent="0.2">
      <c r="A66" t="s">
        <v>182</v>
      </c>
      <c r="B66" s="191">
        <f t="array" ref="B66">SQRT((B9:C9*$B$22:$C$22)/($B$9:$C$9*$B$22:$C$22)*(B9:C9*B22:C22)/($B$9:$C$9*B22:C22))</f>
        <v>1</v>
      </c>
      <c r="C66" s="191"/>
      <c r="D66" s="191">
        <f t="array" ref="D66">SQRT((D9:E9*$B$22:$C$22)/($B$9:$C$9*$B$22:$C$22)*(D9:E9*D22:E22)/($B$9:$C$9*D22:E22))</f>
        <v>0.99853287248060596</v>
      </c>
      <c r="E66" s="191"/>
      <c r="F66" s="191">
        <f t="array" ref="F66">SQRT((F9:G9*$B$22:$C$22)/($B$9:$C$9*$B$22:$C$22)*(F9:G9*F22:G22)/($B$9:$C$9*F22:G22))</f>
        <v>0.99702373389284804</v>
      </c>
      <c r="G66" s="191"/>
      <c r="H66" s="191">
        <f t="array" ref="H66">SQRT((H9:I9*$B$22:$C$22)/($B$9:$C$9*$B$22:$C$22)*(H9:I9*H22:I22)/($B$9:$C$9*H22:I22))</f>
        <v>0.99546534310509793</v>
      </c>
      <c r="I66" s="191"/>
      <c r="J66" s="191">
        <f t="array" ref="J66">SQRT((J9:K9*$B$22:$C$22)/($B$9:$C$9*$B$22:$C$22)*(J9:K9*J22:K22)/($B$9:$C$9*J22:K22))</f>
        <v>0.99384941096598478</v>
      </c>
      <c r="K66" s="191"/>
      <c r="L66" s="191">
        <f t="array" ref="L66">SQRT((L9:M9*$B$22:$C$22)/($B$9:$C$9*$B$22:$C$22)*(L9:M9*L22:M22)/($B$9:$C$9*L22:M22))</f>
        <v>0.99216672459547139</v>
      </c>
      <c r="M66" s="191"/>
      <c r="N66" s="191">
        <f t="array" ref="N66">SQRT((N9:O9*$B$22:$C$22)/($B$9:$C$9*$B$22:$C$22)*(N9:O9*N22:O22)/($B$9:$C$9*N22:O22))</f>
        <v>0.99040733387307744</v>
      </c>
      <c r="O66" s="191"/>
      <c r="P66" s="191">
        <f t="array" ref="P66">SQRT((P9:Q9*$B$22:$C$22)/($B$9:$C$9*$B$22:$C$22)*(P9:Q9*P22:Q22)/($B$9:$C$9*P22:Q22))</f>
        <v>0.9885613003759296</v>
      </c>
      <c r="Q66" s="191"/>
      <c r="R66" s="191">
        <f t="array" ref="R66">SQRT((R9:S9*$B$22:$C$22)/($B$9:$C$9*$B$22:$C$22)*(R9:S9*R22:S22)/($B$9:$C$9*R22:S22))</f>
        <v>0.98662007127376705</v>
      </c>
      <c r="S66" s="191"/>
      <c r="T66" s="191">
        <f t="array" ref="T66">SQRT((T9:U9*$B$22:$C$22)/($B$9:$C$9*$B$22:$C$22)*(T9:U9*T22:U22)/($B$9:$C$9*T22:U22))</f>
        <v>0.98457927743986506</v>
      </c>
      <c r="U66" s="191"/>
      <c r="V66" s="191">
        <f t="array" ref="V66">SQRT((V9:W9*$B$22:$C$22)/($B$9:$C$9*$B$22:$C$22)*(V9:W9*V22:W22)/($B$9:$C$9*V22:W22))</f>
        <v>0.98244411447697133</v>
      </c>
      <c r="W66" s="191"/>
      <c r="X66" s="191">
        <f t="array" ref="X66">SQRT((X9:Y9*$B$22:$C$22)/($B$9:$C$9*$B$22:$C$22)*(X9:Y9*X22:Y22)/($B$9:$C$9*X22:Y22))</f>
        <v>0.98023968146895457</v>
      </c>
      <c r="Y66" s="191"/>
      <c r="Z66" s="191">
        <f t="array" ref="Z66">SQRT((Z9:AA9*$B$22:$C$22)/($B$9:$C$9*$B$22:$C$22)*(Z9:AA9*Z22:AA22)/($B$9:$C$9*Z22:AA22))</f>
        <v>0.97803083384748357</v>
      </c>
      <c r="AA66" s="191"/>
      <c r="AB66" s="191">
        <f t="array" ref="AB66">SQRT((AB9:AC9*$B$22:$C$22)/($B$9:$C$9*$B$22:$C$22)*(AB9:AC9*AB22:AC22)/($B$9:$C$9*AB22:AC22))</f>
        <v>0.97596027369748439</v>
      </c>
      <c r="AC66" s="191"/>
      <c r="AD66" s="191">
        <f t="array" ref="AD66">SQRT((AD9:AE9*$B$22:$C$22)/($B$9:$C$9*$B$22:$C$22)*(AD9:AE9*AD22:AE22)/($B$9:$C$9*AD22:AE22))</f>
        <v>0.97431864762619558</v>
      </c>
      <c r="AE66" s="191"/>
      <c r="AF66" s="191">
        <f t="array" ref="AF66">SQRT((AF9:AG9*$B$22:$C$22)/($B$9:$C$9*$B$22:$C$22)*(AF9:AG9*AF22:AG22)/($B$9:$C$9*AF22:AG22))</f>
        <v>0.9736537636179009</v>
      </c>
      <c r="AG66" s="191"/>
      <c r="AH66" s="191">
        <f t="array" ref="AH66">SQRT((AH9:AI9*$B$22:$C$22)/($B$9:$C$9*$B$22:$C$22)*(AH9:AI9*AH22:AI22)/($B$9:$C$9*AH22:AI22))</f>
        <v>0.97483742409230212</v>
      </c>
      <c r="AI66" s="191"/>
      <c r="AJ66" s="191">
        <f t="array" ref="AJ66">SQRT((AJ9:AK9*$B$22:$C$22)/($B$9:$C$9*$B$22:$C$22)*(AJ9:AK9*AJ22:AK22)/($B$9:$C$9*AJ22:AK22))</f>
        <v>0.97873002807627163</v>
      </c>
      <c r="AK66" s="191"/>
      <c r="AL66" s="191">
        <f t="array" ref="AL66">SQRT((AL9:AM9*$B$22:$C$22)/($B$9:$C$9*$B$22:$C$22)*(AL9:AM9*AL22:AM22)/($B$9:$C$9*AL22:AM22))</f>
        <v>0.98522579666653209</v>
      </c>
      <c r="AM66" s="191"/>
      <c r="AN66" s="191">
        <f t="array" ref="AN66">SQRT((AN9:AO9*$B$22:$C$22)/($B$9:$C$9*$B$22:$C$22)*(AN9:AO9*AN22:AO22)/($B$9:$C$9*AN22:AO22))</f>
        <v>0.99323734708792744</v>
      </c>
      <c r="AO66" s="191"/>
      <c r="AP66" s="191">
        <f t="array" ref="AP66">SQRT((AP9:AQ9*$B$22:$C$22)/($B$9:$C$9*$B$22:$C$22)*(AP9:AQ9*AP22:AQ22)/($B$9:$C$9*AP22:AQ22))</f>
        <v>0.99502766583159552</v>
      </c>
      <c r="AQ66" s="191"/>
      <c r="AR66" s="191">
        <f t="array" ref="AR66">SQRT((AR9:AS9*$B$22:$C$22)/($B$9:$C$9*$B$22:$C$22)*(AR9:AS9*AR22:AS22)/($B$9:$C$9*AR22:AS22))</f>
        <v>0.99699496344258209</v>
      </c>
      <c r="AS66" s="191"/>
      <c r="AT66" s="191">
        <f t="array" ref="AT66">SQRT((AT9:AU9*$B$22:$C$22)/($B$9:$C$9*$B$22:$C$22)*(AT9:AU9*AT22:AU22)/($B$9:$C$9*AT22:AU22))</f>
        <v>0.9993559792295591</v>
      </c>
      <c r="AU66" s="191"/>
      <c r="AV66" s="191">
        <f t="array" ref="AV66">SQRT((AV9:AW9*$B$22:$C$22)/($B$9:$C$9*$B$22:$C$22)*(AV9:AW9*AV22:AW22)/($B$9:$C$9*AV22:AW22))</f>
        <v>1.0027602980115988</v>
      </c>
      <c r="XFD66" s="191"/>
    </row>
    <row r="67" spans="1:48 16384:16384" x14ac:dyDescent="0.2">
      <c r="A67" t="s">
        <v>183</v>
      </c>
      <c r="B67" s="191">
        <f t="array" ref="B67">SQRT((B4:C4*$B$19:$C$19)/($B$4:$C$4*$B$19:$C$19)*(B4:C4*B19:C19)/($B$4:$C$4*B19:C19))</f>
        <v>1</v>
      </c>
      <c r="C67" s="191"/>
      <c r="D67" s="191">
        <f t="array" ref="D67">SQRT((D4:E4*$B$19:$C$19)/($B$4:$C$4*$B$19:$C$19)*(D4:E4*D19:E19)/($B$4:$C$4*D19:E19))</f>
        <v>1</v>
      </c>
      <c r="E67" s="191"/>
      <c r="F67" s="191">
        <f t="array" ref="F67">SQRT((F4:G4*$B$19:$C$19)/($B$4:$C$4*$B$19:$C$19)*(F4:G4*F19:G19)/($B$4:$C$4*F19:G19))</f>
        <v>1</v>
      </c>
      <c r="G67" s="191"/>
      <c r="H67" s="191">
        <f t="array" ref="H67">SQRT((H4:I4*$B$19:$C$19)/($B$4:$C$4*$B$19:$C$19)*(H4:I4*H19:I19)/($B$4:$C$4*H19:I19))</f>
        <v>1</v>
      </c>
      <c r="I67" s="191"/>
      <c r="J67" s="191">
        <f t="array" ref="J67">SQRT((J4:K4*$B$19:$C$19)/($B$4:$C$4*$B$19:$C$19)*(J4:K4*J19:K19)/($B$4:$C$4*J19:K19))</f>
        <v>1</v>
      </c>
      <c r="K67" s="191"/>
      <c r="L67" s="191">
        <f t="array" ref="L67">SQRT((L4:M4*$B$19:$C$19)/($B$4:$C$4*$B$19:$C$19)*(L4:M4*L19:M19)/($B$4:$C$4*L19:M19))</f>
        <v>1</v>
      </c>
      <c r="M67" s="191"/>
      <c r="N67" s="191">
        <f t="array" ref="N67">SQRT((N4:O4*$B$19:$C$19)/($B$4:$C$4*$B$19:$C$19)*(N4:O4*N19:O19)/($B$4:$C$4*N19:O19))</f>
        <v>1</v>
      </c>
      <c r="O67" s="191"/>
      <c r="P67" s="191">
        <f t="array" ref="P67">SQRT((P4:Q4*$B$19:$C$19)/($B$4:$C$4*$B$19:$C$19)*(P4:Q4*P19:Q19)/($B$4:$C$4*P19:Q19))</f>
        <v>1</v>
      </c>
      <c r="Q67" s="191"/>
      <c r="R67" s="191">
        <f t="array" ref="R67">SQRT((R4:S4*$B$19:$C$19)/($B$4:$C$4*$B$19:$C$19)*(R4:S4*R19:S19)/($B$4:$C$4*R19:S19))</f>
        <v>1</v>
      </c>
      <c r="S67" s="191"/>
      <c r="T67" s="191">
        <f t="array" ref="T67">SQRT((T4:U4*$B$19:$C$19)/($B$4:$C$4*$B$19:$C$19)*(T4:U4*T19:U19)/($B$4:$C$4*T19:U19))</f>
        <v>1</v>
      </c>
      <c r="U67" s="191"/>
      <c r="V67" s="191">
        <f t="array" ref="V67">SQRT((V4:W4*$B$19:$C$19)/($B$4:$C$4*$B$19:$C$19)*(V4:W4*V19:W19)/($B$4:$C$4*V19:W19))</f>
        <v>1</v>
      </c>
      <c r="W67" s="191"/>
      <c r="X67" s="191">
        <f t="array" ref="X67">SQRT((X4:Y4*$B$19:$C$19)/($B$4:$C$4*$B$19:$C$19)*(X4:Y4*X19:Y19)/($B$4:$C$4*X19:Y19))</f>
        <v>1</v>
      </c>
      <c r="Y67" s="191"/>
      <c r="Z67" s="191">
        <f t="array" ref="Z67">SQRT((Z4:AA4*$B$19:$C$19)/($B$4:$C$4*$B$19:$C$19)*(Z4:AA4*Z19:AA19)/($B$4:$C$4*Z19:AA19))</f>
        <v>1</v>
      </c>
      <c r="AA67" s="191"/>
      <c r="AB67" s="191">
        <f t="array" ref="AB67">SQRT((AB4:AC4*$B$19:$C$19)/($B$4:$C$4*$B$19:$C$19)*(AB4:AC4*AB19:AC19)/($B$4:$C$4*AB19:AC19))</f>
        <v>1</v>
      </c>
      <c r="AC67" s="191"/>
      <c r="AD67" s="191">
        <f t="array" ref="AD67">SQRT((AD4:AE4*$B$19:$C$19)/($B$4:$C$4*$B$19:$C$19)*(AD4:AE4*AD19:AE19)/($B$4:$C$4*AD19:AE19))</f>
        <v>1</v>
      </c>
      <c r="AE67" s="191"/>
      <c r="AF67" s="191">
        <f t="array" ref="AF67">SQRT((AF4:AG4*$B$19:$C$19)/($B$4:$C$4*$B$19:$C$19)*(AF4:AG4*AF19:AG19)/($B$4:$C$4*AF19:AG19))</f>
        <v>1</v>
      </c>
      <c r="AG67" s="191"/>
      <c r="AH67" s="191">
        <f t="array" ref="AH67">SQRT((AH4:AI4*$B$19:$C$19)/($B$4:$C$4*$B$19:$C$19)*(AH4:AI4*AH19:AI19)/($B$4:$C$4*AH19:AI19))</f>
        <v>1</v>
      </c>
      <c r="AI67" s="191"/>
      <c r="AJ67" s="191">
        <f t="array" ref="AJ67">SQRT((AJ4:AK4*$B$19:$C$19)/($B$4:$C$4*$B$19:$C$19)*(AJ4:AK4*AJ19:AK19)/($B$4:$C$4*AJ19:AK19))</f>
        <v>1</v>
      </c>
      <c r="AK67" s="191"/>
      <c r="AL67" s="191">
        <f t="array" ref="AL67">SQRT((AL4:AM4*$B$19:$C$19)/($B$4:$C$4*$B$19:$C$19)*(AL4:AM4*AL19:AM19)/($B$4:$C$4*AL19:AM19))</f>
        <v>1</v>
      </c>
      <c r="AM67" s="191"/>
      <c r="AN67" s="191">
        <f t="array" ref="AN67">SQRT((AN4:AO4*$B$19:$C$19)/($B$4:$C$4*$B$19:$C$19)*(AN4:AO4*AN19:AO19)/($B$4:$C$4*AN19:AO19))</f>
        <v>1</v>
      </c>
      <c r="AO67" s="191"/>
      <c r="AP67" s="191">
        <f t="array" ref="AP67">SQRT((AP4:AQ4*$B$19:$C$19)/($B$4:$C$4*$B$19:$C$19)*(AP4:AQ4*AP19:AQ19)/($B$4:$C$4*AP19:AQ19))</f>
        <v>1</v>
      </c>
      <c r="AQ67" s="191"/>
      <c r="AR67" s="191">
        <f t="array" ref="AR67">SQRT((AR4:AS4*$B$19:$C$19)/($B$4:$C$4*$B$19:$C$19)*(AR4:AS4*AR19:AS19)/($B$4:$C$4*AR19:AS19))</f>
        <v>1</v>
      </c>
      <c r="AS67" s="191"/>
      <c r="AT67" s="191">
        <f t="array" ref="AT67">SQRT((AT4:AU4*$B$19:$C$19)/($B$4:$C$4*$B$19:$C$19)*(AT4:AU4*AT19:AU19)/($B$4:$C$4*AT19:AU19))</f>
        <v>1</v>
      </c>
      <c r="AU67" s="191"/>
      <c r="AV67" s="191">
        <f t="array" ref="AV67">SQRT((AV4:AW4*$B$19:$C$19)/($B$4:$C$4*$B$19:$C$19)*(AV4:AW4*AV19:AW19)/($B$4:$C$4*AV19:AW19))</f>
        <v>1</v>
      </c>
      <c r="XFD67" s="191"/>
    </row>
    <row r="68" spans="1:48 16384:16384" x14ac:dyDescent="0.2">
      <c r="A68" t="s">
        <v>181</v>
      </c>
      <c r="B68" s="191">
        <f>B66/B67</f>
        <v>1</v>
      </c>
      <c r="C68" s="191"/>
      <c r="D68" s="191">
        <f>D66/D67</f>
        <v>0.99853287248060596</v>
      </c>
      <c r="E68" s="191"/>
      <c r="F68" s="191">
        <f>F66/F67</f>
        <v>0.99702373389284804</v>
      </c>
      <c r="G68" s="191"/>
      <c r="H68" s="191">
        <f>H66/H67</f>
        <v>0.99546534310509793</v>
      </c>
      <c r="I68" s="191"/>
      <c r="J68" s="191">
        <f>J66/J67</f>
        <v>0.99384941096598478</v>
      </c>
      <c r="K68" s="191"/>
      <c r="L68" s="191">
        <f>L66/L67</f>
        <v>0.99216672459547139</v>
      </c>
      <c r="M68" s="191"/>
      <c r="N68" s="191">
        <f>N66/N67</f>
        <v>0.99040733387307744</v>
      </c>
      <c r="O68" s="191"/>
      <c r="P68" s="191">
        <f>P66/P67</f>
        <v>0.9885613003759296</v>
      </c>
      <c r="Q68" s="191"/>
      <c r="R68" s="191">
        <f>R66/R67</f>
        <v>0.98662007127376705</v>
      </c>
      <c r="S68" s="191"/>
      <c r="T68" s="191">
        <f>T66/T67</f>
        <v>0.98457927743986506</v>
      </c>
      <c r="U68" s="191"/>
      <c r="V68" s="191">
        <f>V66/V67</f>
        <v>0.98244411447697133</v>
      </c>
      <c r="W68" s="191"/>
      <c r="X68" s="191">
        <f>X66/X67</f>
        <v>0.98023968146895457</v>
      </c>
      <c r="Y68" s="191"/>
      <c r="Z68" s="191">
        <f>Z66/Z67</f>
        <v>0.97803083384748357</v>
      </c>
      <c r="AA68" s="191"/>
      <c r="AB68" s="191">
        <f>AB66/AB67</f>
        <v>0.97596027369748439</v>
      </c>
      <c r="AC68" s="191"/>
      <c r="AD68" s="191">
        <f>AD66/AD67</f>
        <v>0.97431864762619558</v>
      </c>
      <c r="AE68" s="191"/>
      <c r="AF68" s="191">
        <f>AF66/AF67</f>
        <v>0.9736537636179009</v>
      </c>
      <c r="AG68" s="191"/>
      <c r="AH68" s="191">
        <f>AH66/AH67</f>
        <v>0.97483742409230212</v>
      </c>
      <c r="AI68" s="191"/>
      <c r="AJ68" s="191">
        <f>AJ66/AJ67</f>
        <v>0.97873002807627163</v>
      </c>
      <c r="AK68" s="191"/>
      <c r="AL68" s="191">
        <f>AL66/AL67</f>
        <v>0.98522579666653209</v>
      </c>
      <c r="AM68" s="191"/>
      <c r="AN68" s="191">
        <f>AN66/AN67</f>
        <v>0.99323734708792744</v>
      </c>
      <c r="AO68" s="191"/>
      <c r="AP68" s="191">
        <f>AP66/AP67</f>
        <v>0.99502766583159552</v>
      </c>
      <c r="AQ68" s="191"/>
      <c r="AR68" s="191">
        <f>AR66/AR67</f>
        <v>0.99699496344258209</v>
      </c>
      <c r="AS68" s="191"/>
      <c r="AT68" s="191">
        <f>AT66/AT67</f>
        <v>0.9993559792295591</v>
      </c>
      <c r="AU68" s="191"/>
      <c r="AV68" s="191">
        <f>AV66/AV67</f>
        <v>1.0027602980115988</v>
      </c>
      <c r="XFD68" s="191"/>
    </row>
    <row r="69" spans="1:48 16384:16384" x14ac:dyDescent="0.2">
      <c r="A69" t="s">
        <v>177</v>
      </c>
      <c r="B69" s="191">
        <f>B32/B65/($B$32)</f>
        <v>1</v>
      </c>
      <c r="C69" s="191"/>
      <c r="D69" s="191">
        <f>D32/D65/($B$32)</f>
        <v>1.001460717350747</v>
      </c>
      <c r="E69" s="191"/>
      <c r="F69" s="191">
        <f>F32/F65/($B$32)</f>
        <v>1.0027988425778853</v>
      </c>
      <c r="G69" s="191"/>
      <c r="H69" s="191">
        <f>H32/H65/($B$32)</f>
        <v>1.0039945734363676</v>
      </c>
      <c r="I69" s="191"/>
      <c r="J69" s="191">
        <f>J32/J65/($B$32)</f>
        <v>1.0050237429540816</v>
      </c>
      <c r="K69" s="191"/>
      <c r="L69" s="191">
        <f>L32/L65/($B$32)</f>
        <v>1.0058560975827964</v>
      </c>
      <c r="M69" s="191"/>
      <c r="N69" s="191">
        <f>N32/N65/($B$32)</f>
        <v>1.006454248760114</v>
      </c>
      <c r="O69" s="191"/>
      <c r="P69" s="191">
        <f>P32/P65/($B$32)</f>
        <v>1.0067705956362265</v>
      </c>
      <c r="Q69" s="191"/>
      <c r="R69" s="191">
        <f>R32/R65/($B$32)</f>
        <v>1.0067441045674685</v>
      </c>
      <c r="S69" s="191"/>
      <c r="T69" s="191">
        <f>T32/T65/($B$32)</f>
        <v>1.0062952602581532</v>
      </c>
      <c r="U69" s="191"/>
      <c r="V69" s="191">
        <f>V32/V65/($B$32)</f>
        <v>1.0053181906701016</v>
      </c>
      <c r="W69" s="191"/>
      <c r="X69" s="191">
        <f>X32/X65/($B$32)</f>
        <v>1.0036683757437361</v>
      </c>
      <c r="Y69" s="191"/>
      <c r="Z69" s="191">
        <f>Z32/Z65/($B$32)</f>
        <v>1.0011414025864154</v>
      </c>
      <c r="AA69" s="191"/>
      <c r="AB69" s="191">
        <f>AB32/AB65/($B$32)</f>
        <v>0.99743322409702784</v>
      </c>
      <c r="AC69" s="191"/>
      <c r="AD69" s="191">
        <f>AD32/AD65/($B$32)</f>
        <v>0.99205518753707189</v>
      </c>
      <c r="AE69" s="191"/>
      <c r="AF69" s="191">
        <f>AF32/AF65/($B$32)</f>
        <v>0.98412348065547128</v>
      </c>
      <c r="AG69" s="191"/>
      <c r="AH69" s="191">
        <f>AH32/AH65/($B$32)</f>
        <v>0.97175317702222397</v>
      </c>
      <c r="AI69" s="191"/>
      <c r="AJ69" s="191">
        <f>AJ32/AJ65/($B$32)</f>
        <v>0.95017650556008837</v>
      </c>
      <c r="AK69" s="191"/>
      <c r="AL69" s="191">
        <f>AL32/AL65/($B$32)</f>
        <v>0.90551965650832611</v>
      </c>
      <c r="AM69" s="191"/>
      <c r="AN69" s="191">
        <f>AN32/AN65/($B$32)</f>
        <v>0.78452720284893351</v>
      </c>
      <c r="AO69" s="191"/>
      <c r="AP69" s="191">
        <f>AP32/AP65/($B$32)</f>
        <v>0.73421430435943003</v>
      </c>
      <c r="AQ69" s="191"/>
      <c r="AR69" s="191">
        <f>AR32/AR65/($B$32)</f>
        <v>0.66300653092891393</v>
      </c>
      <c r="AS69" s="191"/>
      <c r="AT69" s="191">
        <f>AT32/AT65/($B$32)</f>
        <v>0.55514280542089078</v>
      </c>
      <c r="AU69" s="191"/>
      <c r="AV69" s="191">
        <f>AV32/AV65/($B$32)</f>
        <v>0.37324799642671369</v>
      </c>
    </row>
    <row r="70" spans="1:48 16384:16384" x14ac:dyDescent="0.2">
      <c r="A70" t="s">
        <v>178</v>
      </c>
      <c r="B70" s="138">
        <f>B18/$B$18</f>
        <v>1</v>
      </c>
      <c r="C70" s="138"/>
      <c r="D70" s="138">
        <f>D18/$B$18</f>
        <v>1.0003825934426649</v>
      </c>
      <c r="E70" s="138"/>
      <c r="F70" s="138">
        <f>F18/$B$18</f>
        <v>1.0006350816186329</v>
      </c>
      <c r="G70" s="138"/>
      <c r="H70" s="138">
        <f>H18/$B$18</f>
        <v>1.0007379324145873</v>
      </c>
      <c r="I70" s="138"/>
      <c r="J70" s="138">
        <f>J18/$B$18</f>
        <v>1.0006671598954819</v>
      </c>
      <c r="K70" s="138"/>
      <c r="L70" s="138">
        <f>L18/$B$18</f>
        <v>1.0003925775290072</v>
      </c>
      <c r="M70" s="138"/>
      <c r="N70" s="138">
        <f>N18/$B$18</f>
        <v>0.99987588622041745</v>
      </c>
      <c r="O70" s="138"/>
      <c r="P70" s="138">
        <f>P18/$B$18</f>
        <v>0.99906706500685627</v>
      </c>
      <c r="Q70" s="138"/>
      <c r="R70" s="138">
        <f>R18/$B$18</f>
        <v>0.99789930786523462</v>
      </c>
      <c r="S70" s="138"/>
      <c r="T70" s="138">
        <f>T18/$B$18</f>
        <v>0.99628084655244242</v>
      </c>
      <c r="U70" s="138"/>
      <c r="V70" s="138">
        <f>V18/$B$18</f>
        <v>0.99408133240747654</v>
      </c>
      <c r="W70" s="138"/>
      <c r="X70" s="138">
        <f>X18/$B$18</f>
        <v>0.99110860130402878</v>
      </c>
      <c r="Y70" s="138"/>
      <c r="Z70" s="138">
        <f>Z18/$B$18</f>
        <v>0.98706683309646992</v>
      </c>
      <c r="AA70" s="138"/>
      <c r="AB70" s="138">
        <f>AB18/$B$18</f>
        <v>0.9814778561176597</v>
      </c>
      <c r="AC70" s="138"/>
      <c r="AD70" s="138">
        <f>AD18/$B$18</f>
        <v>0.97352632026538966</v>
      </c>
      <c r="AE70" s="138"/>
      <c r="AF70" s="138">
        <f>AF18/$B$18</f>
        <v>0.96174664404517773</v>
      </c>
      <c r="AG70" s="138"/>
      <c r="AH70" s="138">
        <f>AH18/$B$18</f>
        <v>0.94338494533529027</v>
      </c>
      <c r="AI70" s="138"/>
      <c r="AJ70" s="138">
        <f>AJ18/$B$18</f>
        <v>0.91298702733967851</v>
      </c>
      <c r="AK70" s="138"/>
      <c r="AL70" s="138">
        <f>AL18/$B$18</f>
        <v>0.85770817857320503</v>
      </c>
      <c r="AM70" s="138"/>
      <c r="AN70" s="138">
        <f>AN18/$B$18</f>
        <v>0.73116184815476792</v>
      </c>
      <c r="AO70" s="138"/>
      <c r="AP70" s="138">
        <f>AP18/$B$18</f>
        <v>0.68264752762533942</v>
      </c>
      <c r="AQ70" s="138"/>
      <c r="AR70" s="138">
        <f>AR18/$B$18</f>
        <v>0.61586241218931104</v>
      </c>
      <c r="AS70" s="138"/>
      <c r="AT70" s="138">
        <f>AT18/$B$18</f>
        <v>0.51695910130308254</v>
      </c>
      <c r="AU70" s="138"/>
      <c r="AV70" s="138">
        <f>AV18/$B$18</f>
        <v>0.35177570914699596</v>
      </c>
    </row>
    <row r="71" spans="1:48 16384:16384" x14ac:dyDescent="0.2">
      <c r="A71" t="s">
        <v>179</v>
      </c>
      <c r="B71" s="138">
        <f>C18/$C$18</f>
        <v>1</v>
      </c>
      <c r="D71" s="138">
        <f>E18/$C$18</f>
        <v>0.9303686318317973</v>
      </c>
      <c r="E71" s="138"/>
      <c r="F71" s="138">
        <f>G18/$C$18</f>
        <v>0.86080881649961838</v>
      </c>
      <c r="G71" s="138"/>
      <c r="H71" s="138">
        <f>I18/$C$18</f>
        <v>0.79134117412535654</v>
      </c>
      <c r="I71" s="138"/>
      <c r="J71" s="138">
        <f>K18/$C$18</f>
        <v>0.72199483808941933</v>
      </c>
      <c r="K71" s="138"/>
      <c r="L71" s="138">
        <f>M18/$C$18</f>
        <v>0.65282171117779908</v>
      </c>
      <c r="M71" s="138"/>
      <c r="N71" s="138">
        <f>O18/$C$18</f>
        <v>0.58389235336191414</v>
      </c>
      <c r="O71" s="138"/>
      <c r="P71" s="138">
        <f>Q18/$C$18</f>
        <v>0.51532242213709123</v>
      </c>
      <c r="Q71" s="138"/>
      <c r="R71" s="138">
        <f>S18/$C$18</f>
        <v>0.44729003279381524</v>
      </c>
      <c r="S71" s="138"/>
      <c r="T71" s="138">
        <f>U18/$C$18</f>
        <v>0.38007002326528833</v>
      </c>
      <c r="U71" s="138"/>
      <c r="V71" s="138">
        <f>W18/$C$18</f>
        <v>0.31408979788365782</v>
      </c>
      <c r="W71" s="138"/>
      <c r="X71" s="138">
        <f>Y18/$C$18</f>
        <v>0.25001194063333027</v>
      </c>
      <c r="Y71" s="138"/>
      <c r="Z71" s="138">
        <f>AA18/$C$18</f>
        <v>0.18886364362383279</v>
      </c>
      <c r="AA71" s="138"/>
      <c r="AB71" s="138">
        <f>AC18/$C$18</f>
        <v>0.13222356850785799</v>
      </c>
      <c r="AC71" s="138"/>
      <c r="AD71" s="138">
        <f>AE18/$C$18</f>
        <v>8.2448860758396109E-2</v>
      </c>
      <c r="AE71" s="138"/>
      <c r="AF71" s="138">
        <f>AG18/$C$18</f>
        <v>4.2744294656857196E-2</v>
      </c>
      <c r="AG71" s="138"/>
      <c r="AH71" s="138">
        <f>AI18/$C$18</f>
        <v>1.6356355053848012E-2</v>
      </c>
      <c r="AI71" s="138"/>
      <c r="AJ71" s="138">
        <f>AK18/$C$18</f>
        <v>3.8003024281951479E-3</v>
      </c>
      <c r="AK71" s="138"/>
      <c r="AL71" s="138">
        <f>AM18/$C$18</f>
        <v>3.8592448753487478E-4</v>
      </c>
      <c r="AM71" s="138"/>
      <c r="AN71" s="138">
        <f>AO18/$C$18</f>
        <v>7.4251632157852628E-6</v>
      </c>
      <c r="AO71" s="138"/>
      <c r="AP71" s="138">
        <f>AQ18/$C$18</f>
        <v>2.2269276034036346E-6</v>
      </c>
      <c r="AQ71" s="138"/>
      <c r="AR71" s="138">
        <f>AS18/$C$18</f>
        <v>5.0993498336841903E-7</v>
      </c>
      <c r="AS71" s="138"/>
      <c r="AT71" s="138">
        <f>AU18/$C$18</f>
        <v>7.6255888140516329E-8</v>
      </c>
      <c r="AU71" s="138"/>
      <c r="AV71" s="138">
        <f>AW18/$C$18</f>
        <v>5.0719647576439614E-9</v>
      </c>
      <c r="XFD71" s="138"/>
    </row>
    <row r="72" spans="1:48 16384:16384" x14ac:dyDescent="0.2">
      <c r="A72" t="s">
        <v>180</v>
      </c>
      <c r="B72" s="138">
        <f>C19/$C$19</f>
        <v>1</v>
      </c>
      <c r="D72" s="138">
        <f>E19/$C$19</f>
        <v>1.0231438402313784</v>
      </c>
      <c r="E72" s="138"/>
      <c r="F72" s="138">
        <f>G19/$C$19</f>
        <v>1.049615611146518</v>
      </c>
      <c r="G72" s="138"/>
      <c r="H72" s="138">
        <f>I19/$C$19</f>
        <v>1.0798348595266309</v>
      </c>
      <c r="I72" s="138"/>
      <c r="J72" s="138">
        <f>K19/$C$19</f>
        <v>1.1142664946404031</v>
      </c>
      <c r="K72" s="138"/>
      <c r="L72" s="138">
        <f>M19/$C$19</f>
        <v>1.1534072062331147</v>
      </c>
      <c r="M72" s="138"/>
      <c r="N72" s="138">
        <f>O19/$C$19</f>
        <v>1.1977809653892872</v>
      </c>
      <c r="O72" s="138"/>
      <c r="P72" s="138">
        <f>Q19/$C$19</f>
        <v>1.2478771464751555</v>
      </c>
      <c r="Q72" s="138"/>
      <c r="R72" s="138">
        <f>S19/$C$19</f>
        <v>1.304075736647917</v>
      </c>
      <c r="S72" s="138"/>
      <c r="T72" s="138">
        <f>U19/$C$19</f>
        <v>1.3664821736733792</v>
      </c>
      <c r="U72" s="138"/>
      <c r="V72" s="138">
        <f>W19/$C$19</f>
        <v>1.4346229429705966</v>
      </c>
      <c r="W72" s="138"/>
      <c r="X72" s="138">
        <f>Y19/$C$19</f>
        <v>1.5068719411332094</v>
      </c>
      <c r="Y72" s="138"/>
      <c r="Z72" s="138">
        <f>AA19/$C$19</f>
        <v>1.579367867046843</v>
      </c>
      <c r="AA72" s="138"/>
      <c r="AB72" s="138">
        <f>AC19/$C$19</f>
        <v>1.6439810756893602</v>
      </c>
      <c r="AC72" s="138"/>
      <c r="AD72" s="138">
        <f>AE19/$C$19</f>
        <v>1.6846526170056422</v>
      </c>
      <c r="AE72" s="138"/>
      <c r="AF72" s="138">
        <f>AG19/$C$19</f>
        <v>1.6719339503562376</v>
      </c>
      <c r="AG72" s="138"/>
      <c r="AH72" s="138">
        <f>AI19/$C$19</f>
        <v>1.5603723849232802</v>
      </c>
      <c r="AI72" s="138"/>
      <c r="AJ72" s="138">
        <f>AK19/$C$19</f>
        <v>1.3073358785193878</v>
      </c>
      <c r="AK72" s="138"/>
      <c r="AL72" s="138">
        <f>AM19/$C$19</f>
        <v>0.92171031454149044</v>
      </c>
      <c r="AM72" s="138"/>
      <c r="AN72" s="138">
        <f>AO19/$C$19</f>
        <v>0.4683087094298819</v>
      </c>
      <c r="AO72" s="138"/>
      <c r="AP72" s="138">
        <f>AQ19/$C$19</f>
        <v>0.37494315177038223</v>
      </c>
      <c r="AQ72" s="138"/>
      <c r="AR72" s="138">
        <f>AS19/$C$19</f>
        <v>0.28132778100244049</v>
      </c>
      <c r="AS72" s="138"/>
      <c r="AT72" s="138">
        <f>AU19/$C$19</f>
        <v>0.18758957478698082</v>
      </c>
      <c r="AU72" s="138"/>
      <c r="AV72" s="138">
        <f>AW19/$C$19</f>
        <v>9.3801898736498648E-2</v>
      </c>
      <c r="XFD72" s="138"/>
    </row>
    <row r="73" spans="1:48 16384:16384" x14ac:dyDescent="0.2">
      <c r="A73" t="s">
        <v>184</v>
      </c>
      <c r="B73" s="193">
        <f t="array" ref="B73">SUM(B9:C9*B22:C22)/B32</f>
        <v>0.47641153352875065</v>
      </c>
      <c r="D73" s="193">
        <f t="array" ref="D73">SUM(D9:E9*D22:E22)/D32</f>
        <v>0.47420178136930213</v>
      </c>
      <c r="E73" s="138"/>
      <c r="F73" s="193">
        <f t="array" ref="F73">SUM(F9:G9*F22:G22)/F32</f>
        <v>0.47193515277622916</v>
      </c>
      <c r="G73" s="138"/>
      <c r="H73" s="193">
        <f t="array" ref="H73">SUM(H9:I9*H22:I22)/H32</f>
        <v>0.46960247101907876</v>
      </c>
      <c r="I73" s="138"/>
      <c r="J73" s="193">
        <f t="array" ref="J73">SUM(J9:K9*J22:K22)/J32</f>
        <v>0.46719260662415635</v>
      </c>
      <c r="K73" s="138"/>
      <c r="L73" s="193">
        <f t="array" ref="L73">SUM(L9:M9*L22:M22)/L32</f>
        <v>0.46469162455458168</v>
      </c>
      <c r="M73" s="138"/>
      <c r="N73" s="193">
        <f t="array" ref="N73">SUM(N9:O9*N22:O22)/N32</f>
        <v>0.46208229187677369</v>
      </c>
      <c r="O73" s="138"/>
      <c r="P73" s="193">
        <f t="array" ref="P73">SUM(P9:Q9*P22:Q22)/P32</f>
        <v>0.45934195969987529</v>
      </c>
      <c r="Q73" s="138"/>
      <c r="R73" s="193">
        <f t="array" ref="R73">SUM(R9:S9*R22:S22)/R32</f>
        <v>0.45644042650900257</v>
      </c>
      <c r="S73" s="138"/>
      <c r="T73" s="193">
        <f t="array" ref="T73">SUM(T9:U9*T22:U22)/T32</f>
        <v>0.45333585470428328</v>
      </c>
      <c r="U73" s="138"/>
      <c r="V73" s="193">
        <f t="array" ref="V73">SUM(V9:W9*V22:W22)/V32</f>
        <v>0.44996775672770328</v>
      </c>
      <c r="W73" s="138"/>
      <c r="X73" s="193">
        <f t="array" ref="X73">SUM(X9:Y9*X22:Y22)/X32</f>
        <v>0.44624462925984637</v>
      </c>
      <c r="Y73" s="138"/>
      <c r="Z73" s="193">
        <f t="array" ref="Z73">SUM(Z9:AA9*Z22:AA22)/Z32</f>
        <v>0.44202085822800441</v>
      </c>
      <c r="AA73" s="138"/>
      <c r="AB73" s="193">
        <f t="array" ref="AB73">SUM(AB9:AC9*AB22:AC22)/AB32</f>
        <v>0.43705226463887348</v>
      </c>
      <c r="AC73" s="138"/>
      <c r="AD73" s="193">
        <f t="array" ref="AD73">SUM(AD9:AE9*AD22:AE22)/AD32</f>
        <v>0.43090796171911339</v>
      </c>
      <c r="AE73" s="138"/>
      <c r="AF73" s="193">
        <f t="array" ref="AF73">SUM(AF9:AG9*AF22:AG22)/AF32</f>
        <v>0.42279823878219136</v>
      </c>
      <c r="AG73" s="138"/>
      <c r="AH73" s="193">
        <f t="array" ref="AH73">SUM(AH9:AI9*AH22:AI22)/AH32</f>
        <v>0.41126680330862536</v>
      </c>
      <c r="AI73" s="138"/>
      <c r="AJ73" s="193">
        <f t="array" ref="AJ73">SUM(AJ9:AK9*AJ22:AK22)/AJ32</f>
        <v>0.39368029931194681</v>
      </c>
      <c r="AK73" s="138"/>
      <c r="AL73" s="193">
        <f t="array" ref="AL73">SUM(AL9:AM9*AL22:AM22)/AL32</f>
        <v>0.36464970677039937</v>
      </c>
      <c r="AM73" s="138"/>
      <c r="AN73" s="193">
        <f t="array" ref="AN73">SUM(AN9:AO9*AN22:AO22)/AN32</f>
        <v>0.30600389640751507</v>
      </c>
      <c r="AO73" s="138"/>
      <c r="AP73" s="193">
        <f t="array" ref="AP73">SUM(AP9:AQ9*AP22:AQ22)/AP32</f>
        <v>0.28505373579503696</v>
      </c>
      <c r="AQ73" s="138"/>
      <c r="AR73" s="193">
        <f t="array" ref="AR73">SUM(AR9:AS9*AR22:AS22)/AR32</f>
        <v>0.25695601579386157</v>
      </c>
      <c r="AS73" s="138"/>
      <c r="AT73" s="193">
        <f t="array" ref="AT73">SUM(AT9:AU9*AT22:AU22)/AT32</f>
        <v>0.21626131071716903</v>
      </c>
      <c r="AU73" s="138"/>
      <c r="AV73" s="193">
        <f t="array" ref="AV73">SUM(AV9:AW9*AV22:AW22)/AV32</f>
        <v>0.14896775680458282</v>
      </c>
      <c r="XFD73" s="193"/>
    </row>
    <row r="74" spans="1:48 16384:16384" x14ac:dyDescent="0.2">
      <c r="A74" t="s">
        <v>185</v>
      </c>
      <c r="B74" s="193">
        <f t="array" ref="B74">SUM(B10:C10*B23:C23)/B32</f>
        <v>0.22604620456442484</v>
      </c>
      <c r="D74" s="193">
        <f t="array" ref="D74">SUM(D10:E10*D23:E23)/D32</f>
        <v>0.22604620456442484</v>
      </c>
      <c r="E74" s="138"/>
      <c r="F74" s="193">
        <f t="array" ref="F74">SUM(F10:G10*F23:G23)/F32</f>
        <v>0.22604620456442484</v>
      </c>
      <c r="G74" s="138"/>
      <c r="H74" s="193">
        <f t="array" ref="H74">SUM(H10:I10*H23:I23)/H32</f>
        <v>0.22604620456442484</v>
      </c>
      <c r="I74" s="138"/>
      <c r="J74" s="193">
        <f t="array" ref="J74">SUM(J10:K10*J23:K23)/J32</f>
        <v>0.22604620456442484</v>
      </c>
      <c r="K74" s="138"/>
      <c r="L74" s="193">
        <f t="array" ref="L74">SUM(L10:M10*L23:M23)/L32</f>
        <v>0.22604620456442484</v>
      </c>
      <c r="M74" s="138"/>
      <c r="N74" s="193">
        <f t="array" ref="N74">SUM(N10:O10*N23:O23)/N32</f>
        <v>0.22604620456442484</v>
      </c>
      <c r="O74" s="138"/>
      <c r="P74" s="193">
        <f t="array" ref="P74">SUM(P10:Q10*P23:Q23)/P32</f>
        <v>0.22604620456442484</v>
      </c>
      <c r="Q74" s="138"/>
      <c r="R74" s="193">
        <f t="array" ref="R74">SUM(R10:S10*R23:S23)/R32</f>
        <v>0.22604620456442484</v>
      </c>
      <c r="S74" s="138"/>
      <c r="T74" s="193">
        <f t="array" ref="T74">SUM(T10:U10*T23:U23)/T32</f>
        <v>0.22604620456442484</v>
      </c>
      <c r="U74" s="138"/>
      <c r="V74" s="193">
        <f t="array" ref="V74">SUM(V10:W10*V23:W23)/V32</f>
        <v>0.22604620456442484</v>
      </c>
      <c r="W74" s="138"/>
      <c r="X74" s="193">
        <f t="array" ref="X74">SUM(X10:Y10*X23:Y23)/X32</f>
        <v>0.22604620456442484</v>
      </c>
      <c r="Y74" s="138"/>
      <c r="Z74" s="193">
        <f t="array" ref="Z74">SUM(Z10:AA10*Z23:AA23)/Z32</f>
        <v>0.22604620456442484</v>
      </c>
      <c r="AA74" s="138"/>
      <c r="AB74" s="193">
        <f t="array" ref="AB74">SUM(AB10:AC10*AB23:AC23)/AB32</f>
        <v>0.22604620456442484</v>
      </c>
      <c r="AC74" s="138"/>
      <c r="AD74" s="193">
        <f t="array" ref="AD74">SUM(AD10:AE10*AD23:AE23)/AD32</f>
        <v>0.22604620456442484</v>
      </c>
      <c r="AE74" s="138"/>
      <c r="AF74" s="193">
        <f t="array" ref="AF74">SUM(AF10:AG10*AF23:AG23)/AF32</f>
        <v>0.22604620456442484</v>
      </c>
      <c r="AG74" s="138"/>
      <c r="AH74" s="193">
        <f t="array" ref="AH74">SUM(AH10:AI10*AH23:AI23)/AH32</f>
        <v>0.22604620456442487</v>
      </c>
      <c r="AI74" s="138"/>
      <c r="AJ74" s="193">
        <f t="array" ref="AJ74">SUM(AJ10:AK10*AJ23:AK23)/AJ32</f>
        <v>0.22604620456442484</v>
      </c>
      <c r="AK74" s="138"/>
      <c r="AL74" s="193">
        <f t="array" ref="AL74">SUM(AL10:AM10*AL23:AM23)/AL32</f>
        <v>0.22604620456442484</v>
      </c>
      <c r="AM74" s="138"/>
      <c r="AN74" s="193">
        <f t="array" ref="AN74">SUM(AN10:AO10*AN23:AO23)/AN32</f>
        <v>0.22604620456442487</v>
      </c>
      <c r="AO74" s="138"/>
      <c r="AP74" s="193">
        <f t="array" ref="AP74">SUM(AP10:AQ10*AP23:AQ23)/AP32</f>
        <v>0.22604620456442487</v>
      </c>
      <c r="AQ74" s="138"/>
      <c r="AR74" s="193">
        <f t="array" ref="AR74">SUM(AR10:AS10*AR23:AS23)/AR32</f>
        <v>0.22604620456442484</v>
      </c>
      <c r="AS74" s="138"/>
      <c r="AT74" s="193">
        <f t="array" ref="AT74">SUM(AT10:AU10*AT23:AU23)/AT32</f>
        <v>0.22604620456442484</v>
      </c>
      <c r="AU74" s="138"/>
      <c r="AV74" s="193">
        <f t="array" ref="AV74">SUM(AV10:AW10*AV23:AW23)/AV32</f>
        <v>0.22604620456442484</v>
      </c>
      <c r="XFD74" s="193"/>
    </row>
    <row r="75" spans="1:48 16384:16384" x14ac:dyDescent="0.2">
      <c r="A75" t="s">
        <v>186</v>
      </c>
      <c r="B75" s="193">
        <f t="array" ref="B75">SUM(B11:C11*B24:C24)/B32</f>
        <v>0.22038438833194082</v>
      </c>
      <c r="D75" s="193">
        <f t="array" ref="D75">SUM(D11:E11*D24:E24)/D32</f>
        <v>0.22259415395863547</v>
      </c>
      <c r="E75" s="138"/>
      <c r="F75" s="193">
        <f t="array" ref="F75">SUM(F11:G11*F24:G24)/F32</f>
        <v>0.22486078441511673</v>
      </c>
      <c r="G75" s="138"/>
      <c r="H75" s="193">
        <f t="array" ref="H75">SUM(H11:I11*H24:I24)/H32</f>
        <v>0.22719347103296555</v>
      </c>
      <c r="I75" s="138"/>
      <c r="J75" s="193">
        <f t="array" ref="J75">SUM(J11:K11*J24:K24)/J32</f>
        <v>0.22960336325189792</v>
      </c>
      <c r="K75" s="138"/>
      <c r="L75" s="193">
        <f t="array" ref="L75">SUM(L11:M11*L24:M24)/L32</f>
        <v>0.23210429811288935</v>
      </c>
      <c r="M75" s="138"/>
      <c r="N75" s="193">
        <f t="array" ref="N75">SUM(N11:O11*N24:O24)/N32</f>
        <v>0.23471363153636099</v>
      </c>
      <c r="O75" s="138"/>
      <c r="P75" s="193">
        <f t="array" ref="P75">SUM(P11:Q11*P24:Q24)/P32</f>
        <v>0.23745396449124456</v>
      </c>
      <c r="Q75" s="138"/>
      <c r="R75" s="193">
        <f t="array" ref="R75">SUM(R11:S11*R24:S24)/R32</f>
        <v>0.2403554984847443</v>
      </c>
      <c r="S75" s="138"/>
      <c r="T75" s="193">
        <f t="array" ref="T75">SUM(T11:U11*T24:U24)/T32</f>
        <v>0.2434600710633964</v>
      </c>
      <c r="U75" s="138"/>
      <c r="V75" s="193">
        <f t="array" ref="V75">SUM(V11:W11*V24:W24)/V32</f>
        <v>0.24682816875986754</v>
      </c>
      <c r="W75" s="138"/>
      <c r="X75" s="193">
        <f t="array" ref="X75">SUM(X11:Y11*X24:Y24)/X32</f>
        <v>0.25055129949994176</v>
      </c>
      <c r="Y75" s="138"/>
      <c r="Z75" s="193">
        <f t="array" ref="Z75">SUM(Z11:AA11*Z24:AA24)/Z32</f>
        <v>0.25477506491657598</v>
      </c>
      <c r="AA75" s="138"/>
      <c r="AB75" s="193">
        <f t="array" ref="AB75">SUM(AB11:AC11*AB24:AC24)/AB32</f>
        <v>0.25974366271483434</v>
      </c>
      <c r="AC75" s="138"/>
      <c r="AD75" s="193">
        <f t="array" ref="AD75">SUM(AD11:AE11*AD24:AE24)/AD32</f>
        <v>0.2658879597755891</v>
      </c>
      <c r="AE75" s="138"/>
      <c r="AF75" s="193">
        <f t="array" ref="AF75">SUM(AF11:AG11*AF24:AG24)/AF32</f>
        <v>0.27399768295349841</v>
      </c>
      <c r="AG75" s="138"/>
      <c r="AH75" s="193">
        <f t="array" ref="AH75">SUM(AH11:AI11*AH24:AI24)/AH32</f>
        <v>0.28552911858996949</v>
      </c>
      <c r="AI75" s="138"/>
      <c r="AJ75" s="193">
        <f t="array" ref="AJ75">SUM(AJ11:AK11*AJ24:AK24)/AJ32</f>
        <v>0.30311562254711183</v>
      </c>
      <c r="AK75" s="138"/>
      <c r="AL75" s="193">
        <f t="array" ref="AL75">SUM(AL11:AM11*AL24:AM24)/AL32</f>
        <v>0.33214621509043735</v>
      </c>
      <c r="AM75" s="138"/>
      <c r="AN75" s="193">
        <f t="array" ref="AN75">SUM(AN11:AO11*AN24:AO24)/AN32</f>
        <v>0.39079202545329234</v>
      </c>
      <c r="AO75" s="138"/>
      <c r="AP75" s="193">
        <f t="array" ref="AP75">SUM(AP11:AQ11*AP24:AQ24)/AP32</f>
        <v>0.41174218606578211</v>
      </c>
      <c r="AQ75" s="138"/>
      <c r="AR75" s="193">
        <f t="array" ref="AR75">SUM(AR11:AS11*AR24:AS24)/AR32</f>
        <v>0.43983990606684564</v>
      </c>
      <c r="AS75" s="138"/>
      <c r="AT75" s="193">
        <f t="array" ref="AT75">SUM(AT11:AU11*AT24:AU24)/AT32</f>
        <v>0.48053461115604812</v>
      </c>
      <c r="AU75" s="138"/>
      <c r="AV75" s="193">
        <f t="array" ref="AV75">SUM(AV11:AW11*AV24:AW24)/AV32</f>
        <v>0.54782816505610932</v>
      </c>
      <c r="XFD75" s="193"/>
    </row>
    <row r="76" spans="1:48 16384:16384" x14ac:dyDescent="0.2">
      <c r="A76" t="s">
        <v>187</v>
      </c>
      <c r="B76" s="193">
        <f t="array" ref="B76">SUM(B12:C12*B25:C25)/B32</f>
        <v>0.22301874374724867</v>
      </c>
      <c r="D76" s="193">
        <f t="array" ref="D76">SUM(D12:E12*D25:E25)/D32</f>
        <v>0.2230117607878995</v>
      </c>
      <c r="E76" s="138"/>
      <c r="F76" s="193">
        <f t="array" ref="F76">SUM(F12:G12*F25:G25)/F32</f>
        <v>0.22305894761016848</v>
      </c>
      <c r="G76" s="138"/>
      <c r="H76" s="193">
        <f t="array" ref="H76">SUM(H12:I12*H25:I25)/H32</f>
        <v>0.22316712580722076</v>
      </c>
      <c r="I76" s="138"/>
      <c r="J76" s="193">
        <f t="array" ref="J76">SUM(J12:K12*J25:K25)/J32</f>
        <v>0.22334393943343814</v>
      </c>
      <c r="K76" s="138"/>
      <c r="L76" s="193">
        <f t="array" ref="L76">SUM(L12:M12*L25:M25)/L32</f>
        <v>0.22359784180123463</v>
      </c>
      <c r="M76" s="138"/>
      <c r="N76" s="193">
        <f t="array" ref="N76">SUM(N12:O12*N25:O25)/N32</f>
        <v>0.22393769628248736</v>
      </c>
      <c r="O76" s="138"/>
      <c r="P76" s="193">
        <f t="array" ref="P76">SUM(P12:Q12*P25:Q25)/P32</f>
        <v>0.22437228522851707</v>
      </c>
      <c r="Q76" s="138"/>
      <c r="R76" s="193">
        <f t="array" ref="R76">SUM(R12:S12*R25:S25)/R32</f>
        <v>0.22490895088799367</v>
      </c>
      <c r="S76" s="138"/>
      <c r="T76" s="193">
        <f t="array" ref="T76">SUM(T12:U12*T25:U25)/T32</f>
        <v>0.22555102385002512</v>
      </c>
      <c r="U76" s="138"/>
      <c r="V76" s="193">
        <f t="array" ref="V76">SUM(V12:W12*V25:W25)/V32</f>
        <v>0.22629286060056636</v>
      </c>
      <c r="W76" s="138"/>
      <c r="X76" s="193">
        <f t="array" ref="X76">SUM(X12:Y12*X25:Y25)/X32</f>
        <v>0.22711018834635122</v>
      </c>
      <c r="Y76" s="138"/>
      <c r="Z76" s="193">
        <f t="array" ref="Z76">SUM(Z12:AA12*Z25:AA25)/Z32</f>
        <v>0.2279414685979558</v>
      </c>
      <c r="AA76" s="138"/>
      <c r="AB76" s="193">
        <f t="array" ref="AB76">SUM(AB12:AC12*AB25:AC25)/AB32</f>
        <v>0.22865198744031609</v>
      </c>
      <c r="AC76" s="138"/>
      <c r="AD76" s="193">
        <f t="array" ref="AD76">SUM(AD12:AE12*AD25:AE25)/AD32</f>
        <v>0.22896799009527266</v>
      </c>
      <c r="AE76" s="138"/>
      <c r="AF76" s="193">
        <f t="array" ref="AF76">SUM(AF12:AG12*AF25:AG25)/AF32</f>
        <v>0.22837600342064973</v>
      </c>
      <c r="AG76" s="138"/>
      <c r="AH76" s="193">
        <f t="array" ref="AH76">SUM(AH12:AI12*AH25:AI25)/AH32</f>
        <v>0.22606974903245428</v>
      </c>
      <c r="AI76" s="138"/>
      <c r="AJ76" s="193">
        <f t="array" ref="AJ76">SUM(AJ12:AK12*AJ25:AK25)/AJ32</f>
        <v>0.22128042550176277</v>
      </c>
      <c r="AK76" s="138"/>
      <c r="AL76" s="193">
        <f t="array" ref="AL76">SUM(AL12:AM12*AL25:AM25)/AL32</f>
        <v>0.21414884985583249</v>
      </c>
      <c r="AM76" s="138"/>
      <c r="AN76" s="193">
        <f t="array" ref="AN76">SUM(AN12:AO12*AN25:AO25)/AN32</f>
        <v>0.20598432312545678</v>
      </c>
      <c r="AO76" s="138"/>
      <c r="AP76" s="193">
        <f t="array" ref="AP76">SUM(AP12:AQ12*AP25:AQ25)/AP32</f>
        <v>0.20445918273817107</v>
      </c>
      <c r="AQ76" s="138"/>
      <c r="AR76" s="193">
        <f t="array" ref="AR76">SUM(AR12:AS12*AR25:AS25)/AR32</f>
        <v>0.20313648258107683</v>
      </c>
      <c r="AS76" s="138"/>
      <c r="AT76" s="193">
        <f t="array" ref="AT76">SUM(AT12:AU12*AT25:AU25)/AT32</f>
        <v>0.20229385318048537</v>
      </c>
      <c r="AU76" s="138"/>
      <c r="AV76" s="193">
        <f t="array" ref="AV76">SUM(AV12:AW12*AV25:AW25)/AV32</f>
        <v>0.20278523230631409</v>
      </c>
      <c r="XFD76" s="193"/>
    </row>
    <row r="77" spans="1:48 16384:16384" x14ac:dyDescent="0.2">
      <c r="A77" t="s">
        <v>188</v>
      </c>
      <c r="B77" s="193">
        <f t="array" ref="B77">SUM(B4:C4*B19:C19)/B32</f>
        <v>0.14586087017236485</v>
      </c>
      <c r="D77" s="193">
        <f t="array" ref="D77">SUM(D4:E4*D19:E19)/D32</f>
        <v>0.14585390068026177</v>
      </c>
      <c r="E77" s="138"/>
      <c r="F77" s="193">
        <f t="array" ref="F77">SUM(F4:G4*F19:G19)/F32</f>
        <v>0.14590108936593915</v>
      </c>
      <c r="G77" s="138"/>
      <c r="H77" s="193">
        <f t="array" ref="H77">SUM(H4:I4*H19:I19)/H32</f>
        <v>0.14600927242368983</v>
      </c>
      <c r="I77" s="138"/>
      <c r="J77" s="193">
        <f t="array" ref="J77">SUM(J4:K4*J19:K19)/J32</f>
        <v>0.146186113873917</v>
      </c>
      <c r="K77" s="138"/>
      <c r="L77" s="193">
        <f t="array" ref="L77">SUM(L4:M4*L19:M19)/L32</f>
        <v>0.14643996903313042</v>
      </c>
      <c r="M77" s="138"/>
      <c r="N77" s="193">
        <f t="array" ref="N77">SUM(N4:O4*N19:O19)/N32</f>
        <v>0.14677982426004685</v>
      </c>
      <c r="O77" s="138"/>
      <c r="P77" s="193">
        <f t="array" ref="P77">SUM(P4:Q4*P19:Q19)/P32</f>
        <v>0.14721441398406163</v>
      </c>
      <c r="Q77" s="138"/>
      <c r="R77" s="193">
        <f t="array" ref="R77">SUM(R4:S4*R19:S19)/R32</f>
        <v>0.14775108044616533</v>
      </c>
      <c r="S77" s="138"/>
      <c r="T77" s="193">
        <f t="array" ref="T77">SUM(T4:U4*T19:U19)/T32</f>
        <v>0.14839315418212939</v>
      </c>
      <c r="U77" s="138"/>
      <c r="V77" s="193">
        <f t="array" ref="V77">SUM(V4:W4*V19:W19)/V32</f>
        <v>0.14913499065256192</v>
      </c>
      <c r="W77" s="138"/>
      <c r="X77" s="193">
        <f t="array" ref="X77">SUM(X4:Y4*X19:Y19)/X32</f>
        <v>0.14995232167056408</v>
      </c>
      <c r="Y77" s="138"/>
      <c r="Z77" s="193">
        <f t="array" ref="Z77">SUM(Z4:AA4*Z19:AA19)/Z32</f>
        <v>0.15078359630696095</v>
      </c>
      <c r="AA77" s="138"/>
      <c r="AB77" s="193">
        <f t="array" ref="AB77">SUM(AB4:AC4*AB19:AC19)/AB32</f>
        <v>0.15149411935844873</v>
      </c>
      <c r="AC77" s="138"/>
      <c r="AD77" s="193">
        <f t="array" ref="AD77">SUM(AD4:AE4*AD19:AE19)/AD32</f>
        <v>0.15181011615439982</v>
      </c>
      <c r="AE77" s="138"/>
      <c r="AF77" s="193">
        <f t="array" ref="AF77">SUM(AF4:AG4*AF19:AG19)/AF32</f>
        <v>0.15121812972076432</v>
      </c>
      <c r="AG77" s="138"/>
      <c r="AH77" s="193">
        <f t="array" ref="AH77">SUM(AH4:AI4*AH19:AI19)/AH32</f>
        <v>0.14891187549547388</v>
      </c>
      <c r="AI77" s="138"/>
      <c r="AJ77" s="193">
        <f t="array" ref="AJ77">SUM(AJ4:AK4*AJ19:AK19)/AJ32</f>
        <v>0.14412255192524612</v>
      </c>
      <c r="AK77" s="138"/>
      <c r="AL77" s="193">
        <f t="array" ref="AL77">SUM(AL4:AM4*AL19:AM19)/AL32</f>
        <v>0.13699097628109391</v>
      </c>
      <c r="AM77" s="138"/>
      <c r="AN77" s="193">
        <f t="array" ref="AN77">SUM(AN4:AO4*AN19:AO19)/AN32</f>
        <v>0.12882644955068881</v>
      </c>
      <c r="AO77" s="138"/>
      <c r="AP77" s="193">
        <f t="array" ref="AP77">SUM(AP4:AQ4*AP19:AQ19)/AP32</f>
        <v>0.12730130916341498</v>
      </c>
      <c r="AQ77" s="138"/>
      <c r="AR77" s="193">
        <f t="array" ref="AR77">SUM(AR4:AS4*AR19:AS19)/AR32</f>
        <v>0.12597860900620872</v>
      </c>
      <c r="AS77" s="138"/>
      <c r="AT77" s="193">
        <f t="array" ref="AT77">SUM(AT4:AU4*AT19:AU19)/AT32</f>
        <v>0.12513597961812734</v>
      </c>
      <c r="AU77" s="138"/>
      <c r="AV77" s="193">
        <f t="array" ref="AV77">SUM(AV4:AW4*AV19:AW19)/AV32</f>
        <v>0.12562735873143097</v>
      </c>
      <c r="XFD77" s="193"/>
    </row>
    <row r="78" spans="1:48 16384:16384" x14ac:dyDescent="0.2">
      <c r="A78" t="s">
        <v>189</v>
      </c>
      <c r="B78" s="193">
        <f t="array" ref="B78">SUM(B13:C13*B26:C26)/B32</f>
        <v>0.346887593115773</v>
      </c>
      <c r="D78" s="193">
        <f t="array" ref="D78">SUM(D13:E13*D26:E26)/D32</f>
        <v>0.34585047754507392</v>
      </c>
      <c r="E78" s="138"/>
      <c r="F78" s="193">
        <f t="array" ref="F78">SUM(F13:G13*F26:G26)/F32</f>
        <v>0.3447674275306567</v>
      </c>
      <c r="G78" s="138"/>
      <c r="H78" s="193">
        <f t="array" ref="H78">SUM(H13:I13*H26:I26)/H32</f>
        <v>0.34363169326431464</v>
      </c>
      <c r="I78" s="138"/>
      <c r="J78" s="193">
        <f t="array" ref="J78">SUM(J13:K13*J26:K26)/J32</f>
        <v>0.34243500576478469</v>
      </c>
      <c r="K78" s="138"/>
      <c r="L78" s="193">
        <f t="array" ref="L78">SUM(L13:M13*L26:M26)/L32</f>
        <v>0.34116710573651499</v>
      </c>
      <c r="M78" s="138"/>
      <c r="N78" s="193">
        <f t="array" ref="N78">SUM(N13:O13*N26:O26)/N32</f>
        <v>0.33981479945083753</v>
      </c>
      <c r="O78" s="138"/>
      <c r="P78" s="193">
        <f t="array" ref="P78">SUM(P13:Q13*P26:Q26)/P32</f>
        <v>0.33836083731671296</v>
      </c>
      <c r="Q78" s="138"/>
      <c r="R78" s="193">
        <f t="array" ref="R78">SUM(R13:S13*R26:S26)/R32</f>
        <v>0.33678184575816311</v>
      </c>
      <c r="S78" s="138"/>
      <c r="T78" s="193">
        <f t="array" ref="T78">SUM(T13:U13*T26:U26)/T32</f>
        <v>0.33504502543670739</v>
      </c>
      <c r="U78" s="138"/>
      <c r="V78" s="193">
        <f t="array" ref="V78">SUM(V13:W13*V26:W26)/V32</f>
        <v>0.33310251912948941</v>
      </c>
      <c r="W78" s="138"/>
      <c r="X78" s="193">
        <f t="array" ref="X78">SUM(X13:Y13*X26:Y26)/X32</f>
        <v>0.33088139888370238</v>
      </c>
      <c r="Y78" s="138"/>
      <c r="Z78" s="193">
        <f t="array" ref="Z78">SUM(Z13:AA13*Z26:AA26)/Z32</f>
        <v>0.32826526898833669</v>
      </c>
      <c r="AA78" s="138"/>
      <c r="AB78" s="193">
        <f t="array" ref="AB78">SUM(AB13:AC13*AB26:AC26)/AB32</f>
        <v>0.32505918079359447</v>
      </c>
      <c r="AC78" s="138"/>
      <c r="AD78" s="193">
        <f t="array" ref="AD78">SUM(AD13:AE13*AD26:AE26)/AD32</f>
        <v>0.3209214097002655</v>
      </c>
      <c r="AE78" s="138"/>
      <c r="AF78" s="193">
        <f t="array" ref="AF78">SUM(AF13:AG13*AF26:AG26)/AF32</f>
        <v>0.31523320869282495</v>
      </c>
      <c r="AG78" s="138"/>
      <c r="AH78" s="193">
        <f t="array" ref="AH78">SUM(AH13:AI13*AH26:AI26)/AH32</f>
        <v>0.30687479681983093</v>
      </c>
      <c r="AI78" s="138"/>
      <c r="AJ78" s="193">
        <f t="array" ref="AJ78">SUM(AJ13:AK13*AJ26:AK26)/AJ32</f>
        <v>0.29386924862940972</v>
      </c>
      <c r="AK78" s="138"/>
      <c r="AL78" s="193">
        <f t="array" ref="AL78">SUM(AL13:AM13*AL26:AM26)/AL32</f>
        <v>0.27223148124125129</v>
      </c>
      <c r="AM78" s="138"/>
      <c r="AN78" s="193">
        <f t="array" ref="AN78">SUM(AN13:AO13*AN26:AO26)/AN32</f>
        <v>0.22845263674386215</v>
      </c>
      <c r="AO78" s="138"/>
      <c r="AP78" s="193">
        <f t="array" ref="AP78">SUM(AP13:AQ13*AP26:AQ26)/AP32</f>
        <v>0.21281198034922286</v>
      </c>
      <c r="AQ78" s="138"/>
      <c r="AR78" s="193">
        <f t="array" ref="AR78">SUM(AR13:AS13*AR26:AS26)/AR32</f>
        <v>0.19183514230971274</v>
      </c>
      <c r="AS78" s="138"/>
      <c r="AT78" s="193">
        <f t="array" ref="AT78">SUM(AT13:AU13*AT26:AU26)/AT32</f>
        <v>0.16145378196903343</v>
      </c>
      <c r="AU78" s="138"/>
      <c r="AV78" s="193">
        <f t="array" ref="AV78">SUM(AV13:AW13*AV26:AW26)/AV32</f>
        <v>0.11121456606933681</v>
      </c>
      <c r="XFD78" s="193"/>
    </row>
    <row r="79" spans="1:48 16384:16384" x14ac:dyDescent="0.2">
      <c r="A79" t="s">
        <v>190</v>
      </c>
      <c r="B79" s="193">
        <f t="array" ref="B79">SUM(B15:C15*B27:C27)/B32</f>
        <v>0.45460968782440808</v>
      </c>
      <c r="D79" s="193">
        <f t="array" ref="D79">SUM(D15:E15*D27:E27)/D32</f>
        <v>0.45192121321146822</v>
      </c>
      <c r="F79" s="193">
        <f t="array" ref="F79">SUM(F15:G15*F27:G27)/F32</f>
        <v>0.4491830707606318</v>
      </c>
      <c r="H79" s="193">
        <f t="array" ref="H79">SUM(H15:I15*H27:I27)/H32</f>
        <v>0.44638654657910581</v>
      </c>
      <c r="J79" s="193">
        <f t="array" ref="J79">SUM(J15:K15*J27:K27)/J32</f>
        <v>0.4435210499667766</v>
      </c>
      <c r="L79" s="193">
        <f t="array" ref="L79">SUM(L15:M15*L27:M27)/L32</f>
        <v>0.44057385698940227</v>
      </c>
      <c r="N79" s="193">
        <f t="array" ref="N79">SUM(N15:O15*N27:O27)/N32</f>
        <v>0.43752868271492601</v>
      </c>
      <c r="P79" s="193">
        <f t="array" ref="P79">SUM(P15:Q15*P27:Q27)/P32</f>
        <v>0.43436486342051028</v>
      </c>
      <c r="R79" s="193">
        <f t="array" ref="R79">SUM(R15:S15*R27:S27)/R32</f>
        <v>0.4310550170891852</v>
      </c>
      <c r="T79" s="193">
        <f t="array" ref="T79">SUM(T15:U15*T27:U27)/T32</f>
        <v>0.42756152721781315</v>
      </c>
      <c r="V79" s="193">
        <f t="array" ref="V79">SUM(V15:W15*V27:W27)/V32</f>
        <v>0.42383057230313653</v>
      </c>
      <c r="X79" s="193">
        <f t="array" ref="X79">SUM(X15:Y15*X27:Y27)/X32</f>
        <v>0.41978121238005572</v>
      </c>
      <c r="Z79" s="193">
        <f t="array" ref="Z79">SUM(Z15:AA15*Z27:AA27)/Z32</f>
        <v>0.41528504819118045</v>
      </c>
      <c r="AB79" s="193">
        <f t="array" ref="AB79">SUM(AB15:AC15*AB27:AC27)/AB32</f>
        <v>0.41012641454663012</v>
      </c>
      <c r="AD79" s="193">
        <f t="array" ref="AD79">SUM(AD15:AE15*AD27:AE27)/AD32</f>
        <v>0.40392257399387599</v>
      </c>
      <c r="AF79" s="193">
        <f t="array" ref="AF79">SUM(AF15:AG15*AF27:AG27)/AF32</f>
        <v>0.39596425669108148</v>
      </c>
      <c r="AH79" s="193">
        <f t="array" ref="AH79">SUM(AH15:AI15*AH27:AI27)/AH32</f>
        <v>0.38492207567328168</v>
      </c>
      <c r="AJ79" s="193">
        <f t="array" ref="AJ79">SUM(AJ15:AK15*AJ27:AK27)/AJ32</f>
        <v>0.36834352434570616</v>
      </c>
      <c r="AL79" s="193">
        <f t="array" ref="AL79">SUM(AL15:AM15*AL27:AM27)/AL32</f>
        <v>0.3411482464182044</v>
      </c>
      <c r="AN79" s="193">
        <f t="array" ref="AN79">SUM(AN15:AO15*AN27:AO27)/AN32</f>
        <v>0.28627852898090056</v>
      </c>
      <c r="AP79" s="193">
        <f t="array" ref="AP79">SUM(AP15:AQ15*AP27:AQ27)/AP32</f>
        <v>0.26667878168980841</v>
      </c>
      <c r="AR79" s="193">
        <f t="array" ref="AR79">SUM(AR15:AS15*AR27:AS27)/AR32</f>
        <v>0.2403922600181552</v>
      </c>
      <c r="AT79" s="193">
        <f t="array" ref="AT79">SUM(AT15:AU15*AT27:AU27)/AT32</f>
        <v>0.20232079027356997</v>
      </c>
      <c r="AV79" s="193">
        <f t="array" ref="AV79">SUM(AV15:AW15*AV27:AW27)/AV32</f>
        <v>0.13936507629377951</v>
      </c>
      <c r="XFD79" s="193"/>
    </row>
    <row r="80" spans="1:48 16384:16384" x14ac:dyDescent="0.2">
      <c r="A80" t="s">
        <v>169</v>
      </c>
      <c r="B80" s="236">
        <f>B55</f>
        <v>0.19850271905982084</v>
      </c>
      <c r="D80" s="236">
        <f>D55</f>
        <v>0.20222834426553948</v>
      </c>
      <c r="F80" s="236">
        <f>F55</f>
        <v>0.20604954589554275</v>
      </c>
      <c r="H80" s="236">
        <f>H55</f>
        <v>0.2099818245673907</v>
      </c>
      <c r="J80" s="236">
        <f>J55</f>
        <v>0.21404397755495397</v>
      </c>
      <c r="L80" s="236">
        <f>L55</f>
        <v>0.21825903407107528</v>
      </c>
      <c r="N80" s="236">
        <f>N55</f>
        <v>0.22265651137923775</v>
      </c>
      <c r="P80" s="236">
        <f>P55</f>
        <v>0.22727428931598151</v>
      </c>
      <c r="R80" s="236">
        <f>R55</f>
        <v>0.23216313996058338</v>
      </c>
      <c r="T80" s="236">
        <f>T55</f>
        <v>0.23739345081431787</v>
      </c>
      <c r="V80" s="236">
        <f>V55</f>
        <v>0.24306691174579403</v>
      </c>
      <c r="X80" s="236">
        <f>X55</f>
        <v>0.24933739484114614</v>
      </c>
      <c r="Z80" s="236">
        <f>Z55</f>
        <v>0.25644969217722446</v>
      </c>
      <c r="AB80" s="236">
        <f>AB55</f>
        <v>0.2648144097574035</v>
      </c>
      <c r="AD80" s="236">
        <f>AD55</f>
        <v>0.27515601988385391</v>
      </c>
      <c r="AF80" s="236">
        <f>AF55</f>
        <v>0.28880253694391522</v>
      </c>
      <c r="AH80" s="236">
        <f>AH55</f>
        <v>0.30820312733372385</v>
      </c>
      <c r="AJ80" s="236">
        <f>AJ55</f>
        <v>0.33778722725586124</v>
      </c>
      <c r="AL80" s="236">
        <f>AL55</f>
        <v>0.38662027225917206</v>
      </c>
      <c r="AN80" s="236">
        <f>AN55</f>
        <v>0.48526883432227902</v>
      </c>
      <c r="AP80" s="236">
        <f>AP55</f>
        <v>0.52050923801588378</v>
      </c>
      <c r="AR80" s="236">
        <f>AR55</f>
        <v>0.56777259768421584</v>
      </c>
      <c r="AT80" s="236">
        <f>AT55</f>
        <v>0.6362254326201362</v>
      </c>
      <c r="AV80" s="236">
        <f>AV55</f>
        <v>0.74942035763726422</v>
      </c>
      <c r="XFD80" s="236"/>
    </row>
    <row r="81" spans="1:48 16384:16384" x14ac:dyDescent="0.2">
      <c r="A81" t="s">
        <v>191</v>
      </c>
      <c r="B81" s="236">
        <f>B51/B$32</f>
        <v>-2.7543485504603994E-2</v>
      </c>
      <c r="D81" s="236">
        <f>D51/D$32</f>
        <v>-2.3817860298885378E-2</v>
      </c>
      <c r="F81" s="236">
        <f>F51/F$32</f>
        <v>-1.9996658668882089E-2</v>
      </c>
      <c r="H81" s="236">
        <f>H51/H$32</f>
        <v>-1.6064379997034153E-2</v>
      </c>
      <c r="J81" s="236">
        <f>J51/J$32</f>
        <v>-1.200222700947088E-2</v>
      </c>
      <c r="L81" s="236">
        <f>L51/L$32</f>
        <v>-7.7871704933495708E-3</v>
      </c>
      <c r="N81" s="236">
        <f>N51/N$32</f>
        <v>-3.3896931851870771E-3</v>
      </c>
      <c r="P81" s="236">
        <f>P51/P$32</f>
        <v>1.2280847515566619E-3</v>
      </c>
      <c r="R81" s="236">
        <f>R51/R$32</f>
        <v>6.1169353961585396E-3</v>
      </c>
      <c r="T81" s="236">
        <f>T51/T$32</f>
        <v>1.1347246249893032E-2</v>
      </c>
      <c r="V81" s="236">
        <f>V51/V$32</f>
        <v>1.7020707181369214E-2</v>
      </c>
      <c r="X81" s="236">
        <f>X51/X$32</f>
        <v>2.3291190276721292E-2</v>
      </c>
      <c r="Z81" s="236">
        <f>Z51/Z$32</f>
        <v>3.0403487612799603E-2</v>
      </c>
      <c r="AB81" s="236">
        <f>AB51/AB$32</f>
        <v>3.8768205192978661E-2</v>
      </c>
      <c r="AD81" s="236">
        <f>AD51/AD$32</f>
        <v>4.9109815319429061E-2</v>
      </c>
      <c r="AF81" s="236">
        <f>AF51/AF$32</f>
        <v>6.2756332379490382E-2</v>
      </c>
      <c r="AH81" s="236">
        <f>AH51/AH$32</f>
        <v>8.2156922769298965E-2</v>
      </c>
      <c r="AJ81" s="236">
        <f>AJ51/AJ$32</f>
        <v>0.1117410226914364</v>
      </c>
      <c r="AL81" s="236">
        <f>AL51/AL$32</f>
        <v>0.16057406769474722</v>
      </c>
      <c r="AN81" s="236">
        <f>AN51/AN$32</f>
        <v>0.25922262975785421</v>
      </c>
      <c r="AP81" s="236">
        <f>AP51/AP$32</f>
        <v>0.29446303345145897</v>
      </c>
      <c r="AR81" s="236">
        <f>AR51/AR$32</f>
        <v>0.34172639311979103</v>
      </c>
      <c r="AT81" s="236">
        <f>AT51/AT$32</f>
        <v>0.41017922805571139</v>
      </c>
      <c r="AV81" s="236">
        <f>AV51/AV$32</f>
        <v>0.5233741530728393</v>
      </c>
      <c r="XFD81" s="236"/>
    </row>
    <row r="82" spans="1:48 16384:16384" x14ac:dyDescent="0.2">
      <c r="A82" t="s">
        <v>192</v>
      </c>
      <c r="B82" s="236">
        <f>B52/B$32</f>
        <v>0.13907860278212886</v>
      </c>
      <c r="D82" s="236">
        <f>D52/D$32</f>
        <v>0.13866278916596333</v>
      </c>
      <c r="F82" s="236">
        <f>F52/F$32</f>
        <v>0.13822855892614602</v>
      </c>
      <c r="H82" s="236">
        <f>H52/H$32</f>
        <v>0.13777320584339128</v>
      </c>
      <c r="J82" s="236">
        <f>J52/J$32</f>
        <v>0.13729341461215541</v>
      </c>
      <c r="L82" s="236">
        <f>L52/L$32</f>
        <v>0.13678507194467834</v>
      </c>
      <c r="N82" s="236">
        <f>N52/N$32</f>
        <v>0.13624288804280918</v>
      </c>
      <c r="P82" s="236">
        <f>P52/P$32</f>
        <v>0.13565994698027117</v>
      </c>
      <c r="R82" s="236">
        <f>R52/R$32</f>
        <v>0.13502687752455675</v>
      </c>
      <c r="T82" s="236">
        <f>T52/T$32</f>
        <v>0.13433052934611078</v>
      </c>
      <c r="V82" s="236">
        <f>V52/V$32</f>
        <v>0.13355171491611997</v>
      </c>
      <c r="X82" s="236">
        <f>X52/X$32</f>
        <v>0.13266119502862414</v>
      </c>
      <c r="Z82" s="236">
        <f>Z52/Z$32</f>
        <v>0.131612302829062</v>
      </c>
      <c r="AB82" s="236">
        <f>AB52/AB$32</f>
        <v>0.13032687701571441</v>
      </c>
      <c r="AD82" s="236">
        <f>AD52/AD$32</f>
        <v>0.12866790899923536</v>
      </c>
      <c r="AF82" s="236">
        <f>AF52/AF$32</f>
        <v>0.12638732282619602</v>
      </c>
      <c r="AH82" s="236">
        <f>AH52/AH$32</f>
        <v>0.12303616162053828</v>
      </c>
      <c r="AJ82" s="236">
        <f>AJ52/AJ$32</f>
        <v>0.11782181118934326</v>
      </c>
      <c r="AL82" s="236">
        <f>AL52/AL$32</f>
        <v>0.10914652122396989</v>
      </c>
      <c r="AN82" s="236">
        <f>AN52/AN$32</f>
        <v>9.1594147933752854E-2</v>
      </c>
      <c r="AP82" s="236">
        <f>AP52/AP$32</f>
        <v>8.5323296277101626E-2</v>
      </c>
      <c r="AR82" s="236">
        <f>AR52/AR$32</f>
        <v>7.6912994544723445E-2</v>
      </c>
      <c r="AT82" s="236">
        <f>AT52/AT$32</f>
        <v>6.4732111657419267E-2</v>
      </c>
      <c r="AV82" s="236">
        <f>AV52/AV$32</f>
        <v>4.4589563780627499E-2</v>
      </c>
    </row>
    <row r="83" spans="1:48 16384:16384" x14ac:dyDescent="0.2">
      <c r="A83" t="s">
        <v>193</v>
      </c>
      <c r="B83" s="236">
        <f>B53/B$32</f>
        <v>0.18600714462930004</v>
      </c>
      <c r="D83" s="236">
        <f>D53/D$32</f>
        <v>0.18490713400578149</v>
      </c>
      <c r="F83" s="236">
        <f>F53/F$32</f>
        <v>0.18378680139407286</v>
      </c>
      <c r="H83" s="236">
        <f>H53/H$32</f>
        <v>0.18264258143610893</v>
      </c>
      <c r="J83" s="236">
        <f>J53/J$32</f>
        <v>0.18147014086328472</v>
      </c>
      <c r="L83" s="236">
        <f>L53/L$32</f>
        <v>0.18026427357740174</v>
      </c>
      <c r="N83" s="236">
        <f>N53/N$32</f>
        <v>0.17901831646987812</v>
      </c>
      <c r="P83" s="236">
        <f>P53/P$32</f>
        <v>0.17772381481529684</v>
      </c>
      <c r="R83" s="236">
        <f>R53/R$32</f>
        <v>0.17636956504513066</v>
      </c>
      <c r="T83" s="236">
        <f>T53/T$32</f>
        <v>0.17494017606999668</v>
      </c>
      <c r="V83" s="236">
        <f>V53/V$32</f>
        <v>0.17341362639671362</v>
      </c>
      <c r="X83" s="236">
        <f>X53/X$32</f>
        <v>0.17175679879923511</v>
      </c>
      <c r="Z83" s="236">
        <f>Z53/Z$32</f>
        <v>0.16991715770720403</v>
      </c>
      <c r="AB83" s="236">
        <f>AB53/AB$32</f>
        <v>0.16780646200469171</v>
      </c>
      <c r="AD83" s="236">
        <f>AD53/AD$32</f>
        <v>0.16526811163984209</v>
      </c>
      <c r="AF83" s="236">
        <f>AF53/AF$32</f>
        <v>0.16201190325451065</v>
      </c>
      <c r="AH83" s="236">
        <f>AH53/AH$32</f>
        <v>0.15749390767146418</v>
      </c>
      <c r="AJ83" s="236">
        <f>AJ53/AJ$32</f>
        <v>0.1507106624456746</v>
      </c>
      <c r="AL83" s="236">
        <f>AL53/AL$32</f>
        <v>0.1395834996724768</v>
      </c>
      <c r="AN83" s="236">
        <f>AN53/AN$32</f>
        <v>0.11713312137989737</v>
      </c>
      <c r="AP83" s="236">
        <f>AP53/AP$32</f>
        <v>0.10911372996191233</v>
      </c>
      <c r="AR83" s="236">
        <f>AR53/AR$32</f>
        <v>9.8358391988848756E-2</v>
      </c>
      <c r="AT83" s="236">
        <f>AT53/AT$32</f>
        <v>8.2781149425187606E-2</v>
      </c>
      <c r="AV83" s="236">
        <f>AV53/AV$32</f>
        <v>5.702232177784812E-2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5"/>
  <dimension ref="A1:XFD83"/>
  <sheetViews>
    <sheetView showGridLines="0" workbookViewId="0">
      <pane ySplit="1" topLeftCell="A2" activePane="bottomLeft" state="frozen"/>
      <selection pane="bottomLeft" sqref="A1:XFD1048576"/>
    </sheetView>
  </sheetViews>
  <sheetFormatPr baseColWidth="10" defaultRowHeight="10" x14ac:dyDescent="0.2"/>
  <sheetData>
    <row r="1" spans="1:49" x14ac:dyDescent="0.2">
      <c r="B1" s="94">
        <v>0</v>
      </c>
      <c r="D1" s="94">
        <v>0.05</v>
      </c>
      <c r="F1" s="94">
        <v>0.1</v>
      </c>
      <c r="H1" s="94">
        <v>0.15000000000000002</v>
      </c>
      <c r="J1" s="94">
        <v>0.2</v>
      </c>
      <c r="L1" s="94">
        <v>0.25</v>
      </c>
      <c r="N1" s="94">
        <v>0.3</v>
      </c>
      <c r="P1" s="94">
        <v>0.35</v>
      </c>
      <c r="R1" s="94">
        <v>0.39999999999999997</v>
      </c>
      <c r="T1" s="94">
        <v>0.44999999999999996</v>
      </c>
      <c r="V1" s="94">
        <v>0.49999999999999994</v>
      </c>
      <c r="X1" s="94">
        <v>0.54999999999999993</v>
      </c>
      <c r="Z1" s="94">
        <v>0.6</v>
      </c>
      <c r="AB1" s="94">
        <v>0.65</v>
      </c>
      <c r="AD1" s="94">
        <v>0.70000000000000007</v>
      </c>
      <c r="AF1" s="94">
        <v>0.75000000000000011</v>
      </c>
      <c r="AH1" s="94">
        <v>0.80000000000000016</v>
      </c>
      <c r="AJ1" s="94">
        <v>0.8500000000000002</v>
      </c>
      <c r="AL1" s="94">
        <v>0.90000000000000024</v>
      </c>
      <c r="AN1" s="94">
        <v>0.95000000000000029</v>
      </c>
      <c r="AP1" s="94">
        <v>0.9600000000000003</v>
      </c>
      <c r="AR1" s="94">
        <v>0.97000000000000031</v>
      </c>
      <c r="AT1" s="94">
        <v>0.98000000000000032</v>
      </c>
      <c r="AV1" s="94">
        <v>0.99000000000000032</v>
      </c>
    </row>
    <row r="2" spans="1:49" x14ac:dyDescent="0.2">
      <c r="A2" s="229" t="s">
        <v>155</v>
      </c>
      <c r="B2" s="226">
        <v>5.7716594496607888E-3</v>
      </c>
      <c r="C2" s="227"/>
      <c r="D2" s="226">
        <v>5.4510920948863201E-2</v>
      </c>
      <c r="E2" s="227"/>
      <c r="F2" s="226">
        <v>0.10802533370958685</v>
      </c>
      <c r="G2" s="227"/>
      <c r="H2" s="226">
        <v>0.16709707522333259</v>
      </c>
      <c r="I2" s="227"/>
      <c r="J2" s="226">
        <v>0.23271078666843656</v>
      </c>
      <c r="K2" s="227"/>
      <c r="L2" s="226">
        <v>0.30612116588012978</v>
      </c>
      <c r="M2" s="227"/>
      <c r="N2" s="226">
        <v>0.38898110492914278</v>
      </c>
      <c r="O2" s="227"/>
      <c r="P2" s="226">
        <v>0.48350901254309825</v>
      </c>
      <c r="Q2" s="227"/>
      <c r="R2" s="226">
        <v>0.59278645545921249</v>
      </c>
      <c r="S2" s="227"/>
      <c r="T2" s="226">
        <v>0.72125160458918314</v>
      </c>
      <c r="U2" s="227"/>
      <c r="V2" s="226">
        <v>0.87557403773433762</v>
      </c>
      <c r="W2" s="227"/>
      <c r="X2" s="226">
        <v>1.0662961716282844</v>
      </c>
      <c r="Y2" s="227"/>
      <c r="Z2" s="226">
        <v>1.3111057238172501</v>
      </c>
      <c r="AA2" s="227"/>
      <c r="AB2" s="226">
        <v>1.6418431574139807</v>
      </c>
      <c r="AC2" s="227"/>
      <c r="AD2" s="226">
        <v>2.1207328438007114</v>
      </c>
      <c r="AE2" s="227"/>
      <c r="AF2" s="226">
        <v>2.8809401716026652</v>
      </c>
      <c r="AG2" s="227"/>
      <c r="AH2" s="226">
        <v>4.2347860141113962</v>
      </c>
      <c r="AI2" s="227"/>
      <c r="AJ2" s="226">
        <v>6.9913014978346784</v>
      </c>
      <c r="AK2" s="227"/>
      <c r="AL2" s="226">
        <v>13.695381863164723</v>
      </c>
      <c r="AM2" s="227"/>
      <c r="AN2" s="226">
        <v>37.028382846129922</v>
      </c>
      <c r="AO2" s="227"/>
      <c r="AP2" s="226">
        <v>48.776564047391993</v>
      </c>
      <c r="AQ2" s="227"/>
      <c r="AR2" s="226">
        <v>67.306407029167673</v>
      </c>
      <c r="AS2" s="227"/>
      <c r="AT2" s="226">
        <v>99.3299726745866</v>
      </c>
      <c r="AU2" s="227"/>
      <c r="AV2" s="226">
        <v>162.98439901050136</v>
      </c>
      <c r="AW2" s="227"/>
    </row>
    <row r="3" spans="1:49" x14ac:dyDescent="0.2">
      <c r="A3" t="s">
        <v>12</v>
      </c>
      <c r="B3" s="84">
        <v>1000</v>
      </c>
      <c r="C3" s="85">
        <v>1000</v>
      </c>
      <c r="D3" s="84">
        <v>998.52054244036276</v>
      </c>
      <c r="E3" s="85">
        <v>1022.3122704055003</v>
      </c>
      <c r="F3" s="84">
        <v>996.99707659312617</v>
      </c>
      <c r="G3" s="85">
        <v>1047.2947856579769</v>
      </c>
      <c r="H3" s="84">
        <v>995.42189030048837</v>
      </c>
      <c r="I3" s="85">
        <v>1075.4245954633827</v>
      </c>
      <c r="J3" s="84">
        <v>993.78619556848855</v>
      </c>
      <c r="K3" s="85">
        <v>1107.3019388263995</v>
      </c>
      <c r="L3" s="84">
        <v>992.08022313996912</v>
      </c>
      <c r="M3" s="85">
        <v>1143.6888391658538</v>
      </c>
      <c r="N3" s="84">
        <v>990.29347830016809</v>
      </c>
      <c r="O3" s="85">
        <v>1185.5804616984051</v>
      </c>
      <c r="P3" s="84">
        <v>988.4155248785612</v>
      </c>
      <c r="Q3" s="85">
        <v>1234.2956401033771</v>
      </c>
      <c r="R3" s="84">
        <v>986.4374473414664</v>
      </c>
      <c r="S3" s="85">
        <v>1291.6341482511732</v>
      </c>
      <c r="T3" s="84">
        <v>984.35479890973374</v>
      </c>
      <c r="U3" s="85">
        <v>1360.1292778369154</v>
      </c>
      <c r="V3" s="84">
        <v>982.17321869056173</v>
      </c>
      <c r="W3" s="85">
        <v>1443.4853749418933</v>
      </c>
      <c r="X3" s="84">
        <v>979.91917220158302</v>
      </c>
      <c r="Y3" s="85">
        <v>1547.3739693393668</v>
      </c>
      <c r="Z3" s="84">
        <v>977.66049069616633</v>
      </c>
      <c r="AA3" s="85">
        <v>1680.9755238487396</v>
      </c>
      <c r="AB3" s="84">
        <v>975.5454031967397</v>
      </c>
      <c r="AC3" s="85">
        <v>1860.178283033363</v>
      </c>
      <c r="AD3" s="84">
        <v>973.87304278561351</v>
      </c>
      <c r="AE3" s="85">
        <v>2114.7360033360715</v>
      </c>
      <c r="AF3" s="84">
        <v>973.19497302165485</v>
      </c>
      <c r="AG3" s="85">
        <v>2505.5181596132315</v>
      </c>
      <c r="AH3" s="84">
        <v>974.33503224042352</v>
      </c>
      <c r="AI3" s="85">
        <v>3169.0985513737337</v>
      </c>
      <c r="AJ3" s="84">
        <v>977.92766017706128</v>
      </c>
      <c r="AK3" s="85">
        <v>4447.2185333989128</v>
      </c>
      <c r="AL3" s="84">
        <v>983.39274764844379</v>
      </c>
      <c r="AM3" s="85">
        <v>7397.992874244198</v>
      </c>
      <c r="AN3" s="84">
        <v>988.59581378737937</v>
      </c>
      <c r="AO3" s="85">
        <v>17256.181138642241</v>
      </c>
      <c r="AP3" s="84">
        <v>989.27058289482159</v>
      </c>
      <c r="AQ3" s="85">
        <v>22145.444239095297</v>
      </c>
      <c r="AR3" s="84">
        <v>989.66981199017391</v>
      </c>
      <c r="AS3" s="85">
        <v>29816.863532624269</v>
      </c>
      <c r="AT3" s="84">
        <v>989.63911566608363</v>
      </c>
      <c r="AU3" s="85">
        <v>43013.101135009958</v>
      </c>
      <c r="AV3" s="84">
        <v>988.8781122722753</v>
      </c>
      <c r="AW3" s="85">
        <v>69142.058259289159</v>
      </c>
    </row>
    <row r="4" spans="1:49"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v>1000</v>
      </c>
      <c r="U4" s="102">
        <v>1000</v>
      </c>
      <c r="V4" s="101">
        <v>1000</v>
      </c>
      <c r="W4" s="102">
        <v>1000</v>
      </c>
      <c r="X4" s="101">
        <v>1000</v>
      </c>
      <c r="Y4" s="102">
        <v>1000</v>
      </c>
      <c r="Z4" s="101">
        <v>1000</v>
      </c>
      <c r="AA4" s="102">
        <v>1000</v>
      </c>
      <c r="AB4" s="101">
        <v>1000</v>
      </c>
      <c r="AC4" s="102">
        <v>1000</v>
      </c>
      <c r="AD4" s="101">
        <v>1000</v>
      </c>
      <c r="AE4" s="102">
        <v>1000</v>
      </c>
      <c r="AF4" s="101">
        <v>1000</v>
      </c>
      <c r="AG4" s="102">
        <v>1000</v>
      </c>
      <c r="AH4" s="101">
        <v>1000</v>
      </c>
      <c r="AI4" s="102">
        <v>1000</v>
      </c>
      <c r="AJ4" s="101">
        <v>1000</v>
      </c>
      <c r="AK4" s="102">
        <v>1000</v>
      </c>
      <c r="AL4" s="101">
        <v>1000</v>
      </c>
      <c r="AM4" s="102">
        <v>1000</v>
      </c>
      <c r="AN4" s="101">
        <v>1000</v>
      </c>
      <c r="AO4" s="102">
        <v>1000</v>
      </c>
      <c r="AP4" s="101">
        <v>1000</v>
      </c>
      <c r="AQ4" s="102">
        <v>1000</v>
      </c>
      <c r="AR4" s="101">
        <v>1000</v>
      </c>
      <c r="AS4" s="102">
        <v>1000</v>
      </c>
      <c r="AT4" s="101">
        <v>1000</v>
      </c>
      <c r="AU4" s="102">
        <v>1000</v>
      </c>
      <c r="AV4" s="101">
        <v>1000</v>
      </c>
      <c r="AW4" s="102">
        <v>1000</v>
      </c>
    </row>
    <row r="5" spans="1:49" x14ac:dyDescent="0.2">
      <c r="A5" t="s">
        <v>128</v>
      </c>
      <c r="B5" s="41">
        <v>1000</v>
      </c>
      <c r="C5" s="42">
        <v>1000</v>
      </c>
      <c r="D5" s="41">
        <v>998.44713252661631</v>
      </c>
      <c r="E5" s="42">
        <v>1019.3810961466634</v>
      </c>
      <c r="F5" s="41">
        <v>996.84706101528877</v>
      </c>
      <c r="G5" s="42">
        <v>1040.5868968203486</v>
      </c>
      <c r="H5" s="41">
        <v>995.19158316270284</v>
      </c>
      <c r="I5" s="42">
        <v>1063.8454212778236</v>
      </c>
      <c r="J5" s="41">
        <v>993.47133848914473</v>
      </c>
      <c r="K5" s="42">
        <v>1089.41825322315</v>
      </c>
      <c r="L5" s="41">
        <v>991.67590277006241</v>
      </c>
      <c r="M5" s="42">
        <v>1117.6065376062456</v>
      </c>
      <c r="N5" s="41">
        <v>989.79404825107667</v>
      </c>
      <c r="O5" s="42">
        <v>1148.752676459475</v>
      </c>
      <c r="P5" s="41">
        <v>987.81456536348321</v>
      </c>
      <c r="Q5" s="42">
        <v>1183.2473633199313</v>
      </c>
      <c r="R5" s="41">
        <v>985.72780011058558</v>
      </c>
      <c r="S5" s="42">
        <v>1221.5293848079473</v>
      </c>
      <c r="T5" s="41">
        <v>983.52877029221634</v>
      </c>
      <c r="U5" s="42">
        <v>1264.0794471451081</v>
      </c>
      <c r="V5" s="41">
        <v>981.2231223479456</v>
      </c>
      <c r="W5" s="42">
        <v>1311.4014891324503</v>
      </c>
      <c r="X5" s="41">
        <v>978.83855047427437</v>
      </c>
      <c r="Y5" s="42">
        <v>1363.9674755125079</v>
      </c>
      <c r="Z5" s="41">
        <v>976.44667489019628</v>
      </c>
      <c r="AA5" s="42">
        <v>1422.0864668216486</v>
      </c>
      <c r="AB5" s="41">
        <v>974.20466582257711</v>
      </c>
      <c r="AC5" s="42">
        <v>1485.6017363319324</v>
      </c>
      <c r="AD5" s="41">
        <v>972.43043729913006</v>
      </c>
      <c r="AE5" s="42">
        <v>1553.2156975069645</v>
      </c>
      <c r="AF5" s="41">
        <v>971.7106815896849</v>
      </c>
      <c r="AG5" s="42">
        <v>1621.1651977240297</v>
      </c>
      <c r="AH5" s="41">
        <v>972.92070195275767</v>
      </c>
      <c r="AI5" s="42">
        <v>1681.5953379218458</v>
      </c>
      <c r="AJ5" s="41">
        <v>976.72972521376641</v>
      </c>
      <c r="AK5" s="42">
        <v>1724.0508231082297</v>
      </c>
      <c r="AL5" s="41">
        <v>982.51227971793492</v>
      </c>
      <c r="AM5" s="42">
        <v>1744.2871298476175</v>
      </c>
      <c r="AN5" s="41">
        <v>988.0046712481095</v>
      </c>
      <c r="AO5" s="42">
        <v>1749.6109230647453</v>
      </c>
      <c r="AP5" s="41">
        <v>988.71605061655168</v>
      </c>
      <c r="AQ5" s="42">
        <v>1749.8523406216782</v>
      </c>
      <c r="AR5" s="41">
        <v>989.13684244081412</v>
      </c>
      <c r="AS5" s="42">
        <v>1749.9803660089131</v>
      </c>
      <c r="AT5" s="41">
        <v>989.10449075848055</v>
      </c>
      <c r="AU5" s="42">
        <v>1750.0396364285016</v>
      </c>
      <c r="AV5" s="41">
        <v>988.30231141831382</v>
      </c>
      <c r="AW5" s="42">
        <v>1750.0621159423772</v>
      </c>
    </row>
    <row r="6" spans="1:49" x14ac:dyDescent="0.2">
      <c r="A6" t="s">
        <v>77</v>
      </c>
      <c r="B6" s="41">
        <v>999.99999999999943</v>
      </c>
      <c r="C6" s="42">
        <v>999.99999999999909</v>
      </c>
      <c r="D6" s="41">
        <v>998.32855225371895</v>
      </c>
      <c r="E6" s="42">
        <v>1024.0433052081742</v>
      </c>
      <c r="F6" s="41">
        <v>996.60671108747204</v>
      </c>
      <c r="G6" s="42">
        <v>1050.8722967806964</v>
      </c>
      <c r="H6" s="41">
        <v>994.82569040067096</v>
      </c>
      <c r="I6" s="42">
        <v>1080.97683455378</v>
      </c>
      <c r="J6" s="41">
        <v>992.97546921857304</v>
      </c>
      <c r="K6" s="42">
        <v>1114.9728914754169</v>
      </c>
      <c r="L6" s="41">
        <v>991.04489430118292</v>
      </c>
      <c r="M6" s="42">
        <v>1153.641907026217</v>
      </c>
      <c r="N6" s="41">
        <v>989.02196494425084</v>
      </c>
      <c r="O6" s="42">
        <v>1198.0042348603672</v>
      </c>
      <c r="P6" s="41">
        <v>986.89471631798847</v>
      </c>
      <c r="Q6" s="42">
        <v>1249.4116974497354</v>
      </c>
      <c r="R6" s="41">
        <v>984.65287357924205</v>
      </c>
      <c r="S6" s="42">
        <v>1309.709016170066</v>
      </c>
      <c r="T6" s="41">
        <v>982.29119683511999</v>
      </c>
      <c r="U6" s="42">
        <v>1381.4928517922881</v>
      </c>
      <c r="V6" s="41">
        <v>979.81586813676631</v>
      </c>
      <c r="W6" s="42">
        <v>1468.560587312418</v>
      </c>
      <c r="X6" s="41">
        <v>977.25672416890256</v>
      </c>
      <c r="Y6" s="42">
        <v>1576.7268152203274</v>
      </c>
      <c r="Z6" s="41">
        <v>974.69067795112892</v>
      </c>
      <c r="AA6" s="42">
        <v>1715.4042505306647</v>
      </c>
      <c r="AB6" s="41">
        <v>972.28626204251759</v>
      </c>
      <c r="AC6" s="42">
        <v>1900.8832196446381</v>
      </c>
      <c r="AD6" s="41">
        <v>970.38409509907046</v>
      </c>
      <c r="AE6" s="42">
        <v>2163.6687450394697</v>
      </c>
      <c r="AF6" s="41">
        <v>969.61258517958925</v>
      </c>
      <c r="AG6" s="42">
        <v>2566.1622931685943</v>
      </c>
      <c r="AH6" s="41">
        <v>970.90966089287008</v>
      </c>
      <c r="AI6" s="42">
        <v>3248.3745961121563</v>
      </c>
      <c r="AJ6" s="41">
        <v>974.99429043301268</v>
      </c>
      <c r="AK6" s="42">
        <v>4560.7131763633515</v>
      </c>
      <c r="AL6" s="41">
        <v>981.1997916665556</v>
      </c>
      <c r="AM6" s="42">
        <v>7588.4496039967034</v>
      </c>
      <c r="AN6" s="41">
        <v>987.09898541701841</v>
      </c>
      <c r="AO6" s="42">
        <v>17701.418772581841</v>
      </c>
      <c r="AP6" s="41">
        <v>987.86341642404147</v>
      </c>
      <c r="AQ6" s="42">
        <v>22716.889976499253</v>
      </c>
      <c r="AR6" s="41">
        <v>988.31562823302079</v>
      </c>
      <c r="AS6" s="42">
        <v>30586.304978951499</v>
      </c>
      <c r="AT6" s="41">
        <v>988.28085986000519</v>
      </c>
      <c r="AU6" s="42">
        <v>44123.106370533758</v>
      </c>
      <c r="AV6" s="41">
        <v>987.41881220859045</v>
      </c>
      <c r="AW6" s="42">
        <v>70926.369518165666</v>
      </c>
    </row>
    <row r="7" spans="1:49" x14ac:dyDescent="0.2">
      <c r="A7" t="s">
        <v>13</v>
      </c>
      <c r="B7" s="33">
        <v>1015.9116825427475</v>
      </c>
      <c r="C7" s="34">
        <v>1015.9116825427475</v>
      </c>
      <c r="D7" s="33">
        <v>1014.3341063350963</v>
      </c>
      <c r="E7" s="34">
        <v>1014.3341063350963</v>
      </c>
      <c r="F7" s="33">
        <v>1012.7085749938349</v>
      </c>
      <c r="G7" s="34">
        <v>1012.7085749938349</v>
      </c>
      <c r="H7" s="33">
        <v>1011.026755703202</v>
      </c>
      <c r="I7" s="34">
        <v>1011.026755703202</v>
      </c>
      <c r="J7" s="33">
        <v>1009.2791390425024</v>
      </c>
      <c r="K7" s="34">
        <v>1009.2791390425024</v>
      </c>
      <c r="L7" s="33">
        <v>1007.4551349202321</v>
      </c>
      <c r="M7" s="34">
        <v>1007.4551349202321</v>
      </c>
      <c r="N7" s="33">
        <v>1005.5433369295487</v>
      </c>
      <c r="O7" s="34">
        <v>1005.5433369295487</v>
      </c>
      <c r="P7" s="33">
        <v>1003.532357138649</v>
      </c>
      <c r="Q7" s="34">
        <v>1003.532357138649</v>
      </c>
      <c r="R7" s="33">
        <v>1001.4123879395061</v>
      </c>
      <c r="S7" s="34">
        <v>1001.4123879395061</v>
      </c>
      <c r="T7" s="33">
        <v>999.17836785676491</v>
      </c>
      <c r="U7" s="34">
        <v>999.17836785676491</v>
      </c>
      <c r="V7" s="33">
        <v>996.8360331743495</v>
      </c>
      <c r="W7" s="34">
        <v>996.8360331743495</v>
      </c>
      <c r="X7" s="33">
        <v>994.41351875002408</v>
      </c>
      <c r="Y7" s="34">
        <v>994.41351875002408</v>
      </c>
      <c r="Z7" s="33">
        <v>991.98358440097036</v>
      </c>
      <c r="AA7" s="34">
        <v>991.98358440097036</v>
      </c>
      <c r="AB7" s="33">
        <v>989.70590119680935</v>
      </c>
      <c r="AC7" s="34">
        <v>989.70590119680935</v>
      </c>
      <c r="AD7" s="33">
        <v>987.90344171233892</v>
      </c>
      <c r="AE7" s="34">
        <v>987.90344171233892</v>
      </c>
      <c r="AF7" s="33">
        <v>987.17223347853667</v>
      </c>
      <c r="AG7" s="34">
        <v>987.17223347853667</v>
      </c>
      <c r="AH7" s="33">
        <v>988.40150730149696</v>
      </c>
      <c r="AI7" s="34">
        <v>988.40150730149696</v>
      </c>
      <c r="AJ7" s="33">
        <v>992.27113853143283</v>
      </c>
      <c r="AK7" s="34">
        <v>992.27113853143283</v>
      </c>
      <c r="AL7" s="33">
        <v>998.14570320715779</v>
      </c>
      <c r="AM7" s="34">
        <v>998.14570320715779</v>
      </c>
      <c r="AN7" s="33">
        <v>1003.7254879277609</v>
      </c>
      <c r="AO7" s="34">
        <v>1003.7254879277609</v>
      </c>
      <c r="AP7" s="33">
        <v>1004.4481865388813</v>
      </c>
      <c r="AQ7" s="34">
        <v>1004.4481865388813</v>
      </c>
      <c r="AR7" s="33">
        <v>1004.8756738690679</v>
      </c>
      <c r="AS7" s="34">
        <v>1004.8756738690679</v>
      </c>
      <c r="AT7" s="33">
        <v>1004.8428074170354</v>
      </c>
      <c r="AU7" s="34">
        <v>1004.8428074170354</v>
      </c>
      <c r="AV7" s="33">
        <v>1004.0278640538655</v>
      </c>
      <c r="AW7" s="34">
        <v>1004.0278640538655</v>
      </c>
    </row>
    <row r="8" spans="1:49" x14ac:dyDescent="0.2">
      <c r="B8" s="35">
        <v>1005.7716594496609</v>
      </c>
      <c r="C8" s="36">
        <v>1005.7716594496609</v>
      </c>
      <c r="D8" s="35">
        <v>1074.9484984954797</v>
      </c>
      <c r="E8" s="36">
        <v>1074.9484984954797</v>
      </c>
      <c r="F8" s="35">
        <v>1152.9966436031903</v>
      </c>
      <c r="G8" s="36">
        <v>1152.9966436031903</v>
      </c>
      <c r="H8" s="35">
        <v>1241.610879663082</v>
      </c>
      <c r="I8" s="36">
        <v>1241.610879663082</v>
      </c>
      <c r="J8" s="35">
        <v>1342.9376319416633</v>
      </c>
      <c r="K8" s="36">
        <v>1342.9376319416633</v>
      </c>
      <c r="L8" s="35">
        <v>1459.7295538935246</v>
      </c>
      <c r="M8" s="36">
        <v>1459.7295538935246</v>
      </c>
      <c r="N8" s="35">
        <v>1595.5957618389916</v>
      </c>
      <c r="O8" s="36">
        <v>1595.5957618389916</v>
      </c>
      <c r="P8" s="35">
        <v>1755.3581275529759</v>
      </c>
      <c r="Q8" s="36">
        <v>1755.3581275529759</v>
      </c>
      <c r="R8" s="35">
        <v>1945.6354590675226</v>
      </c>
      <c r="S8" s="36">
        <v>1945.6354590675226</v>
      </c>
      <c r="T8" s="35">
        <v>2175.798776726725</v>
      </c>
      <c r="U8" s="36">
        <v>2175.798776726725</v>
      </c>
      <c r="V8" s="35">
        <v>2459.6305860629727</v>
      </c>
      <c r="W8" s="36">
        <v>2459.6305860629727</v>
      </c>
      <c r="X8" s="35">
        <v>2818.3607728769907</v>
      </c>
      <c r="Y8" s="36">
        <v>2818.3607728769907</v>
      </c>
      <c r="Z8" s="35">
        <v>3286.5921732345619</v>
      </c>
      <c r="AA8" s="36">
        <v>3286.5921732345619</v>
      </c>
      <c r="AB8" s="35">
        <v>3924.7267817708444</v>
      </c>
      <c r="AC8" s="36">
        <v>3924.7267817708444</v>
      </c>
      <c r="AD8" s="35">
        <v>4847.1712407168152</v>
      </c>
      <c r="AE8" s="36">
        <v>4847.1712407168152</v>
      </c>
      <c r="AF8" s="35">
        <v>6291.6451406513643</v>
      </c>
      <c r="AG8" s="36">
        <v>6291.6451406513643</v>
      </c>
      <c r="AH8" s="35">
        <v>8802.791756348206</v>
      </c>
      <c r="AI8" s="36">
        <v>8802.791756348206</v>
      </c>
      <c r="AJ8" s="35">
        <v>13777.409925047907</v>
      </c>
      <c r="AK8" s="36">
        <v>13777.409925047907</v>
      </c>
      <c r="AL8" s="35">
        <v>25632.965452114327</v>
      </c>
      <c r="AM8" s="36">
        <v>25632.965452114327</v>
      </c>
      <c r="AN8" s="35">
        <v>66534.874014076893</v>
      </c>
      <c r="AO8" s="36">
        <v>66534.874014076893</v>
      </c>
      <c r="AP8" s="35">
        <v>87101.637106433758</v>
      </c>
      <c r="AQ8" s="36">
        <v>87101.637106433758</v>
      </c>
      <c r="AR8" s="35">
        <v>119534.87117365663</v>
      </c>
      <c r="AS8" s="36">
        <v>119534.87117365663</v>
      </c>
      <c r="AT8" s="35">
        <v>175581.42890231503</v>
      </c>
      <c r="AU8" s="36">
        <v>175581.42890231503</v>
      </c>
      <c r="AV8" s="35">
        <v>286982.88431385707</v>
      </c>
      <c r="AW8" s="36">
        <v>286982.88431385707</v>
      </c>
    </row>
    <row r="9" spans="1:49" x14ac:dyDescent="0.2">
      <c r="A9" t="s">
        <v>14</v>
      </c>
      <c r="B9" s="41">
        <v>1015.9116825427475</v>
      </c>
      <c r="C9" s="42">
        <v>1005.7716594496609</v>
      </c>
      <c r="D9" s="41">
        <v>1014.3341063350963</v>
      </c>
      <c r="E9" s="42">
        <v>1074.9484984954797</v>
      </c>
      <c r="F9" s="41">
        <v>1012.7085749938349</v>
      </c>
      <c r="G9" s="42">
        <v>1152.9966436031903</v>
      </c>
      <c r="H9" s="41">
        <v>1011.026755703202</v>
      </c>
      <c r="I9" s="42">
        <v>1241.610879663082</v>
      </c>
      <c r="J9" s="41">
        <v>1009.2791390425024</v>
      </c>
      <c r="K9" s="42">
        <v>1342.9376319416633</v>
      </c>
      <c r="L9" s="41">
        <v>1007.4551349202321</v>
      </c>
      <c r="M9" s="42">
        <v>1459.7295538935246</v>
      </c>
      <c r="N9" s="41">
        <v>1005.5433369295487</v>
      </c>
      <c r="O9" s="42">
        <v>1595.5957618389916</v>
      </c>
      <c r="P9" s="41">
        <v>1003.532357138649</v>
      </c>
      <c r="Q9" s="42">
        <v>1755.3581275529759</v>
      </c>
      <c r="R9" s="41">
        <v>1001.4123879395061</v>
      </c>
      <c r="S9" s="42">
        <v>1945.6354590675226</v>
      </c>
      <c r="T9" s="41">
        <v>999.17836785676491</v>
      </c>
      <c r="U9" s="42">
        <v>2175.798776726725</v>
      </c>
      <c r="V9" s="41">
        <v>996.8360331743495</v>
      </c>
      <c r="W9" s="42">
        <v>2459.6305860629727</v>
      </c>
      <c r="X9" s="41">
        <v>994.41351875002408</v>
      </c>
      <c r="Y9" s="42">
        <v>2818.3607728769907</v>
      </c>
      <c r="Z9" s="41">
        <v>991.98358440097036</v>
      </c>
      <c r="AA9" s="42">
        <v>3286.5921732345619</v>
      </c>
      <c r="AB9" s="41">
        <v>989.70590119680935</v>
      </c>
      <c r="AC9" s="42">
        <v>3924.7267817708444</v>
      </c>
      <c r="AD9" s="41">
        <v>987.90344171233892</v>
      </c>
      <c r="AE9" s="42">
        <v>4847.1712407168152</v>
      </c>
      <c r="AF9" s="41">
        <v>987.17223347853667</v>
      </c>
      <c r="AG9" s="42">
        <v>6291.6451406513643</v>
      </c>
      <c r="AH9" s="41">
        <v>988.40150730149696</v>
      </c>
      <c r="AI9" s="42">
        <v>8802.791756348206</v>
      </c>
      <c r="AJ9" s="41">
        <v>992.27113853143283</v>
      </c>
      <c r="AK9" s="42">
        <v>13777.409925047907</v>
      </c>
      <c r="AL9" s="41">
        <v>998.14570320715779</v>
      </c>
      <c r="AM9" s="42">
        <v>25632.965452114327</v>
      </c>
      <c r="AN9" s="41">
        <v>1003.7254879277609</v>
      </c>
      <c r="AO9" s="42">
        <v>66534.874014076893</v>
      </c>
      <c r="AP9" s="41">
        <v>1004.4481865388813</v>
      </c>
      <c r="AQ9" s="42">
        <v>87101.637106433758</v>
      </c>
      <c r="AR9" s="41">
        <v>1004.8756738690679</v>
      </c>
      <c r="AS9" s="42">
        <v>119534.87117365663</v>
      </c>
      <c r="AT9" s="41">
        <v>1004.8428074170354</v>
      </c>
      <c r="AU9" s="42">
        <v>175581.42890231503</v>
      </c>
      <c r="AV9" s="41">
        <v>1004.0278640538655</v>
      </c>
      <c r="AW9" s="42">
        <v>286982.88431385707</v>
      </c>
    </row>
    <row r="10" spans="1:49" x14ac:dyDescent="0.2">
      <c r="A10" t="s">
        <v>15</v>
      </c>
      <c r="B10" s="41">
        <v>1015.9116825427475</v>
      </c>
      <c r="C10" s="42">
        <v>1005.7716594496609</v>
      </c>
      <c r="D10" s="41">
        <v>1014.3341063350963</v>
      </c>
      <c r="E10" s="42">
        <v>1074.9484984954797</v>
      </c>
      <c r="F10" s="41">
        <v>1012.7085749938349</v>
      </c>
      <c r="G10" s="42">
        <v>1152.9966436031903</v>
      </c>
      <c r="H10" s="41">
        <v>1011.026755703202</v>
      </c>
      <c r="I10" s="42">
        <v>1241.610879663082</v>
      </c>
      <c r="J10" s="41">
        <v>1009.2791390425024</v>
      </c>
      <c r="K10" s="42">
        <v>1342.9376319416633</v>
      </c>
      <c r="L10" s="41">
        <v>1007.4551349202321</v>
      </c>
      <c r="M10" s="42">
        <v>1459.7295538935246</v>
      </c>
      <c r="N10" s="41">
        <v>1005.5433369295487</v>
      </c>
      <c r="O10" s="42">
        <v>1595.5957618389916</v>
      </c>
      <c r="P10" s="41">
        <v>1003.532357138649</v>
      </c>
      <c r="Q10" s="42">
        <v>1755.3581275529759</v>
      </c>
      <c r="R10" s="41">
        <v>1001.4123879395061</v>
      </c>
      <c r="S10" s="42">
        <v>1945.6354590675226</v>
      </c>
      <c r="T10" s="41">
        <v>999.17836785676491</v>
      </c>
      <c r="U10" s="42">
        <v>2175.798776726725</v>
      </c>
      <c r="V10" s="41">
        <v>996.8360331743495</v>
      </c>
      <c r="W10" s="42">
        <v>2459.6305860629727</v>
      </c>
      <c r="X10" s="41">
        <v>994.41351875002408</v>
      </c>
      <c r="Y10" s="42">
        <v>2818.3607728769907</v>
      </c>
      <c r="Z10" s="41">
        <v>991.98358440097036</v>
      </c>
      <c r="AA10" s="42">
        <v>3286.5921732345619</v>
      </c>
      <c r="AB10" s="41">
        <v>989.70590119680935</v>
      </c>
      <c r="AC10" s="42">
        <v>3924.7267817708444</v>
      </c>
      <c r="AD10" s="41">
        <v>987.90344171233892</v>
      </c>
      <c r="AE10" s="42">
        <v>4847.1712407168152</v>
      </c>
      <c r="AF10" s="41">
        <v>987.17223347853667</v>
      </c>
      <c r="AG10" s="42">
        <v>6291.6451406513643</v>
      </c>
      <c r="AH10" s="41">
        <v>988.40150730149696</v>
      </c>
      <c r="AI10" s="42">
        <v>8802.791756348206</v>
      </c>
      <c r="AJ10" s="41">
        <v>992.27113853143283</v>
      </c>
      <c r="AK10" s="42">
        <v>13777.409925047907</v>
      </c>
      <c r="AL10" s="41">
        <v>998.14570320715779</v>
      </c>
      <c r="AM10" s="42">
        <v>25632.965452114327</v>
      </c>
      <c r="AN10" s="41">
        <v>1003.7254879277609</v>
      </c>
      <c r="AO10" s="42">
        <v>66534.874014076893</v>
      </c>
      <c r="AP10" s="41">
        <v>1004.4481865388813</v>
      </c>
      <c r="AQ10" s="42">
        <v>87101.637106433758</v>
      </c>
      <c r="AR10" s="41">
        <v>1004.8756738690679</v>
      </c>
      <c r="AS10" s="42">
        <v>119534.87117365663</v>
      </c>
      <c r="AT10" s="41">
        <v>1004.8428074170354</v>
      </c>
      <c r="AU10" s="42">
        <v>175581.42890231503</v>
      </c>
      <c r="AV10" s="41">
        <v>1004.0278640538655</v>
      </c>
      <c r="AW10" s="42">
        <v>286982.88431385707</v>
      </c>
    </row>
    <row r="11" spans="1:49" x14ac:dyDescent="0.2">
      <c r="A11" t="s">
        <v>29</v>
      </c>
      <c r="B11" s="41">
        <v>1015.9116825427475</v>
      </c>
      <c r="C11" s="42">
        <v>1005.7716594496609</v>
      </c>
      <c r="D11" s="41">
        <v>1014.3341063350963</v>
      </c>
      <c r="E11" s="42">
        <v>1074.9484984954797</v>
      </c>
      <c r="F11" s="41">
        <v>1012.7085749938349</v>
      </c>
      <c r="G11" s="42">
        <v>1152.9966436031903</v>
      </c>
      <c r="H11" s="41">
        <v>1011.026755703202</v>
      </c>
      <c r="I11" s="42">
        <v>1241.610879663082</v>
      </c>
      <c r="J11" s="41">
        <v>1009.2791390425024</v>
      </c>
      <c r="K11" s="42">
        <v>1342.9376319416633</v>
      </c>
      <c r="L11" s="41">
        <v>1007.4551349202321</v>
      </c>
      <c r="M11" s="42">
        <v>1459.7295538935246</v>
      </c>
      <c r="N11" s="41">
        <v>1005.5433369295487</v>
      </c>
      <c r="O11" s="42">
        <v>1595.5957618389916</v>
      </c>
      <c r="P11" s="41">
        <v>1003.532357138649</v>
      </c>
      <c r="Q11" s="42">
        <v>1755.3581275529759</v>
      </c>
      <c r="R11" s="41">
        <v>1001.4123879395061</v>
      </c>
      <c r="S11" s="42">
        <v>1945.6354590675226</v>
      </c>
      <c r="T11" s="41">
        <v>999.17836785676491</v>
      </c>
      <c r="U11" s="42">
        <v>2175.798776726725</v>
      </c>
      <c r="V11" s="41">
        <v>996.8360331743495</v>
      </c>
      <c r="W11" s="42">
        <v>2459.6305860629727</v>
      </c>
      <c r="X11" s="41">
        <v>994.41351875002408</v>
      </c>
      <c r="Y11" s="42">
        <v>2818.3607728769907</v>
      </c>
      <c r="Z11" s="41">
        <v>991.98358440097036</v>
      </c>
      <c r="AA11" s="42">
        <v>3286.5921732345619</v>
      </c>
      <c r="AB11" s="41">
        <v>989.70590119680935</v>
      </c>
      <c r="AC11" s="42">
        <v>3924.7267817708444</v>
      </c>
      <c r="AD11" s="41">
        <v>987.90344171233892</v>
      </c>
      <c r="AE11" s="42">
        <v>4847.1712407168152</v>
      </c>
      <c r="AF11" s="41">
        <v>987.17223347853667</v>
      </c>
      <c r="AG11" s="42">
        <v>6291.6451406513643</v>
      </c>
      <c r="AH11" s="41">
        <v>988.40150730149696</v>
      </c>
      <c r="AI11" s="42">
        <v>8802.791756348206</v>
      </c>
      <c r="AJ11" s="41">
        <v>992.27113853143283</v>
      </c>
      <c r="AK11" s="42">
        <v>13777.409925047907</v>
      </c>
      <c r="AL11" s="41">
        <v>998.14570320715779</v>
      </c>
      <c r="AM11" s="42">
        <v>25632.965452114327</v>
      </c>
      <c r="AN11" s="41">
        <v>1003.7254879277609</v>
      </c>
      <c r="AO11" s="42">
        <v>66534.874014076893</v>
      </c>
      <c r="AP11" s="41">
        <v>1004.4481865388813</v>
      </c>
      <c r="AQ11" s="42">
        <v>87101.637106433758</v>
      </c>
      <c r="AR11" s="41">
        <v>1004.8756738690679</v>
      </c>
      <c r="AS11" s="42">
        <v>119534.87117365663</v>
      </c>
      <c r="AT11" s="41">
        <v>1004.8428074170354</v>
      </c>
      <c r="AU11" s="42">
        <v>175581.42890231503</v>
      </c>
      <c r="AV11" s="41">
        <v>1004.0278640538655</v>
      </c>
      <c r="AW11" s="42">
        <v>286982.88431385707</v>
      </c>
    </row>
    <row r="12" spans="1:49"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v>1000</v>
      </c>
      <c r="AA12" s="42">
        <v>1000</v>
      </c>
      <c r="AB12" s="41">
        <v>1000</v>
      </c>
      <c r="AC12" s="42">
        <v>1000</v>
      </c>
      <c r="AD12" s="41">
        <v>1000</v>
      </c>
      <c r="AE12" s="42">
        <v>1000</v>
      </c>
      <c r="AF12" s="41">
        <v>1000</v>
      </c>
      <c r="AG12" s="42">
        <v>1000</v>
      </c>
      <c r="AH12" s="41">
        <v>1000</v>
      </c>
      <c r="AI12" s="42">
        <v>1000</v>
      </c>
      <c r="AJ12" s="41">
        <v>1000</v>
      </c>
      <c r="AK12" s="42">
        <v>1000</v>
      </c>
      <c r="AL12" s="41">
        <v>1000</v>
      </c>
      <c r="AM12" s="42">
        <v>1000</v>
      </c>
      <c r="AN12" s="41">
        <v>1000</v>
      </c>
      <c r="AO12" s="42">
        <v>1000</v>
      </c>
      <c r="AP12" s="41">
        <v>1000</v>
      </c>
      <c r="AQ12" s="42">
        <v>1000</v>
      </c>
      <c r="AR12" s="41">
        <v>1000</v>
      </c>
      <c r="AS12" s="42">
        <v>1000</v>
      </c>
      <c r="AT12" s="41">
        <v>1000</v>
      </c>
      <c r="AU12" s="42">
        <v>1000</v>
      </c>
      <c r="AV12" s="41">
        <v>1000</v>
      </c>
      <c r="AW12" s="42">
        <v>1000</v>
      </c>
    </row>
    <row r="13" spans="1:49" x14ac:dyDescent="0.2">
      <c r="A13" t="s">
        <v>17</v>
      </c>
      <c r="B13" s="97">
        <v>1000</v>
      </c>
      <c r="C13" s="98">
        <v>1000</v>
      </c>
      <c r="D13" s="97">
        <v>996.96137386305645</v>
      </c>
      <c r="E13" s="98">
        <v>996.96137386305645</v>
      </c>
      <c r="F13" s="97">
        <v>993.61393303579462</v>
      </c>
      <c r="G13" s="98">
        <v>993.61393303579462</v>
      </c>
      <c r="H13" s="97">
        <v>989.91203997102423</v>
      </c>
      <c r="I13" s="98">
        <v>989.91203997102423</v>
      </c>
      <c r="J13" s="97">
        <v>985.8005573404148</v>
      </c>
      <c r="K13" s="98">
        <v>985.8005573404148</v>
      </c>
      <c r="L13" s="97">
        <v>981.21231783033613</v>
      </c>
      <c r="M13" s="98">
        <v>981.21231783033613</v>
      </c>
      <c r="N13" s="97">
        <v>976.06442645280515</v>
      </c>
      <c r="O13" s="98">
        <v>976.06442645280515</v>
      </c>
      <c r="P13" s="97">
        <v>970.25304974940502</v>
      </c>
      <c r="Q13" s="98">
        <v>970.25304974940502</v>
      </c>
      <c r="R13" s="97">
        <v>963.64577465016282</v>
      </c>
      <c r="S13" s="98">
        <v>963.64577465016282</v>
      </c>
      <c r="T13" s="97">
        <v>956.06998101256966</v>
      </c>
      <c r="U13" s="98">
        <v>956.06998101256966</v>
      </c>
      <c r="V13" s="97">
        <v>947.29395429309443</v>
      </c>
      <c r="W13" s="98">
        <v>947.29395429309443</v>
      </c>
      <c r="X13" s="97">
        <v>936.99522303934566</v>
      </c>
      <c r="Y13" s="98">
        <v>936.99522303934566</v>
      </c>
      <c r="Z13" s="97">
        <v>924.70357945986507</v>
      </c>
      <c r="AA13" s="98">
        <v>924.70357945986507</v>
      </c>
      <c r="AB13" s="97">
        <v>909.69171220010526</v>
      </c>
      <c r="AC13" s="98">
        <v>909.69171220010526</v>
      </c>
      <c r="AD13" s="97">
        <v>890.74977890902983</v>
      </c>
      <c r="AE13" s="98">
        <v>890.74977890902983</v>
      </c>
      <c r="AF13" s="97">
        <v>865.68869555888102</v>
      </c>
      <c r="AG13" s="98">
        <v>865.68869555888102</v>
      </c>
      <c r="AH13" s="97">
        <v>830.19431427396137</v>
      </c>
      <c r="AI13" s="98">
        <v>830.19431427396137</v>
      </c>
      <c r="AJ13" s="97">
        <v>775.09199935785023</v>
      </c>
      <c r="AK13" s="98">
        <v>775.09199935785023</v>
      </c>
      <c r="AL13" s="97">
        <v>678.75398397451193</v>
      </c>
      <c r="AM13" s="98">
        <v>678.75398397451193</v>
      </c>
      <c r="AN13" s="97">
        <v>477.01242465322798</v>
      </c>
      <c r="AO13" s="98">
        <v>477.01242465322798</v>
      </c>
      <c r="AP13" s="97">
        <v>408.80251679248818</v>
      </c>
      <c r="AQ13" s="98">
        <v>408.80251679248818</v>
      </c>
      <c r="AR13" s="97">
        <v>324.12608193021146</v>
      </c>
      <c r="AS13" s="98">
        <v>324.12608193021146</v>
      </c>
      <c r="AT13" s="97">
        <v>218.61776526067626</v>
      </c>
      <c r="AU13" s="98">
        <v>218.61776526067626</v>
      </c>
      <c r="AV13" s="97">
        <v>93.145307183063736</v>
      </c>
      <c r="AW13" s="98">
        <v>93.145307183063736</v>
      </c>
    </row>
    <row r="14" spans="1:49" x14ac:dyDescent="0.2">
      <c r="A14" t="s">
        <v>36</v>
      </c>
      <c r="B14" s="41">
        <v>1457.0034251455234</v>
      </c>
      <c r="C14" s="42">
        <v>1457.0034251455236</v>
      </c>
      <c r="D14" s="41">
        <v>1452.5761364562597</v>
      </c>
      <c r="E14" s="42">
        <v>1452.57613645626</v>
      </c>
      <c r="F14" s="41">
        <v>1447.6989037054673</v>
      </c>
      <c r="G14" s="42">
        <v>1447.6989037054675</v>
      </c>
      <c r="H14" s="41">
        <v>1442.3052328305744</v>
      </c>
      <c r="I14" s="42">
        <v>1442.3052328305746</v>
      </c>
      <c r="J14" s="41">
        <v>1436.3147885553501</v>
      </c>
      <c r="K14" s="42">
        <v>1436.3147885553503</v>
      </c>
      <c r="L14" s="41">
        <v>1429.6297078737775</v>
      </c>
      <c r="M14" s="42">
        <v>1429.6297078737778</v>
      </c>
      <c r="N14" s="41">
        <v>1422.1292125044379</v>
      </c>
      <c r="O14" s="42">
        <v>1422.1292125044381</v>
      </c>
      <c r="P14" s="41">
        <v>1413.6620167427729</v>
      </c>
      <c r="Q14" s="42">
        <v>1413.6620167427732</v>
      </c>
      <c r="R14" s="41">
        <v>1404.0351942922982</v>
      </c>
      <c r="S14" s="42">
        <v>1404.0351942922985</v>
      </c>
      <c r="T14" s="41">
        <v>1392.9972370141295</v>
      </c>
      <c r="U14" s="42">
        <v>1392.9972370141295</v>
      </c>
      <c r="V14" s="41">
        <v>1380.2105360246853</v>
      </c>
      <c r="W14" s="42">
        <v>1380.2105360246856</v>
      </c>
      <c r="X14" s="41">
        <v>1365.2052493133201</v>
      </c>
      <c r="Y14" s="42">
        <v>1365.2052493133203</v>
      </c>
      <c r="Z14" s="41">
        <v>1347.296282517349</v>
      </c>
      <c r="AA14" s="42">
        <v>1347.2962825173493</v>
      </c>
      <c r="AB14" s="41">
        <v>1325.4239405020489</v>
      </c>
      <c r="AC14" s="42">
        <v>1325.4239405020492</v>
      </c>
      <c r="AD14" s="41">
        <v>1297.8254788180741</v>
      </c>
      <c r="AE14" s="42">
        <v>1297.8254788180743</v>
      </c>
      <c r="AF14" s="41">
        <v>1261.3113945390498</v>
      </c>
      <c r="AG14" s="42">
        <v>1261.3113945390501</v>
      </c>
      <c r="AH14" s="41">
        <v>1209.5959594335006</v>
      </c>
      <c r="AI14" s="42">
        <v>1209.5959594335009</v>
      </c>
      <c r="AJ14" s="41">
        <v>1129.3116978672795</v>
      </c>
      <c r="AK14" s="42">
        <v>1129.3116978672797</v>
      </c>
      <c r="AL14" s="41">
        <v>988.94687948203352</v>
      </c>
      <c r="AM14" s="42">
        <v>988.94687948203364</v>
      </c>
      <c r="AN14" s="41">
        <v>695.00873655672399</v>
      </c>
      <c r="AO14" s="42">
        <v>695.0087365567241</v>
      </c>
      <c r="AP14" s="41">
        <v>595.62666717476554</v>
      </c>
      <c r="AQ14" s="42">
        <v>595.62666717476566</v>
      </c>
      <c r="AR14" s="41">
        <v>472.2528115513166</v>
      </c>
      <c r="AS14" s="42">
        <v>472.25281155131665</v>
      </c>
      <c r="AT14" s="41">
        <v>318.52683278246531</v>
      </c>
      <c r="AU14" s="42">
        <v>318.52683278246536</v>
      </c>
      <c r="AV14" s="41">
        <v>135.71303160195578</v>
      </c>
      <c r="AW14" s="42">
        <v>135.71303160195581</v>
      </c>
    </row>
    <row r="15" spans="1:49" x14ac:dyDescent="0.2">
      <c r="A15" t="s">
        <v>18</v>
      </c>
      <c r="B15" s="154">
        <v>1000</v>
      </c>
      <c r="C15" s="155">
        <v>1000</v>
      </c>
      <c r="D15" s="154">
        <v>994.01391723397251</v>
      </c>
      <c r="E15" s="155">
        <v>994.01391723397251</v>
      </c>
      <c r="F15" s="154">
        <v>987.74282304980466</v>
      </c>
      <c r="G15" s="155">
        <v>987.74282304980466</v>
      </c>
      <c r="H15" s="154">
        <v>981.14299117688813</v>
      </c>
      <c r="I15" s="155">
        <v>981.14299117688813</v>
      </c>
      <c r="J15" s="154">
        <v>974.16200407238443</v>
      </c>
      <c r="K15" s="155">
        <v>974.16200407238443</v>
      </c>
      <c r="L15" s="154">
        <v>966.73672577019749</v>
      </c>
      <c r="M15" s="155">
        <v>966.73672577019749</v>
      </c>
      <c r="N15" s="154">
        <v>958.7897346081071</v>
      </c>
      <c r="O15" s="155">
        <v>958.7897346081071</v>
      </c>
      <c r="P15" s="154">
        <v>950.22557196732805</v>
      </c>
      <c r="Q15" s="155">
        <v>950.22557196732805</v>
      </c>
      <c r="R15" s="154">
        <v>940.92420243260256</v>
      </c>
      <c r="S15" s="155">
        <v>940.92420243260256</v>
      </c>
      <c r="T15" s="154">
        <v>930.73148446475318</v>
      </c>
      <c r="U15" s="155">
        <v>930.73148446475318</v>
      </c>
      <c r="V15" s="154">
        <v>919.4437986505551</v>
      </c>
      <c r="W15" s="155">
        <v>919.4437986505551</v>
      </c>
      <c r="X15" s="154">
        <v>906.78166929244128</v>
      </c>
      <c r="Y15" s="155">
        <v>906.78166929244128</v>
      </c>
      <c r="Z15" s="154">
        <v>892.34147253806668</v>
      </c>
      <c r="AA15" s="155">
        <v>892.34147253806668</v>
      </c>
      <c r="AB15" s="154">
        <v>875.49994753472845</v>
      </c>
      <c r="AC15" s="155">
        <v>875.49994753472845</v>
      </c>
      <c r="AD15" s="154">
        <v>855.20957754272888</v>
      </c>
      <c r="AE15" s="155">
        <v>855.20957754272888</v>
      </c>
      <c r="AF15" s="154">
        <v>829.52626501569887</v>
      </c>
      <c r="AG15" s="155">
        <v>829.52626501569887</v>
      </c>
      <c r="AH15" s="154">
        <v>794.47048521585282</v>
      </c>
      <c r="AI15" s="155">
        <v>794.47048521585282</v>
      </c>
      <c r="AJ15" s="154">
        <v>741.27450141683005</v>
      </c>
      <c r="AK15" s="155">
        <v>741.27450141683005</v>
      </c>
      <c r="AL15" s="154">
        <v>649.02829182004427</v>
      </c>
      <c r="AM15" s="155">
        <v>649.02829182004427</v>
      </c>
      <c r="AN15" s="154">
        <v>456.11279983860391</v>
      </c>
      <c r="AO15" s="155">
        <v>456.11279983860391</v>
      </c>
      <c r="AP15" s="154">
        <v>390.89128924161116</v>
      </c>
      <c r="AQ15" s="155">
        <v>390.89128924161116</v>
      </c>
      <c r="AR15" s="154">
        <v>309.92482317583216</v>
      </c>
      <c r="AS15" s="155">
        <v>309.92482317583216</v>
      </c>
      <c r="AT15" s="154">
        <v>209.03924067395562</v>
      </c>
      <c r="AU15" s="155">
        <v>209.03924067395562</v>
      </c>
      <c r="AV15" s="154">
        <v>89.064235625164031</v>
      </c>
      <c r="AW15" s="155">
        <v>89.064235625164031</v>
      </c>
    </row>
    <row r="16" spans="1:49" s="29" customFormat="1" x14ac:dyDescent="0.2">
      <c r="A16" t="s">
        <v>61</v>
      </c>
      <c r="B16" s="41">
        <v>1000</v>
      </c>
      <c r="C16" s="42">
        <v>1000</v>
      </c>
      <c r="D16" s="41">
        <v>995.58472412641424</v>
      </c>
      <c r="E16" s="42">
        <v>994.85493080153071</v>
      </c>
      <c r="F16" s="41">
        <v>990.87045129794728</v>
      </c>
      <c r="G16" s="42">
        <v>989.41752555528103</v>
      </c>
      <c r="H16" s="41">
        <v>985.81244950126666</v>
      </c>
      <c r="I16" s="42">
        <v>983.6435177799317</v>
      </c>
      <c r="J16" s="41">
        <v>980.35686528842746</v>
      </c>
      <c r="K16" s="42">
        <v>977.47971932356074</v>
      </c>
      <c r="L16" s="41">
        <v>974.43843164098871</v>
      </c>
      <c r="M16" s="42">
        <v>970.86185088681839</v>
      </c>
      <c r="N16" s="41">
        <v>967.97683281684328</v>
      </c>
      <c r="O16" s="42">
        <v>963.71093838650131</v>
      </c>
      <c r="P16" s="41">
        <v>960.87218049401235</v>
      </c>
      <c r="Q16" s="42">
        <v>955.92914718148711</v>
      </c>
      <c r="R16" s="41">
        <v>952.99789519263913</v>
      </c>
      <c r="S16" s="42">
        <v>947.39293145679767</v>
      </c>
      <c r="T16" s="41">
        <v>944.19007256250234</v>
      </c>
      <c r="U16" s="42">
        <v>937.94291187869328</v>
      </c>
      <c r="V16" s="41">
        <v>934.23026088079303</v>
      </c>
      <c r="W16" s="42">
        <v>927.36751004492328</v>
      </c>
      <c r="X16" s="41">
        <v>922.81630450407999</v>
      </c>
      <c r="Y16" s="42">
        <v>915.37507797167086</v>
      </c>
      <c r="Z16" s="41">
        <v>909.50948398704952</v>
      </c>
      <c r="AA16" s="42">
        <v>901.54315278455658</v>
      </c>
      <c r="AB16" s="41">
        <v>893.6317285097241</v>
      </c>
      <c r="AC16" s="42">
        <v>885.21904786528569</v>
      </c>
      <c r="AD16" s="41">
        <v>874.05004366094317</v>
      </c>
      <c r="AE16" s="42">
        <v>865.30935258303282</v>
      </c>
      <c r="AF16" s="41">
        <v>848.69130975870371</v>
      </c>
      <c r="AG16" s="42">
        <v>839.80069838032455</v>
      </c>
      <c r="AH16" s="41">
        <v>813.39958015841682</v>
      </c>
      <c r="AI16" s="42">
        <v>804.61886466816827</v>
      </c>
      <c r="AJ16" s="41">
        <v>759.19189999807918</v>
      </c>
      <c r="AK16" s="42">
        <v>750.88068276293916</v>
      </c>
      <c r="AL16" s="41">
        <v>664.77736307807629</v>
      </c>
      <c r="AM16" s="42">
        <v>657.47200035944411</v>
      </c>
      <c r="AN16" s="41">
        <v>467.18567083531298</v>
      </c>
      <c r="AO16" s="42">
        <v>462.04941383915497</v>
      </c>
      <c r="AP16" s="41">
        <v>400.38087123164502</v>
      </c>
      <c r="AQ16" s="42">
        <v>395.97903799525773</v>
      </c>
      <c r="AR16" s="41">
        <v>317.44881932757647</v>
      </c>
      <c r="AS16" s="42">
        <v>313.95874188918845</v>
      </c>
      <c r="AT16" s="41">
        <v>214.11405714253132</v>
      </c>
      <c r="AU16" s="42">
        <v>211.76005508280787</v>
      </c>
      <c r="AV16" s="41">
        <v>91.226435967725052</v>
      </c>
      <c r="AW16" s="42">
        <v>90.223478717875977</v>
      </c>
    </row>
    <row r="17" spans="1:49" x14ac:dyDescent="0.2">
      <c r="A17" t="s">
        <v>62</v>
      </c>
      <c r="B17" s="35">
        <v>1000.0000000000002</v>
      </c>
      <c r="C17" s="36">
        <v>999.99999999999977</v>
      </c>
      <c r="D17" s="35">
        <v>998.58881787519886</v>
      </c>
      <c r="E17" s="36">
        <v>1034.0285189707815</v>
      </c>
      <c r="F17" s="35">
        <v>997.13660288383335</v>
      </c>
      <c r="G17" s="36">
        <v>1072.2253046611697</v>
      </c>
      <c r="H17" s="35">
        <v>995.63609609093021</v>
      </c>
      <c r="I17" s="36">
        <v>1115.3582633729629</v>
      </c>
      <c r="J17" s="35">
        <v>994.07907254006318</v>
      </c>
      <c r="K17" s="36">
        <v>1164.3965261135197</v>
      </c>
      <c r="L17" s="35">
        <v>992.45632120580547</v>
      </c>
      <c r="M17" s="36">
        <v>1220.5784684791749</v>
      </c>
      <c r="N17" s="35">
        <v>990.75807792804437</v>
      </c>
      <c r="O17" s="36">
        <v>1285.5230217277458</v>
      </c>
      <c r="P17" s="35">
        <v>988.97461262487172</v>
      </c>
      <c r="Q17" s="36">
        <v>1361.3868081730118</v>
      </c>
      <c r="R17" s="35">
        <v>987.09769910549596</v>
      </c>
      <c r="S17" s="36">
        <v>1451.1226172801132</v>
      </c>
      <c r="T17" s="35">
        <v>985.12339380012634</v>
      </c>
      <c r="U17" s="36">
        <v>1558.9011993098045</v>
      </c>
      <c r="V17" s="35">
        <v>983.05733116924898</v>
      </c>
      <c r="W17" s="36">
        <v>1690.842979705026</v>
      </c>
      <c r="X17" s="35">
        <v>980.92483587374261</v>
      </c>
      <c r="Y17" s="36">
        <v>1856.3537553814986</v>
      </c>
      <c r="Z17" s="35">
        <v>978.79021728800751</v>
      </c>
      <c r="AA17" s="36">
        <v>2070.7238478649642</v>
      </c>
      <c r="AB17" s="35">
        <v>976.79336935093681</v>
      </c>
      <c r="AC17" s="36">
        <v>2360.556110672037</v>
      </c>
      <c r="AD17" s="35">
        <v>975.21592535773004</v>
      </c>
      <c r="AE17" s="36">
        <v>2776.019426432299</v>
      </c>
      <c r="AF17" s="35">
        <v>974.57670081552919</v>
      </c>
      <c r="AG17" s="36">
        <v>3420.7449106875456</v>
      </c>
      <c r="AH17" s="35">
        <v>975.65156701751835</v>
      </c>
      <c r="AI17" s="36">
        <v>4530.3646405308682</v>
      </c>
      <c r="AJ17" s="35">
        <v>979.0425909459085</v>
      </c>
      <c r="AK17" s="36">
        <v>6704.2436088810218</v>
      </c>
      <c r="AL17" s="35">
        <v>984.21202625800515</v>
      </c>
      <c r="AM17" s="36">
        <v>11827.098067106812</v>
      </c>
      <c r="AN17" s="35">
        <v>989.14576353666405</v>
      </c>
      <c r="AO17" s="36">
        <v>29337.455929601711</v>
      </c>
      <c r="AP17" s="35">
        <v>989.78646069984177</v>
      </c>
      <c r="AQ17" s="36">
        <v>38116.363483710324</v>
      </c>
      <c r="AR17" s="35">
        <v>990.16562254266989</v>
      </c>
      <c r="AS17" s="36">
        <v>51951.525074769066</v>
      </c>
      <c r="AT17" s="35">
        <v>990.13646672377547</v>
      </c>
      <c r="AU17" s="36">
        <v>75854.240361350559</v>
      </c>
      <c r="AV17" s="35">
        <v>989.41378368809126</v>
      </c>
      <c r="AW17" s="36">
        <v>123385.33500101838</v>
      </c>
    </row>
    <row r="18" spans="1:49" x14ac:dyDescent="0.2">
      <c r="A18" t="s">
        <v>19</v>
      </c>
      <c r="B18" s="33">
        <v>27857.010133999996</v>
      </c>
      <c r="C18" s="34">
        <v>1236.7674480000003</v>
      </c>
      <c r="D18" s="33">
        <v>27866.659769680842</v>
      </c>
      <c r="E18" s="34">
        <v>1149.7822825844601</v>
      </c>
      <c r="F18" s="33">
        <v>27872.561979638365</v>
      </c>
      <c r="G18" s="34">
        <v>1062.8763745022973</v>
      </c>
      <c r="H18" s="33">
        <v>27874.153556588724</v>
      </c>
      <c r="I18" s="34">
        <v>976.07390746541512</v>
      </c>
      <c r="J18" s="33">
        <v>27870.738490822227</v>
      </c>
      <c r="K18" s="34">
        <v>889.41413117193883</v>
      </c>
      <c r="L18" s="33">
        <v>27861.443398790747</v>
      </c>
      <c r="M18" s="34">
        <v>802.96142885723907</v>
      </c>
      <c r="N18" s="33">
        <v>27845.152827001257</v>
      </c>
      <c r="O18" s="34">
        <v>716.81025895083371</v>
      </c>
      <c r="P18" s="33">
        <v>27820.404901760619</v>
      </c>
      <c r="Q18" s="34">
        <v>631.11516715711332</v>
      </c>
      <c r="R18" s="33">
        <v>27785.23723927149</v>
      </c>
      <c r="S18" s="34">
        <v>546.11637220529167</v>
      </c>
      <c r="T18" s="33">
        <v>27736.938329954137</v>
      </c>
      <c r="U18" s="34">
        <v>462.18610813484651</v>
      </c>
      <c r="V18" s="33">
        <v>27671.630092370338</v>
      </c>
      <c r="W18" s="34">
        <v>379.90450435535195</v>
      </c>
      <c r="X18" s="33">
        <v>27583.550823627589</v>
      </c>
      <c r="Y18" s="34">
        <v>300.17082396942521</v>
      </c>
      <c r="Z18" s="33">
        <v>27463.754571779882</v>
      </c>
      <c r="AA18" s="34">
        <v>224.37580271870405</v>
      </c>
      <c r="AB18" s="33">
        <v>27297.64744239537</v>
      </c>
      <c r="AC18" s="34">
        <v>154.64726206199231</v>
      </c>
      <c r="AD18" s="33">
        <v>27060.130880278328</v>
      </c>
      <c r="AE18" s="34">
        <v>94.124813113436616</v>
      </c>
      <c r="AF18" s="33">
        <v>26705.856002328841</v>
      </c>
      <c r="AG18" s="34">
        <v>46.949130104539854</v>
      </c>
      <c r="AH18" s="33">
        <v>26149.876776438934</v>
      </c>
      <c r="AI18" s="34">
        <v>16.907481503857436</v>
      </c>
      <c r="AJ18" s="33">
        <v>25225.579542555715</v>
      </c>
      <c r="AK18" s="34">
        <v>3.6021327915558223</v>
      </c>
      <c r="AL18" s="33">
        <v>23540.298557789913</v>
      </c>
      <c r="AM18" s="34">
        <v>0.32814761766327888</v>
      </c>
      <c r="AN18" s="33">
        <v>19681.308215190813</v>
      </c>
      <c r="AO18" s="34">
        <v>5.6087331105808156E-3</v>
      </c>
      <c r="AP18" s="33">
        <v>18213.556700337158</v>
      </c>
      <c r="AQ18" s="34">
        <v>1.655119346100401E-3</v>
      </c>
      <c r="AR18" s="33">
        <v>16214.576019970604</v>
      </c>
      <c r="AS18" s="34">
        <v>3.7783657665763933E-4</v>
      </c>
      <c r="AT18" s="33">
        <v>13316.748870495951</v>
      </c>
      <c r="AU18" s="34">
        <v>5.8172093768845707E-5</v>
      </c>
      <c r="AV18" s="33">
        <v>8695.7374208124947</v>
      </c>
      <c r="AW18" s="34">
        <v>4.35652337159609E-6</v>
      </c>
    </row>
    <row r="19" spans="1:49" x14ac:dyDescent="0.2">
      <c r="A19" t="s">
        <v>3</v>
      </c>
      <c r="B19" s="41">
        <v>1886.3937399999918</v>
      </c>
      <c r="C19" s="42">
        <v>262.78711299999759</v>
      </c>
      <c r="D19" s="41">
        <v>1880.0210852727539</v>
      </c>
      <c r="E19" s="42">
        <v>269.5716261189732</v>
      </c>
      <c r="F19" s="41">
        <v>1873.19156646279</v>
      </c>
      <c r="G19" s="42">
        <v>277.30661885049426</v>
      </c>
      <c r="H19" s="41">
        <v>1865.8345311136013</v>
      </c>
      <c r="I19" s="42">
        <v>286.11270886508044</v>
      </c>
      <c r="J19" s="41">
        <v>1857.8663977758322</v>
      </c>
      <c r="K19" s="42">
        <v>296.12429465229712</v>
      </c>
      <c r="L19" s="41">
        <v>1849.1885077013796</v>
      </c>
      <c r="M19" s="42">
        <v>307.48303218225914</v>
      </c>
      <c r="N19" s="41">
        <v>1839.6845440670781</v>
      </c>
      <c r="O19" s="42">
        <v>320.33799759650094</v>
      </c>
      <c r="P19" s="41">
        <v>1829.2180150067961</v>
      </c>
      <c r="Q19" s="42">
        <v>334.82660015380827</v>
      </c>
      <c r="R19" s="41">
        <v>1817.6299198937024</v>
      </c>
      <c r="S19" s="42">
        <v>351.05171943095377</v>
      </c>
      <c r="T19" s="41">
        <v>1804.7375204011378</v>
      </c>
      <c r="U19" s="42">
        <v>369.0323340883325</v>
      </c>
      <c r="V19" s="41">
        <v>1790.3349361625412</v>
      </c>
      <c r="W19" s="42">
        <v>388.61265368535635</v>
      </c>
      <c r="X19" s="41">
        <v>1774.1983715413503</v>
      </c>
      <c r="Y19" s="42">
        <v>409.29141487317662</v>
      </c>
      <c r="Z19" s="41">
        <v>1756.0985081179704</v>
      </c>
      <c r="AA19" s="42">
        <v>429.90059737913333</v>
      </c>
      <c r="AB19" s="41">
        <v>1735.8200030465807</v>
      </c>
      <c r="AC19" s="42">
        <v>448.00372159972937</v>
      </c>
      <c r="AD19" s="41">
        <v>1713.1592157633534</v>
      </c>
      <c r="AE19" s="42">
        <v>458.83053998331161</v>
      </c>
      <c r="AF19" s="41">
        <v>1687.7091647355123</v>
      </c>
      <c r="AG19" s="42">
        <v>453.78823420306679</v>
      </c>
      <c r="AH19" s="41">
        <v>1657.5481202584353</v>
      </c>
      <c r="AI19" s="42">
        <v>420.26190227929322</v>
      </c>
      <c r="AJ19" s="41">
        <v>1614.1125965326114</v>
      </c>
      <c r="AK19" s="42">
        <v>348.25359331821795</v>
      </c>
      <c r="AL19" s="41">
        <v>1527.8671662691834</v>
      </c>
      <c r="AM19" s="42">
        <v>243.26295283623296</v>
      </c>
      <c r="AN19" s="41">
        <v>1294.664068060586</v>
      </c>
      <c r="AO19" s="42">
        <v>123.12322821534896</v>
      </c>
      <c r="AP19" s="41">
        <v>1200.1900620632487</v>
      </c>
      <c r="AQ19" s="42">
        <v>98.55295849308294</v>
      </c>
      <c r="AR19" s="41">
        <v>1069.5607249986706</v>
      </c>
      <c r="AS19" s="42">
        <v>73.936352699943583</v>
      </c>
      <c r="AT19" s="41">
        <v>878.34247879882514</v>
      </c>
      <c r="AU19" s="42">
        <v>49.297579916764455</v>
      </c>
      <c r="AV19" s="41">
        <v>572.4325504089411</v>
      </c>
      <c r="AW19" s="42">
        <v>24.650056452604193</v>
      </c>
    </row>
    <row r="20" spans="1:49" x14ac:dyDescent="0.2">
      <c r="A20" t="s">
        <v>127</v>
      </c>
      <c r="B20" s="82">
        <v>26548.356269999993</v>
      </c>
      <c r="C20" s="83">
        <v>1408.5418709999938</v>
      </c>
      <c r="D20" s="82">
        <v>26541.035476786987</v>
      </c>
      <c r="E20" s="83">
        <v>1338.1147774499941</v>
      </c>
      <c r="F20" s="82">
        <v>26529.582700596715</v>
      </c>
      <c r="G20" s="83">
        <v>1267.6876838999945</v>
      </c>
      <c r="H20" s="82">
        <v>26513.375843151323</v>
      </c>
      <c r="I20" s="83">
        <v>1197.2605903499946</v>
      </c>
      <c r="J20" s="82">
        <v>26491.654703152715</v>
      </c>
      <c r="K20" s="83">
        <v>1126.8334967999949</v>
      </c>
      <c r="L20" s="82">
        <v>26463.480100263445</v>
      </c>
      <c r="M20" s="83">
        <v>1056.4064032499953</v>
      </c>
      <c r="N20" s="82">
        <v>26427.676025935867</v>
      </c>
      <c r="O20" s="83">
        <v>985.97930969999561</v>
      </c>
      <c r="P20" s="82">
        <v>26382.740713810563</v>
      </c>
      <c r="Q20" s="83">
        <v>915.55221614999596</v>
      </c>
      <c r="R20" s="82">
        <v>26326.719339107905</v>
      </c>
      <c r="S20" s="83">
        <v>845.12512259999642</v>
      </c>
      <c r="T20" s="82">
        <v>26257.00585379836</v>
      </c>
      <c r="U20" s="83">
        <v>774.69802904999653</v>
      </c>
      <c r="V20" s="82">
        <v>26170.018494432581</v>
      </c>
      <c r="W20" s="83">
        <v>704.27093549999688</v>
      </c>
      <c r="X20" s="82">
        <v>26060.655567683447</v>
      </c>
      <c r="Y20" s="83">
        <v>633.84384194999723</v>
      </c>
      <c r="Z20" s="82">
        <v>25921.319362880266</v>
      </c>
      <c r="AA20" s="83">
        <v>563.41674839999757</v>
      </c>
      <c r="AB20" s="82">
        <v>25740.060824078664</v>
      </c>
      <c r="AC20" s="83">
        <v>492.98965484999775</v>
      </c>
      <c r="AD20" s="82">
        <v>25496.81481030758</v>
      </c>
      <c r="AE20" s="83">
        <v>422.56256129999798</v>
      </c>
      <c r="AF20" s="82">
        <v>25155.2678361135</v>
      </c>
      <c r="AG20" s="83">
        <v>352.13546774999827</v>
      </c>
      <c r="AH20" s="82">
        <v>24644.303401898986</v>
      </c>
      <c r="AI20" s="83">
        <v>281.70837419999856</v>
      </c>
      <c r="AJ20" s="82">
        <v>23811.694793623501</v>
      </c>
      <c r="AK20" s="83">
        <v>211.28128064999879</v>
      </c>
      <c r="AL20" s="82">
        <v>22274.85648314358</v>
      </c>
      <c r="AM20" s="83">
        <v>140.85418709999902</v>
      </c>
      <c r="AN20" s="82">
        <v>18665.704644766618</v>
      </c>
      <c r="AO20" s="83">
        <v>70.42709354999927</v>
      </c>
      <c r="AP20" s="82">
        <v>17278.74311509524</v>
      </c>
      <c r="AQ20" s="83">
        <v>56.341674839999328</v>
      </c>
      <c r="AR20" s="82">
        <v>15385.017011447671</v>
      </c>
      <c r="AS20" s="83">
        <v>42.256256129999379</v>
      </c>
      <c r="AT20" s="82">
        <v>12635.278825385487</v>
      </c>
      <c r="AU20" s="83">
        <v>28.170837419999433</v>
      </c>
      <c r="AV20" s="82">
        <v>8248.0253979755489</v>
      </c>
      <c r="AW20" s="83">
        <v>14.08541870999948</v>
      </c>
    </row>
    <row r="21" spans="1:49" x14ac:dyDescent="0.2">
      <c r="A21" t="s">
        <v>76</v>
      </c>
      <c r="B21" s="82">
        <v>24661.962529999968</v>
      </c>
      <c r="C21" s="83">
        <v>1145.7547579999991</v>
      </c>
      <c r="D21" s="82">
        <v>24661.019286949795</v>
      </c>
      <c r="E21" s="83">
        <v>1068.7804309760647</v>
      </c>
      <c r="F21" s="82">
        <v>24656.411306937109</v>
      </c>
      <c r="G21" s="83">
        <v>991.39806795370544</v>
      </c>
      <c r="H21" s="82">
        <v>24647.588201360482</v>
      </c>
      <c r="I21" s="83">
        <v>913.60655428017662</v>
      </c>
      <c r="J21" s="82">
        <v>24633.874675209277</v>
      </c>
      <c r="K21" s="83">
        <v>835.41912113422836</v>
      </c>
      <c r="L21" s="82">
        <v>24614.431850018213</v>
      </c>
      <c r="M21" s="83">
        <v>756.87588045676057</v>
      </c>
      <c r="N21" s="82">
        <v>24588.202039365635</v>
      </c>
      <c r="O21" s="83">
        <v>678.05145021716544</v>
      </c>
      <c r="P21" s="82">
        <v>24553.822343552598</v>
      </c>
      <c r="Q21" s="83">
        <v>599.08064417020682</v>
      </c>
      <c r="R21" s="82">
        <v>24509.499607539416</v>
      </c>
      <c r="S21" s="83">
        <v>520.18693611605465</v>
      </c>
      <c r="T21" s="82">
        <v>24452.813214769947</v>
      </c>
      <c r="U21" s="83">
        <v>441.73057170263661</v>
      </c>
      <c r="V21" s="82">
        <v>24380.389315759105</v>
      </c>
      <c r="W21" s="83">
        <v>364.28146036340473</v>
      </c>
      <c r="X21" s="82">
        <v>24287.349845455188</v>
      </c>
      <c r="Y21" s="83">
        <v>288.73167220814992</v>
      </c>
      <c r="Z21" s="82">
        <v>24166.320787857854</v>
      </c>
      <c r="AA21" s="83">
        <v>216.46601733957758</v>
      </c>
      <c r="AB21" s="82">
        <v>24005.550897358629</v>
      </c>
      <c r="AC21" s="83">
        <v>149.60547240195348</v>
      </c>
      <c r="AD21" s="82">
        <v>23785.137943315236</v>
      </c>
      <c r="AE21" s="83">
        <v>91.280253261844194</v>
      </c>
      <c r="AF21" s="82">
        <v>23469.098522119544</v>
      </c>
      <c r="AG21" s="83">
        <v>45.62515576085331</v>
      </c>
      <c r="AH21" s="82">
        <v>22988.137561768344</v>
      </c>
      <c r="AI21" s="83">
        <v>16.456717194144126</v>
      </c>
      <c r="AJ21" s="82">
        <v>22198.568472133669</v>
      </c>
      <c r="AK21" s="83">
        <v>3.5095559529096447</v>
      </c>
      <c r="AL21" s="82">
        <v>20747.510374820999</v>
      </c>
      <c r="AM21" s="83">
        <v>0.31985368809346831</v>
      </c>
      <c r="AN21" s="82">
        <v>17371.246011221716</v>
      </c>
      <c r="AO21" s="83">
        <v>5.4675818525471423E-3</v>
      </c>
      <c r="AP21" s="82">
        <v>16078.721335595699</v>
      </c>
      <c r="AQ21" s="83">
        <v>1.6134732633347104E-3</v>
      </c>
      <c r="AR21" s="82">
        <v>14315.59515850041</v>
      </c>
      <c r="AS21" s="83">
        <v>3.6833040467412504E-4</v>
      </c>
      <c r="AT21" s="82">
        <v>11757.05107859869</v>
      </c>
      <c r="AU21" s="83">
        <v>5.6708594630504063E-5</v>
      </c>
      <c r="AV21" s="82">
        <v>7675.679176189502</v>
      </c>
      <c r="AW21" s="83">
        <v>4.2469251078367623E-6</v>
      </c>
    </row>
    <row r="22" spans="1:49" x14ac:dyDescent="0.2">
      <c r="A22" t="s">
        <v>28</v>
      </c>
      <c r="B22" s="41">
        <v>6533.6044688320644</v>
      </c>
      <c r="C22" s="42">
        <v>379.90788307663382</v>
      </c>
      <c r="D22" s="41">
        <v>6534.8818057232438</v>
      </c>
      <c r="E22" s="42">
        <v>364.52696281374216</v>
      </c>
      <c r="F22" s="41">
        <v>6534.6415250840573</v>
      </c>
      <c r="G22" s="42">
        <v>348.91541979092881</v>
      </c>
      <c r="H22" s="41">
        <v>6532.6617506078646</v>
      </c>
      <c r="I22" s="42">
        <v>333.06744879174187</v>
      </c>
      <c r="J22" s="41">
        <v>6528.6736279383958</v>
      </c>
      <c r="K22" s="42">
        <v>316.97553862696299</v>
      </c>
      <c r="L22" s="41">
        <v>6522.3435083170962</v>
      </c>
      <c r="M22" s="42">
        <v>300.6305787399628</v>
      </c>
      <c r="N22" s="41">
        <v>6513.2612500734931</v>
      </c>
      <c r="O22" s="42">
        <v>284.01939122438222</v>
      </c>
      <c r="P22" s="41">
        <v>6500.9043166573692</v>
      </c>
      <c r="Q22" s="42">
        <v>267.12392131900896</v>
      </c>
      <c r="R22" s="41">
        <v>6484.6006238225909</v>
      </c>
      <c r="S22" s="42">
        <v>249.91803893799928</v>
      </c>
      <c r="T22" s="41">
        <v>6463.4663780791707</v>
      </c>
      <c r="U22" s="42">
        <v>232.36369690212962</v>
      </c>
      <c r="V22" s="41">
        <v>6436.3067771847836</v>
      </c>
      <c r="W22" s="42">
        <v>214.40481978899334</v>
      </c>
      <c r="X22" s="41">
        <v>6401.4548808532745</v>
      </c>
      <c r="Y22" s="42">
        <v>195.95873054419042</v>
      </c>
      <c r="Z22" s="41">
        <v>6356.4895476951888</v>
      </c>
      <c r="AA22" s="42">
        <v>176.90417753750836</v>
      </c>
      <c r="AB22" s="41">
        <v>6297.7117153041236</v>
      </c>
      <c r="AC22" s="42">
        <v>157.06728831452841</v>
      </c>
      <c r="AD22" s="41">
        <v>6219.1010301346541</v>
      </c>
      <c r="AE22" s="42">
        <v>136.21455579734254</v>
      </c>
      <c r="AF22" s="41">
        <v>6110.0657301461833</v>
      </c>
      <c r="AG22" s="42">
        <v>114.08994217103222</v>
      </c>
      <c r="AH22" s="41">
        <v>5950.2012456689663</v>
      </c>
      <c r="AI22" s="42">
        <v>90.592142425222292</v>
      </c>
      <c r="AJ22" s="41">
        <v>5695.9924156987663</v>
      </c>
      <c r="AK22" s="42">
        <v>66.14387912746561</v>
      </c>
      <c r="AL22" s="41">
        <v>5240.5327123505549</v>
      </c>
      <c r="AM22" s="42">
        <v>41.820036202937423</v>
      </c>
      <c r="AN22" s="41">
        <v>4231.5558496389031</v>
      </c>
      <c r="AO22" s="42">
        <v>18.936210172632787</v>
      </c>
      <c r="AP22" s="41">
        <v>3864.7981341031586</v>
      </c>
      <c r="AQ22" s="42">
        <v>14.680962298943554</v>
      </c>
      <c r="AR22" s="41">
        <v>3380.8937354478212</v>
      </c>
      <c r="AS22" s="42">
        <v>10.590495756920491</v>
      </c>
      <c r="AT22" s="41">
        <v>2709.6363718580092</v>
      </c>
      <c r="AU22" s="42">
        <v>6.7131585118653003</v>
      </c>
      <c r="AV22" s="41">
        <v>1705.6682622307271</v>
      </c>
      <c r="AW22" s="42">
        <v>3.1299348053525868</v>
      </c>
    </row>
    <row r="23" spans="1:49" x14ac:dyDescent="0.2">
      <c r="A23" t="s">
        <v>7</v>
      </c>
      <c r="B23" s="116">
        <v>3278.5018080150408</v>
      </c>
      <c r="C23" s="8">
        <v>0</v>
      </c>
      <c r="D23" s="116">
        <v>3283.9447604619218</v>
      </c>
      <c r="E23" s="8">
        <v>0</v>
      </c>
      <c r="F23" s="116">
        <v>3289.021293391253</v>
      </c>
      <c r="G23" s="8">
        <v>0</v>
      </c>
      <c r="H23" s="116">
        <v>3293.671411241331</v>
      </c>
      <c r="I23" s="8">
        <v>0</v>
      </c>
      <c r="J23" s="116">
        <v>3297.8212355946621</v>
      </c>
      <c r="K23" s="8">
        <v>0</v>
      </c>
      <c r="L23" s="116">
        <v>3301.378717889479</v>
      </c>
      <c r="M23" s="8">
        <v>0</v>
      </c>
      <c r="N23" s="116">
        <v>3304.2292041740193</v>
      </c>
      <c r="O23" s="8">
        <v>0</v>
      </c>
      <c r="P23" s="116">
        <v>3306.2262097946559</v>
      </c>
      <c r="Q23" s="8">
        <v>0</v>
      </c>
      <c r="R23" s="116">
        <v>3307.1809709739723</v>
      </c>
      <c r="S23" s="8">
        <v>0</v>
      </c>
      <c r="T23" s="116">
        <v>3306.846240167436</v>
      </c>
      <c r="U23" s="8">
        <v>0</v>
      </c>
      <c r="V23" s="116">
        <v>3304.8906856761109</v>
      </c>
      <c r="W23" s="8">
        <v>0</v>
      </c>
      <c r="X23" s="116">
        <v>3300.8589223387989</v>
      </c>
      <c r="Y23" s="8">
        <v>0</v>
      </c>
      <c r="Z23" s="116">
        <v>3294.1023717994108</v>
      </c>
      <c r="AA23" s="8">
        <v>0</v>
      </c>
      <c r="AB23" s="116">
        <v>3283.6495296168423</v>
      </c>
      <c r="AC23" s="8">
        <v>0</v>
      </c>
      <c r="AD23" s="116">
        <v>3267.9307081745333</v>
      </c>
      <c r="AE23" s="8">
        <v>0</v>
      </c>
      <c r="AF23" s="116">
        <v>3244.0957551387651</v>
      </c>
      <c r="AG23" s="8">
        <v>0</v>
      </c>
      <c r="AH23" s="116">
        <v>3206.0503976673995</v>
      </c>
      <c r="AI23" s="8">
        <v>0</v>
      </c>
      <c r="AJ23" s="116">
        <v>3138.370524455916</v>
      </c>
      <c r="AK23" s="8">
        <v>0</v>
      </c>
      <c r="AL23" s="116">
        <v>2996.0815107145681</v>
      </c>
      <c r="AM23" s="8">
        <v>0</v>
      </c>
      <c r="AN23" s="116">
        <v>2603.3580946398756</v>
      </c>
      <c r="AO23" s="8">
        <v>0</v>
      </c>
      <c r="AP23" s="116">
        <v>2437.8004816159478</v>
      </c>
      <c r="AQ23" s="8">
        <v>0</v>
      </c>
      <c r="AR23" s="116">
        <v>2201.8971955334532</v>
      </c>
      <c r="AS23" s="8">
        <v>0</v>
      </c>
      <c r="AT23" s="116">
        <v>1842.2327266294253</v>
      </c>
      <c r="AU23" s="8">
        <v>0</v>
      </c>
      <c r="AV23" s="116">
        <v>1233.7831326943606</v>
      </c>
      <c r="AW23" s="8">
        <v>0</v>
      </c>
    </row>
    <row r="24" spans="1:49" x14ac:dyDescent="0.2">
      <c r="A24" t="s">
        <v>8</v>
      </c>
      <c r="B24" s="97">
        <v>3196.3846373657216</v>
      </c>
      <c r="C24" s="8">
        <v>0</v>
      </c>
      <c r="D24" s="97">
        <v>3201.6912615825408</v>
      </c>
      <c r="E24" s="8">
        <v>0</v>
      </c>
      <c r="F24" s="97">
        <v>3206.6406421319571</v>
      </c>
      <c r="G24" s="8">
        <v>0</v>
      </c>
      <c r="H24" s="97">
        <v>3211.1742848465778</v>
      </c>
      <c r="I24" s="8">
        <v>0</v>
      </c>
      <c r="J24" s="97">
        <v>3215.2201650302895</v>
      </c>
      <c r="K24" s="8">
        <v>0</v>
      </c>
      <c r="L24" s="97">
        <v>3218.6885451802282</v>
      </c>
      <c r="M24" s="8">
        <v>0</v>
      </c>
      <c r="N24" s="97">
        <v>3221.4676345168423</v>
      </c>
      <c r="O24" s="8">
        <v>0</v>
      </c>
      <c r="P24" s="97">
        <v>3223.4146204522444</v>
      </c>
      <c r="Q24" s="8">
        <v>0</v>
      </c>
      <c r="R24" s="97">
        <v>3224.3454684581188</v>
      </c>
      <c r="S24" s="8">
        <v>0</v>
      </c>
      <c r="T24" s="97">
        <v>3224.0191216355634</v>
      </c>
      <c r="U24" s="8">
        <v>0</v>
      </c>
      <c r="V24" s="97">
        <v>3222.112548293584</v>
      </c>
      <c r="W24" s="8">
        <v>0</v>
      </c>
      <c r="X24" s="97">
        <v>3218.181769414879</v>
      </c>
      <c r="Y24" s="8">
        <v>0</v>
      </c>
      <c r="Z24" s="97">
        <v>3211.5944514856596</v>
      </c>
      <c r="AA24" s="8">
        <v>0</v>
      </c>
      <c r="AB24" s="97">
        <v>3201.4034232406848</v>
      </c>
      <c r="AC24" s="8">
        <v>0</v>
      </c>
      <c r="AD24" s="97">
        <v>3186.0783136513542</v>
      </c>
      <c r="AE24" s="8">
        <v>0</v>
      </c>
      <c r="AF24" s="97">
        <v>3162.840358550468</v>
      </c>
      <c r="AG24" s="8">
        <v>0</v>
      </c>
      <c r="AH24" s="97">
        <v>3125.7479293357742</v>
      </c>
      <c r="AI24" s="8">
        <v>0</v>
      </c>
      <c r="AJ24" s="97">
        <v>3059.7632449717457</v>
      </c>
      <c r="AK24" s="8">
        <v>0</v>
      </c>
      <c r="AL24" s="97">
        <v>2921.0381674138262</v>
      </c>
      <c r="AM24" s="8">
        <v>0</v>
      </c>
      <c r="AN24" s="97">
        <v>2538.1513589302317</v>
      </c>
      <c r="AO24" s="8">
        <v>0</v>
      </c>
      <c r="AP24" s="97">
        <v>2376.7404945003623</v>
      </c>
      <c r="AQ24" s="8">
        <v>0</v>
      </c>
      <c r="AR24" s="97">
        <v>2146.7459165816417</v>
      </c>
      <c r="AS24" s="8">
        <v>0</v>
      </c>
      <c r="AT24" s="97">
        <v>1796.0900224166191</v>
      </c>
      <c r="AU24" s="8">
        <v>0</v>
      </c>
      <c r="AV24" s="97">
        <v>1202.8803649095066</v>
      </c>
      <c r="AW24" s="8">
        <v>0</v>
      </c>
    </row>
    <row r="25" spans="1:49" x14ac:dyDescent="0.2">
      <c r="A25" t="s">
        <v>0</v>
      </c>
      <c r="B25" s="41">
        <v>3195.0476040000012</v>
      </c>
      <c r="C25" s="42">
        <v>91.012690000004397</v>
      </c>
      <c r="D25" s="41">
        <v>3205.6325428741238</v>
      </c>
      <c r="E25" s="42">
        <v>80.958484514915668</v>
      </c>
      <c r="F25" s="41">
        <v>3216.1178256351304</v>
      </c>
      <c r="G25" s="42">
        <v>71.311369333838428</v>
      </c>
      <c r="H25" s="41">
        <v>3226.4886753003407</v>
      </c>
      <c r="I25" s="42">
        <v>62.106446104334822</v>
      </c>
      <c r="J25" s="41">
        <v>3236.7219115488506</v>
      </c>
      <c r="K25" s="42">
        <v>53.380889876479962</v>
      </c>
      <c r="L25" s="41">
        <v>3246.7799738370318</v>
      </c>
      <c r="M25" s="42">
        <v>45.174444687724609</v>
      </c>
      <c r="N25" s="41">
        <v>3256.6013529677134</v>
      </c>
      <c r="O25" s="42">
        <v>37.528054437271749</v>
      </c>
      <c r="P25" s="41">
        <v>3266.0825791595958</v>
      </c>
      <c r="Q25" s="42">
        <v>30.48485489985546</v>
      </c>
      <c r="R25" s="41">
        <v>3275.0492779383412</v>
      </c>
      <c r="S25" s="42">
        <v>24.089071713612118</v>
      </c>
      <c r="T25" s="41">
        <v>3283.2051941279219</v>
      </c>
      <c r="U25" s="42">
        <v>18.385287013035246</v>
      </c>
      <c r="V25" s="41">
        <v>3290.0416719683985</v>
      </c>
      <c r="W25" s="42">
        <v>13.417251836553573</v>
      </c>
      <c r="X25" s="41">
        <v>3294.6743407622876</v>
      </c>
      <c r="Y25" s="42">
        <v>9.2255402659508654</v>
      </c>
      <c r="Z25" s="41">
        <v>3295.5401786656616</v>
      </c>
      <c r="AA25" s="42">
        <v>5.8434205646638446</v>
      </c>
      <c r="AB25" s="41">
        <v>3289.827130110657</v>
      </c>
      <c r="AC25" s="42">
        <v>3.2888722202802518</v>
      </c>
      <c r="AD25" s="41">
        <v>3272.4124384761499</v>
      </c>
      <c r="AE25" s="42">
        <v>1.5488369939562232</v>
      </c>
      <c r="AF25" s="41">
        <v>3234.071521671709</v>
      </c>
      <c r="AG25" s="42">
        <v>0.55035934484593652</v>
      </c>
      <c r="AH25" s="41">
        <v>3159.3361873874205</v>
      </c>
      <c r="AI25" s="42">
        <v>0.12388574471889367</v>
      </c>
      <c r="AJ25" s="41">
        <v>3025.3144625453738</v>
      </c>
      <c r="AK25" s="42">
        <v>1.3402835329808582E-2</v>
      </c>
      <c r="AL25" s="41">
        <v>2791.9060218322616</v>
      </c>
      <c r="AM25" s="42">
        <v>4.4122015516773812E-4</v>
      </c>
      <c r="AN25" s="41">
        <v>2309.7195982904318</v>
      </c>
      <c r="AO25" s="42">
        <v>1.386083193410017E-6</v>
      </c>
      <c r="AP25" s="41">
        <v>2134.5552632167473</v>
      </c>
      <c r="AQ25" s="42">
        <v>2.483558683791919E-7</v>
      </c>
      <c r="AR25" s="41">
        <v>1898.7499785817699</v>
      </c>
      <c r="AS25" s="42">
        <v>3.1274760110615995E-8</v>
      </c>
      <c r="AT25" s="41">
        <v>1559.5070263694206</v>
      </c>
      <c r="AU25" s="42">
        <v>2.3138067824632306E-9</v>
      </c>
      <c r="AV25" s="41">
        <v>1019.9143904639807</v>
      </c>
      <c r="AW25" s="42">
        <v>6.7060895040379589E-11</v>
      </c>
    </row>
    <row r="26" spans="1:49" x14ac:dyDescent="0.2">
      <c r="A26" t="s">
        <v>27</v>
      </c>
      <c r="B26" s="33">
        <v>5036.2953101960647</v>
      </c>
      <c r="C26" s="34">
        <v>74.905331803938267</v>
      </c>
      <c r="D26" s="33">
        <v>5041.2122994135079</v>
      </c>
      <c r="E26" s="34">
        <v>69.988342586493914</v>
      </c>
      <c r="F26" s="33">
        <v>5046.1417680275645</v>
      </c>
      <c r="G26" s="34">
        <v>65.058873972427278</v>
      </c>
      <c r="H26" s="33">
        <v>5051.0857800807917</v>
      </c>
      <c r="I26" s="34">
        <v>60.114861919212366</v>
      </c>
      <c r="J26" s="33">
        <v>5056.0462060188911</v>
      </c>
      <c r="K26" s="34">
        <v>55.154435981112997</v>
      </c>
      <c r="L26" s="33">
        <v>5061.0242351444067</v>
      </c>
      <c r="M26" s="34">
        <v>50.176406855598586</v>
      </c>
      <c r="N26" s="33">
        <v>5066.0201842784636</v>
      </c>
      <c r="O26" s="34">
        <v>45.18045772153873</v>
      </c>
      <c r="P26" s="33">
        <v>5071.0319443898898</v>
      </c>
      <c r="Q26" s="34">
        <v>40.168697610115139</v>
      </c>
      <c r="R26" s="33">
        <v>5076.0535345657781</v>
      </c>
      <c r="S26" s="34">
        <v>35.14710743422205</v>
      </c>
      <c r="T26" s="33">
        <v>5081.0723364908063</v>
      </c>
      <c r="U26" s="34">
        <v>30.128305509199215</v>
      </c>
      <c r="V26" s="33">
        <v>5086.064402145349</v>
      </c>
      <c r="W26" s="34">
        <v>25.136239854650881</v>
      </c>
      <c r="X26" s="33">
        <v>5090.9870182193399</v>
      </c>
      <c r="Y26" s="34">
        <v>20.213623780662736</v>
      </c>
      <c r="Z26" s="33">
        <v>5095.7664638515407</v>
      </c>
      <c r="AA26" s="34">
        <v>15.434178148463554</v>
      </c>
      <c r="AB26" s="33">
        <v>5100.2788523737954</v>
      </c>
      <c r="AC26" s="34">
        <v>10.921789626210808</v>
      </c>
      <c r="AD26" s="33">
        <v>5104.3242917244552</v>
      </c>
      <c r="AE26" s="34">
        <v>6.8763502755479129</v>
      </c>
      <c r="AF26" s="33">
        <v>5107.6109712715861</v>
      </c>
      <c r="AG26" s="34">
        <v>3.5896707284253062</v>
      </c>
      <c r="AH26" s="33">
        <v>5109.8217083683667</v>
      </c>
      <c r="AI26" s="34">
        <v>1.378933631642266</v>
      </c>
      <c r="AJ26" s="33">
        <v>5110.8770833136741</v>
      </c>
      <c r="AK26" s="34">
        <v>0.32355868633093932</v>
      </c>
      <c r="AL26" s="33">
        <v>5111.1662405937122</v>
      </c>
      <c r="AM26" s="34">
        <v>3.4401406297497834E-2</v>
      </c>
      <c r="AN26" s="33">
        <v>5111.1998532244743</v>
      </c>
      <c r="AO26" s="34">
        <v>7.8877553061410118E-4</v>
      </c>
      <c r="AP26" s="33">
        <v>5111.2003848290624</v>
      </c>
      <c r="AQ26" s="34">
        <v>2.5717094272035803E-4</v>
      </c>
      <c r="AR26" s="33">
        <v>5111.2005750639819</v>
      </c>
      <c r="AS26" s="34">
        <v>6.6936021628253141E-5</v>
      </c>
      <c r="AT26" s="33">
        <v>5111.2006295523342</v>
      </c>
      <c r="AU26" s="34">
        <v>1.2447672841457471E-5</v>
      </c>
      <c r="AV26" s="33">
        <v>5111.2006407023291</v>
      </c>
      <c r="AW26" s="34">
        <v>1.2976749371029366E-6</v>
      </c>
    </row>
    <row r="27" spans="1:49" x14ac:dyDescent="0.2">
      <c r="A27" t="s">
        <v>2</v>
      </c>
      <c r="B27" s="35">
        <v>6425.1981590000305</v>
      </c>
      <c r="C27" s="36">
        <v>273.22915400000028</v>
      </c>
      <c r="D27" s="35">
        <v>6442.9067723733669</v>
      </c>
      <c r="E27" s="36">
        <v>255.52057052290988</v>
      </c>
      <c r="F27" s="35">
        <v>6460.692357625252</v>
      </c>
      <c r="G27" s="36">
        <v>237.73499182140915</v>
      </c>
      <c r="H27" s="35">
        <v>6478.5626508353389</v>
      </c>
      <c r="I27" s="36">
        <v>219.86466226826047</v>
      </c>
      <c r="J27" s="35">
        <v>6496.5247241534544</v>
      </c>
      <c r="K27" s="36">
        <v>201.90263779200592</v>
      </c>
      <c r="L27" s="35">
        <v>6514.5829748749748</v>
      </c>
      <c r="M27" s="36">
        <v>183.84433782401319</v>
      </c>
      <c r="N27" s="35">
        <v>6532.7391883280497</v>
      </c>
      <c r="O27" s="36">
        <v>165.68812354348549</v>
      </c>
      <c r="P27" s="35">
        <v>6550.9859267126767</v>
      </c>
      <c r="Q27" s="36">
        <v>147.4413836192181</v>
      </c>
      <c r="R27" s="35">
        <v>6569.3016063796531</v>
      </c>
      <c r="S27" s="36">
        <v>129.12570852447166</v>
      </c>
      <c r="T27" s="35">
        <v>6587.640373378862</v>
      </c>
      <c r="U27" s="36">
        <v>110.78694222902976</v>
      </c>
      <c r="V27" s="35">
        <v>6605.9143777336631</v>
      </c>
      <c r="W27" s="36">
        <v>92.512937500505444</v>
      </c>
      <c r="X27" s="35">
        <v>6623.9663109293833</v>
      </c>
      <c r="Y27" s="36">
        <v>74.461002808668084</v>
      </c>
      <c r="Z27" s="35">
        <v>6641.5237791201607</v>
      </c>
      <c r="AA27" s="36">
        <v>56.903541444490251</v>
      </c>
      <c r="AB27" s="35">
        <v>6658.1278209147895</v>
      </c>
      <c r="AC27" s="36">
        <v>40.299496040942742</v>
      </c>
      <c r="AD27" s="35">
        <v>6673.0364594543216</v>
      </c>
      <c r="AE27" s="36">
        <v>25.390857140948562</v>
      </c>
      <c r="AF27" s="35">
        <v>6685.1647236957542</v>
      </c>
      <c r="AG27" s="36">
        <v>13.262591076205958</v>
      </c>
      <c r="AH27" s="35">
        <v>6693.3306228754745</v>
      </c>
      <c r="AI27" s="36">
        <v>5.0966909152770317</v>
      </c>
      <c r="AJ27" s="35">
        <v>6697.2311786085511</v>
      </c>
      <c r="AK27" s="36">
        <v>1.1961330270734538</v>
      </c>
      <c r="AL27" s="35">
        <v>6698.3001310502241</v>
      </c>
      <c r="AM27" s="36">
        <v>0.12718182268723138</v>
      </c>
      <c r="AN27" s="35">
        <v>6698.4243968612482</v>
      </c>
      <c r="AO27" s="36">
        <v>2.916116581021538E-3</v>
      </c>
      <c r="AP27" s="35">
        <v>6698.4263626992761</v>
      </c>
      <c r="AQ27" s="36">
        <v>9.5076574743200996E-4</v>
      </c>
      <c r="AR27" s="35">
        <v>6698.4270655608525</v>
      </c>
      <c r="AS27" s="36">
        <v>2.4746375387498773E-4</v>
      </c>
      <c r="AT27" s="35">
        <v>6698.4272669821748</v>
      </c>
      <c r="AU27" s="36">
        <v>4.6019282842114883E-5</v>
      </c>
      <c r="AV27" s="35">
        <v>6698.4273119426371</v>
      </c>
      <c r="AW27" s="36">
        <v>4.7975272189480243E-6</v>
      </c>
    </row>
    <row r="28" spans="1:49" x14ac:dyDescent="0.2">
      <c r="A28" t="s">
        <v>35</v>
      </c>
      <c r="B28" s="41">
        <v>13763.097676000029</v>
      </c>
      <c r="C28" s="42">
        <v>382.36647899999997</v>
      </c>
      <c r="D28" s="41">
        <v>13787.961333866897</v>
      </c>
      <c r="E28" s="42">
        <v>357.49372944955604</v>
      </c>
      <c r="F28" s="41">
        <v>13812.901971260115</v>
      </c>
      <c r="G28" s="42">
        <v>332.52563649701392</v>
      </c>
      <c r="H28" s="41">
        <v>13837.930122541071</v>
      </c>
      <c r="I28" s="42">
        <v>307.4514769273992</v>
      </c>
      <c r="J28" s="41">
        <v>13863.055347198309</v>
      </c>
      <c r="K28" s="42">
        <v>282.26162126588594</v>
      </c>
      <c r="L28" s="41">
        <v>13888.28352280274</v>
      </c>
      <c r="M28" s="42">
        <v>256.94979656479165</v>
      </c>
      <c r="N28" s="41">
        <v>13913.616640427781</v>
      </c>
      <c r="O28" s="42">
        <v>231.51394456451001</v>
      </c>
      <c r="P28" s="41">
        <v>13939.04399317957</v>
      </c>
      <c r="Q28" s="42">
        <v>205.96456938513614</v>
      </c>
      <c r="R28" s="41">
        <v>13964.535233845554</v>
      </c>
      <c r="S28" s="42">
        <v>180.33201900735656</v>
      </c>
      <c r="T28" s="41">
        <v>13990.026387198594</v>
      </c>
      <c r="U28" s="42">
        <v>154.68056711705893</v>
      </c>
      <c r="V28" s="41">
        <v>14015.395595784128</v>
      </c>
      <c r="W28" s="42">
        <v>129.13300117592843</v>
      </c>
      <c r="X28" s="41">
        <v>14040.425344646788</v>
      </c>
      <c r="Y28" s="42">
        <v>103.90890030311678</v>
      </c>
      <c r="Z28" s="41">
        <v>14064.739892705298</v>
      </c>
      <c r="AA28" s="42">
        <v>79.388103150835718</v>
      </c>
      <c r="AB28" s="41">
        <v>14087.707329980869</v>
      </c>
      <c r="AC28" s="42">
        <v>56.210051323646276</v>
      </c>
      <c r="AD28" s="41">
        <v>14108.307526302926</v>
      </c>
      <c r="AE28" s="42">
        <v>35.407922850207498</v>
      </c>
      <c r="AF28" s="41">
        <v>14125.050537644172</v>
      </c>
      <c r="AG28" s="42">
        <v>18.491721029773846</v>
      </c>
      <c r="AH28" s="41">
        <v>14136.31577888732</v>
      </c>
      <c r="AI28" s="42">
        <v>7.1053803293246141</v>
      </c>
      <c r="AJ28" s="41">
        <v>14141.694582583714</v>
      </c>
      <c r="AK28" s="42">
        <v>1.6674573623144509</v>
      </c>
      <c r="AL28" s="41">
        <v>14143.168402679694</v>
      </c>
      <c r="AM28" s="42">
        <v>0.17729388395781476</v>
      </c>
      <c r="AN28" s="41">
        <v>14143.339727487635</v>
      </c>
      <c r="AO28" s="42">
        <v>4.0651149576795276E-3</v>
      </c>
      <c r="AP28" s="41">
        <v>14143.342437574329</v>
      </c>
      <c r="AQ28" s="42">
        <v>1.325383088234489E-3</v>
      </c>
      <c r="AR28" s="41">
        <v>14143.343406780106</v>
      </c>
      <c r="AS28" s="42">
        <v>3.4496852649610552E-4</v>
      </c>
      <c r="AT28" s="41">
        <v>14143.343684487061</v>
      </c>
      <c r="AU28" s="42">
        <v>6.4151634934470902E-5</v>
      </c>
      <c r="AV28" s="41">
        <v>14143.343744969194</v>
      </c>
      <c r="AW28" s="42">
        <v>6.6878322925640456E-6</v>
      </c>
    </row>
    <row r="29" spans="1:49" x14ac:dyDescent="0.2">
      <c r="A29" t="s">
        <v>53</v>
      </c>
      <c r="B29" s="35">
        <v>14362.768558000025</v>
      </c>
      <c r="C29" s="36">
        <v>817.26650999999993</v>
      </c>
      <c r="D29" s="35">
        <v>14367.056178935112</v>
      </c>
      <c r="E29" s="36">
        <v>756.76167422136973</v>
      </c>
      <c r="F29" s="35">
        <v>14369.379320884507</v>
      </c>
      <c r="G29" s="36">
        <v>696.59830096398787</v>
      </c>
      <c r="H29" s="35">
        <v>14369.443067859258</v>
      </c>
      <c r="I29" s="36">
        <v>636.81943743065233</v>
      </c>
      <c r="J29" s="35">
        <v>14366.883134901365</v>
      </c>
      <c r="K29" s="36">
        <v>577.48064936879484</v>
      </c>
      <c r="L29" s="35">
        <v>14361.243472078917</v>
      </c>
      <c r="M29" s="36">
        <v>518.65683072723903</v>
      </c>
      <c r="N29" s="35">
        <v>14351.942112720717</v>
      </c>
      <c r="O29" s="36">
        <v>460.44501758753705</v>
      </c>
      <c r="P29" s="35">
        <v>14338.218597656039</v>
      </c>
      <c r="Q29" s="36">
        <v>402.98367262750844</v>
      </c>
      <c r="R29" s="35">
        <v>14319.055002852207</v>
      </c>
      <c r="S29" s="36">
        <v>346.46809103249751</v>
      </c>
      <c r="T29" s="35">
        <v>14293.04965876327</v>
      </c>
      <c r="U29" s="36">
        <v>291.17836304861845</v>
      </c>
      <c r="V29" s="35">
        <v>14258.205602896578</v>
      </c>
      <c r="W29" s="36">
        <v>237.52443016564547</v>
      </c>
      <c r="X29" s="35">
        <v>14211.568057444179</v>
      </c>
      <c r="Y29" s="36">
        <v>186.1106497057055</v>
      </c>
      <c r="Z29" s="35">
        <v>14148.567828902285</v>
      </c>
      <c r="AA29" s="36">
        <v>137.83369530213261</v>
      </c>
      <c r="AB29" s="35">
        <v>14061.777749076473</v>
      </c>
      <c r="AC29" s="36">
        <v>94.017127535205319</v>
      </c>
      <c r="AD29" s="35">
        <v>13938.455245163697</v>
      </c>
      <c r="AE29" s="36">
        <v>56.548561977551493</v>
      </c>
      <c r="AF29" s="35">
        <v>13755.578065833744</v>
      </c>
      <c r="AG29" s="36">
        <v>27.821152017920145</v>
      </c>
      <c r="AH29" s="35">
        <v>13469.851472322909</v>
      </c>
      <c r="AI29" s="36">
        <v>9.859059397440662</v>
      </c>
      <c r="AJ29" s="35">
        <v>12995.662202466468</v>
      </c>
      <c r="AK29" s="36">
        <v>2.0617875590369388</v>
      </c>
      <c r="AL29" s="35">
        <v>12130.046348980555</v>
      </c>
      <c r="AM29" s="36">
        <v>0.18400406229460448</v>
      </c>
      <c r="AN29" s="35">
        <v>10143.516803459836</v>
      </c>
      <c r="AO29" s="36">
        <v>3.078032603807913E-3</v>
      </c>
      <c r="AP29" s="35">
        <v>9387.2834706910198</v>
      </c>
      <c r="AQ29" s="36">
        <v>9.0441029991877864E-4</v>
      </c>
      <c r="AR29" s="35">
        <v>8357.1268202649808</v>
      </c>
      <c r="AS29" s="36">
        <v>2.0558050769103791E-4</v>
      </c>
      <c r="AT29" s="35">
        <v>6863.5551488821702</v>
      </c>
      <c r="AU29" s="36">
        <v>3.1517928381735329E-5</v>
      </c>
      <c r="AV29" s="35">
        <v>4481.7274598650511</v>
      </c>
      <c r="AW29" s="36">
        <v>2.3506245666074852E-6</v>
      </c>
    </row>
    <row r="30" spans="1:49" x14ac:dyDescent="0.2">
      <c r="A30" t="s">
        <v>48</v>
      </c>
      <c r="B30" s="119">
        <v>2924829.9599999995</v>
      </c>
      <c r="D30" s="119">
        <v>2982002.3015049896</v>
      </c>
      <c r="F30" s="119">
        <v>3040246.3749444378</v>
      </c>
      <c r="H30" s="119">
        <v>3099702.8133752961</v>
      </c>
      <c r="J30" s="119">
        <v>3160544.0246553835</v>
      </c>
      <c r="L30" s="119">
        <v>3222977.1556015913</v>
      </c>
      <c r="N30" s="119">
        <v>3287279.8590569068</v>
      </c>
      <c r="P30" s="119">
        <v>3353819.5572297736</v>
      </c>
      <c r="R30" s="119">
        <v>3423117.7477124017</v>
      </c>
      <c r="T30" s="119">
        <v>3495949.8071338534</v>
      </c>
      <c r="V30" s="119">
        <v>3573525.6409054371</v>
      </c>
      <c r="X30" s="119">
        <v>3657826.2846016688</v>
      </c>
      <c r="Z30" s="119">
        <v>3752244.1959155994</v>
      </c>
      <c r="AB30" s="119">
        <v>3862826.5227904553</v>
      </c>
      <c r="AD30" s="119">
        <v>4000675.8409071481</v>
      </c>
      <c r="AF30" s="119">
        <v>4186144.5997314909</v>
      </c>
      <c r="AH30" s="119">
        <v>4453668.2030460564</v>
      </c>
      <c r="AJ30" s="119">
        <v>4849427.0417244863</v>
      </c>
      <c r="AL30" s="119">
        <v>5412994.0434091277</v>
      </c>
      <c r="AN30" s="119">
        <v>6066490.5588972364</v>
      </c>
      <c r="AP30" s="119">
        <v>6124665.9526266465</v>
      </c>
      <c r="AR30" s="119">
        <v>6055727.6568042822</v>
      </c>
      <c r="AT30" s="119">
        <v>5671640.5746680647</v>
      </c>
      <c r="AV30" s="119">
        <v>4407411.3475221125</v>
      </c>
    </row>
    <row r="31" spans="1:49" x14ac:dyDescent="0.2">
      <c r="A31" t="s">
        <v>47</v>
      </c>
      <c r="B31" s="80">
        <v>1</v>
      </c>
      <c r="D31" s="80">
        <v>0.99790882036410855</v>
      </c>
      <c r="F31" s="80">
        <v>0.99540690123397912</v>
      </c>
      <c r="H31" s="80">
        <v>0.99243833821989336</v>
      </c>
      <c r="J31" s="80">
        <v>0.98893585337614343</v>
      </c>
      <c r="L31" s="80">
        <v>0.98481710031934966</v>
      </c>
      <c r="N31" s="80">
        <v>0.9799808955374264</v>
      </c>
      <c r="P31" s="80">
        <v>0.97429957077697626</v>
      </c>
      <c r="R31" s="80">
        <v>0.96760949638762861</v>
      </c>
      <c r="T31" s="80">
        <v>0.95969591390644571</v>
      </c>
      <c r="V31" s="80">
        <v>0.95026852554015206</v>
      </c>
      <c r="X31" s="80">
        <v>0.93892145382248393</v>
      </c>
      <c r="Z31" s="80">
        <v>0.92506338602011196</v>
      </c>
      <c r="AB31" s="80">
        <v>0.90778998530987409</v>
      </c>
      <c r="AD31" s="80">
        <v>0.8856401792812294</v>
      </c>
      <c r="AF31" s="80">
        <v>0.85611700108401989</v>
      </c>
      <c r="AH31" s="80">
        <v>0.81474716811209136</v>
      </c>
      <c r="AJ31" s="80">
        <v>0.75317323063134423</v>
      </c>
      <c r="AL31" s="80">
        <v>0.65404469415223732</v>
      </c>
      <c r="AN31" s="80">
        <v>0.47087601861925815</v>
      </c>
      <c r="AP31" s="80">
        <v>0.41360171552680919</v>
      </c>
      <c r="AR31" s="80">
        <v>0.34415582479330664</v>
      </c>
      <c r="AT31" s="80">
        <v>0.25789089494595729</v>
      </c>
      <c r="AV31" s="80">
        <v>0.14734260508684568</v>
      </c>
    </row>
    <row r="32" spans="1:49" x14ac:dyDescent="0.2">
      <c r="A32" t="s">
        <v>64</v>
      </c>
      <c r="B32" s="86">
        <v>14734457.915000005</v>
      </c>
      <c r="D32" s="86">
        <v>14736001.342184007</v>
      </c>
      <c r="F32" s="86">
        <v>14735129.366904842</v>
      </c>
      <c r="H32" s="86">
        <v>14731456.90579661</v>
      </c>
      <c r="J32" s="86">
        <v>14724521.403890403</v>
      </c>
      <c r="L32" s="86">
        <v>14713765.922604535</v>
      </c>
      <c r="N32" s="86">
        <v>14698524.42931976</v>
      </c>
      <c r="P32" s="86">
        <v>14677994.651324414</v>
      </c>
      <c r="R32" s="86">
        <v>14651216.992883584</v>
      </c>
      <c r="T32" s="86">
        <v>14617052.453371659</v>
      </c>
      <c r="V32" s="86">
        <v>14574162.514837945</v>
      </c>
      <c r="X32" s="86">
        <v>14521007.960232412</v>
      </c>
      <c r="Z32" s="86">
        <v>14455874.118558802</v>
      </c>
      <c r="AB32" s="86">
        <v>14376916.096362438</v>
      </c>
      <c r="AD32" s="86">
        <v>14282035.834682394</v>
      </c>
      <c r="AF32" s="86">
        <v>14167374.578969512</v>
      </c>
      <c r="AH32" s="86">
        <v>14018660.705430564</v>
      </c>
      <c r="AJ32" s="86">
        <v>13776451.143853717</v>
      </c>
      <c r="AL32" s="86">
        <v>13229710.678578699</v>
      </c>
      <c r="AN32" s="86">
        <v>11559835.206383016</v>
      </c>
      <c r="AP32" s="86">
        <v>10832494.523060519</v>
      </c>
      <c r="AR32" s="86">
        <v>9788409.9952736553</v>
      </c>
      <c r="AT32" s="86">
        <v>8189273.9960349966</v>
      </c>
      <c r="AV32" s="86">
        <v>5480086.0107861357</v>
      </c>
    </row>
    <row r="33" spans="1:49 16319:16321" x14ac:dyDescent="0.2">
      <c r="A33" t="s">
        <v>54</v>
      </c>
      <c r="B33" s="117">
        <v>7019665.6909999885</v>
      </c>
      <c r="D33" s="117">
        <v>7020401.2077515153</v>
      </c>
      <c r="F33" s="117">
        <v>7019985.8148837518</v>
      </c>
      <c r="H33" s="117">
        <v>7018235.9839049214</v>
      </c>
      <c r="J33" s="117">
        <v>7014932.4775222763</v>
      </c>
      <c r="L33" s="117">
        <v>7009807.7997585367</v>
      </c>
      <c r="N33" s="117">
        <v>7002546.5886105374</v>
      </c>
      <c r="P33" s="117">
        <v>6992765.9787791306</v>
      </c>
      <c r="R33" s="117">
        <v>6980008.7939545773</v>
      </c>
      <c r="T33" s="117">
        <v>6963732.433821572</v>
      </c>
      <c r="V33" s="117">
        <v>6943299.1686143884</v>
      </c>
      <c r="X33" s="117">
        <v>6917975.6724573346</v>
      </c>
      <c r="Z33" s="117">
        <v>6886945.1710372493</v>
      </c>
      <c r="AB33" s="117">
        <v>6849328.6416609231</v>
      </c>
      <c r="AD33" s="117">
        <v>6804126.5894546723</v>
      </c>
      <c r="AF33" s="117">
        <v>6749500.6637866404</v>
      </c>
      <c r="AH33" s="117">
        <v>6678651.6444971189</v>
      </c>
      <c r="AJ33" s="117">
        <v>6563260.216163734</v>
      </c>
      <c r="AL33" s="117">
        <v>6302786.7525453214</v>
      </c>
      <c r="AN33" s="117">
        <v>5507238.818012584</v>
      </c>
      <c r="AP33" s="117">
        <v>5160725.3276745845</v>
      </c>
      <c r="AR33" s="117">
        <v>4663311.4166564886</v>
      </c>
      <c r="AT33" s="117">
        <v>3901464.5829381589</v>
      </c>
      <c r="AV33" s="117">
        <v>2610776.1802664013</v>
      </c>
    </row>
    <row r="34" spans="1:49 16319:16321" x14ac:dyDescent="0.2">
      <c r="A34" t="s">
        <v>75</v>
      </c>
      <c r="B34" s="117">
        <v>1136879.4410000162</v>
      </c>
      <c r="D34" s="117">
        <v>1136998.3159973125</v>
      </c>
      <c r="F34" s="117">
        <v>1136931.0096556847</v>
      </c>
      <c r="H34" s="117">
        <v>1136647.8814259937</v>
      </c>
      <c r="J34" s="117">
        <v>1136112.1089972013</v>
      </c>
      <c r="L34" s="117">
        <v>1135282.8786411178</v>
      </c>
      <c r="N34" s="117">
        <v>1134106.8657414061</v>
      </c>
      <c r="P34" s="117">
        <v>1132522.8188988464</v>
      </c>
      <c r="R34" s="117">
        <v>1130456.710327297</v>
      </c>
      <c r="T34" s="117">
        <v>1127820.6266514868</v>
      </c>
      <c r="V34" s="117">
        <v>1124511.3339570547</v>
      </c>
      <c r="X34" s="117">
        <v>1120410.0946137113</v>
      </c>
      <c r="Z34" s="117">
        <v>1115384.4937332219</v>
      </c>
      <c r="AB34" s="117">
        <v>1109292.2776846269</v>
      </c>
      <c r="AD34" s="117">
        <v>1101971.5197234412</v>
      </c>
      <c r="AF34" s="117">
        <v>1093124.482077976</v>
      </c>
      <c r="AH34" s="117">
        <v>1081650.0505944106</v>
      </c>
      <c r="AJ34" s="117">
        <v>1062961.6755298744</v>
      </c>
      <c r="AL34" s="117">
        <v>1020776.3439470006</v>
      </c>
      <c r="AN34" s="117">
        <v>891932.30340058007</v>
      </c>
      <c r="AP34" s="117">
        <v>835812.24290877173</v>
      </c>
      <c r="AR34" s="117">
        <v>755252.90091443039</v>
      </c>
      <c r="AT34" s="117">
        <v>631866.96765614476</v>
      </c>
      <c r="AV34" s="117">
        <v>422831.78360250249</v>
      </c>
    </row>
    <row r="35" spans="1:49 16319:16321" x14ac:dyDescent="0.2">
      <c r="A35" t="s">
        <v>78</v>
      </c>
      <c r="B35" s="233">
        <v>1</v>
      </c>
      <c r="D35" s="233">
        <v>1.0022017598505453</v>
      </c>
      <c r="F35" s="233">
        <v>1.0046706256122213</v>
      </c>
      <c r="H35" s="233">
        <v>1.0074531540007949</v>
      </c>
      <c r="J35" s="233">
        <v>1.0106086970076273</v>
      </c>
      <c r="L35" s="233">
        <v>1.0142140006901124</v>
      </c>
      <c r="N35" s="233">
        <v>1.0183710939232375</v>
      </c>
      <c r="P35" s="233">
        <v>1.023218451870693</v>
      </c>
      <c r="R35" s="233">
        <v>1.0289496850587432</v>
      </c>
      <c r="T35" s="233">
        <v>1.0358442443340963</v>
      </c>
      <c r="V35" s="233">
        <v>1.0443207431667301</v>
      </c>
      <c r="X35" s="233">
        <v>1.055033646347131</v>
      </c>
      <c r="Z35" s="233">
        <v>1.0690582986727131</v>
      </c>
      <c r="AB35" s="233">
        <v>1.0882657450872355</v>
      </c>
      <c r="AD35" s="233">
        <v>1.1161268368592621</v>
      </c>
      <c r="AF35" s="233">
        <v>1.1595145899433328</v>
      </c>
      <c r="AH35" s="233">
        <v>1.2328286490328884</v>
      </c>
      <c r="AJ35" s="233">
        <v>1.3681057099916125</v>
      </c>
      <c r="AL35" s="233">
        <v>1.6494503075851392</v>
      </c>
      <c r="AN35" s="233">
        <v>2.405047778622551</v>
      </c>
      <c r="AP35" s="233">
        <v>2.7197573224927334</v>
      </c>
      <c r="AR35" s="233">
        <v>3.1657849759775925</v>
      </c>
      <c r="AT35" s="233">
        <v>3.8415218793693291</v>
      </c>
      <c r="AV35" s="233">
        <v>4.9763586244421418</v>
      </c>
    </row>
    <row r="36" spans="1:49 16319:16321" x14ac:dyDescent="0.2">
      <c r="A36" t="s">
        <v>21</v>
      </c>
      <c r="B36" s="37">
        <v>0.47195767671988198</v>
      </c>
      <c r="C36" s="38">
        <v>0.31738834428178964</v>
      </c>
      <c r="D36" s="37">
        <v>0.47198196751723642</v>
      </c>
      <c r="E36" s="38">
        <v>0.32002318208325037</v>
      </c>
      <c r="F36" s="37">
        <v>0.47200739417038717</v>
      </c>
      <c r="G36" s="38">
        <v>0.32292012061867159</v>
      </c>
      <c r="H36" s="37">
        <v>0.47203412839469672</v>
      </c>
      <c r="I36" s="38">
        <v>0.32611938726103951</v>
      </c>
      <c r="J36" s="37">
        <v>0.47206237748980356</v>
      </c>
      <c r="K36" s="38">
        <v>0.32967018622727545</v>
      </c>
      <c r="L36" s="37">
        <v>0.47209236526670706</v>
      </c>
      <c r="M36" s="38">
        <v>0.33363324189530313</v>
      </c>
      <c r="N36" s="37">
        <v>0.47212436247171297</v>
      </c>
      <c r="O36" s="38">
        <v>0.33808518464326037</v>
      </c>
      <c r="P36" s="37">
        <v>0.47215864695824167</v>
      </c>
      <c r="Q36" s="38">
        <v>0.34312415279725639</v>
      </c>
      <c r="R36" s="37">
        <v>0.47219549213977985</v>
      </c>
      <c r="S36" s="38">
        <v>0.34887901761418488</v>
      </c>
      <c r="T36" s="37">
        <v>0.47223510760776072</v>
      </c>
      <c r="U36" s="38">
        <v>0.35552370430590868</v>
      </c>
      <c r="V36" s="37">
        <v>0.47227752073268203</v>
      </c>
      <c r="W36" s="38">
        <v>0.3633009937385524</v>
      </c>
      <c r="X36" s="37">
        <v>0.47232233986839894</v>
      </c>
      <c r="Y36" s="38">
        <v>0.37256362568586981</v>
      </c>
      <c r="Z36" s="37">
        <v>0.47236828226573885</v>
      </c>
      <c r="AA36" s="38">
        <v>0.38384905527331514</v>
      </c>
      <c r="AB36" s="37">
        <v>0.47241225133005182</v>
      </c>
      <c r="AC36" s="38">
        <v>0.39802238963463565</v>
      </c>
      <c r="AD36" s="37">
        <v>0.47244767403319349</v>
      </c>
      <c r="AE36" s="38">
        <v>0.4165624705808853</v>
      </c>
      <c r="AF36" s="37">
        <v>0.47246220322965005</v>
      </c>
      <c r="AG36" s="38">
        <v>0.44214750216899373</v>
      </c>
      <c r="AH36" s="37">
        <v>0.47243782998529438</v>
      </c>
      <c r="AI36" s="38">
        <v>0.47983439917807214</v>
      </c>
      <c r="AJ36" s="37">
        <v>0.472362793257181</v>
      </c>
      <c r="AK36" s="38">
        <v>0.53951173610727698</v>
      </c>
      <c r="AL36" s="37">
        <v>0.47225369483210888</v>
      </c>
      <c r="AM36" s="38">
        <v>0.64337257791716118</v>
      </c>
      <c r="AN36" s="37">
        <v>0.4721553260458185</v>
      </c>
      <c r="AO36" s="38">
        <v>0.8636861717861366</v>
      </c>
      <c r="AP36" s="37">
        <v>0.47214295303442055</v>
      </c>
      <c r="AQ36" s="38">
        <v>0.94224850713553265</v>
      </c>
      <c r="AR36" s="37">
        <v>0.47213567344922713</v>
      </c>
      <c r="AS36" s="38">
        <v>1.0454732530705224</v>
      </c>
      <c r="AT36" s="37">
        <v>0.47213623208530525</v>
      </c>
      <c r="AU36" s="38">
        <v>1.1885473205047408</v>
      </c>
      <c r="AV36" s="37">
        <v>0.47215013900014652</v>
      </c>
      <c r="AW36" s="38">
        <v>1.4037486324480257</v>
      </c>
    </row>
    <row r="37" spans="1:49 16319:16321" x14ac:dyDescent="0.2">
      <c r="B37" s="39">
        <v>2.1403217525954466E-2</v>
      </c>
      <c r="C37" s="40">
        <v>0.3496246130199252</v>
      </c>
      <c r="D37" s="39">
        <v>2.068747553423422E-2</v>
      </c>
      <c r="E37" s="40">
        <v>0.34536706708366771</v>
      </c>
      <c r="F37" s="39">
        <v>1.9959494108278453E-2</v>
      </c>
      <c r="G37" s="40">
        <v>0.34100861427606849</v>
      </c>
      <c r="H37" s="39">
        <v>1.9218563009758834E-2</v>
      </c>
      <c r="I37" s="40">
        <v>0.33654412830571656</v>
      </c>
      <c r="J37" s="39">
        <v>1.8463827265007574E-2</v>
      </c>
      <c r="K37" s="40">
        <v>0.33196772757747173</v>
      </c>
      <c r="L37" s="39">
        <v>1.7694285729103143E-2</v>
      </c>
      <c r="M37" s="40">
        <v>0.32727281673012548</v>
      </c>
      <c r="N37" s="39">
        <v>1.6908634805760419E-2</v>
      </c>
      <c r="O37" s="40">
        <v>0.3224512034501793</v>
      </c>
      <c r="P37" s="39">
        <v>1.6105216130137306E-2</v>
      </c>
      <c r="Q37" s="40">
        <v>0.31749286834685109</v>
      </c>
      <c r="R37" s="39">
        <v>1.528180605675832E-2</v>
      </c>
      <c r="S37" s="40">
        <v>0.31238480201751628</v>
      </c>
      <c r="T37" s="39">
        <v>1.4435353912254948E-2</v>
      </c>
      <c r="U37" s="40">
        <v>0.30710958315364439</v>
      </c>
      <c r="V37" s="39">
        <v>1.356156195372726E-2</v>
      </c>
      <c r="W37" s="40">
        <v>0.30164308993184158</v>
      </c>
      <c r="X37" s="39">
        <v>1.2654252668977562E-2</v>
      </c>
      <c r="Y37" s="40">
        <v>0.29595111270271129</v>
      </c>
      <c r="Z37" s="39">
        <v>1.1704411324782102E-2</v>
      </c>
      <c r="AA37" s="40">
        <v>0.28998441827413862</v>
      </c>
      <c r="AB37" s="39">
        <v>1.069884136769556E-2</v>
      </c>
      <c r="AC37" s="40">
        <v>0.28367244896721161</v>
      </c>
      <c r="AD37" s="39">
        <v>9.6186930394106841E-3</v>
      </c>
      <c r="AE37" s="40">
        <v>0.27691862302890574</v>
      </c>
      <c r="AF37" s="39">
        <v>8.4396288408123757E-3</v>
      </c>
      <c r="AG37" s="40">
        <v>0.26961116145137282</v>
      </c>
      <c r="AH37" s="39">
        <v>7.1392965441646108E-3</v>
      </c>
      <c r="AI37" s="40">
        <v>0.26168928178007583</v>
      </c>
      <c r="AJ37" s="39">
        <v>5.7174103839346306E-3</v>
      </c>
      <c r="AK37" s="40">
        <v>0.25329752007589079</v>
      </c>
      <c r="AL37" s="39">
        <v>4.203591483810964E-3</v>
      </c>
      <c r="AM37" s="40">
        <v>0.24486639210480657</v>
      </c>
      <c r="AN37" s="39">
        <v>2.6161652384770256E-3</v>
      </c>
      <c r="AO37" s="40">
        <v>0.23694792467306292</v>
      </c>
      <c r="AP37" s="39">
        <v>2.2873249549876778E-3</v>
      </c>
      <c r="AQ37" s="40">
        <v>0.23548251232922965</v>
      </c>
      <c r="AR37" s="39">
        <v>1.9529139640413519E-3</v>
      </c>
      <c r="AS37" s="40">
        <v>0.23407500846938648</v>
      </c>
      <c r="AT37" s="39">
        <v>1.6113291297951298E-3</v>
      </c>
      <c r="AU37" s="40">
        <v>0.23273916956470053</v>
      </c>
      <c r="AV37" s="39">
        <v>1.2598681822403547E-3</v>
      </c>
      <c r="AW37" s="40">
        <v>0.23149749715082049</v>
      </c>
    </row>
    <row r="38" spans="1:49 16319:16321" x14ac:dyDescent="0.2">
      <c r="A38" t="s">
        <v>22</v>
      </c>
      <c r="B38" s="37">
        <v>0.18079094942242827</v>
      </c>
      <c r="C38" s="38">
        <v>6.0565413429233668E-2</v>
      </c>
      <c r="D38" s="37">
        <v>0.18090479236045323</v>
      </c>
      <c r="E38" s="38">
        <v>6.0870952393852658E-2</v>
      </c>
      <c r="F38" s="37">
        <v>0.18104334189709231</v>
      </c>
      <c r="G38" s="38">
        <v>6.121019860178166E-2</v>
      </c>
      <c r="H38" s="37">
        <v>0.18121037361103459</v>
      </c>
      <c r="I38" s="38">
        <v>6.158843245314638E-2</v>
      </c>
      <c r="J38" s="37">
        <v>0.18141055744482107</v>
      </c>
      <c r="K38" s="38">
        <v>6.201209768101909E-2</v>
      </c>
      <c r="L38" s="37">
        <v>0.18164975025536786</v>
      </c>
      <c r="M38" s="38">
        <v>6.2489186967559313E-2</v>
      </c>
      <c r="N38" s="37">
        <v>0.18193544189730493</v>
      </c>
      <c r="O38" s="38">
        <v>6.3029870397875651E-2</v>
      </c>
      <c r="P38" s="37">
        <v>0.18227743134209268</v>
      </c>
      <c r="Q38" s="38">
        <v>6.3647175191584832E-2</v>
      </c>
      <c r="R38" s="37">
        <v>0.18268886786366229</v>
      </c>
      <c r="S38" s="38">
        <v>6.4358274578535865E-2</v>
      </c>
      <c r="T38" s="37">
        <v>0.18318793069542105</v>
      </c>
      <c r="U38" s="38">
        <v>6.5186523305042821E-2</v>
      </c>
      <c r="V38" s="37">
        <v>0.18380067907700479</v>
      </c>
      <c r="W38" s="38">
        <v>6.6164627074648083E-2</v>
      </c>
      <c r="X38" s="37">
        <v>0.18456604991763748</v>
      </c>
      <c r="Y38" s="38">
        <v>6.7340401419964974E-2</v>
      </c>
      <c r="Z38" s="37">
        <v>0.18554515008256178</v>
      </c>
      <c r="AA38" s="38">
        <v>6.878717741151931E-2</v>
      </c>
      <c r="AB38" s="37">
        <v>0.18683950194377064</v>
      </c>
      <c r="AC38" s="38">
        <v>7.0623879663855096E-2</v>
      </c>
      <c r="AD38" s="37">
        <v>0.18862895801603582</v>
      </c>
      <c r="AE38" s="38">
        <v>7.3055659268727854E-2</v>
      </c>
      <c r="AF38" s="37">
        <v>0.19125434402200719</v>
      </c>
      <c r="AG38" s="38">
        <v>7.645872714643108E-2</v>
      </c>
      <c r="AH38" s="37">
        <v>0.19540519261537481</v>
      </c>
      <c r="AI38" s="38">
        <v>8.1557601073090791E-2</v>
      </c>
      <c r="AJ38" s="37">
        <v>0.20260692424099083</v>
      </c>
      <c r="AK38" s="38">
        <v>8.9824197233769609E-2</v>
      </c>
      <c r="AL38" s="37">
        <v>0.21712410435433219</v>
      </c>
      <c r="AM38" s="38">
        <v>0.10483515480766965</v>
      </c>
      <c r="AN38" s="37">
        <v>0.25969817642911808</v>
      </c>
      <c r="AO38" s="38">
        <v>0.14063345769227004</v>
      </c>
      <c r="AP38" s="37">
        <v>0.28062615495272525</v>
      </c>
      <c r="AQ38" s="38">
        <v>0.15537909294956534</v>
      </c>
      <c r="AR38" s="37">
        <v>0.3152225854545192</v>
      </c>
      <c r="AS38" s="38">
        <v>0.17715601337586856</v>
      </c>
      <c r="AT38" s="37">
        <v>0.38381745268745765</v>
      </c>
      <c r="AU38" s="38">
        <v>0.21398014124985598</v>
      </c>
      <c r="AV38" s="37">
        <v>0.58778231141951376</v>
      </c>
      <c r="AW38" s="38">
        <v>0.29786938492367376</v>
      </c>
    </row>
    <row r="39" spans="1:49 16319:16321" x14ac:dyDescent="0.2">
      <c r="A39" t="s">
        <v>23</v>
      </c>
      <c r="B39" s="39">
        <v>0.23064923795098732</v>
      </c>
      <c r="C39" s="40">
        <v>0.22092201281804777</v>
      </c>
      <c r="D39" s="39">
        <v>0.23120484570537955</v>
      </c>
      <c r="E39" s="40">
        <v>0.22223387365872024</v>
      </c>
      <c r="F39" s="39">
        <v>0.23179399017373992</v>
      </c>
      <c r="G39" s="40">
        <v>0.22367134835669952</v>
      </c>
      <c r="H39" s="39">
        <v>0.23242186126595316</v>
      </c>
      <c r="I39" s="40">
        <v>0.22525411302017706</v>
      </c>
      <c r="J39" s="39">
        <v>0.23309481829097373</v>
      </c>
      <c r="K39" s="40">
        <v>0.22700633002757487</v>
      </c>
      <c r="L39" s="39">
        <v>0.23382072786500799</v>
      </c>
      <c r="M39" s="40">
        <v>0.22895786922873407</v>
      </c>
      <c r="N39" s="39">
        <v>0.23460956486449219</v>
      </c>
      <c r="O39" s="40">
        <v>0.23114641772286645</v>
      </c>
      <c r="P39" s="39">
        <v>0.23547414028823485</v>
      </c>
      <c r="Q39" s="40">
        <v>0.23362040922479244</v>
      </c>
      <c r="R39" s="39">
        <v>0.23643136640541768</v>
      </c>
      <c r="S39" s="40">
        <v>0.23644357704026453</v>
      </c>
      <c r="T39" s="39">
        <v>0.23750423694977998</v>
      </c>
      <c r="U39" s="40">
        <v>0.23970201673977354</v>
      </c>
      <c r="V39" s="39">
        <v>0.23872516204078109</v>
      </c>
      <c r="W39" s="40">
        <v>0.24351629538451447</v>
      </c>
      <c r="X39" s="39">
        <v>0.24014190026816304</v>
      </c>
      <c r="Y39" s="40">
        <v>0.24806209285767403</v>
      </c>
      <c r="Z39" s="39">
        <v>0.24182868958290921</v>
      </c>
      <c r="AA39" s="40">
        <v>0.25360819105716675</v>
      </c>
      <c r="AB39" s="39">
        <v>0.24390848460348269</v>
      </c>
      <c r="AC39" s="40">
        <v>0.26058978027550322</v>
      </c>
      <c r="AD39" s="39">
        <v>0.2466003024515189</v>
      </c>
      <c r="AE39" s="40">
        <v>0.26975731798105357</v>
      </c>
      <c r="AF39" s="39">
        <v>0.2503257983235132</v>
      </c>
      <c r="AG39" s="40">
        <v>0.28248853699045429</v>
      </c>
      <c r="AH39" s="39">
        <v>0.25596031216889603</v>
      </c>
      <c r="AI39" s="40">
        <v>0.30144589625097168</v>
      </c>
      <c r="AJ39" s="39">
        <v>0.26549364970229045</v>
      </c>
      <c r="AK39" s="40">
        <v>0.33206244641437099</v>
      </c>
      <c r="AL39" s="39">
        <v>0.28454609930313035</v>
      </c>
      <c r="AM39" s="40">
        <v>0.38757502977740976</v>
      </c>
      <c r="AN39" s="39">
        <v>0.34034446915937933</v>
      </c>
      <c r="AO39" s="40">
        <v>0.51992429012539654</v>
      </c>
      <c r="AP39" s="39">
        <v>0.36777146127506655</v>
      </c>
      <c r="AQ39" s="40">
        <v>0.57443938992803945</v>
      </c>
      <c r="AR39" s="39">
        <v>0.41311145338063526</v>
      </c>
      <c r="AS39" s="40">
        <v>0.65494917422782117</v>
      </c>
      <c r="AT39" s="39">
        <v>0.50300770346604184</v>
      </c>
      <c r="AU39" s="40">
        <v>0.79108864509808463</v>
      </c>
      <c r="AV39" s="39">
        <v>0.77031158920582532</v>
      </c>
      <c r="AW39" s="40">
        <v>1.101228390102809</v>
      </c>
    </row>
    <row r="40" spans="1:49 16319:16321"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49 16319:16321" x14ac:dyDescent="0.2">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row>
    <row r="42" spans="1:49 16319:16321" x14ac:dyDescent="0.2">
      <c r="A42" t="s">
        <v>107</v>
      </c>
      <c r="B42" s="177">
        <f>10.8%+(1-10.8%)*(1-SUM(B26:C26)/SUM($B$26:$C$26))</f>
        <v>0.10800000000000001</v>
      </c>
      <c r="C42" s="135"/>
      <c r="D42" s="177">
        <f>10.8%+(1-10.8%)*(1-SUM(D26:E26)/SUM($B$26:$C$26))</f>
        <v>0.1080000000000003</v>
      </c>
      <c r="E42" s="135"/>
      <c r="F42" s="177">
        <f>10.8%+(1-10.8%)*(1-SUM(F26:G26)/SUM($B$26:$C$26))</f>
        <v>0.10800000000000209</v>
      </c>
      <c r="G42" s="135"/>
      <c r="H42" s="177">
        <f>10.8%+(1-10.8%)*(1-SUM(H26:I26)/SUM($B$26:$C$26))</f>
        <v>0.10799999999999982</v>
      </c>
      <c r="I42" s="135"/>
      <c r="J42" s="177">
        <f>10.8%+(1-10.8%)*(1-SUM(J26:K26)/SUM($B$26:$C$26))</f>
        <v>0.10799999999999982</v>
      </c>
      <c r="K42" s="135"/>
      <c r="L42" s="177">
        <f>10.8%+(1-10.8%)*(1-SUM(L26:M26)/SUM($B$26:$C$26))</f>
        <v>0.10799999999999961</v>
      </c>
      <c r="M42" s="135"/>
      <c r="N42" s="177">
        <f>10.8%+(1-10.8%)*(1-SUM(N26:O26)/SUM($B$26:$C$26))</f>
        <v>0.10800000000000021</v>
      </c>
      <c r="O42" s="135"/>
      <c r="P42" s="177">
        <f>10.8%+(1-10.8%)*(1-SUM(P26:Q26)/SUM($B$26:$C$26))</f>
        <v>0.10799999999999961</v>
      </c>
      <c r="Q42" s="135"/>
      <c r="R42" s="177">
        <f>10.8%+(1-10.8%)*(1-SUM(R26:S26)/SUM($B$26:$C$26))</f>
        <v>0.10800000000000061</v>
      </c>
      <c r="S42" s="135"/>
      <c r="T42" s="177">
        <f>10.8%+(1-10.8%)*(1-SUM(T26:U26)/SUM($B$26:$C$26))</f>
        <v>0.10799999999999961</v>
      </c>
      <c r="U42" s="135"/>
      <c r="V42" s="177">
        <f>10.8%+(1-10.8%)*(1-SUM(V26:W26)/SUM($B$26:$C$26))</f>
        <v>0.10800000000000061</v>
      </c>
      <c r="W42" s="135"/>
      <c r="X42" s="177">
        <f>10.8%+(1-10.8%)*(1-SUM(X26:Y26)/SUM($B$26:$C$26))</f>
        <v>0.10800000000000021</v>
      </c>
      <c r="Y42" s="162"/>
      <c r="Z42" s="177">
        <f>10.8%+(1-10.8%)*(1-SUM(Z26:AA26)/SUM($B$26:$C$26))</f>
        <v>0.10799999999999982</v>
      </c>
      <c r="AA42" s="135"/>
      <c r="AB42" s="177">
        <f>10.8%+(1-10.8%)*(1-SUM(AB26:AC26)/SUM($B$26:$C$26))</f>
        <v>0.10799999999999961</v>
      </c>
      <c r="AC42" s="135"/>
      <c r="AD42" s="177">
        <f>10.8%+(1-10.8%)*(1-SUM(AD26:AE26)/SUM($B$26:$C$26))</f>
        <v>0.10800000000000001</v>
      </c>
      <c r="AE42" s="135"/>
      <c r="AF42" s="177">
        <f>10.8%+(1-10.8%)*(1-SUM(AF26:AG26)/SUM($B$26:$C$26))</f>
        <v>0.10799999999999862</v>
      </c>
      <c r="AG42" s="135"/>
      <c r="AH42" s="177">
        <f>10.8%+(1-10.8%)*(1-SUM(AH26:AI26)/SUM($B$26:$C$26))</f>
        <v>0.10799999999999903</v>
      </c>
      <c r="AI42" s="135"/>
      <c r="AJ42" s="177">
        <f>10.8%+(1-10.8%)*(1-SUM(AJ26:AK26)/SUM($B$26:$C$26))</f>
        <v>0.10799999999999961</v>
      </c>
      <c r="AK42" s="135"/>
      <c r="AL42" s="177">
        <f>10.8%+(1-10.8%)*(1-SUM(AL26:AM26)/SUM($B$26:$C$26))</f>
        <v>0.10799999999999882</v>
      </c>
      <c r="AM42" s="135"/>
      <c r="AN42" s="177">
        <f>10.8%+(1-10.8%)*(1-SUM(AN26:AO26)/SUM($B$26:$C$26))</f>
        <v>0.10799999999999961</v>
      </c>
      <c r="AO42" s="135"/>
      <c r="AP42" s="177">
        <f>10.8%+(1-10.8%)*(1-SUM(AP26:AQ26)/SUM($B$26:$C$26))</f>
        <v>0.10799999999999961</v>
      </c>
      <c r="AQ42" s="135"/>
      <c r="AR42" s="177">
        <f>10.8%+(1-10.8%)*(1-SUM(AR26:AS26)/SUM($B$26:$C$26))</f>
        <v>0.10800000000000001</v>
      </c>
      <c r="AS42" s="135"/>
      <c r="AT42" s="177">
        <f>10.8%+(1-10.8%)*(1-SUM(AT26:AU26)/SUM($B$26:$C$26))</f>
        <v>0.10799999999999942</v>
      </c>
      <c r="AU42" s="135"/>
      <c r="AV42" s="177">
        <f>10.8%+(1-10.8%)*(1-SUM(AV26:AW26)/SUM($B$26:$C$26))</f>
        <v>0.10799999999999982</v>
      </c>
    </row>
    <row r="43" spans="1:49 16319:16321" x14ac:dyDescent="0.2">
      <c r="A43" t="s">
        <v>108</v>
      </c>
      <c r="B43" s="162">
        <f>SUM(B15:C15*B27:C27)/SUM(B15:C15*B27:C27,B13:C13*B26:C26)</f>
        <v>0.56058995943839174</v>
      </c>
      <c r="C43" s="135"/>
      <c r="D43" s="162">
        <f t="array" ref="D43">SUM(D15:E15*D27:E27)/SUM(D15:E15*D27:E27,D13:E13*D26:E26)</f>
        <v>0.56647355960775014</v>
      </c>
      <c r="E43" s="135"/>
      <c r="F43" s="162">
        <f t="array" ref="F43">SUM(F15:G15*F27:G27)/SUM(F15:G15*F27:G27,F13:G13*F26:G26)</f>
        <v>0.56574513289307238</v>
      </c>
      <c r="G43" s="135"/>
      <c r="H43" s="162">
        <f t="array" ref="H43">SUM(H15:I15*H27:I27)/SUM(H15:I15*H27:I27,H13:I13*H26:I26)</f>
        <v>0.56501495593718276</v>
      </c>
      <c r="I43" s="135"/>
      <c r="J43" s="162">
        <f t="array" ref="J43">SUM(J15:K15*J27:K27)/SUM(J15:K15*J27:K27,J13:K13*J26:K26)</f>
        <v>0.56428276666085364</v>
      </c>
      <c r="K43" s="135"/>
      <c r="L43" s="162">
        <f t="array" ref="L43">SUM(L15:M15*L27:M27)/SUM(L15:M15*L27:M27,L13:M13*L26:M26)</f>
        <v>0.5635484080002684</v>
      </c>
      <c r="M43" s="135"/>
      <c r="N43" s="162">
        <f t="array" ref="N43">SUM(N15:O15*N27:O27)/SUM(N15:O15*N27:O27,N13:O13*N26:O26)</f>
        <v>0.56281182677192554</v>
      </c>
      <c r="O43" s="135"/>
      <c r="P43" s="162">
        <f t="array" ref="P43">SUM(P15:Q15*P27:Q27)/SUM(P15:Q15*P27:Q27,P13:Q13*P26:Q26)</f>
        <v>0.5620733483796837</v>
      </c>
      <c r="Q43" s="135"/>
      <c r="R43" s="162">
        <f t="array" ref="R43">SUM(R15:S15*R27:S27)/SUM(R15:S15*R27:S27,R13:S13*R26:S26)</f>
        <v>0.56133386614783753</v>
      </c>
      <c r="S43" s="135"/>
      <c r="T43" s="162">
        <f t="array" ref="T43">SUM(T15:U15*T27:U27)/SUM(T15:U15*T27:U27,T13:U13*T26:U26)</f>
        <v>0.56059523658174926</v>
      </c>
      <c r="U43" s="135"/>
      <c r="V43" s="162">
        <f t="array" ref="V43">SUM(V15:W15*V27:W27)/SUM(V15:W15*V27:W27,V13:W13*V26:W26)</f>
        <v>0.5598609879396379</v>
      </c>
      <c r="W43" s="135"/>
      <c r="X43" s="162">
        <f t="array" ref="X43">SUM(X15:Y15*X27:Y27)/SUM(X15:Y15*X27:Y27,X13:Y13*X26:Y26)</f>
        <v>0.55913739421318598</v>
      </c>
      <c r="Y43" s="135"/>
      <c r="Z43" s="162">
        <f t="array" ref="Z43">SUM(Z15:AA15*Z27:AA27)/SUM(Z15:AA15*Z27:AA27,Z13:AA13*Z26:AA26)</f>
        <v>0.55843526759913487</v>
      </c>
      <c r="AA43" s="135"/>
      <c r="AB43" s="162">
        <f t="array" ref="AB43">SUM(AB15:AC15*AB27:AC27)/SUM(AB15:AC15*AB27:AC27,AB13:AC13*AB26:AC26)</f>
        <v>0.55777275751520139</v>
      </c>
      <c r="AC43" s="135"/>
      <c r="AD43" s="162">
        <f t="array" ref="AD43">SUM(AD15:AE15*AD27:AE27)/SUM(AD15:AE15*AD27:AE27,AD13:AE13*AD26:AE26)</f>
        <v>0.55717912559829208</v>
      </c>
      <c r="AE43" s="135"/>
      <c r="AF43" s="162">
        <f t="array" ref="AF43">SUM(AF15:AG15*AF27:AG27)/SUM(AF15:AG15*AF27:AG27,AF13:AG13*AF26:AG26)</f>
        <v>0.55669705910168621</v>
      </c>
      <c r="AG43" s="135"/>
      <c r="AH43" s="162">
        <f t="array" ref="AH43">SUM(AH15:AI15*AH27:AI27)/SUM(AH15:AI15*AH27:AI27,AH13:AI13*AH26:AI26)</f>
        <v>0.55637291847905135</v>
      </c>
      <c r="AI43" s="135"/>
      <c r="AJ43" s="162">
        <f t="array" ref="AJ43">SUM(AJ15:AK15*AJ27:AK27)/SUM(AJ15:AK15*AJ27:AK27,AJ13:AK13*AJ26:AK26)</f>
        <v>0.55621821061611953</v>
      </c>
      <c r="AK43" s="135"/>
      <c r="AL43" s="162">
        <f t="array" ref="AL43">SUM(AL15:AM15*AL27:AM27)/SUM(AL15:AM15*AL27:AM27,AL13:AM13*AL26:AM26)</f>
        <v>0.55617582669724852</v>
      </c>
      <c r="AM43" s="135"/>
      <c r="AN43" s="162">
        <f t="array" ref="AN43">SUM(AN15:AO15*AN27:AO27)/SUM(AN15:AO15*AN27:AO27,AN13:AO13*AN26:AO26)</f>
        <v>0.55617089994561908</v>
      </c>
      <c r="AO43" s="135"/>
      <c r="AP43" s="162">
        <f t="array" ref="AP43">SUM(AP15:AQ15*AP27:AQ27)/SUM(AP15:AQ15*AP27:AQ27,AP13:AQ13*AP26:AQ26)</f>
        <v>0.55617082204407009</v>
      </c>
      <c r="AQ43" s="135"/>
      <c r="AR43" s="162">
        <f t="array" ref="AR43">SUM(AR15:AS15*AR27:AS27)/SUM(AR15:AS15*AR27:AS27,AR13:AS13*AR26:AS26)</f>
        <v>0.55617079414429971</v>
      </c>
      <c r="AS43" s="135"/>
      <c r="AT43" s="162">
        <f t="array" ref="AT43">SUM(AT15:AU15*AT27:AU27)/SUM(AT15:AU15*AT27:AU27,AT13:AU13*AT26:AU26)</f>
        <v>0.55617078615685589</v>
      </c>
      <c r="AU43" s="135"/>
      <c r="AV43" s="162">
        <f t="array" ref="AV43">SUM(AV15:AW15*AV27:AW27)/SUM(AV15:AW15*AV27:AW27,AV13:AW13*AV26:AW26)</f>
        <v>0.55617078466092262</v>
      </c>
    </row>
    <row r="44" spans="1:49 16319:16321" x14ac:dyDescent="0.2">
      <c r="A44" t="s">
        <v>142</v>
      </c>
      <c r="B44" s="193">
        <f>(SUM(B11:C11*B24:C24)+B34)/B32</f>
        <v>0.29754226190682465</v>
      </c>
      <c r="D44" s="193">
        <f>(SUM(D11:E11*D24:E24)+D34)/D32</f>
        <v>0.29754224763973131</v>
      </c>
      <c r="F44" s="193">
        <f>(SUM(F11:G11*F24:G24)+F34)/F32</f>
        <v>0.2975422458599965</v>
      </c>
      <c r="H44" s="193">
        <f>(SUM(H11:I11*H24:I24)+H34)/H32</f>
        <v>0.29754226134329204</v>
      </c>
      <c r="J44" s="193">
        <f>(SUM(J11:K11*J24:K24)+J34)/J32</f>
        <v>0.29754221742198733</v>
      </c>
      <c r="L44" s="193">
        <f>(SUM(L11:M11*L24:M24)+L34)/L32</f>
        <v>0.29754226105133741</v>
      </c>
      <c r="N44" s="193">
        <f>(SUM(N11:O11*N24:O24)+N34)/N32</f>
        <v>0.29754226023124775</v>
      </c>
      <c r="P44" s="193">
        <f>(SUM(P11:Q11*P24:Q24)+P34)/P32</f>
        <v>0.29754225933052797</v>
      </c>
      <c r="R44" s="193">
        <f>(SUM(R11:S11*R24:S24)+R34)/R32</f>
        <v>0.29754225929185962</v>
      </c>
      <c r="T44" s="193">
        <f>(SUM(T11:U11*T24:U24)+T34)/T32</f>
        <v>0.29754225788134858</v>
      </c>
      <c r="V44" s="193">
        <f>(SUM(V11:W11*V24:W24)+V34)/V32</f>
        <v>0.2975422581314302</v>
      </c>
      <c r="X44" s="193">
        <f>(SUM(X11:Y11*X24:Y24)+X34)/X32</f>
        <v>0.29754226178701082</v>
      </c>
      <c r="Z44" s="193">
        <f>(SUM(Z11:AA11*Z24:AA24)+Z34)/Z32</f>
        <v>0.29754226095800096</v>
      </c>
      <c r="AB44" s="193">
        <f>(SUM(AB11:AC11*AB24:AC24)+AB34)/AB32</f>
        <v>0.29754226213088408</v>
      </c>
      <c r="AD44" s="193">
        <f>(SUM(AD11:AE11*AD24:AE24)+AD34)/AD32</f>
        <v>0.29754226221903046</v>
      </c>
      <c r="AF44" s="193">
        <f>(SUM(AF11:AG11*AF24:AG24)+AF34)/AF32</f>
        <v>0.29754226088027319</v>
      </c>
      <c r="AH44" s="193">
        <f>(SUM(AH11:AI11*AH24:AI24)+AH34)/AH32</f>
        <v>0.29754226192082678</v>
      </c>
      <c r="AJ44" s="193">
        <f>(SUM(AJ11:AK11*AJ24:AK24)+AJ34)/AJ32</f>
        <v>0.29754226189691813</v>
      </c>
      <c r="AL44" s="193">
        <f>(SUM(AL11:AM11*AL24:AM24)+AL34)/AL32</f>
        <v>0.29754226190516503</v>
      </c>
      <c r="AN44" s="193">
        <f>(SUM(AN11:AO11*AN24:AO24)+AN34)/AN32</f>
        <v>0.2975422619068237</v>
      </c>
      <c r="AP44" s="193">
        <f>(SUM(AP11:AQ11*AP24:AQ24)+AP34)/AP32</f>
        <v>0.2975422619066832</v>
      </c>
      <c r="AR44" s="193">
        <f>(SUM(AR11:AS11*AR24:AS24)+AR34)/AR32</f>
        <v>0.29754226190682298</v>
      </c>
      <c r="AT44" s="193">
        <f>(SUM(AT11:AU11*AT24:AU24)+AT34)/AT32</f>
        <v>0.29754226190682381</v>
      </c>
      <c r="AV44" s="193">
        <f>(SUM(AV11:AW11*AV24:AW24)+AV34)/AV32</f>
        <v>0.29754226190713018</v>
      </c>
    </row>
    <row r="45" spans="1:49 16319:16321" x14ac:dyDescent="0.2">
      <c r="A45" t="s">
        <v>82</v>
      </c>
      <c r="B45" s="193">
        <f>SUM(B11:C11*B24:C24)/B32</f>
        <v>0.22038438833194082</v>
      </c>
      <c r="D45" s="193">
        <f>SUM(D11:E11*D24:E24)/D32</f>
        <v>0.22038438848953665</v>
      </c>
      <c r="F45" s="193">
        <f>SUM(F11:G11*F24:G24)/F32</f>
        <v>0.22038438851473041</v>
      </c>
      <c r="H45" s="193">
        <f>SUM(H11:I11*H24:I24)/H32</f>
        <v>0.22038438831725482</v>
      </c>
      <c r="J45" s="193">
        <f>SUM(J11:K11*J24:K24)/J32</f>
        <v>0.22038438812255581</v>
      </c>
      <c r="L45" s="193">
        <f>SUM(L11:M11*L24:M24)/L32</f>
        <v>0.22038438830735141</v>
      </c>
      <c r="N45" s="193">
        <f>SUM(N11:O11*N24:O24)/N32</f>
        <v>0.22038438828328835</v>
      </c>
      <c r="P45" s="193">
        <f>SUM(P11:Q11*P24:Q24)/P32</f>
        <v>0.22038438825876969</v>
      </c>
      <c r="R45" s="193">
        <f>SUM(R11:S11*R24:S24)/R32</f>
        <v>0.2203843883193401</v>
      </c>
      <c r="T45" s="193">
        <f>SUM(T11:U11*T24:U24)/T32</f>
        <v>0.22038438831433227</v>
      </c>
      <c r="V45" s="193">
        <f>SUM(V11:W11*V24:W24)/V32</f>
        <v>0.22038438831817744</v>
      </c>
      <c r="X45" s="193">
        <f>SUM(X11:Y11*X24:Y24)/X32</f>
        <v>0.22038438833345345</v>
      </c>
      <c r="Z45" s="193">
        <f>SUM(Z11:AA11*Z24:AA24)/Z32</f>
        <v>0.22038438834611482</v>
      </c>
      <c r="AB45" s="193">
        <f>SUM(AB11:AC11*AB24:AC24)/AB32</f>
        <v>0.22038438833865312</v>
      </c>
      <c r="AD45" s="193">
        <f>SUM(AD11:AE11*AD24:AE24)/AD32</f>
        <v>0.22038438833613339</v>
      </c>
      <c r="AF45" s="193">
        <f>SUM(AF11:AG11*AF24:AG24)/AF32</f>
        <v>0.22038438833410337</v>
      </c>
      <c r="AH45" s="193">
        <f>SUM(AH11:AI11*AH24:AI24)/AH32</f>
        <v>0.22038438833198959</v>
      </c>
      <c r="AJ45" s="193">
        <f>SUM(AJ11:AK11*AJ24:AK24)/AJ32</f>
        <v>0.22038438833206259</v>
      </c>
      <c r="AL45" s="193">
        <f>SUM(AL11:AM11*AL24:AM24)/AL32</f>
        <v>0.22038438833202462</v>
      </c>
      <c r="AN45" s="193">
        <f>SUM(AN11:AO11*AN24:AO24)/AN32</f>
        <v>0.22038438833194085</v>
      </c>
      <c r="AP45" s="193">
        <f>SUM(AP11:AQ11*AP24:AQ24)/AP32</f>
        <v>0.22038438833199817</v>
      </c>
      <c r="AR45" s="193">
        <f>SUM(AR11:AS11*AR24:AS24)/AR32</f>
        <v>0.22038438833194152</v>
      </c>
      <c r="AT45" s="193">
        <f>SUM(AT11:AU11*AT24:AU24)/AT32</f>
        <v>0.22038438833194085</v>
      </c>
      <c r="AV45" s="193">
        <f>SUM(AV11:AW11*AV24:AW24)/AV32</f>
        <v>0.22038438833173976</v>
      </c>
      <c r="XCQ45" s="193"/>
    </row>
    <row r="46" spans="1:49 16319:16321" x14ac:dyDescent="0.2">
      <c r="A46" t="s">
        <v>139</v>
      </c>
      <c r="B46" s="193">
        <f>B34/B32</f>
        <v>7.7157873574883795E-2</v>
      </c>
      <c r="D46" s="193">
        <f>D34/D32</f>
        <v>7.715785915019463E-2</v>
      </c>
      <c r="F46" s="193">
        <f>F34/F32</f>
        <v>7.7157857345266076E-2</v>
      </c>
      <c r="H46" s="193">
        <f>H34/H32</f>
        <v>7.7157873026037202E-2</v>
      </c>
      <c r="J46" s="193">
        <f>J34/J32</f>
        <v>7.7157829299431505E-2</v>
      </c>
      <c r="L46" s="193">
        <f>L34/L32</f>
        <v>7.7157872743985959E-2</v>
      </c>
      <c r="N46" s="193">
        <f>N34/N32</f>
        <v>7.7157871947959339E-2</v>
      </c>
      <c r="P46" s="193">
        <f>P34/P32</f>
        <v>7.7157871071758255E-2</v>
      </c>
      <c r="R46" s="193">
        <f>R34/R32</f>
        <v>7.7157870972519527E-2</v>
      </c>
      <c r="T46" s="193">
        <f>T34/T32</f>
        <v>7.7157869567016354E-2</v>
      </c>
      <c r="V46" s="193">
        <f>V34/V32</f>
        <v>7.7157869813252761E-2</v>
      </c>
      <c r="X46" s="193">
        <f>X34/X32</f>
        <v>7.7157873453557346E-2</v>
      </c>
      <c r="Z46" s="193">
        <f>Z34/Z32</f>
        <v>7.7157872611886141E-2</v>
      </c>
      <c r="AB46" s="193">
        <f>AB34/AB32</f>
        <v>7.7157873792230963E-2</v>
      </c>
      <c r="AD46" s="193">
        <f>AD34/AD32</f>
        <v>7.7157873882897104E-2</v>
      </c>
      <c r="AF46" s="193">
        <f>AF34/AF32</f>
        <v>7.715787254616982E-2</v>
      </c>
      <c r="AH46" s="193">
        <f>AH34/AH32</f>
        <v>7.7157873588837189E-2</v>
      </c>
      <c r="AJ46" s="193">
        <f>AJ34/AJ32</f>
        <v>7.7157873564855525E-2</v>
      </c>
      <c r="AL46" s="193">
        <f>AL34/AL32</f>
        <v>7.7157873573140384E-2</v>
      </c>
      <c r="AN46" s="193">
        <f>AN34/AN32</f>
        <v>7.715787357488281E-2</v>
      </c>
      <c r="AP46" s="193">
        <f>AP34/AP32</f>
        <v>7.7157873574685051E-2</v>
      </c>
      <c r="AR46" s="193">
        <f>AR34/AR32</f>
        <v>7.7157873574881422E-2</v>
      </c>
      <c r="AT46" s="193">
        <f>AT34/AT32</f>
        <v>7.7157873574882949E-2</v>
      </c>
      <c r="AV46" s="193">
        <f>AV34/AV32</f>
        <v>7.7157873575390459E-2</v>
      </c>
      <c r="XCS46" s="193"/>
    </row>
    <row r="48" spans="1:49 16319:16321" x14ac:dyDescent="0.2">
      <c r="A48" t="s">
        <v>159</v>
      </c>
      <c r="B48" s="191">
        <f>B24/$B$24</f>
        <v>1</v>
      </c>
      <c r="C48" s="191"/>
      <c r="D48" s="191">
        <f>D24/$B$24</f>
        <v>1.0016601957582905</v>
      </c>
      <c r="E48" s="191"/>
      <c r="F48" s="191">
        <f>F24/$B$24</f>
        <v>1.0032086265984208</v>
      </c>
      <c r="G48" s="191"/>
      <c r="H48" s="191">
        <f>H24/$B$24</f>
        <v>1.0046269924176099</v>
      </c>
      <c r="I48" s="191"/>
      <c r="J48" s="191">
        <f>J24/$B$24</f>
        <v>1.005892760040322</v>
      </c>
      <c r="K48" s="191"/>
      <c r="L48" s="191">
        <f>L24/$B$24</f>
        <v>1.0069778547781059</v>
      </c>
      <c r="M48" s="191"/>
      <c r="N48" s="191">
        <f>N24/$B$24</f>
        <v>1.0078473024985481</v>
      </c>
      <c r="O48" s="191"/>
      <c r="P48" s="191">
        <f>P24/$B$24</f>
        <v>1.0084564237890967</v>
      </c>
      <c r="Q48" s="191"/>
      <c r="R48" s="191">
        <f>R24/$B$24</f>
        <v>1.0087476428104225</v>
      </c>
      <c r="S48" s="191"/>
      <c r="T48" s="191">
        <f>T24/$B$24</f>
        <v>1.0086455440771411</v>
      </c>
      <c r="U48" s="191"/>
      <c r="V48" s="191">
        <f>V24/$B$24</f>
        <v>1.008049066006357</v>
      </c>
      <c r="W48" s="191"/>
      <c r="X48" s="191">
        <f>X24/$B$24</f>
        <v>1.0068193082254084</v>
      </c>
      <c r="Y48" s="191"/>
      <c r="Z48" s="191">
        <f>Z24/$B$24</f>
        <v>1.0047584430053051</v>
      </c>
      <c r="AA48" s="191"/>
      <c r="AB48" s="191">
        <f>AB24/$B$24</f>
        <v>1.0015701445365159</v>
      </c>
      <c r="AC48" s="191"/>
      <c r="AD48" s="191">
        <f>AD24/$B$24</f>
        <v>0.99677563094444688</v>
      </c>
      <c r="AE48" s="191"/>
      <c r="AF48" s="191">
        <f>AF24/$B$24</f>
        <v>0.98950555623903291</v>
      </c>
      <c r="AG48" s="191"/>
      <c r="AH48" s="191">
        <f>AH24/$B$24</f>
        <v>0.97790106134155297</v>
      </c>
      <c r="AI48" s="191"/>
      <c r="AJ48" s="191">
        <f>AJ24/$B$24</f>
        <v>0.95725752439275535</v>
      </c>
      <c r="AK48" s="191"/>
      <c r="AL48" s="191">
        <f>AL24/$B$24</f>
        <v>0.91385690359880456</v>
      </c>
      <c r="AM48" s="191"/>
      <c r="AN48" s="191">
        <f>AN24/$B$24</f>
        <v>0.79406943997266599</v>
      </c>
      <c r="AO48" s="191"/>
      <c r="AP48" s="191">
        <f>AP24/$B$24</f>
        <v>0.7435714922153851</v>
      </c>
      <c r="AQ48" s="191"/>
      <c r="AR48" s="191">
        <f>AR24/$B$24</f>
        <v>0.6716168922495096</v>
      </c>
      <c r="AS48" s="191"/>
      <c r="AT48" s="191">
        <f>AT24/$B$24</f>
        <v>0.56191298175455329</v>
      </c>
      <c r="AU48" s="191"/>
      <c r="AV48" s="191">
        <f>AV24/$B$24</f>
        <v>0.37632528665287673</v>
      </c>
    </row>
    <row r="49" spans="1:48 16321:16384" x14ac:dyDescent="0.2">
      <c r="A49" t="s">
        <v>160</v>
      </c>
      <c r="B49" s="191">
        <f>B13/B35/$B$13*$B$35</f>
        <v>1</v>
      </c>
      <c r="C49" s="191"/>
      <c r="D49" s="191">
        <f>D13/D35/$B$13*$B$35</f>
        <v>0.99477112673572798</v>
      </c>
      <c r="E49" s="191"/>
      <c r="F49" s="191">
        <f>F13/F35/$B$13*$B$35</f>
        <v>0.98899470901750608</v>
      </c>
      <c r="G49" s="191"/>
      <c r="H49" s="191">
        <f>H13/H35/$B$13*$B$35</f>
        <v>0.98258865540287266</v>
      </c>
      <c r="I49" s="191"/>
      <c r="J49" s="191">
        <f>J13/J35/$B$13*$B$35</f>
        <v>0.97545227966010151</v>
      </c>
      <c r="K49" s="191"/>
      <c r="L49" s="191">
        <f>L13/L35/$B$13*$B$35</f>
        <v>0.96746082894012453</v>
      </c>
      <c r="M49" s="191"/>
      <c r="N49" s="191">
        <f>N13/N35/$B$13*$B$35</f>
        <v>0.9584565314914355</v>
      </c>
      <c r="O49" s="191"/>
      <c r="P49" s="191">
        <f>P13/P35/$B$13*$B$35</f>
        <v>0.94823646697882125</v>
      </c>
      <c r="Q49" s="191"/>
      <c r="R49" s="191">
        <f>R13/R35/$B$13*$B$35</f>
        <v>0.9365334268945793</v>
      </c>
      <c r="S49" s="191"/>
      <c r="T49" s="191">
        <f>T13/T35/$B$13*$B$35</f>
        <v>0.92298623682288228</v>
      </c>
      <c r="U49" s="191"/>
      <c r="V49" s="191">
        <f>V13/V35/$B$13*$B$35</f>
        <v>0.90709100675390397</v>
      </c>
      <c r="W49" s="191"/>
      <c r="X49" s="191">
        <f>X13/X35/$B$13*$B$35</f>
        <v>0.88811880671628562</v>
      </c>
      <c r="Y49" s="191"/>
      <c r="Z49" s="191">
        <f>Z13/Z35/$B$13*$B$35</f>
        <v>0.86497020846096861</v>
      </c>
      <c r="AA49" s="191"/>
      <c r="AB49" s="191">
        <f>AB13/AB35/$B$13*$B$35</f>
        <v>0.83590953432719162</v>
      </c>
      <c r="AC49" s="191"/>
      <c r="AD49" s="191">
        <f>AD13/AD35/$B$13*$B$35</f>
        <v>0.79807218094994059</v>
      </c>
      <c r="AE49" s="191"/>
      <c r="AF49" s="191">
        <f>AF13/AF35/$B$13*$B$35</f>
        <v>0.74659577642846953</v>
      </c>
      <c r="AG49" s="191"/>
      <c r="AH49" s="191">
        <f>AH13/AH35/$B$13*$B$35</f>
        <v>0.67340608520512579</v>
      </c>
      <c r="AI49" s="191"/>
      <c r="AJ49" s="191">
        <f>AJ13/AJ35/$B$13*$B$35</f>
        <v>0.56654394006045194</v>
      </c>
      <c r="AK49" s="191"/>
      <c r="AL49" s="191">
        <f>AL13/AL35/$B$13*$B$35</f>
        <v>0.41150314189715403</v>
      </c>
      <c r="AM49" s="191"/>
      <c r="AN49" s="191">
        <f>AN13/AN35/$B$13*$B$35</f>
        <v>0.19833802425597902</v>
      </c>
      <c r="AO49" s="191"/>
      <c r="AP49" s="191">
        <f>AP13/AP35/$B$13*$B$35</f>
        <v>0.15030845340929508</v>
      </c>
      <c r="AQ49" s="191"/>
      <c r="AR49" s="191">
        <f>AR13/AR35/$B$13*$B$35</f>
        <v>0.10238411148884852</v>
      </c>
      <c r="AS49" s="191"/>
      <c r="AT49" s="191">
        <f>AT13/AT35/$B$13*$B$35</f>
        <v>5.6909155310230129E-2</v>
      </c>
      <c r="AU49" s="191"/>
      <c r="AV49" s="191">
        <f>AV13/AV35/$B$13*$B$35</f>
        <v>1.871756322495859E-2</v>
      </c>
    </row>
    <row r="51" spans="1:48 16321:16384" x14ac:dyDescent="0.2">
      <c r="A51" t="s">
        <v>166</v>
      </c>
      <c r="B51" s="29">
        <f>B30-B10*B23</f>
        <v>-405838.32800000021</v>
      </c>
      <c r="D51" s="29">
        <f>D30-D10*D23</f>
        <v>-349014.87235197565</v>
      </c>
      <c r="F51" s="29">
        <f>F30-F10*F23</f>
        <v>-290573.69221019791</v>
      </c>
      <c r="H51" s="29">
        <f>H30-H10*H23</f>
        <v>-230287.10788441356</v>
      </c>
      <c r="J51" s="29">
        <f>J30-J10*J23</f>
        <v>-167878.15272167837</v>
      </c>
      <c r="L51" s="29">
        <f>L30-L10*L23</f>
        <v>-103013.78605253669</v>
      </c>
      <c r="N51" s="29">
        <f>N30-N10*N23</f>
        <v>-35265.800888303667</v>
      </c>
      <c r="P51" s="29">
        <f>P30-P10*P23</f>
        <v>35914.575680961367</v>
      </c>
      <c r="R51" s="29">
        <f>R30-R10*R23</f>
        <v>111265.75422126194</v>
      </c>
      <c r="T51" s="29">
        <f>T30-T10*T23</f>
        <v>191820.57813007524</v>
      </c>
      <c r="V51" s="29">
        <f>V30-V10*V23</f>
        <v>279091.51972120674</v>
      </c>
      <c r="X51" s="29">
        <f>X30-X10*X23</f>
        <v>375407.54874133132</v>
      </c>
      <c r="Z51" s="29">
        <f>Z30-Z10*Z23</f>
        <v>484548.71775428206</v>
      </c>
      <c r="AB51" s="29">
        <f>AB30-AB10*AB23</f>
        <v>612979.20586653939</v>
      </c>
      <c r="AD51" s="29">
        <f>AD30-AD10*AD23</f>
        <v>772275.84702408547</v>
      </c>
      <c r="AF51" s="29">
        <f>AF30-AF10*AF23</f>
        <v>983663.3475129162</v>
      </c>
      <c r="AH51" s="29">
        <f>AH30-AH10*AH23</f>
        <v>1284803.1575070349</v>
      </c>
      <c r="AJ51" s="29">
        <f>AJ30-AJ10*AJ23</f>
        <v>1735312.5482891244</v>
      </c>
      <c r="AL51" s="29">
        <f>AL30-AL10*AL23</f>
        <v>2422468.1570309713</v>
      </c>
      <c r="AN51" s="29">
        <f>AN30-AN10*AN23</f>
        <v>3453433.685104141</v>
      </c>
      <c r="AP51" s="29">
        <f>AP30-AP10*AP23</f>
        <v>3676021.6797238966</v>
      </c>
      <c r="AQ51" s="29"/>
      <c r="AR51" s="29">
        <f>AR30-AR10*AR23</f>
        <v>3843094.7286521927</v>
      </c>
      <c r="AT51" s="29">
        <f>AT30-AT10*AT23</f>
        <v>3820486.2697262131</v>
      </c>
      <c r="AV51" s="29">
        <f>AV30-AV10*AV23</f>
        <v>3168658.7040973068</v>
      </c>
      <c r="XFD51" s="29"/>
    </row>
    <row r="52" spans="1:48 16321:16384" x14ac:dyDescent="0.2">
      <c r="A52" t="s">
        <v>167</v>
      </c>
      <c r="B52" s="29">
        <f t="array" ref="B52">Calibration!sL*SUM(B13:C13*B26:C26)</f>
        <v>2049247.8195702801</v>
      </c>
      <c r="D52" s="29">
        <f t="array" ref="D52">Calibration!sL*SUM(D13:E13*D26:E26)</f>
        <v>2043020.921584659</v>
      </c>
      <c r="F52" s="29">
        <f t="array" ref="F52">Calibration!sL*SUM(F13:G13*F26:G26)</f>
        <v>2036161.1857682483</v>
      </c>
      <c r="H52" s="29">
        <f t="array" ref="H52">Calibration!sL*SUM(H13:I13*H26:I26)</f>
        <v>2028575.0894769896</v>
      </c>
      <c r="J52" s="29">
        <f t="array" ref="J52">Calibration!sL*SUM(J13:K13*J26:K26)</f>
        <v>2020149.6426610122</v>
      </c>
      <c r="L52" s="29">
        <f t="array" ref="L52">Calibration!sL*SUM(L13:M13*L26:M26)</f>
        <v>2010747.202849318</v>
      </c>
      <c r="N52" s="29">
        <f t="array" ref="N52">Calibration!sL*SUM(N13:O13*N26:O26)</f>
        <v>2000197.8976685267</v>
      </c>
      <c r="P52" s="29">
        <f t="array" ref="P52">Calibration!sL*SUM(P13:Q13*P26:Q26)</f>
        <v>1988288.9466303836</v>
      </c>
      <c r="R52" s="29">
        <f t="array" ref="R52">Calibration!sL*SUM(R13:S13*R26:S26)</f>
        <v>1974749.0025399588</v>
      </c>
      <c r="T52" s="29">
        <f t="array" ref="T52">Calibration!sL*SUM(T13:U13*T26:U26)</f>
        <v>1959224.3239466085</v>
      </c>
      <c r="V52" s="29">
        <f t="array" ref="V52">Calibration!sL*SUM(V13:W13*V26:W26)</f>
        <v>1941240.0703272314</v>
      </c>
      <c r="X52" s="29">
        <f t="array" ref="X52">Calibration!sL*SUM(X13:Y13*X26:Y26)</f>
        <v>1920135.417761147</v>
      </c>
      <c r="Z52" s="29">
        <f t="array" ref="Z52">Calibration!sL*SUM(Z13:AA13*Z26:AA26)</f>
        <v>1894946.7939569624</v>
      </c>
      <c r="AB52" s="29">
        <f t="array" ref="AB52">Calibration!sL*SUM(AB13:AC13*AB26:AC26)</f>
        <v>1864183.7577072217</v>
      </c>
      <c r="AD52" s="29">
        <f t="array" ref="AD52">Calibration!sL*SUM(AD13:AE13*AD26:AE26)</f>
        <v>1825367.0422120385</v>
      </c>
      <c r="AF52" s="29">
        <f t="array" ref="AF52">Calibration!sL*SUM(AF13:AG13*AF26:AG26)</f>
        <v>1774010.6718006798</v>
      </c>
      <c r="AH52" s="29">
        <f t="array" ref="AH52">Calibration!sL*SUM(AH13:AI13*AH26:AI26)</f>
        <v>1701273.8883455612</v>
      </c>
      <c r="AJ52" s="29">
        <f t="array" ref="AJ52">Calibration!sL*SUM(AJ13:AK13*AJ26:AK26)</f>
        <v>1588355.5896504442</v>
      </c>
      <c r="AL52" s="29">
        <f t="array" ref="AL52">Calibration!sL*SUM(AL13:AM13*AL26:AM26)</f>
        <v>1390935.1216844113</v>
      </c>
      <c r="AN52" s="29">
        <f t="array" ref="AN52">Calibration!sL*SUM(AN13:AO13*AN26:AO26)</f>
        <v>977516.67112856032</v>
      </c>
      <c r="AP52" s="29">
        <f t="array" ref="AP52">Calibration!sL*SUM(AP13:AQ13*AP26:AQ26)</f>
        <v>837737.66617184959</v>
      </c>
      <c r="AQ52" s="29"/>
      <c r="AR52" s="29">
        <f t="array" ref="AR52">Calibration!sL*SUM(AR13:AS13*AR26:AS26)</f>
        <v>664214.66666134389</v>
      </c>
      <c r="AT52" s="29">
        <f t="array" ref="AT52">Calibration!sL*SUM(AT13:AU13*AT26:AU26)</f>
        <v>448001.97877976857</v>
      </c>
      <c r="AV52" s="29">
        <f t="array" ref="AV52">Calibration!sL*SUM(AV13:AW13*AV26:AW26)</f>
        <v>190877.81764809735</v>
      </c>
    </row>
    <row r="53" spans="1:48 16321:16384" x14ac:dyDescent="0.2">
      <c r="A53" t="s">
        <v>168</v>
      </c>
      <c r="B53" s="29">
        <f t="array" ref="B53">Calibration!sK*SUM(B15:C15*B27:C27)</f>
        <v>2740714.4444297408</v>
      </c>
      <c r="D53" s="29">
        <f t="array" ref="D53">Calibration!sK*SUM(D15:E15*D27:E27)</f>
        <v>2724308.3130863989</v>
      </c>
      <c r="F53" s="29">
        <f t="array" ref="F53">Calibration!sK*SUM(F15:G15*F27:G27)</f>
        <v>2707121.0372440512</v>
      </c>
      <c r="H53" s="29">
        <f t="array" ref="H53">Calibration!sK*SUM(H15:I15*H27:I27)</f>
        <v>2689032.7680110754</v>
      </c>
      <c r="J53" s="29">
        <f t="array" ref="J53">Calibration!sK*SUM(J15:K15*J27:K27)</f>
        <v>2669899.8952847747</v>
      </c>
      <c r="L53" s="29">
        <f t="array" ref="L53">Calibration!sK*SUM(L15:M15*L27:M27)</f>
        <v>2649549.3081600163</v>
      </c>
      <c r="N53" s="29">
        <f t="array" ref="N53">Calibration!sK*SUM(N15:O15*N27:O27)</f>
        <v>2627768.8743686918</v>
      </c>
      <c r="P53" s="29">
        <f t="array" ref="P53">Calibration!sK*SUM(P15:Q15*P27:Q27)</f>
        <v>2604296.9495200175</v>
      </c>
      <c r="R53" s="29">
        <f t="array" ref="R53">Calibration!sK*SUM(R15:S15*R27:S27)</f>
        <v>2578804.5534536177</v>
      </c>
      <c r="T53" s="29">
        <f t="array" ref="T53">Calibration!sK*SUM(T15:U15*T27:U27)</f>
        <v>2550869.2243511993</v>
      </c>
      <c r="V53" s="29">
        <f t="array" ref="V53">Calibration!sK*SUM(V15:W15*V27:W27)</f>
        <v>2519932.9006434036</v>
      </c>
      <c r="X53" s="29">
        <f t="array" ref="X53">Calibration!sK*SUM(X15:Y15*X27:Y27)</f>
        <v>2485229.6192477243</v>
      </c>
      <c r="Z53" s="29">
        <f t="array" ref="Z53">Calibration!sK*SUM(Z15:AA15*Z27:AA27)</f>
        <v>2445653.1659106915</v>
      </c>
      <c r="AB53" s="29">
        <f t="array" ref="AB53">Calibration!sK*SUM(AB15:AC15*AB27:AC27)</f>
        <v>2399495.3537229127</v>
      </c>
      <c r="AD53" s="29">
        <f t="array" ref="AD53">Calibration!sK*SUM(AD15:AE15*AD27:AE27)</f>
        <v>2343885.2434440446</v>
      </c>
      <c r="AF53" s="29">
        <f t="array" ref="AF53">Calibration!sK*SUM(AF15:AG15*AF27:AG27)</f>
        <v>2273494.6171637848</v>
      </c>
      <c r="AH53" s="29">
        <f t="array" ref="AH53">Calibration!sK*SUM(AH15:AI15*AH27:AI27)</f>
        <v>2177416.7347612274</v>
      </c>
      <c r="AJ53" s="29">
        <f t="array" ref="AJ53">Calibration!sK*SUM(AJ15:AK15*AJ27:AK27)</f>
        <v>2031621.7329067383</v>
      </c>
      <c r="AL53" s="29">
        <f t="array" ref="AL53">Calibration!sK*SUM(AL15:AM15*AL27:AM27)</f>
        <v>1778801.2142009991</v>
      </c>
      <c r="AN53" s="29">
        <f t="array" ref="AN53">Calibration!sK*SUM(AN15:AO15*AN27:AO27)</f>
        <v>1250074.9388028097</v>
      </c>
      <c r="AP53" s="29">
        <f t="array" ref="AP53">Calibration!sK*SUM(AP15:AQ15*AP27:AQ27)</f>
        <v>1071321.4027006167</v>
      </c>
      <c r="AQ53" s="29"/>
      <c r="AR53" s="29">
        <f t="array" ref="AR53">Calibration!sK*SUM(AR15:AS15*AR27:AS27)</f>
        <v>849415.43956845289</v>
      </c>
      <c r="AT53" s="29">
        <f t="array" ref="AT53">Calibration!sK*SUM(AT15:AU15*AT27:AU27)</f>
        <v>572916.8663678572</v>
      </c>
      <c r="AV53" s="29">
        <f t="array" ref="AV53">Calibration!sK*SUM(AV15:AW15*AV27:AW27)</f>
        <v>244099.6371962764</v>
      </c>
      <c r="XFD53" s="29"/>
    </row>
    <row r="55" spans="1:48 16321:16384" x14ac:dyDescent="0.2">
      <c r="A55" t="s">
        <v>169</v>
      </c>
      <c r="B55" s="193">
        <f>B30/B32</f>
        <v>0.19850271905982084</v>
      </c>
      <c r="D55" s="193">
        <f>D30/D32</f>
        <v>0.20236170126888914</v>
      </c>
      <c r="F55" s="193">
        <f>F30/F32</f>
        <v>0.20632641215711639</v>
      </c>
      <c r="H55" s="193">
        <f>H30/H32</f>
        <v>0.21041386695131348</v>
      </c>
      <c r="J55" s="193">
        <f>J30/J32</f>
        <v>0.21464494077344531</v>
      </c>
      <c r="L55" s="193">
        <f>L30/L32</f>
        <v>0.21904502032686143</v>
      </c>
      <c r="N55" s="193">
        <f>N30/N32</f>
        <v>0.22364692965367547</v>
      </c>
      <c r="P55" s="193">
        <f>P30/P32</f>
        <v>0.22849303579267582</v>
      </c>
      <c r="R55" s="193">
        <f>R30/R32</f>
        <v>0.2336405057255711</v>
      </c>
      <c r="T55" s="193">
        <f>T30/T32</f>
        <v>0.23916927289451276</v>
      </c>
      <c r="V55" s="193">
        <f>V30/V32</f>
        <v>0.2451959512093565</v>
      </c>
      <c r="X55" s="193">
        <f>X30/X32</f>
        <v>0.25189892427709437</v>
      </c>
      <c r="Z55" s="193">
        <f>Z30/Z32</f>
        <v>0.25956536181360196</v>
      </c>
      <c r="AB55" s="193">
        <f>AB30/AB32</f>
        <v>0.26868255312193168</v>
      </c>
      <c r="AD55" s="193">
        <f>AD30/AD32</f>
        <v>0.28011943725781274</v>
      </c>
      <c r="AF55" s="193">
        <f>AF30/AF32</f>
        <v>0.29547779487284348</v>
      </c>
      <c r="AH55" s="193">
        <f>AH30/AH32</f>
        <v>0.31769569837158479</v>
      </c>
      <c r="AJ55" s="193">
        <f>AJ30/AJ32</f>
        <v>0.35200843752042993</v>
      </c>
      <c r="AL55" s="193">
        <f>AL30/AL32</f>
        <v>0.40915437796940995</v>
      </c>
      <c r="AN55" s="193">
        <f>AN30/AN32</f>
        <v>0.52479040147107725</v>
      </c>
      <c r="AP55" s="193">
        <f>AP30/AP32</f>
        <v>0.56539755820677173</v>
      </c>
      <c r="AR55" s="193">
        <f>AR30/AR32</f>
        <v>0.61866305760877371</v>
      </c>
      <c r="AT55" s="193">
        <f>AT30/AT32</f>
        <v>0.69256939960906239</v>
      </c>
      <c r="AV55" s="193">
        <f>AV30/AV32</f>
        <v>0.80425952053439675</v>
      </c>
      <c r="XCS55" s="193"/>
      <c r="XFD55" s="193"/>
    </row>
    <row r="56" spans="1:48 16321:16384" x14ac:dyDescent="0.2">
      <c r="A56" t="s">
        <v>170</v>
      </c>
      <c r="B56" s="193">
        <f>(Model!$C$52*B5*B20+B2*C5*C20)/B32</f>
        <v>2.9221206744340551E-2</v>
      </c>
      <c r="D56" s="193">
        <f>(Model!$C$52*D5*D20+D2*E5*E20)/D32</f>
        <v>3.3659897700823775E-2</v>
      </c>
      <c r="F56" s="193">
        <f>(Model!$C$52*F5*F20+F2*G5*G20)/F32</f>
        <v>3.8228357849548915E-2</v>
      </c>
      <c r="H56" s="193">
        <f>(Model!$C$52*H5*H20+H2*I5*I20)/H32</f>
        <v>4.2947242951145513E-2</v>
      </c>
      <c r="J56" s="193">
        <f>(Model!$C$52*J5*J20+J2*K5*K20)/J32</f>
        <v>4.7841889225525479E-2</v>
      </c>
      <c r="L56" s="193">
        <f>(Model!$C$52*L5*L20+L2*M5*M20)/L32</f>
        <v>5.2943233241992911E-2</v>
      </c>
      <c r="N56" s="193">
        <f>(Model!$C$52*N5*N20+N2*O5*O20)/N32</f>
        <v>5.8291234594353265E-2</v>
      </c>
      <c r="P56" s="193">
        <f>(Model!$C$52*P5*P20+P2*Q5*Q20)/P32</f>
        <v>6.3937596747251635E-2</v>
      </c>
      <c r="R56" s="193">
        <f>(Model!$C$52*R5*R20+R2*S5*S20)/R32</f>
        <v>6.9952139607475081E-2</v>
      </c>
      <c r="T56" s="193">
        <f>(Model!$C$52*T5*T20+T2*U5*U20)/T32</f>
        <v>7.6432560264767926E-2</v>
      </c>
      <c r="V56" s="193">
        <f>(Model!$C$52*V5*V20+V2*W5*W20)/V32</f>
        <v>8.352140605700048E-2</v>
      </c>
      <c r="X56" s="193">
        <f>(Model!$C$52*X5*X20+X2*Y5*Y20)/X32</f>
        <v>9.1436635986699738E-2</v>
      </c>
      <c r="Z56" s="193">
        <f>(Model!$C$52*Z5*Z20+Z2*AA5*AA20)/Z32</f>
        <v>0.10052874865281654</v>
      </c>
      <c r="AB56" s="193">
        <f>(Model!$C$52*AB5*AB20+AB2*AC5*AC20)/AB32</f>
        <v>0.11139149348400287</v>
      </c>
      <c r="AD56" s="193">
        <f>(Model!$C$52*AD5*AD20+AD2*AE5*AE20)/AD32</f>
        <v>0.12508123070883376</v>
      </c>
      <c r="AF56" s="193">
        <f>(Model!$C$52*AF5*AF20+AF2*AG5*AG20)/AF32</f>
        <v>0.14353972974388973</v>
      </c>
      <c r="AH56" s="193">
        <f>(Model!$C$52*AH5*AH20+AH2*AI5*AI20)/AH32</f>
        <v>0.17031686403458635</v>
      </c>
      <c r="AJ56" s="193">
        <f>(Model!$C$52*AJ5*AJ20+AJ2*AK5*AK20)/AJ32</f>
        <v>0.21171755391265909</v>
      </c>
      <c r="AL56" s="193">
        <f>(Model!$C$52*AL5*AL20+AL2*AM5*AM20)/AL32</f>
        <v>0.2806601535550583</v>
      </c>
      <c r="AN56" s="193">
        <f>(Model!$C$52*AN5*AN20+AN2*AO5*AO20)/AN32</f>
        <v>0.42008193184341719</v>
      </c>
      <c r="AP56" s="193">
        <f>(Model!$C$52*AP5*AP20+AP2*AQ5*AQ20)/AP32</f>
        <v>0.46902345796037687</v>
      </c>
      <c r="AR56" s="193">
        <f>(Model!$C$52*AR5*AR20+AR2*AS5*AS20)/AR32</f>
        <v>0.5332112882476423</v>
      </c>
      <c r="AT56" s="193">
        <f>(Model!$C$52*AT5*AT20+AT2*AU5*AU20)/AT32</f>
        <v>0.62225709228830606</v>
      </c>
      <c r="AV56" s="193">
        <f>(Model!$C$52*AV5*AV20+AV2*AW5*AW20)/AV32</f>
        <v>0.75679988961208811</v>
      </c>
      <c r="XFD56" s="193"/>
    </row>
    <row r="57" spans="1:48 16321:16384" x14ac:dyDescent="0.2">
      <c r="A57" t="s">
        <v>171</v>
      </c>
      <c r="B57" s="193">
        <f t="array" ref="B57">SUM(Model!tauL*B13:C13*B26:C26)/B32</f>
        <v>0.15852881819439493</v>
      </c>
      <c r="D57" s="193">
        <f t="array" ref="D57">SUM(Model!tauL*D13:E13*D26:E26)/D32</f>
        <v>0.15803055476146691</v>
      </c>
      <c r="F57" s="193">
        <f t="array" ref="F57">SUM(Model!tauL*F13:G13*F26:G26)/F32</f>
        <v>0.15750926482004107</v>
      </c>
      <c r="H57" s="193">
        <f t="array" ref="H57">SUM(Model!tauL*H13:I13*H26:I26)/H32</f>
        <v>0.15696155462195457</v>
      </c>
      <c r="J57" s="193">
        <f t="array" ref="J57">SUM(Model!tauL*J13:K13*J26:K26)/J32</f>
        <v>0.15638325787672272</v>
      </c>
      <c r="L57" s="193">
        <f t="array" ref="L57">SUM(Model!tauL*L13:M13*L26:M26)/L32</f>
        <v>0.15576917995908274</v>
      </c>
      <c r="N57" s="193">
        <f t="array" ref="N57">SUM(Model!tauL*N13:O13*N26:O26)/N32</f>
        <v>0.15511261907983323</v>
      </c>
      <c r="P57" s="193">
        <f t="array" ref="P57">SUM(Model!tauL*P13:Q13*P26:Q26)/P32</f>
        <v>0.15440475695776093</v>
      </c>
      <c r="R57" s="193">
        <f t="array" ref="R57">SUM(Model!tauL*R13:S13*R26:S26)/R32</f>
        <v>0.15363356405807183</v>
      </c>
      <c r="T57" s="193">
        <f t="array" ref="T57">SUM(Model!tauL*T13:U13*T26:U26)/T32</f>
        <v>0.15278202486489292</v>
      </c>
      <c r="V57" s="193">
        <f t="array" ref="V57">SUM(Model!tauL*V13:W13*V26:W26)/V32</f>
        <v>0.15182508828388469</v>
      </c>
      <c r="X57" s="193">
        <f t="array" ref="X57">SUM(Model!tauL*X13:Y13*X26:Y26)/X32</f>
        <v>0.15072420366384448</v>
      </c>
      <c r="Y57" s="193"/>
      <c r="Z57" s="193">
        <f t="array" ref="Z57">SUM(Model!tauL*Z13:AA13*Z26:AA26)/Z32</f>
        <v>0.14941719037238471</v>
      </c>
      <c r="AB57" s="193">
        <f t="array" ref="AB57">SUM(Model!tauL*AB13:AC13*AB26:AC26)/AB32</f>
        <v>0.14779879203264012</v>
      </c>
      <c r="AD57" s="193">
        <f t="array" ref="AD57">SUM(Model!tauL*AD13:AE13*AD26:AE26)/AD32</f>
        <v>0.14568270257837349</v>
      </c>
      <c r="AF57" s="193">
        <f t="array" ref="AF57">SUM(Model!tauL*AF13:AG13*AF26:AG26)/AF32</f>
        <v>0.14272983196328373</v>
      </c>
      <c r="AH57" s="193">
        <f t="array" ref="AH57">SUM(Model!tauL*AH13:AI13*AH26:AI26)/AH32</f>
        <v>0.13832975724735877</v>
      </c>
      <c r="AJ57" s="193">
        <f t="array" ref="AJ57">SUM(Model!tauL*AJ13:AK13*AJ26:AK26)/AJ32</f>
        <v>0.13141903756818984</v>
      </c>
      <c r="AL57" s="193">
        <f t="array" ref="AL57">SUM(Model!tauL*AL13:AM13*AL26:AM26)/AL32</f>
        <v>0.11984072555940552</v>
      </c>
      <c r="AN57" s="193">
        <f t="array" ref="AN57">SUM(Model!tauL*AN13:AO13*AN26:AO26)/AN32</f>
        <v>9.6387437144392837E-2</v>
      </c>
      <c r="AP57" s="193">
        <f t="array" ref="AP57">SUM(Model!tauL*AP13:AQ13*AP26:AQ26)/AP32</f>
        <v>8.8151045481000986E-2</v>
      </c>
      <c r="AR57" s="193">
        <f t="array" ref="AR57">SUM(Model!tauL*AR13:AS13*AR26:AS26)/AR32</f>
        <v>7.7347131546627368E-2</v>
      </c>
      <c r="AT57" s="193">
        <f t="array" ref="AT57">SUM(Model!tauL*AT13:AU13*AT26:AU26)/AT32</f>
        <v>6.2356600878934368E-2</v>
      </c>
      <c r="AV57" s="193">
        <f t="array" ref="AV57">SUM(Model!tauL*AV13:AW13*AV26:AW26)/AV32</f>
        <v>3.9702329479881442E-2</v>
      </c>
      <c r="XFD57" s="193"/>
    </row>
    <row r="58" spans="1:48 16321:16384" x14ac:dyDescent="0.2">
      <c r="A58" t="s">
        <v>172</v>
      </c>
      <c r="B58" s="193">
        <f t="array" ref="B58">SUM(Model!tauY/(1+Model!tauY)*B3:C3*B18:C18)/B32</f>
        <v>1.075269412108535E-2</v>
      </c>
      <c r="D58" s="193">
        <f t="array" ref="D58">SUM(Model!tauY/(1+Model!tauY)*D3:E3*D18:E18)/D32</f>
        <v>1.0671248806598454E-2</v>
      </c>
      <c r="F58" s="193">
        <f t="array" ref="F58">SUM(Model!tauY/(1+Model!tauY)*F3:G3*F18:G18)/F32</f>
        <v>1.0588789487526387E-2</v>
      </c>
      <c r="H58" s="193">
        <f t="array" ref="H58">SUM(Model!tauY/(1+Model!tauY)*H3:I3*H18:I18)/H32</f>
        <v>1.0505069378213371E-2</v>
      </c>
      <c r="J58" s="193">
        <f t="array" ref="J58">SUM(Model!tauY/(1+Model!tauY)*J3:K3*J18:K18)/J32</f>
        <v>1.0419793671197103E-2</v>
      </c>
      <c r="L58" s="193">
        <f t="array" ref="L58">SUM(Model!tauY/(1+Model!tauY)*L3:M3*L18:M18)/L32</f>
        <v>1.0332607125785797E-2</v>
      </c>
      <c r="N58" s="193">
        <f t="array" ref="N58">SUM(Model!tauY/(1+Model!tauY)*N3:O3*N18:O18)/N32</f>
        <v>1.0243075979488996E-2</v>
      </c>
      <c r="P58" s="193">
        <f t="array" ref="P58">SUM(Model!tauY/(1+Model!tauY)*P3:Q3*P18:Q18)/P32</f>
        <v>1.0150682087663279E-2</v>
      </c>
      <c r="R58" s="193">
        <f t="array" ref="R58">SUM(Model!tauY/(1+Model!tauY)*R3:S3*R18:S18)/R32</f>
        <v>1.005480206002418E-2</v>
      </c>
      <c r="T58" s="193">
        <f t="array" ref="T58">SUM(Model!tauY/(1+Model!tauY)*T3:U3*T18:U18)/T32</f>
        <v>9.9546877648519164E-3</v>
      </c>
      <c r="V58" s="193">
        <f t="array" ref="V58">SUM(Model!tauY/(1+Model!tauY)*V3:W3*V18:W18)/V32</f>
        <v>9.8494568684713776E-3</v>
      </c>
      <c r="X58" s="193">
        <f t="array" ref="X58">SUM(Model!tauY/(1+Model!tauY)*X3:Y3*X18:Y18)/X32</f>
        <v>9.7380846265501739E-3</v>
      </c>
      <c r="Y58" s="193"/>
      <c r="Z58" s="193">
        <f t="array" ref="Z58">SUM(Model!tauY/(1+Model!tauY)*Z3:AA3*Z18:AA18)/Z32</f>
        <v>9.6194227884006875E-3</v>
      </c>
      <c r="AB58" s="193">
        <f t="array" ref="AB58">SUM(Model!tauY/(1+Model!tauY)*AB3:AC3*AB18:AC18)/AB32</f>
        <v>9.4922676052886634E-3</v>
      </c>
      <c r="AD58" s="193">
        <f t="array" ref="AD58">SUM(Model!tauY/(1+Model!tauY)*AD3:AE3*AD18:AE18)/AD32</f>
        <v>9.3555039706055432E-3</v>
      </c>
      <c r="AF58" s="193">
        <f t="array" ref="AF58">SUM(Model!tauY/(1+Model!tauY)*AF3:AG3*AF18:AG18)/AF32</f>
        <v>9.2082331656700173E-3</v>
      </c>
      <c r="AH58" s="193">
        <f t="array" ref="AH58">SUM(Model!tauY/(1+Model!tauY)*AH3:AI3*AH18:AI18)/AH32</f>
        <v>9.049077089639682E-3</v>
      </c>
      <c r="AJ58" s="193">
        <f t="array" ref="AJ58">SUM(Model!tauY/(1+Model!tauY)*AJ3:AK3*AJ18:AK18)/AJ32</f>
        <v>8.8718460395809523E-3</v>
      </c>
      <c r="AL58" s="193">
        <f t="array" ref="AL58">SUM(Model!tauY/(1+Model!tauY)*AL3:AM3*AL18:AM18)/AL32</f>
        <v>8.6534988549461424E-3</v>
      </c>
      <c r="AN58" s="193">
        <f t="array" ref="AN58">SUM(Model!tauY/(1+Model!tauY)*AN3:AO3*AN18:AO18)/AN32</f>
        <v>8.3210324832672967E-3</v>
      </c>
      <c r="AP58" s="193">
        <f t="array" ref="AP58">SUM(Model!tauY/(1+Model!tauY)*AP3:AQ3*AP18:AQ18)/AP32</f>
        <v>8.2230547653939692E-3</v>
      </c>
      <c r="AR58" s="193">
        <f t="array" ref="AR58">SUM(Model!tauY/(1+Model!tauY)*AR3:AS3*AR18:AS18)/AR32</f>
        <v>8.1046378145039708E-3</v>
      </c>
      <c r="AT58" s="193">
        <f t="array" ref="AT58">SUM(Model!tauY/(1+Model!tauY)*AT3:AU3*AT18:AU18)/AT32</f>
        <v>7.9557064418220129E-3</v>
      </c>
      <c r="AV58" s="193">
        <f t="array" ref="AV58">SUM(Model!tauY/(1+Model!tauY)*AV3:AW3*AV18:AW18)/AV32</f>
        <v>7.7573014424272869E-3</v>
      </c>
      <c r="XFD58" s="193"/>
    </row>
    <row r="59" spans="1:48 16321:16384" x14ac:dyDescent="0.2">
      <c r="A59" t="s">
        <v>173</v>
      </c>
      <c r="B59" s="193">
        <f>(B2*C5*C20)/B32</f>
        <v>5.5174232040962052E-4</v>
      </c>
      <c r="D59" s="193">
        <f>(D2*E5*E20)/D32</f>
        <v>5.0458438826689487E-3</v>
      </c>
      <c r="F59" s="193">
        <f>(F2*G5*G20)/F32</f>
        <v>9.6707974527174383E-3</v>
      </c>
      <c r="H59" s="193">
        <f>(H2*I5*I20)/H32</f>
        <v>1.4447422207536434E-2</v>
      </c>
      <c r="J59" s="193">
        <f>(J2*K5*K20)/J32</f>
        <v>1.9401250484954016E-2</v>
      </c>
      <c r="L59" s="193">
        <f>(L2*M5*M20)/L32</f>
        <v>2.456345622230122E-2</v>
      </c>
      <c r="N59" s="193">
        <f>(N2*O5*O20)/N32</f>
        <v>2.9974303814325243E-2</v>
      </c>
      <c r="P59" s="193">
        <f>(P2*Q5*Q20)/P32</f>
        <v>3.5685888332815885E-2</v>
      </c>
      <c r="R59" s="193">
        <f>(R2*S5*S20)/R32</f>
        <v>4.1768559914256154E-2</v>
      </c>
      <c r="T59" s="193">
        <f>(T2*U5*U20)/T32</f>
        <v>4.8320765758129401E-2</v>
      </c>
      <c r="V59" s="193">
        <f>(V2*W5*W20)/V32</f>
        <v>5.5486164603988399E-2</v>
      </c>
      <c r="X59" s="193">
        <f>(X2*Y5*Y20)/X32</f>
        <v>6.3484452169742786E-2</v>
      </c>
      <c r="Z59" s="193">
        <f>(Z2*AA5*AA20)/Z32</f>
        <v>7.26689879743595E-2</v>
      </c>
      <c r="AB59" s="193">
        <f>(AB2*AC5*AC20)/AB32</f>
        <v>8.3638480340798155E-2</v>
      </c>
      <c r="AD59" s="193">
        <f>(AD2*AE5*AE20)/AD32</f>
        <v>9.7458255059617971E-2</v>
      </c>
      <c r="AF59" s="193">
        <f>(AF2*AG5*AG20)/AF32</f>
        <v>0.11608655013336479</v>
      </c>
      <c r="AH59" s="193">
        <f>(AH2*AI5*AI20)/AH32</f>
        <v>0.14310216272062404</v>
      </c>
      <c r="AJ59" s="193">
        <f>(AJ2*AK5*AK20)/AJ32</f>
        <v>0.18485523743379345</v>
      </c>
      <c r="AL59" s="193">
        <f>(AL2*AM5*AM20)/AL32</f>
        <v>0.25433816715466806</v>
      </c>
      <c r="AN59" s="193">
        <f>(AN2*AO5*AO20)/AN32</f>
        <v>0.39469747647031056</v>
      </c>
      <c r="AP59" s="193">
        <f>(AP2*AQ5*AQ20)/AP32</f>
        <v>0.44392937324378517</v>
      </c>
      <c r="AR59" s="193">
        <f>(AR2*AS5*AS20)/AR32</f>
        <v>0.50847364552722996</v>
      </c>
      <c r="AT59" s="193">
        <f>(AT2*AU5*AU20)/AT32</f>
        <v>0.59797435131281407</v>
      </c>
      <c r="AV59" s="193">
        <f>(AV2*AW5*AW20)/AV32</f>
        <v>0.73313150972171004</v>
      </c>
      <c r="XFD59" s="193"/>
    </row>
    <row r="60" spans="1:48 16321:16384" x14ac:dyDescent="0.2">
      <c r="A60" t="s">
        <v>174</v>
      </c>
      <c r="B60" s="193">
        <f>Model!$C$52*B5*B20/B32</f>
        <v>2.8669464423930927E-2</v>
      </c>
      <c r="D60" s="193">
        <f>Model!$C$52*D5*D20/D32</f>
        <v>2.8614053818154832E-2</v>
      </c>
      <c r="F60" s="193">
        <f>Model!$C$52*F5*F20/F32</f>
        <v>2.855756039683148E-2</v>
      </c>
      <c r="H60" s="193">
        <f>Model!$C$52*H5*H20/H32</f>
        <v>2.8499820743609083E-2</v>
      </c>
      <c r="J60" s="193">
        <f>Model!$C$52*J5*J20/J32</f>
        <v>2.8440638740571463E-2</v>
      </c>
      <c r="L60" s="193">
        <f>Model!$C$52*L5*L20/L32</f>
        <v>2.8379777019691695E-2</v>
      </c>
      <c r="N60" s="193">
        <f>Model!$C$52*N5*N20/N32</f>
        <v>2.8316930780028029E-2</v>
      </c>
      <c r="P60" s="193">
        <f>Model!$C$52*P5*P20/P32</f>
        <v>2.8251708414435747E-2</v>
      </c>
      <c r="R60" s="193">
        <f>Model!$C$52*R5*R20/R32</f>
        <v>2.8183579693218934E-2</v>
      </c>
      <c r="T60" s="193">
        <f>Model!$C$52*T5*T20/T32</f>
        <v>2.8111794506638525E-2</v>
      </c>
      <c r="V60" s="193">
        <f>Model!$C$52*V5*V20/V32</f>
        <v>2.8035241453012075E-2</v>
      </c>
      <c r="X60" s="193">
        <f>Model!$C$52*X5*X20/X32</f>
        <v>2.7952183816956959E-2</v>
      </c>
      <c r="Z60" s="193">
        <f>Model!$C$52*Z5*Z20/Z32</f>
        <v>2.7859760678457048E-2</v>
      </c>
      <c r="AB60" s="193">
        <f>Model!$C$52*AB5*AB20/AB32</f>
        <v>2.7753013143204726E-2</v>
      </c>
      <c r="AD60" s="193">
        <f>Model!$C$52*AD5*AD20/AD32</f>
        <v>2.7622975649215779E-2</v>
      </c>
      <c r="AF60" s="193">
        <f>Model!$C$52*AF5*AF20/AF32</f>
        <v>2.7453179610524948E-2</v>
      </c>
      <c r="AH60" s="193">
        <f>Model!$C$52*AH5*AH20/AH32</f>
        <v>2.7214701313962308E-2</v>
      </c>
      <c r="AJ60" s="193">
        <f>Model!$C$52*AJ5*AJ20/AJ32</f>
        <v>2.6862316478865653E-2</v>
      </c>
      <c r="AL60" s="193">
        <f>Model!$C$52*AL5*AL20/AL32</f>
        <v>2.6321986400390254E-2</v>
      </c>
      <c r="AN60" s="193">
        <f>Model!$C$52*AN5*AN20/AN32</f>
        <v>2.5384455373106591E-2</v>
      </c>
      <c r="AP60" s="193">
        <f>Model!$C$52*AP5*AP20/AP32</f>
        <v>2.5094084716591657E-2</v>
      </c>
      <c r="AR60" s="193">
        <f>Model!$C$52*AR5*AR20/AR32</f>
        <v>2.4737642720412404E-2</v>
      </c>
      <c r="AT60" s="193">
        <f>Model!$C$52*AT5*AT20/AT32</f>
        <v>2.4282740975491993E-2</v>
      </c>
      <c r="AV60" s="193">
        <f>Model!$C$52*AV5*AV20/AV32</f>
        <v>2.3668379890378025E-2</v>
      </c>
      <c r="XFD60" s="193"/>
    </row>
    <row r="62" spans="1:48 16321:16384" x14ac:dyDescent="0.2">
      <c r="A62" t="s">
        <v>175</v>
      </c>
      <c r="B62">
        <f>B13/B15</f>
        <v>1</v>
      </c>
      <c r="D62">
        <f>D13/D15</f>
        <v>1.0029652066012171</v>
      </c>
      <c r="F62">
        <f>F13/F15</f>
        <v>1.0059439662318801</v>
      </c>
      <c r="H62">
        <f>H13/H15</f>
        <v>1.0089375849116728</v>
      </c>
      <c r="J62">
        <f>J13/J15</f>
        <v>1.0119472461658088</v>
      </c>
      <c r="L62">
        <f>L13/L15</f>
        <v>1.0149736651916332</v>
      </c>
      <c r="N62">
        <f>N13/N15</f>
        <v>1.0180171848124333</v>
      </c>
      <c r="P62">
        <f>P13/P15</f>
        <v>1.0210765510557798</v>
      </c>
      <c r="R62">
        <f>R13/R15</f>
        <v>1.0241481430266299</v>
      </c>
      <c r="T62">
        <f>T13/T15</f>
        <v>1.027224282159519</v>
      </c>
      <c r="V62">
        <f>V13/V15</f>
        <v>1.0302902207654392</v>
      </c>
      <c r="X62">
        <f>X13/X15</f>
        <v>1.0333195462260281</v>
      </c>
      <c r="Z62">
        <f>Z13/Z15</f>
        <v>1.0362665055001328</v>
      </c>
      <c r="AB62">
        <f>AB13/AB15</f>
        <v>1.0390539882516903</v>
      </c>
      <c r="AD62">
        <f>AD13/AD15</f>
        <v>1.0415573004554257</v>
      </c>
      <c r="AF62">
        <f>AF13/AF15</f>
        <v>1.0435940753997679</v>
      </c>
      <c r="AH62">
        <f>AH13/AH15</f>
        <v>1.0449655836470786</v>
      </c>
      <c r="AJ62">
        <f>AJ13/AJ15</f>
        <v>1.0456207489619342</v>
      </c>
      <c r="AL62">
        <f>AL13/AL15</f>
        <v>1.0458003025894436</v>
      </c>
      <c r="AN62">
        <f>AN13/AN15</f>
        <v>1.0458211758626801</v>
      </c>
      <c r="AP62">
        <f>AP13/AP15</f>
        <v>1.0458215059886025</v>
      </c>
      <c r="AR62">
        <f>AR13/AR15</f>
        <v>1.0458216241243845</v>
      </c>
      <c r="AT62">
        <f>AT13/AT15</f>
        <v>1.0458216579616291</v>
      </c>
      <c r="AV62">
        <f>AV13/AV15</f>
        <v>1.045821664883257</v>
      </c>
    </row>
    <row r="65" spans="1:48 16384:16384" x14ac:dyDescent="0.2">
      <c r="A65" t="s">
        <v>176</v>
      </c>
      <c r="B65" s="191">
        <f>SQRT((B9:C9*$B$22:$C$22+B10:C10*$B$23:$C$23+B11:C11*$B$24:$C$24+B4:C4*($B$25:$C$25-$B$19:$C$19))/($B$9:$C$9*$B$22:$C$22+$B$10:$C$10*$B$23:$C$23+$B$11:$C$11*$B$24:$C$24+$B$4:$C$4*($B$25:$C$25-$B$19:$C$19))*(B9:C9*B22:C22+B10:C10*B23:C23+B11:C11*B24:C24+B4:C4*(B25:C25-B19:C19))/($B$9:$C$9*B22:C22+$B$10:$C$10*B23:C23+$B$11:$C$11*B24:C24+$B$4:$C$4*(B25:C25-B19:C19)))</f>
        <v>1</v>
      </c>
      <c r="C65" s="191"/>
      <c r="D65" s="191">
        <f t="array" ref="D65">SQRT((D9:E9*$B$22:$C$22+D10:E10*$B$23:$C$23+D11:E11*$B$24:$C$24+D4:E4*($B$25:$C$25-$B$19:$C$19))/($B$9:$C$9*$B$22:$C$22+$B$10:$C$10*$B$23:$C$23+$B$11:$C$11*$B$24:$C$24+$B$4:$C$4*($B$25:$C$25-$B$19:$C$19))*(D9:E9*D22:E22+D10:E10*D23:E23+D11:E11*D24:E24+D4:E4*(D25:E25-D19:E19))/($B$9:$C$9*D22:E22+$B$10:$C$10*D23:E23+$B$11:$C$11*D24:E24+$B$4:$C$4*(D25:E25-D19:E19)))</f>
        <v>0.9985878135050027</v>
      </c>
      <c r="E65" s="191"/>
      <c r="F65" s="191">
        <f t="array" ref="F65">SQRT((F9:G9*$B$22:$C$22+F10:G10*$B$23:$C$23+F11:G11*$B$24:$C$24+F4:G4*($B$25:$C$25-$B$19:$C$19))/($B$9:$C$9*$B$22:$C$22+$B$10:$C$10*$B$23:$C$23+$B$11:$C$11*$B$24:$C$24+$B$4:$C$4*($B$25:$C$25-$B$19:$C$19))*(F9:G9*F22:G22+F10:G10*F23:G23+F11:G11*F24:G24+F4:G4*(F25:G25-F19:G19))/($B$9:$C$9*F22:G22+$B$10:$C$10*F23:G23+$B$11:$C$11*F24:G24+$B$4:$C$4*(F25:G25-F19:G19)))</f>
        <v>0.99713430305494211</v>
      </c>
      <c r="G65" s="191"/>
      <c r="H65" s="191">
        <f t="array" ref="H65">SQRT((H9:I9*$B$22:$C$22+H10:I10*$B$23:$C$23+H11:I11*$B$24:$C$24+H4:I4*($B$25:$C$25-$B$19:$C$19))/($B$9:$C$9*$B$22:$C$22+$B$10:$C$10*$B$23:$C$23+$B$11:$C$11*$B$24:$C$24+$B$4:$C$4*($B$25:$C$25-$B$19:$C$19))*(H9:I9*H22:I22+H10:I10*H23:I23+H11:I11*H24:I24+H4:I4*(H25:I25-H19:I19))/($B$9:$C$9*H22:I22+$B$10:$C$10*H23:I23+$B$11:$C$11*H24:I24+$B$4:$C$4*(H25:I25-H19:I19)))</f>
        <v>0.99563218252676111</v>
      </c>
      <c r="I65" s="191"/>
      <c r="J65" s="191">
        <f t="array" ref="J65">SQRT((J9:K9*$B$22:$C$22+J10:K10*$B$23:$C$23+J11:K11*$B$24:$C$24+J4:K4*($B$25:$C$25-$B$19:$C$19))/($B$9:$C$9*$B$22:$C$22+$B$10:$C$10*$B$23:$C$23+$B$11:$C$11*$B$24:$C$24+$B$4:$C$4*($B$25:$C$25-$B$19:$C$19))*(J9:K9*J22:K22+J10:K10*J23:K23+J11:K11*J24:K24+J4:K4*(J25:K25-J19:K19))/($B$9:$C$9*J22:K22+$B$10:$C$10*J23:K23+$B$11:$C$11*J24:K24+$B$4:$C$4*(J25:K25-J19:K19)))</f>
        <v>0.99407315976824195</v>
      </c>
      <c r="K65" s="191"/>
      <c r="L65" s="191">
        <f t="array" ref="L65">SQRT((L9:M9*$B$22:$C$22+L10:M10*$B$23:$C$23+L11:M11*$B$24:$C$24+L4:M4*($B$25:$C$25-$B$19:$C$19))/($B$9:$C$9*$B$22:$C$22+$B$10:$C$10*$B$23:$C$23+$B$11:$C$11*$B$24:$C$24+$B$4:$C$4*($B$25:$C$25-$B$19:$C$19))*(L9:M9*L22:M22+L10:M10*L23:M23+L11:M11*L24:M24+L4:M4*(L25:M25-L19:M19))/($B$9:$C$9*L22:M22+$B$10:$C$10*L23:M23+$B$11:$C$11*L24:M24+$B$4:$C$4*(L25:M25-L19:M19)))</f>
        <v>0.99244803274019655</v>
      </c>
      <c r="M65" s="191"/>
      <c r="N65" s="191">
        <f t="array" ref="N65">SQRT((N9:O9*$B$22:$C$22+N10:O10*$B$23:$C$23+N11:O11*$B$24:$C$24+N4:O4*($B$25:$C$25-$B$19:$C$19))/($B$9:$C$9*$B$22:$C$22+$B$10:$C$10*$B$23:$C$23+$B$11:$C$11*$B$24:$C$24+$B$4:$C$4*($B$25:$C$25-$B$19:$C$19))*(N9:O9*N22:O22+N10:O10*N23:O23+N11:O11*N24:O24+N4:O4*(N25:O25-N19:O19))/($B$9:$C$9*N22:O22+$B$10:$C$10*N23:O23+$B$11:$C$11*N24:O24+$B$4:$C$4*(N25:O25-N19:O19)))</f>
        <v>0.99074693594553631</v>
      </c>
      <c r="O65" s="191"/>
      <c r="P65" s="191">
        <f t="array" ref="P65">SQRT((P9:Q9*$B$22:$C$22+P10:Q10*$B$23:$C$23+P11:Q11*$B$24:$C$24+P4:Q4*($B$25:$C$25-$B$19:$C$19))/($B$9:$C$9*$B$22:$C$22+$B$10:$C$10*$B$23:$C$23+$B$11:$C$11*$B$24:$C$24+$B$4:$C$4*($B$25:$C$25-$B$19:$C$19))*(P9:Q9*P22:Q22+P10:Q10*P23:Q23+P11:Q11*P24:Q24+P4:Q4*(P25:Q25-P19:Q19))/($B$9:$C$9*P22:Q22+$B$10:$C$10*P23:Q23+$B$11:$C$11*P24:Q24+$B$4:$C$4*(P25:Q25-P19:Q19)))</f>
        <v>0.98896009333670898</v>
      </c>
      <c r="Q65" s="191"/>
      <c r="R65" s="191">
        <f t="array" ref="R65">SQRT((R9:S9*$B$22:$C$22+R10:S10*$B$23:$C$23+R11:S11*$B$24:$C$24+R4:S4*($B$25:$C$25-$B$19:$C$19))/($B$9:$C$9*$B$22:$C$22+$B$10:$C$10*$B$23:$C$23+$B$11:$C$11*$B$24:$C$24+$B$4:$C$4*($B$25:$C$25-$B$19:$C$19))*(R9:S9*R22:S22+R10:S10*R23:S23+R11:S11*R24:S24+R4:S4*(R25:S25-R19:S19))/($B$9:$C$9*R22:S22+$B$10:$C$10*R23:S23+$B$11:$C$11*R24:S24+$B$4:$C$4*(R25:S25-R19:S19)))</f>
        <v>0.98707921011518152</v>
      </c>
      <c r="S65" s="191"/>
      <c r="T65" s="191">
        <f t="array" ref="T65">SQRT((T9:U9*$B$22:$C$22+T10:U10*$B$23:$C$23+T11:U11*$B$24:$C$24+T4:U4*($B$25:$C$25-$B$19:$C$19))/($B$9:$C$9*$B$22:$C$22+$B$10:$C$10*$B$23:$C$23+$B$11:$C$11*$B$24:$C$24+$B$4:$C$4*($B$25:$C$25-$B$19:$C$19))*(T9:U9*T22:U22+T10:U10*T23:U23+T11:U11*T24:U24+T4:U4*(T25:U25-T19:U19))/($B$9:$C$9*T22:U22+$B$10:$C$10*T23:U23+$B$11:$C$11*T24:U24+$B$4:$C$4*(T25:U25-T19:U19)))</f>
        <v>0.98510027083802632</v>
      </c>
      <c r="U65" s="191"/>
      <c r="V65" s="191">
        <f t="array" ref="V65">SQRT((V9:W9*$B$22:$C$22+V10:W10*$B$23:$C$23+V11:W11*$B$24:$C$24+V4:W4*($B$25:$C$25-$B$19:$C$19))/($B$9:$C$9*$B$22:$C$22+$B$10:$C$10*$B$23:$C$23+$B$11:$C$11*$B$24:$C$24+$B$4:$C$4*($B$25:$C$25-$B$19:$C$19))*(V9:W9*V22:W22+V10:W10*V23:W23+V11:W11*V24:W24+V4:W4*(V25:W25-V19:W19))/($B$9:$C$9*V22:W22+$B$10:$C$10*V23:W23+$B$11:$C$11*V24:W24+$B$4:$C$4*(V25:W25-V19:W19)))</f>
        <v>0.98302885539661267</v>
      </c>
      <c r="W65" s="191"/>
      <c r="X65" s="191">
        <f t="array" ref="X65">SQRT((X9:Y9*$B$22:$C$22+X10:Y10*$B$23:$C$23+X11:Y11*$B$24:$C$24+X4:Y4*($B$25:$C$25-$B$19:$C$19))/($B$9:$C$9*$B$22:$C$22+$B$10:$C$10*$B$23:$C$23+$B$11:$C$11*$B$24:$C$24+$B$4:$C$4*($B$25:$C$25-$B$19:$C$19))*(X9:Y9*X22:Y22+X10:Y10*X23:Y23+X11:Y11*X24:Y24+X4:Y4*(X25:Y25-X19:Y19))/($B$9:$C$9*X22:Y22+$B$10:$C$10*X23:Y23+$B$11:$C$11*X24:Y24+$B$4:$C$4*(X25:Y25-X19:Y19)))</f>
        <v>0.9808902817429852</v>
      </c>
      <c r="Y65" s="191"/>
      <c r="Z65" s="191">
        <f t="array" ref="Z65">SQRT((Z9:AA9*$B$22:$C$22+Z10:AA10*$B$23:$C$23+Z11:AA11*$B$24:$C$24+Z4:AA4*($B$25:$C$25-$B$19:$C$19))/($B$9:$C$9*$B$22:$C$22+$B$10:$C$10*$B$23:$C$23+$B$11:$C$11*$B$24:$C$24+$B$4:$C$4*($B$25:$C$25-$B$19:$C$19))*(Z9:AA9*Z22:AA22+Z10:AA10*Z23:AA23+Z11:AA11*Z24:AA24+Z4:AA4*(Z25:AA25-Z19:AA19))/($B$9:$C$9*Z22:AA22+$B$10:$C$10*Z23:AA23+$B$11:$C$11*Z24:AA24+$B$4:$C$4*(Z25:AA25-Z19:AA19)))</f>
        <v>0.97874897067086131</v>
      </c>
      <c r="AA65" s="191"/>
      <c r="AB65" s="191">
        <f t="array" ref="AB65">SQRT((AB9:AC9*$B$22:$C$22+AB10:AC10*$B$23:$C$23+AB11:AC11*$B$24:$C$24+AB4:AC4*($B$25:$C$25-$B$19:$C$19))/($B$9:$C$9*$B$22:$C$22+$B$10:$C$10*$B$23:$C$23+$B$11:$C$11*$B$24:$C$24+$B$4:$C$4*($B$25:$C$25-$B$19:$C$19))*(AB9:AC9*AB22:AC22+AB10:AC10*AB23:AC23+AB11:AC11*AB24:AC24+AB4:AC4*(AB25:AC25-AB19:AC19))/($B$9:$C$9*AB22:AC22+$B$10:$C$10*AB23:AC23+$B$11:$C$11*AB24:AC24+$B$4:$C$4*(AB25:AC25-AB19:AC19)))</f>
        <v>0.97674520985960378</v>
      </c>
      <c r="AC65" s="191"/>
      <c r="AD65" s="191">
        <f t="array" ref="AD65">SQRT((AD9:AE9*$B$22:$C$22+AD10:AE10*$B$23:$C$23+AD11:AE11*$B$24:$C$24+AD4:AE4*($B$25:$C$25-$B$19:$C$19))/($B$9:$C$9*$B$22:$C$22+$B$10:$C$10*$B$23:$C$23+$B$11:$C$11*$B$24:$C$24+$B$4:$C$4*($B$25:$C$25-$B$19:$C$19))*(AD9:AE9*AD22:AE22+AD10:AE10*AD23:AE23+AD11:AE11*AD24:AE24+AD4:AE4*(AD25:AE25-AD19:AE19))/($B$9:$C$9*AD22:AE22+$B$10:$C$10*AD23:AE23+$B$11:$C$11*AD24:AE24+$B$4:$C$4*(AD25:AE25-AD19:AE19)))</f>
        <v>0.97516156192312664</v>
      </c>
      <c r="AE65" s="191"/>
      <c r="AF65" s="191">
        <f t="array" ref="AF65">SQRT((AF9:AG9*$B$22:$C$22+AF10:AG10*$B$23:$C$23+AF11:AG11*$B$24:$C$24+AF4:AG4*($B$25:$C$25-$B$19:$C$19))/($B$9:$C$9*$B$22:$C$22+$B$10:$C$10*$B$23:$C$23+$B$11:$C$11*$B$24:$C$24+$B$4:$C$4*($B$25:$C$25-$B$19:$C$19))*(AF9:AG9*AF22:AG22+AF10:AG10*AF23:AG23+AF11:AG11*AF24:AG24+AF4:AG4*(AF25:AG25-AF19:AG19))/($B$9:$C$9*AF22:AG22+$B$10:$C$10*AF23:AG23+$B$11:$C$11*AF24:AG24+$B$4:$C$4*(AF25:AG25-AF19:AG19)))</f>
        <v>0.97451869232205934</v>
      </c>
      <c r="AG65" s="191"/>
      <c r="AH65" s="191">
        <f t="array" ref="AH65">SQRT((AH9:AI9*$B$22:$C$22+AH10:AI10*$B$23:$C$23+AH11:AI11*$B$24:$C$24+AH4:AI4*($B$25:$C$25-$B$19:$C$19))/($B$9:$C$9*$B$22:$C$22+$B$10:$C$10*$B$23:$C$23+$B$11:$C$11*$B$24:$C$24+$B$4:$C$4*($B$25:$C$25-$B$19:$C$19))*(AH9:AI9*AH22:AI22+AH10:AI10*AH23:AI23+AH11:AI11*AH24:AI24+AH4:AI4*(AH25:AI25-AH19:AI19))/($B$9:$C$9*AH22:AI22+$B$10:$C$10*AH23:AI23+$B$11:$C$11*AH24:AI24+$B$4:$C$4*(AH25:AI25-AH19:AI19)))</f>
        <v>0.97559518917738708</v>
      </c>
      <c r="AI65" s="191"/>
      <c r="AJ65" s="191">
        <f t="array" ref="AJ65">SQRT((AJ9:AK9*$B$22:$C$22+AJ10:AK10*$B$23:$C$23+AJ11:AK11*$B$24:$C$24+AJ4:AK4*($B$25:$C$25-$B$19:$C$19))/($B$9:$C$9*$B$22:$C$22+$B$10:$C$10*$B$23:$C$23+$B$11:$C$11*$B$24:$C$24+$B$4:$C$4*($B$25:$C$25-$B$19:$C$19))*(AJ9:AK9*AJ22:AK22+AJ10:AK10*AJ23:AK23+AJ11:AK11*AJ24:AK24+AJ4:AK4*(AJ25:AK25-AJ19:AK19))/($B$9:$C$9*AJ22:AK22+$B$10:$C$10*AJ23:AK23+$B$11:$C$11*AJ24:AK24+$B$4:$C$4*(AJ25:AK25-AJ19:AK19)))</f>
        <v>0.9789948097965353</v>
      </c>
      <c r="AK65" s="191"/>
      <c r="AL65" s="191">
        <f t="array" ref="AL65">SQRT((AL9:AM9*$B$22:$C$22+AL10:AM10*$B$23:$C$23+AL11:AM11*$B$24:$C$24+AL4:AM4*($B$25:$C$25-$B$19:$C$19))/($B$9:$C$9*$B$22:$C$22+$B$10:$C$10*$B$23:$C$23+$B$11:$C$11*$B$24:$C$24+$B$4:$C$4*($B$25:$C$25-$B$19:$C$19))*(AL9:AM9*AL22:AM22+AL10:AM10*AL23:AM23+AL11:AM11*AL24:AM24+AL4:AM4*(AL25:AM25-AL19:AM19))/($B$9:$C$9*AL22:AM22+$B$10:$C$10*AL23:AM23+$B$11:$C$11*AL24:AM24+$B$4:$C$4*(AL25:AM25-AL19:AM19)))</f>
        <v>0.9841773578080959</v>
      </c>
      <c r="AM65" s="191"/>
      <c r="AN65" s="191">
        <f t="array" ref="AN65">SQRT((AN9:AO9*$B$22:$C$22+AN10:AO10*$B$23:$C$23+AN11:AO11*$B$24:$C$24+AN4:AO4*($B$25:$C$25-$B$19:$C$19))/($B$9:$C$9*$B$22:$C$22+$B$10:$C$10*$B$23:$C$23+$B$11:$C$11*$B$24:$C$24+$B$4:$C$4*($B$25:$C$25-$B$19:$C$19))*(AN9:AO9*AN22:AO22+AN10:AO10*AN23:AO23+AN11:AO11*AN24:AO24+AN4:AO4*(AN25:AO25-AN19:AO19))/($B$9:$C$9*AN22:AO22+$B$10:$C$10*AN23:AO23+$B$11:$C$11*AN24:AO24+$B$4:$C$4*(AN25:AO25-AN19:AO19)))</f>
        <v>0.98912282794430217</v>
      </c>
      <c r="AO65" s="191"/>
      <c r="AP65" s="191">
        <f t="array" ref="AP65">SQRT((AP9:AQ9*$B$22:$C$22+AP10:AQ10*$B$23:$C$23+AP11:AQ11*$B$24:$C$24+AP4:AQ4*($B$25:$C$25-$B$19:$C$19))/($B$9:$C$9*$B$22:$C$22+$B$10:$C$10*$B$23:$C$23+$B$11:$C$11*$B$24:$C$24+$B$4:$C$4*($B$25:$C$25-$B$19:$C$19))*(AP9:AQ9*AP22:AQ22+AP10:AQ10*AP23:AQ23+AP11:AQ11*AP24:AQ24+AP4:AQ4*(AP25:AQ25-AP19:AQ19))/($B$9:$C$9*AP22:AQ22+$B$10:$C$10*AP23:AQ23+$B$11:$C$11*AP24:AQ24+$B$4:$C$4*(AP25:AQ25-AP19:AQ19)))</f>
        <v>0.98976498687883552</v>
      </c>
      <c r="AQ65" s="191"/>
      <c r="AR65" s="191">
        <f t="array" ref="AR65">SQRT((AR9:AS9*$B$22:$C$22+AR10:AS10*$B$23:$C$23+AR11:AS11*$B$24:$C$24+AR4:AS4*($B$25:$C$25-$B$19:$C$19))/($B$9:$C$9*$B$22:$C$22+$B$10:$C$10*$B$23:$C$23+$B$11:$C$11*$B$24:$C$24+$B$4:$C$4*($B$25:$C$25-$B$19:$C$19))*(AR9:AS9*AR22:AS22+AR10:AS10*AR23:AS23+AR11:AS11*AR24:AS24+AR4:AS4*(AR25:AS25-AR19:AS19))/($B$9:$C$9*AR22:AS22+$B$10:$C$10*AR23:AS23+$B$11:$C$11*AR24:AS24+$B$4:$C$4*(AR25:AS25-AR19:AS19)))</f>
        <v>0.99014500750505885</v>
      </c>
      <c r="AS65" s="191"/>
      <c r="AT65" s="191">
        <f t="array" ref="AT65">SQRT((AT9:AU9*$B$22:$C$22+AT10:AU10*$B$23:$C$23+AT11:AU11*$B$24:$C$24+AT4:AU4*($B$25:$C$25-$B$19:$C$19))/($B$9:$C$9*$B$22:$C$22+$B$10:$C$10*$B$23:$C$23+$B$11:$C$11*$B$24:$C$24+$B$4:$C$4*($B$25:$C$25-$B$19:$C$19))*(AT9:AU9*AT22:AU22+AT10:AU10*AT23:AU23+AT11:AU11*AT24:AU24+AT4:AU4*(AT25:AU25-AT19:AU19))/($B$9:$C$9*AT22:AU22+$B$10:$C$10*AT23:AU23+$B$11:$C$11*AT24:AU24+$B$4:$C$4*(AT25:AU25-AT19:AU19)))</f>
        <v>0.99011578582653681</v>
      </c>
      <c r="AU65" s="191"/>
      <c r="AV65" s="191">
        <f t="array" ref="AV65">SQRT((AV9:AW9*$B$22:$C$22+AV10:AW10*$B$23:$C$23+AV11:AW11*$B$24:$C$24+AV4:AW4*($B$25:$C$25-$B$19:$C$19))/($B$9:$C$9*$B$22:$C$22+$B$10:$C$10*$B$23:$C$23+$B$11:$C$11*$B$24:$C$24+$B$4:$C$4*($B$25:$C$25-$B$19:$C$19))*(AV9:AW9*AV22:AW22+AV10:AW10*AV23:AW23+AV11:AW11*AV24:AW24+AV4:AW4*(AV25:AW25-AV19:AW19))/($B$9:$C$9*AV22:AW22+$B$10:$C$10*AV23:AW23+$B$11:$C$11*AV24:AW24+$B$4:$C$4*(AV25:AW25-AV19:AW19)))</f>
        <v>0.98939146126153077</v>
      </c>
    </row>
    <row r="66" spans="1:48 16384:16384" x14ac:dyDescent="0.2">
      <c r="A66" t="s">
        <v>182</v>
      </c>
      <c r="B66" s="191">
        <f t="array" ref="B66">SQRT((B9:C9*$B$22:$C$22)/($B$9:$C$9*$B$22:$C$22)*(B9:C9*B22:C22)/($B$9:$C$9*B22:C22))</f>
        <v>1</v>
      </c>
      <c r="C66" s="191"/>
      <c r="D66" s="191">
        <f t="array" ref="D66">SQRT((D9:E9*$B$22:$C$22)/($B$9:$C$9*$B$22:$C$22)*(D9:E9*D22:E22)/($B$9:$C$9*D22:E22))</f>
        <v>0.99844713252661621</v>
      </c>
      <c r="E66" s="191"/>
      <c r="F66" s="191">
        <f t="array" ref="F66">SQRT((F9:G9*$B$22:$C$22)/($B$9:$C$9*$B$22:$C$22)*(F9:G9*F22:G22)/($B$9:$C$9*F22:G22))</f>
        <v>0.99684706101528875</v>
      </c>
      <c r="G66" s="191"/>
      <c r="H66" s="191">
        <f t="array" ref="H66">SQRT((H9:I9*$B$22:$C$22)/($B$9:$C$9*$B$22:$C$22)*(H9:I9*H22:I22)/($B$9:$C$9*H22:I22))</f>
        <v>0.99519158316270273</v>
      </c>
      <c r="I66" s="191"/>
      <c r="J66" s="191">
        <f t="array" ref="J66">SQRT((J9:K9*$B$22:$C$22)/($B$9:$C$9*$B$22:$C$22)*(J9:K9*J22:K22)/($B$9:$C$9*J22:K22))</f>
        <v>0.99347133848914471</v>
      </c>
      <c r="K66" s="191"/>
      <c r="L66" s="191">
        <f t="array" ref="L66">SQRT((L9:M9*$B$22:$C$22)/($B$9:$C$9*$B$22:$C$22)*(L9:M9*L22:M22)/($B$9:$C$9*L22:M22))</f>
        <v>0.99167590277006235</v>
      </c>
      <c r="M66" s="191"/>
      <c r="N66" s="191">
        <f t="array" ref="N66">SQRT((N9:O9*$B$22:$C$22)/($B$9:$C$9*$B$22:$C$22)*(N9:O9*N22:O22)/($B$9:$C$9*N22:O22))</f>
        <v>0.98979404825107675</v>
      </c>
      <c r="O66" s="191"/>
      <c r="P66" s="191">
        <f t="array" ref="P66">SQRT((P9:Q9*$B$22:$C$22)/($B$9:$C$9*$B$22:$C$22)*(P9:Q9*P22:Q22)/($B$9:$C$9*P22:Q22))</f>
        <v>0.98781456536348311</v>
      </c>
      <c r="Q66" s="191"/>
      <c r="R66" s="191">
        <f t="array" ref="R66">SQRT((R9:S9*$B$22:$C$22)/($B$9:$C$9*$B$22:$C$22)*(R9:S9*R22:S22)/($B$9:$C$9*R22:S22))</f>
        <v>0.98572780011058558</v>
      </c>
      <c r="S66" s="191"/>
      <c r="T66" s="191">
        <f t="array" ref="T66">SQRT((T9:U9*$B$22:$C$22)/($B$9:$C$9*$B$22:$C$22)*(T9:U9*T22:U22)/($B$9:$C$9*T22:U22))</f>
        <v>0.9835287702922163</v>
      </c>
      <c r="U66" s="191"/>
      <c r="V66" s="191">
        <f t="array" ref="V66">SQRT((V9:W9*$B$22:$C$22)/($B$9:$C$9*$B$22:$C$22)*(V9:W9*V22:W22)/($B$9:$C$9*V22:W22))</f>
        <v>0.98122312234794551</v>
      </c>
      <c r="W66" s="191"/>
      <c r="X66" s="191">
        <f t="array" ref="X66">SQRT((X9:Y9*$B$22:$C$22)/($B$9:$C$9*$B$22:$C$22)*(X9:Y9*X22:Y22)/($B$9:$C$9*X22:Y22))</f>
        <v>0.97883855047427437</v>
      </c>
      <c r="Y66" s="191"/>
      <c r="Z66" s="191">
        <f t="array" ref="Z66">SQRT((Z9:AA9*$B$22:$C$22)/($B$9:$C$9*$B$22:$C$22)*(Z9:AA9*Z22:AA22)/($B$9:$C$9*Z22:AA22))</f>
        <v>0.9764466748901961</v>
      </c>
      <c r="AA66" s="191"/>
      <c r="AB66" s="191">
        <f t="array" ref="AB66">SQRT((AB9:AC9*$B$22:$C$22)/($B$9:$C$9*$B$22:$C$22)*(AB9:AC9*AB22:AC22)/($B$9:$C$9*AB22:AC22))</f>
        <v>0.97420466582257714</v>
      </c>
      <c r="AC66" s="191"/>
      <c r="AD66" s="191">
        <f t="array" ref="AD66">SQRT((AD9:AE9*$B$22:$C$22)/($B$9:$C$9*$B$22:$C$22)*(AD9:AE9*AD22:AE22)/($B$9:$C$9*AD22:AE22))</f>
        <v>0.97243043729913015</v>
      </c>
      <c r="AE66" s="191"/>
      <c r="AF66" s="191">
        <f t="array" ref="AF66">SQRT((AF9:AG9*$B$22:$C$22)/($B$9:$C$9*$B$22:$C$22)*(AF9:AG9*AF22:AG22)/($B$9:$C$9*AF22:AG22))</f>
        <v>0.97171068158968488</v>
      </c>
      <c r="AG66" s="191"/>
      <c r="AH66" s="191">
        <f t="array" ref="AH66">SQRT((AH9:AI9*$B$22:$C$22)/($B$9:$C$9*$B$22:$C$22)*(AH9:AI9*AH22:AI22)/($B$9:$C$9*AH22:AI22))</f>
        <v>0.97292070195275759</v>
      </c>
      <c r="AI66" s="191"/>
      <c r="AJ66" s="191">
        <f t="array" ref="AJ66">SQRT((AJ9:AK9*$B$22:$C$22)/($B$9:$C$9*$B$22:$C$22)*(AJ9:AK9*AJ22:AK22)/($B$9:$C$9*AJ22:AK22))</f>
        <v>0.97672972521376644</v>
      </c>
      <c r="AK66" s="191"/>
      <c r="AL66" s="191">
        <f t="array" ref="AL66">SQRT((AL9:AM9*$B$22:$C$22)/($B$9:$C$9*$B$22:$C$22)*(AL9:AM9*AL22:AM22)/($B$9:$C$9*AL22:AM22))</f>
        <v>0.98251227971793487</v>
      </c>
      <c r="AM66" s="191"/>
      <c r="AN66" s="191">
        <f t="array" ref="AN66">SQRT((AN9:AO9*$B$22:$C$22)/($B$9:$C$9*$B$22:$C$22)*(AN9:AO9*AN22:AO22)/($B$9:$C$9*AN22:AO22))</f>
        <v>0.98800467124810942</v>
      </c>
      <c r="AO66" s="191"/>
      <c r="AP66" s="191">
        <f t="array" ref="AP66">SQRT((AP9:AQ9*$B$22:$C$22)/($B$9:$C$9*$B$22:$C$22)*(AP9:AQ9*AP22:AQ22)/($B$9:$C$9*AP22:AQ22))</f>
        <v>0.98871605061655166</v>
      </c>
      <c r="AQ66" s="191"/>
      <c r="AR66" s="191">
        <f t="array" ref="AR66">SQRT((AR9:AS9*$B$22:$C$22)/($B$9:$C$9*$B$22:$C$22)*(AR9:AS9*AR22:AS22)/($B$9:$C$9*AR22:AS22))</f>
        <v>0.98913684244081401</v>
      </c>
      <c r="AS66" s="191"/>
      <c r="AT66" s="191">
        <f t="array" ref="AT66">SQRT((AT9:AU9*$B$22:$C$22)/($B$9:$C$9*$B$22:$C$22)*(AT9:AU9*AT22:AU22)/($B$9:$C$9*AT22:AU22))</f>
        <v>0.9891044907584805</v>
      </c>
      <c r="AU66" s="191"/>
      <c r="AV66" s="191">
        <f t="array" ref="AV66">SQRT((AV9:AW9*$B$22:$C$22)/($B$9:$C$9*$B$22:$C$22)*(AV9:AW9*AV22:AW22)/($B$9:$C$9*AV22:AW22))</f>
        <v>0.98830231141831371</v>
      </c>
      <c r="XFD66" s="191"/>
    </row>
    <row r="67" spans="1:48 16384:16384" x14ac:dyDescent="0.2">
      <c r="A67" t="s">
        <v>183</v>
      </c>
      <c r="B67" s="191">
        <f t="array" ref="B67">SQRT((B4:C4*$B$19:$C$19)/($B$4:$C$4*$B$19:$C$19)*(B4:C4*B19:C19)/($B$4:$C$4*B19:C19))</f>
        <v>1</v>
      </c>
      <c r="C67" s="191"/>
      <c r="D67" s="191">
        <f t="array" ref="D67">SQRT((D4:E4*$B$19:$C$19)/($B$4:$C$4*$B$19:$C$19)*(D4:E4*D19:E19)/($B$4:$C$4*D19:E19))</f>
        <v>1</v>
      </c>
      <c r="E67" s="191"/>
      <c r="F67" s="191">
        <f t="array" ref="F67">SQRT((F4:G4*$B$19:$C$19)/($B$4:$C$4*$B$19:$C$19)*(F4:G4*F19:G19)/($B$4:$C$4*F19:G19))</f>
        <v>1</v>
      </c>
      <c r="G67" s="191"/>
      <c r="H67" s="191">
        <f t="array" ref="H67">SQRT((H4:I4*$B$19:$C$19)/($B$4:$C$4*$B$19:$C$19)*(H4:I4*H19:I19)/($B$4:$C$4*H19:I19))</f>
        <v>1</v>
      </c>
      <c r="I67" s="191"/>
      <c r="J67" s="191">
        <f t="array" ref="J67">SQRT((J4:K4*$B$19:$C$19)/($B$4:$C$4*$B$19:$C$19)*(J4:K4*J19:K19)/($B$4:$C$4*J19:K19))</f>
        <v>1</v>
      </c>
      <c r="K67" s="191"/>
      <c r="L67" s="191">
        <f t="array" ref="L67">SQRT((L4:M4*$B$19:$C$19)/($B$4:$C$4*$B$19:$C$19)*(L4:M4*L19:M19)/($B$4:$C$4*L19:M19))</f>
        <v>1</v>
      </c>
      <c r="M67" s="191"/>
      <c r="N67" s="191">
        <f t="array" ref="N67">SQRT((N4:O4*$B$19:$C$19)/($B$4:$C$4*$B$19:$C$19)*(N4:O4*N19:O19)/($B$4:$C$4*N19:O19))</f>
        <v>1</v>
      </c>
      <c r="O67" s="191"/>
      <c r="P67" s="191">
        <f t="array" ref="P67">SQRT((P4:Q4*$B$19:$C$19)/($B$4:$C$4*$B$19:$C$19)*(P4:Q4*P19:Q19)/($B$4:$C$4*P19:Q19))</f>
        <v>1</v>
      </c>
      <c r="Q67" s="191"/>
      <c r="R67" s="191">
        <f t="array" ref="R67">SQRT((R4:S4*$B$19:$C$19)/($B$4:$C$4*$B$19:$C$19)*(R4:S4*R19:S19)/($B$4:$C$4*R19:S19))</f>
        <v>1</v>
      </c>
      <c r="S67" s="191"/>
      <c r="T67" s="191">
        <f t="array" ref="T67">SQRT((T4:U4*$B$19:$C$19)/($B$4:$C$4*$B$19:$C$19)*(T4:U4*T19:U19)/($B$4:$C$4*T19:U19))</f>
        <v>1</v>
      </c>
      <c r="U67" s="191"/>
      <c r="V67" s="191">
        <f t="array" ref="V67">SQRT((V4:W4*$B$19:$C$19)/($B$4:$C$4*$B$19:$C$19)*(V4:W4*V19:W19)/($B$4:$C$4*V19:W19))</f>
        <v>1</v>
      </c>
      <c r="W67" s="191"/>
      <c r="X67" s="191">
        <f t="array" ref="X67">SQRT((X4:Y4*$B$19:$C$19)/($B$4:$C$4*$B$19:$C$19)*(X4:Y4*X19:Y19)/($B$4:$C$4*X19:Y19))</f>
        <v>1</v>
      </c>
      <c r="Y67" s="191"/>
      <c r="Z67" s="191">
        <f t="array" ref="Z67">SQRT((Z4:AA4*$B$19:$C$19)/($B$4:$C$4*$B$19:$C$19)*(Z4:AA4*Z19:AA19)/($B$4:$C$4*Z19:AA19))</f>
        <v>1</v>
      </c>
      <c r="AA67" s="191"/>
      <c r="AB67" s="191">
        <f t="array" ref="AB67">SQRT((AB4:AC4*$B$19:$C$19)/($B$4:$C$4*$B$19:$C$19)*(AB4:AC4*AB19:AC19)/($B$4:$C$4*AB19:AC19))</f>
        <v>1</v>
      </c>
      <c r="AC67" s="191"/>
      <c r="AD67" s="191">
        <f t="array" ref="AD67">SQRT((AD4:AE4*$B$19:$C$19)/($B$4:$C$4*$B$19:$C$19)*(AD4:AE4*AD19:AE19)/($B$4:$C$4*AD19:AE19))</f>
        <v>1</v>
      </c>
      <c r="AE67" s="191"/>
      <c r="AF67" s="191">
        <f t="array" ref="AF67">SQRT((AF4:AG4*$B$19:$C$19)/($B$4:$C$4*$B$19:$C$19)*(AF4:AG4*AF19:AG19)/($B$4:$C$4*AF19:AG19))</f>
        <v>1</v>
      </c>
      <c r="AG67" s="191"/>
      <c r="AH67" s="191">
        <f t="array" ref="AH67">SQRT((AH4:AI4*$B$19:$C$19)/($B$4:$C$4*$B$19:$C$19)*(AH4:AI4*AH19:AI19)/($B$4:$C$4*AH19:AI19))</f>
        <v>1</v>
      </c>
      <c r="AI67" s="191"/>
      <c r="AJ67" s="191">
        <f t="array" ref="AJ67">SQRT((AJ4:AK4*$B$19:$C$19)/($B$4:$C$4*$B$19:$C$19)*(AJ4:AK4*AJ19:AK19)/($B$4:$C$4*AJ19:AK19))</f>
        <v>1</v>
      </c>
      <c r="AK67" s="191"/>
      <c r="AL67" s="191">
        <f t="array" ref="AL67">SQRT((AL4:AM4*$B$19:$C$19)/($B$4:$C$4*$B$19:$C$19)*(AL4:AM4*AL19:AM19)/($B$4:$C$4*AL19:AM19))</f>
        <v>1</v>
      </c>
      <c r="AM67" s="191"/>
      <c r="AN67" s="191">
        <f t="array" ref="AN67">SQRT((AN4:AO4*$B$19:$C$19)/($B$4:$C$4*$B$19:$C$19)*(AN4:AO4*AN19:AO19)/($B$4:$C$4*AN19:AO19))</f>
        <v>1</v>
      </c>
      <c r="AO67" s="191"/>
      <c r="AP67" s="191">
        <f t="array" ref="AP67">SQRT((AP4:AQ4*$B$19:$C$19)/($B$4:$C$4*$B$19:$C$19)*(AP4:AQ4*AP19:AQ19)/($B$4:$C$4*AP19:AQ19))</f>
        <v>1</v>
      </c>
      <c r="AQ67" s="191"/>
      <c r="AR67" s="191">
        <f t="array" ref="AR67">SQRT((AR4:AS4*$B$19:$C$19)/($B$4:$C$4*$B$19:$C$19)*(AR4:AS4*AR19:AS19)/($B$4:$C$4*AR19:AS19))</f>
        <v>1</v>
      </c>
      <c r="AS67" s="191"/>
      <c r="AT67" s="191">
        <f t="array" ref="AT67">SQRT((AT4:AU4*$B$19:$C$19)/($B$4:$C$4*$B$19:$C$19)*(AT4:AU4*AT19:AU19)/($B$4:$C$4*AT19:AU19))</f>
        <v>1</v>
      </c>
      <c r="AU67" s="191"/>
      <c r="AV67" s="191">
        <f t="array" ref="AV67">SQRT((AV4:AW4*$B$19:$C$19)/($B$4:$C$4*$B$19:$C$19)*(AV4:AW4*AV19:AW19)/($B$4:$C$4*AV19:AW19))</f>
        <v>1</v>
      </c>
      <c r="XFD67" s="191"/>
    </row>
    <row r="68" spans="1:48 16384:16384" x14ac:dyDescent="0.2">
      <c r="A68" t="s">
        <v>181</v>
      </c>
      <c r="B68" s="191">
        <f>B66/B67</f>
        <v>1</v>
      </c>
      <c r="C68" s="191"/>
      <c r="D68" s="191">
        <f>D66/D67</f>
        <v>0.99844713252661621</v>
      </c>
      <c r="E68" s="191"/>
      <c r="F68" s="191">
        <f>F66/F67</f>
        <v>0.99684706101528875</v>
      </c>
      <c r="G68" s="191"/>
      <c r="H68" s="191">
        <f>H66/H67</f>
        <v>0.99519158316270273</v>
      </c>
      <c r="I68" s="191"/>
      <c r="J68" s="191">
        <f>J66/J67</f>
        <v>0.99347133848914471</v>
      </c>
      <c r="K68" s="191"/>
      <c r="L68" s="191">
        <f>L66/L67</f>
        <v>0.99167590277006235</v>
      </c>
      <c r="M68" s="191"/>
      <c r="N68" s="191">
        <f>N66/N67</f>
        <v>0.98979404825107675</v>
      </c>
      <c r="O68" s="191"/>
      <c r="P68" s="191">
        <f>P66/P67</f>
        <v>0.98781456536348311</v>
      </c>
      <c r="Q68" s="191"/>
      <c r="R68" s="191">
        <f>R66/R67</f>
        <v>0.98572780011058558</v>
      </c>
      <c r="S68" s="191"/>
      <c r="T68" s="191">
        <f>T66/T67</f>
        <v>0.9835287702922163</v>
      </c>
      <c r="U68" s="191"/>
      <c r="V68" s="191">
        <f>V66/V67</f>
        <v>0.98122312234794551</v>
      </c>
      <c r="W68" s="191"/>
      <c r="X68" s="191">
        <f>X66/X67</f>
        <v>0.97883855047427437</v>
      </c>
      <c r="Y68" s="191"/>
      <c r="Z68" s="191">
        <f>Z66/Z67</f>
        <v>0.9764466748901961</v>
      </c>
      <c r="AA68" s="191"/>
      <c r="AB68" s="191">
        <f>AB66/AB67</f>
        <v>0.97420466582257714</v>
      </c>
      <c r="AC68" s="191"/>
      <c r="AD68" s="191">
        <f>AD66/AD67</f>
        <v>0.97243043729913015</v>
      </c>
      <c r="AE68" s="191"/>
      <c r="AF68" s="191">
        <f>AF66/AF67</f>
        <v>0.97171068158968488</v>
      </c>
      <c r="AG68" s="191"/>
      <c r="AH68" s="191">
        <f>AH66/AH67</f>
        <v>0.97292070195275759</v>
      </c>
      <c r="AI68" s="191"/>
      <c r="AJ68" s="191">
        <f>AJ66/AJ67</f>
        <v>0.97672972521376644</v>
      </c>
      <c r="AK68" s="191"/>
      <c r="AL68" s="191">
        <f>AL66/AL67</f>
        <v>0.98251227971793487</v>
      </c>
      <c r="AM68" s="191"/>
      <c r="AN68" s="191">
        <f>AN66/AN67</f>
        <v>0.98800467124810942</v>
      </c>
      <c r="AO68" s="191"/>
      <c r="AP68" s="191">
        <f>AP66/AP67</f>
        <v>0.98871605061655166</v>
      </c>
      <c r="AQ68" s="191"/>
      <c r="AR68" s="191">
        <f>AR66/AR67</f>
        <v>0.98913684244081401</v>
      </c>
      <c r="AS68" s="191"/>
      <c r="AT68" s="191">
        <f>AT66/AT67</f>
        <v>0.9891044907584805</v>
      </c>
      <c r="AU68" s="191"/>
      <c r="AV68" s="191">
        <f>AV66/AV67</f>
        <v>0.98830231141831371</v>
      </c>
      <c r="XFD68" s="191"/>
    </row>
    <row r="69" spans="1:48 16384:16384" x14ac:dyDescent="0.2">
      <c r="A69" t="s">
        <v>177</v>
      </c>
      <c r="B69" s="191">
        <f>B32/B65/($B$32)</f>
        <v>1</v>
      </c>
      <c r="C69" s="191"/>
      <c r="D69" s="191">
        <f>D32/D65/($B$32)</f>
        <v>1.0015190812267345</v>
      </c>
      <c r="E69" s="191"/>
      <c r="F69" s="191">
        <f>F32/F65/($B$32)</f>
        <v>1.0029196339114081</v>
      </c>
      <c r="G69" s="191"/>
      <c r="H69" s="191">
        <f>H32/H65/($B$32)</f>
        <v>1.0041824126268812</v>
      </c>
      <c r="I69" s="191"/>
      <c r="J69" s="191">
        <f>J32/J65/($B$32)</f>
        <v>1.0052837840187041</v>
      </c>
      <c r="K69" s="191"/>
      <c r="L69" s="191">
        <f>L32/L65/($B$32)</f>
        <v>1.0061944206396247</v>
      </c>
      <c r="M69" s="191"/>
      <c r="N69" s="191">
        <f>N32/N65/($B$32)</f>
        <v>1.0068779681131681</v>
      </c>
      <c r="O69" s="191"/>
      <c r="P69" s="191">
        <f>P32/P65/($B$32)</f>
        <v>1.0072883132452339</v>
      </c>
      <c r="Q69" s="191"/>
      <c r="R69" s="191">
        <f>R32/R65/($B$32)</f>
        <v>1.0073665666153373</v>
      </c>
      <c r="S69" s="191"/>
      <c r="T69" s="191">
        <f>T32/T65/($B$32)</f>
        <v>1.0070364825524345</v>
      </c>
      <c r="U69" s="191"/>
      <c r="V69" s="191">
        <f>V32/V65/($B$32)</f>
        <v>1.0061973732087341</v>
      </c>
      <c r="W69" s="191"/>
      <c r="X69" s="191">
        <f>X32/X65/($B$32)</f>
        <v>1.004713341124051</v>
      </c>
      <c r="Y69" s="191"/>
      <c r="Z69" s="191">
        <f>Z32/Z65/($B$32)</f>
        <v>1.002394965488254</v>
      </c>
      <c r="AA69" s="191"/>
      <c r="AB69" s="191">
        <f>AB32/AB65/($B$32)</f>
        <v>0.99896503005794057</v>
      </c>
      <c r="AC69" s="191"/>
      <c r="AD69" s="191">
        <f>AD32/AD65/($B$32)</f>
        <v>0.99398397200811306</v>
      </c>
      <c r="AE69" s="191"/>
      <c r="AF69" s="191">
        <f>AF32/AF65/($B$32)</f>
        <v>0.98665436184636535</v>
      </c>
      <c r="AG69" s="191"/>
      <c r="AH69" s="191">
        <f>AH32/AH65/($B$32)</f>
        <v>0.97522025282103819</v>
      </c>
      <c r="AI69" s="191"/>
      <c r="AJ69" s="191">
        <f>AJ32/AJ65/($B$32)</f>
        <v>0.95504273301790743</v>
      </c>
      <c r="AK69" s="191"/>
      <c r="AL69" s="191">
        <f>AL32/AL65/($B$32)</f>
        <v>0.91231079699922268</v>
      </c>
      <c r="AM69" s="191"/>
      <c r="AN69" s="191">
        <f>AN32/AN65/($B$32)</f>
        <v>0.79317178193014271</v>
      </c>
      <c r="AO69" s="191"/>
      <c r="AP69" s="191">
        <f>AP32/AP65/($B$32)</f>
        <v>0.74278346767186587</v>
      </c>
      <c r="AQ69" s="191"/>
      <c r="AR69" s="191">
        <f>AR32/AR65/($B$32)</f>
        <v>0.67093305232485978</v>
      </c>
      <c r="AS69" s="191"/>
      <c r="AT69" s="191">
        <f>AT32/AT65/($B$32)</f>
        <v>0.56133904905369159</v>
      </c>
      <c r="AU69" s="191"/>
      <c r="AV69" s="191">
        <f>AV32/AV65/($B$32)</f>
        <v>0.3759110172330713</v>
      </c>
    </row>
    <row r="70" spans="1:48 16384:16384" x14ac:dyDescent="0.2">
      <c r="A70" t="s">
        <v>178</v>
      </c>
      <c r="B70" s="138">
        <f>B18/$B$18</f>
        <v>1</v>
      </c>
      <c r="C70" s="138"/>
      <c r="D70" s="138">
        <f>D18/$B$18</f>
        <v>1.0003463988286765</v>
      </c>
      <c r="E70" s="138"/>
      <c r="F70" s="138">
        <f>F18/$B$18</f>
        <v>1.0005582740417425</v>
      </c>
      <c r="G70" s="138"/>
      <c r="H70" s="138">
        <f>H18/$B$18</f>
        <v>1.0006154078455032</v>
      </c>
      <c r="I70" s="138"/>
      <c r="J70" s="138">
        <f>J18/$B$18</f>
        <v>1.0004928151569819</v>
      </c>
      <c r="K70" s="138"/>
      <c r="L70" s="138">
        <f>L18/$B$18</f>
        <v>1.0001591435968693</v>
      </c>
      <c r="M70" s="138"/>
      <c r="N70" s="138">
        <f>N18/$B$18</f>
        <v>0.99957435105412595</v>
      </c>
      <c r="O70" s="138"/>
      <c r="P70" s="138">
        <f>P18/$B$18</f>
        <v>0.99868595976153596</v>
      </c>
      <c r="Q70" s="138"/>
      <c r="R70" s="138">
        <f>R18/$B$18</f>
        <v>0.99742352483689889</v>
      </c>
      <c r="S70" s="138"/>
      <c r="T70" s="138">
        <f>T18/$B$18</f>
        <v>0.99568970957513814</v>
      </c>
      <c r="U70" s="138"/>
      <c r="V70" s="138">
        <f>V18/$B$18</f>
        <v>0.99334530013314681</v>
      </c>
      <c r="W70" s="138"/>
      <c r="X70" s="138">
        <f>X18/$B$18</f>
        <v>0.99018346516524958</v>
      </c>
      <c r="Y70" s="138"/>
      <c r="Z70" s="138">
        <f>Z18/$B$18</f>
        <v>0.98588306640488532</v>
      </c>
      <c r="AA70" s="138"/>
      <c r="AB70" s="138">
        <f>AB18/$B$18</f>
        <v>0.97992021796618023</v>
      </c>
      <c r="AC70" s="138"/>
      <c r="AD70" s="138">
        <f>AD18/$B$18</f>
        <v>0.9713939417802393</v>
      </c>
      <c r="AE70" s="138"/>
      <c r="AF70" s="138">
        <f>AF18/$B$18</f>
        <v>0.95867632146688453</v>
      </c>
      <c r="AG70" s="138"/>
      <c r="AH70" s="138">
        <f>AH18/$B$18</f>
        <v>0.9387179977553487</v>
      </c>
      <c r="AI70" s="138"/>
      <c r="AJ70" s="138">
        <f>AJ18/$B$18</f>
        <v>0.90553793896809576</v>
      </c>
      <c r="AK70" s="138"/>
      <c r="AL70" s="138">
        <f>AL18/$B$18</f>
        <v>0.84504038461250885</v>
      </c>
      <c r="AM70" s="138"/>
      <c r="AN70" s="138">
        <f>AN18/$B$18</f>
        <v>0.70651186615211847</v>
      </c>
      <c r="AO70" s="138"/>
      <c r="AP70" s="138">
        <f>AP18/$B$18</f>
        <v>0.65382309920285286</v>
      </c>
      <c r="AQ70" s="138"/>
      <c r="AR70" s="138">
        <f>AR18/$B$18</f>
        <v>0.58206447648092763</v>
      </c>
      <c r="AS70" s="138"/>
      <c r="AT70" s="138">
        <f>AT18/$B$18</f>
        <v>0.47803941652168236</v>
      </c>
      <c r="AU70" s="138"/>
      <c r="AV70" s="138">
        <f>AV18/$B$18</f>
        <v>0.31215616388778156</v>
      </c>
    </row>
    <row r="71" spans="1:48 16384:16384" x14ac:dyDescent="0.2">
      <c r="A71" t="s">
        <v>179</v>
      </c>
      <c r="B71" s="138">
        <f>C18/$C$18</f>
        <v>1</v>
      </c>
      <c r="D71" s="138">
        <f>E18/$C$18</f>
        <v>0.92966732302325261</v>
      </c>
      <c r="E71" s="138"/>
      <c r="F71" s="138">
        <f>G18/$C$18</f>
        <v>0.85939873031190661</v>
      </c>
      <c r="G71" s="138"/>
      <c r="H71" s="138">
        <f>I18/$C$18</f>
        <v>0.78921377583461017</v>
      </c>
      <c r="I71" s="138"/>
      <c r="J71" s="138">
        <f>K18/$C$18</f>
        <v>0.71914419530545293</v>
      </c>
      <c r="K71" s="138"/>
      <c r="L71" s="138">
        <f>M18/$C$18</f>
        <v>0.64924204639742333</v>
      </c>
      <c r="M71" s="138"/>
      <c r="N71" s="138">
        <f>O18/$C$18</f>
        <v>0.5795837043657649</v>
      </c>
      <c r="O71" s="138"/>
      <c r="P71" s="138">
        <f>Q18/$C$18</f>
        <v>0.51029412859927825</v>
      </c>
      <c r="Q71" s="138"/>
      <c r="R71" s="138">
        <f>S18/$C$18</f>
        <v>0.44156755022007299</v>
      </c>
      <c r="S71" s="138"/>
      <c r="T71" s="138">
        <f>U18/$C$18</f>
        <v>0.37370494257611347</v>
      </c>
      <c r="U71" s="138"/>
      <c r="V71" s="138">
        <f>W18/$C$18</f>
        <v>0.30717537478020029</v>
      </c>
      <c r="W71" s="138"/>
      <c r="X71" s="138">
        <f>Y18/$C$18</f>
        <v>0.24270595450651378</v>
      </c>
      <c r="Y71" s="138"/>
      <c r="Z71" s="138">
        <f>AA18/$C$18</f>
        <v>0.18142117427293736</v>
      </c>
      <c r="AA71" s="138"/>
      <c r="AB71" s="138">
        <f>AC18/$C$18</f>
        <v>0.12504150421493976</v>
      </c>
      <c r="AC71" s="138"/>
      <c r="AD71" s="138">
        <f>AE18/$C$18</f>
        <v>7.6105506549066768E-2</v>
      </c>
      <c r="AE71" s="138"/>
      <c r="AF71" s="138">
        <f>AG18/$C$18</f>
        <v>3.7961162529351958E-2</v>
      </c>
      <c r="AG71" s="138"/>
      <c r="AH71" s="138">
        <f>AI18/$C$18</f>
        <v>1.3670703842665685E-2</v>
      </c>
      <c r="AI71" s="138"/>
      <c r="AJ71" s="138">
        <f>AK18/$C$18</f>
        <v>2.9125384868278173E-3</v>
      </c>
      <c r="AK71" s="138"/>
      <c r="AL71" s="138">
        <f>AM18/$C$18</f>
        <v>2.6532685525798122E-4</v>
      </c>
      <c r="AM71" s="138"/>
      <c r="AN71" s="138">
        <f>AO18/$C$18</f>
        <v>4.5349941249268828E-6</v>
      </c>
      <c r="AO71" s="138"/>
      <c r="AP71" s="138">
        <f>AQ18/$C$18</f>
        <v>1.3382623780864586E-6</v>
      </c>
      <c r="AQ71" s="138"/>
      <c r="AR71" s="138">
        <f>AS18/$C$18</f>
        <v>3.0550333231089311E-7</v>
      </c>
      <c r="AS71" s="138"/>
      <c r="AT71" s="138">
        <f>AU18/$C$18</f>
        <v>4.7035595788777335E-8</v>
      </c>
      <c r="AU71" s="138"/>
      <c r="AV71" s="138">
        <f>AW18/$C$18</f>
        <v>3.5225081147155881E-9</v>
      </c>
      <c r="XFD71" s="138"/>
    </row>
    <row r="72" spans="1:48 16384:16384" x14ac:dyDescent="0.2">
      <c r="A72" t="s">
        <v>180</v>
      </c>
      <c r="B72" s="138">
        <f>C19/$C$19</f>
        <v>1</v>
      </c>
      <c r="D72" s="138">
        <f>E19/$C$19</f>
        <v>1.0258175259871882</v>
      </c>
      <c r="E72" s="138"/>
      <c r="F72" s="138">
        <f>G19/$C$19</f>
        <v>1.0552519706341035</v>
      </c>
      <c r="G72" s="138"/>
      <c r="H72" s="138">
        <f>I19/$C$19</f>
        <v>1.08876232779757</v>
      </c>
      <c r="I72" s="138"/>
      <c r="J72" s="138">
        <f>K19/$C$19</f>
        <v>1.1268600323346138</v>
      </c>
      <c r="K72" s="138"/>
      <c r="L72" s="138">
        <f>M19/$C$19</f>
        <v>1.1700841364403662</v>
      </c>
      <c r="M72" s="138"/>
      <c r="N72" s="138">
        <f>O19/$C$19</f>
        <v>1.2190019287456606</v>
      </c>
      <c r="O72" s="138"/>
      <c r="P72" s="138">
        <f>Q19/$C$19</f>
        <v>1.274136301173229</v>
      </c>
      <c r="Q72" s="138"/>
      <c r="R72" s="138">
        <f>S19/$C$19</f>
        <v>1.3358787477183365</v>
      </c>
      <c r="S72" s="138"/>
      <c r="T72" s="138">
        <f>U19/$C$19</f>
        <v>1.4043014890472802</v>
      </c>
      <c r="U72" s="138"/>
      <c r="V72" s="138">
        <f>W19/$C$19</f>
        <v>1.4788116861931502</v>
      </c>
      <c r="W72" s="138"/>
      <c r="X72" s="138">
        <f>Y19/$C$19</f>
        <v>1.557501850835358</v>
      </c>
      <c r="Y72" s="138"/>
      <c r="Z72" s="138">
        <f>AA19/$C$19</f>
        <v>1.6359272434304541</v>
      </c>
      <c r="AA72" s="138"/>
      <c r="AB72" s="138">
        <f>AC19/$C$19</f>
        <v>1.7048161779521263</v>
      </c>
      <c r="AC72" s="138"/>
      <c r="AD72" s="138">
        <f>AE19/$C$19</f>
        <v>1.7460161373412395</v>
      </c>
      <c r="AE72" s="138"/>
      <c r="AF72" s="138">
        <f>AG19/$C$19</f>
        <v>1.7268283403344478</v>
      </c>
      <c r="AG72" s="138"/>
      <c r="AH72" s="138">
        <f>AI19/$C$19</f>
        <v>1.5992485228120645</v>
      </c>
      <c r="AI72" s="138"/>
      <c r="AJ72" s="138">
        <f>AK19/$C$19</f>
        <v>1.3252308659375589</v>
      </c>
      <c r="AK72" s="138"/>
      <c r="AL72" s="138">
        <f>AM19/$C$19</f>
        <v>0.92570350980732907</v>
      </c>
      <c r="AM72" s="138"/>
      <c r="AN72" s="138">
        <f>AO19/$C$19</f>
        <v>0.46852840997324741</v>
      </c>
      <c r="AO72" s="138"/>
      <c r="AP72" s="138">
        <f>AQ19/$C$19</f>
        <v>0.3750296480219098</v>
      </c>
      <c r="AQ72" s="138"/>
      <c r="AR72" s="138">
        <f>AS19/$C$19</f>
        <v>0.28135456056379848</v>
      </c>
      <c r="AS72" s="138"/>
      <c r="AT72" s="138">
        <f>AU19/$C$19</f>
        <v>0.18759511969205625</v>
      </c>
      <c r="AU72" s="138"/>
      <c r="AV72" s="138">
        <f>AW19/$C$19</f>
        <v>9.3802379314561063E-2</v>
      </c>
      <c r="XFD72" s="138"/>
    </row>
    <row r="73" spans="1:48 16384:16384" x14ac:dyDescent="0.2">
      <c r="A73" t="s">
        <v>184</v>
      </c>
      <c r="B73" s="193">
        <f t="array" ref="B73">SUM(B9:C9*B22:C22)/B32</f>
        <v>0.47641153352875065</v>
      </c>
      <c r="D73" s="193">
        <f t="array" ref="D73">SUM(D9:E9*D22:E22)/D32</f>
        <v>0.47641154779584399</v>
      </c>
      <c r="E73" s="138"/>
      <c r="F73" s="193">
        <f t="array" ref="F73">SUM(F9:G9*F22:G22)/F32</f>
        <v>0.47641154957557896</v>
      </c>
      <c r="G73" s="138"/>
      <c r="H73" s="193">
        <f t="array" ref="H73">SUM(H9:I9*H22:I22)/H32</f>
        <v>0.47641153409228321</v>
      </c>
      <c r="I73" s="138"/>
      <c r="J73" s="193">
        <f t="array" ref="J73">SUM(J9:K9*J22:K22)/J32</f>
        <v>0.47641157801358819</v>
      </c>
      <c r="K73" s="138"/>
      <c r="L73" s="193">
        <f t="array" ref="L73">SUM(L9:M9*L22:M22)/L32</f>
        <v>0.47641153438423794</v>
      </c>
      <c r="M73" s="138"/>
      <c r="N73" s="193">
        <f t="array" ref="N73">SUM(N9:O9*N22:O22)/N32</f>
        <v>0.47641153520432755</v>
      </c>
      <c r="O73" s="138"/>
      <c r="P73" s="193">
        <f t="array" ref="P73">SUM(P9:Q9*P22:Q22)/P32</f>
        <v>0.47641153610504727</v>
      </c>
      <c r="Q73" s="138"/>
      <c r="R73" s="193">
        <f t="array" ref="R73">SUM(R9:S9*R22:S22)/R32</f>
        <v>0.47641153614371584</v>
      </c>
      <c r="S73" s="138"/>
      <c r="T73" s="193">
        <f t="array" ref="T73">SUM(T9:U9*T22:U22)/T32</f>
        <v>0.47641153755422677</v>
      </c>
      <c r="U73" s="138"/>
      <c r="V73" s="193">
        <f t="array" ref="V73">SUM(V9:W9*V22:W22)/V32</f>
        <v>0.47641153730414498</v>
      </c>
      <c r="W73" s="138"/>
      <c r="X73" s="193">
        <f t="array" ref="X73">SUM(X9:Y9*X22:Y22)/X32</f>
        <v>0.47641153364856464</v>
      </c>
      <c r="Y73" s="138"/>
      <c r="Z73" s="193">
        <f t="array" ref="Z73">SUM(Z9:AA9*Z22:AA22)/Z32</f>
        <v>0.47641153447757417</v>
      </c>
      <c r="AA73" s="138"/>
      <c r="AB73" s="193">
        <f t="array" ref="AB73">SUM(AB9:AC9*AB22:AC22)/AB32</f>
        <v>0.47641153330469116</v>
      </c>
      <c r="AC73" s="138"/>
      <c r="AD73" s="193">
        <f t="array" ref="AD73">SUM(AD9:AE9*AD22:AE22)/AD32</f>
        <v>0.47641153321654467</v>
      </c>
      <c r="AE73" s="138"/>
      <c r="AF73" s="193">
        <f t="array" ref="AF73">SUM(AF9:AG9*AF22:AG22)/AF32</f>
        <v>0.47641153455530222</v>
      </c>
      <c r="AG73" s="138"/>
      <c r="AH73" s="193">
        <f t="array" ref="AH73">SUM(AH9:AI9*AH22:AI22)/AH32</f>
        <v>0.47641153351474841</v>
      </c>
      <c r="AI73" s="138"/>
      <c r="AJ73" s="193">
        <f t="array" ref="AJ73">SUM(AJ9:AK9*AJ22:AK22)/AJ32</f>
        <v>0.47641153353865701</v>
      </c>
      <c r="AK73" s="138"/>
      <c r="AL73" s="193">
        <f t="array" ref="AL73">SUM(AL9:AM9*AL22:AM22)/AL32</f>
        <v>0.47641153353041038</v>
      </c>
      <c r="AM73" s="138"/>
      <c r="AN73" s="193">
        <f t="array" ref="AN73">SUM(AN9:AO9*AN22:AO22)/AN32</f>
        <v>0.47641153352875132</v>
      </c>
      <c r="AO73" s="138"/>
      <c r="AP73" s="193">
        <f t="array" ref="AP73">SUM(AP9:AQ9*AP22:AQ22)/AP32</f>
        <v>0.47641153352889209</v>
      </c>
      <c r="AQ73" s="138"/>
      <c r="AR73" s="193">
        <f t="array" ref="AR73">SUM(AR9:AS9*AR22:AS22)/AR32</f>
        <v>0.47641153352875215</v>
      </c>
      <c r="AS73" s="138"/>
      <c r="AT73" s="193">
        <f t="array" ref="AT73">SUM(AT9:AU9*AT22:AU22)/AT32</f>
        <v>0.47641153352875154</v>
      </c>
      <c r="AU73" s="138"/>
      <c r="AV73" s="193">
        <f t="array" ref="AV73">SUM(AV9:AW9*AV22:AW22)/AV32</f>
        <v>0.47641153352844506</v>
      </c>
      <c r="XFD73" s="193"/>
    </row>
    <row r="74" spans="1:48 16384:16384" x14ac:dyDescent="0.2">
      <c r="A74" t="s">
        <v>185</v>
      </c>
      <c r="B74" s="193">
        <f t="array" ref="B74">SUM(B10:C10*B23:C23)/B32</f>
        <v>0.22604620456442484</v>
      </c>
      <c r="D74" s="193">
        <f t="array" ref="D74">SUM(D10:E10*D23:E23)/D32</f>
        <v>0.22604620456442484</v>
      </c>
      <c r="E74" s="138"/>
      <c r="F74" s="193">
        <f t="array" ref="F74">SUM(F10:G10*F23:G23)/F32</f>
        <v>0.22604620456442484</v>
      </c>
      <c r="G74" s="138"/>
      <c r="H74" s="193">
        <f t="array" ref="H74">SUM(H10:I10*H23:I23)/H32</f>
        <v>0.22604620456442484</v>
      </c>
      <c r="I74" s="138"/>
      <c r="J74" s="193">
        <f t="array" ref="J74">SUM(J10:K10*J23:K23)/J32</f>
        <v>0.22604620456442484</v>
      </c>
      <c r="K74" s="138"/>
      <c r="L74" s="193">
        <f t="array" ref="L74">SUM(L10:M10*L23:M23)/L32</f>
        <v>0.22604620456442484</v>
      </c>
      <c r="M74" s="138"/>
      <c r="N74" s="193">
        <f t="array" ref="N74">SUM(N10:O10*N23:O23)/N32</f>
        <v>0.22604620456442484</v>
      </c>
      <c r="O74" s="138"/>
      <c r="P74" s="193">
        <f t="array" ref="P74">SUM(P10:Q10*P23:Q23)/P32</f>
        <v>0.22604620456442484</v>
      </c>
      <c r="Q74" s="138"/>
      <c r="R74" s="193">
        <f t="array" ref="R74">SUM(R10:S10*R23:S23)/R32</f>
        <v>0.22604620456442484</v>
      </c>
      <c r="S74" s="138"/>
      <c r="T74" s="193">
        <f t="array" ref="T74">SUM(T10:U10*T23:U23)/T32</f>
        <v>0.22604620456442484</v>
      </c>
      <c r="U74" s="138"/>
      <c r="V74" s="193">
        <f t="array" ref="V74">SUM(V10:W10*V23:W23)/V32</f>
        <v>0.22604620456442484</v>
      </c>
      <c r="W74" s="138"/>
      <c r="X74" s="193">
        <f t="array" ref="X74">SUM(X10:Y10*X23:Y23)/X32</f>
        <v>0.22604620456442484</v>
      </c>
      <c r="Y74" s="138"/>
      <c r="Z74" s="193">
        <f t="array" ref="Z74">SUM(Z10:AA10*Z23:AA23)/Z32</f>
        <v>0.22604620456442481</v>
      </c>
      <c r="AA74" s="138"/>
      <c r="AB74" s="193">
        <f t="array" ref="AB74">SUM(AB10:AC10*AB23:AC23)/AB32</f>
        <v>0.22604620456442484</v>
      </c>
      <c r="AC74" s="138"/>
      <c r="AD74" s="193">
        <f t="array" ref="AD74">SUM(AD10:AE10*AD23:AE23)/AD32</f>
        <v>0.22604620456442484</v>
      </c>
      <c r="AE74" s="138"/>
      <c r="AF74" s="193">
        <f t="array" ref="AF74">SUM(AF10:AG10*AF23:AG23)/AF32</f>
        <v>0.22604620456442484</v>
      </c>
      <c r="AG74" s="138"/>
      <c r="AH74" s="193">
        <f t="array" ref="AH74">SUM(AH10:AI10*AH23:AI23)/AH32</f>
        <v>0.22604620456442484</v>
      </c>
      <c r="AI74" s="138"/>
      <c r="AJ74" s="193">
        <f t="array" ref="AJ74">SUM(AJ10:AK10*AJ23:AK23)/AJ32</f>
        <v>0.22604620456442484</v>
      </c>
      <c r="AK74" s="138"/>
      <c r="AL74" s="193">
        <f t="array" ref="AL74">SUM(AL10:AM10*AL23:AM23)/AL32</f>
        <v>0.22604620456442484</v>
      </c>
      <c r="AM74" s="138"/>
      <c r="AN74" s="193">
        <f t="array" ref="AN74">SUM(AN10:AO10*AN23:AO23)/AN32</f>
        <v>0.22604620456442484</v>
      </c>
      <c r="AO74" s="138"/>
      <c r="AP74" s="193">
        <f t="array" ref="AP74">SUM(AP10:AQ10*AP23:AQ23)/AP32</f>
        <v>0.22604620456442484</v>
      </c>
      <c r="AQ74" s="138"/>
      <c r="AR74" s="193">
        <f t="array" ref="AR74">SUM(AR10:AS10*AR23:AS23)/AR32</f>
        <v>0.22604620456442484</v>
      </c>
      <c r="AS74" s="138"/>
      <c r="AT74" s="193">
        <f t="array" ref="AT74">SUM(AT10:AU10*AT23:AU23)/AT32</f>
        <v>0.22604620456442484</v>
      </c>
      <c r="AU74" s="138"/>
      <c r="AV74" s="193">
        <f t="array" ref="AV74">SUM(AV10:AW10*AV23:AW23)/AV32</f>
        <v>0.22604620456442484</v>
      </c>
      <c r="XFD74" s="193"/>
    </row>
    <row r="75" spans="1:48 16384:16384" x14ac:dyDescent="0.2">
      <c r="A75" t="s">
        <v>186</v>
      </c>
      <c r="B75" s="193">
        <f t="array" ref="B75">SUM(B11:C11*B24:C24)/B32</f>
        <v>0.22038438833194082</v>
      </c>
      <c r="D75" s="193">
        <f t="array" ref="D75">SUM(D11:E11*D24:E24)/D32</f>
        <v>0.22038438848953665</v>
      </c>
      <c r="E75" s="138"/>
      <c r="F75" s="193">
        <f t="array" ref="F75">SUM(F11:G11*F24:G24)/F32</f>
        <v>0.22038438851473041</v>
      </c>
      <c r="G75" s="138"/>
      <c r="H75" s="193">
        <f t="array" ref="H75">SUM(H11:I11*H24:I24)/H32</f>
        <v>0.22038438831725482</v>
      </c>
      <c r="I75" s="138"/>
      <c r="J75" s="193">
        <f t="array" ref="J75">SUM(J11:K11*J24:K24)/J32</f>
        <v>0.22038438812255581</v>
      </c>
      <c r="K75" s="138"/>
      <c r="L75" s="193">
        <f t="array" ref="L75">SUM(L11:M11*L24:M24)/L32</f>
        <v>0.22038438830735141</v>
      </c>
      <c r="M75" s="138"/>
      <c r="N75" s="193">
        <f t="array" ref="N75">SUM(N11:O11*N24:O24)/N32</f>
        <v>0.22038438828328835</v>
      </c>
      <c r="O75" s="138"/>
      <c r="P75" s="193">
        <f t="array" ref="P75">SUM(P11:Q11*P24:Q24)/P32</f>
        <v>0.22038438825876969</v>
      </c>
      <c r="Q75" s="138"/>
      <c r="R75" s="193">
        <f t="array" ref="R75">SUM(R11:S11*R24:S24)/R32</f>
        <v>0.2203843883193401</v>
      </c>
      <c r="S75" s="138"/>
      <c r="T75" s="193">
        <f t="array" ref="T75">SUM(T11:U11*T24:U24)/T32</f>
        <v>0.22038438831433227</v>
      </c>
      <c r="U75" s="138"/>
      <c r="V75" s="193">
        <f t="array" ref="V75">SUM(V11:W11*V24:W24)/V32</f>
        <v>0.22038438831817744</v>
      </c>
      <c r="W75" s="138"/>
      <c r="X75" s="193">
        <f t="array" ref="X75">SUM(X11:Y11*X24:Y24)/X32</f>
        <v>0.22038438833345345</v>
      </c>
      <c r="Y75" s="138"/>
      <c r="Z75" s="193">
        <f t="array" ref="Z75">SUM(Z11:AA11*Z24:AA24)/Z32</f>
        <v>0.22038438834611482</v>
      </c>
      <c r="AA75" s="138"/>
      <c r="AB75" s="193">
        <f t="array" ref="AB75">SUM(AB11:AC11*AB24:AC24)/AB32</f>
        <v>0.22038438833865312</v>
      </c>
      <c r="AC75" s="138"/>
      <c r="AD75" s="193">
        <f t="array" ref="AD75">SUM(AD11:AE11*AD24:AE24)/AD32</f>
        <v>0.22038438833613339</v>
      </c>
      <c r="AE75" s="138"/>
      <c r="AF75" s="193">
        <f t="array" ref="AF75">SUM(AF11:AG11*AF24:AG24)/AF32</f>
        <v>0.22038438833410337</v>
      </c>
      <c r="AG75" s="138"/>
      <c r="AH75" s="193">
        <f t="array" ref="AH75">SUM(AH11:AI11*AH24:AI24)/AH32</f>
        <v>0.22038438833198959</v>
      </c>
      <c r="AI75" s="138"/>
      <c r="AJ75" s="193">
        <f t="array" ref="AJ75">SUM(AJ11:AK11*AJ24:AK24)/AJ32</f>
        <v>0.22038438833206259</v>
      </c>
      <c r="AK75" s="138"/>
      <c r="AL75" s="193">
        <f t="array" ref="AL75">SUM(AL11:AM11*AL24:AM24)/AL32</f>
        <v>0.22038438833202462</v>
      </c>
      <c r="AM75" s="138"/>
      <c r="AN75" s="193">
        <f t="array" ref="AN75">SUM(AN11:AO11*AN24:AO24)/AN32</f>
        <v>0.22038438833194085</v>
      </c>
      <c r="AO75" s="138"/>
      <c r="AP75" s="193">
        <f t="array" ref="AP75">SUM(AP11:AQ11*AP24:AQ24)/AP32</f>
        <v>0.22038438833199817</v>
      </c>
      <c r="AQ75" s="138"/>
      <c r="AR75" s="193">
        <f t="array" ref="AR75">SUM(AR11:AS11*AR24:AS24)/AR32</f>
        <v>0.22038438833194152</v>
      </c>
      <c r="AS75" s="138"/>
      <c r="AT75" s="193">
        <f t="array" ref="AT75">SUM(AT11:AU11*AT24:AU24)/AT32</f>
        <v>0.22038438833194085</v>
      </c>
      <c r="AU75" s="138"/>
      <c r="AV75" s="193">
        <f t="array" ref="AV75">SUM(AV11:AW11*AV24:AW24)/AV32</f>
        <v>0.22038438833173976</v>
      </c>
      <c r="XFD75" s="193"/>
    </row>
    <row r="76" spans="1:48 16384:16384" x14ac:dyDescent="0.2">
      <c r="A76" t="s">
        <v>187</v>
      </c>
      <c r="B76" s="193">
        <f t="array" ref="B76">SUM(B12:C12*B25:C25)/B32</f>
        <v>0.22301874374724867</v>
      </c>
      <c r="D76" s="193">
        <f t="array" ref="D76">SUM(D12:E12*D25:E25)/D32</f>
        <v>0.22303140119705891</v>
      </c>
      <c r="E76" s="138"/>
      <c r="F76" s="193">
        <f t="array" ref="F76">SUM(F12:G12*F25:G25)/F32</f>
        <v>0.22310148171162636</v>
      </c>
      <c r="G76" s="138"/>
      <c r="H76" s="193">
        <f t="array" ref="H76">SUM(H12:I12*H25:I25)/H32</f>
        <v>0.22323624488971364</v>
      </c>
      <c r="I76" s="138"/>
      <c r="J76" s="193">
        <f t="array" ref="J76">SUM(J12:K12*J25:K25)/J32</f>
        <v>0.22344378545003465</v>
      </c>
      <c r="K76" s="138"/>
      <c r="L76" s="193">
        <f t="array" ref="L76">SUM(L12:M12*L25:M25)/L32</f>
        <v>0.22373296108152552</v>
      </c>
      <c r="M76" s="138"/>
      <c r="N76" s="193">
        <f t="array" ref="N76">SUM(N12:O12*N25:O25)/N32</f>
        <v>0.22411293210045274</v>
      </c>
      <c r="O76" s="138"/>
      <c r="P76" s="193">
        <f t="array" ref="P76">SUM(P12:Q12*P25:Q25)/P32</f>
        <v>0.2245924945722744</v>
      </c>
      <c r="Q76" s="138"/>
      <c r="R76" s="193">
        <f t="array" ref="R76">SUM(R12:S12*R25:S25)/R32</f>
        <v>0.22517845113169896</v>
      </c>
      <c r="S76" s="138"/>
      <c r="T76" s="193">
        <f t="array" ref="T76">SUM(T12:U12*T25:U25)/T32</f>
        <v>0.22587252058327204</v>
      </c>
      <c r="U76" s="138"/>
      <c r="V76" s="193">
        <f t="array" ref="V76">SUM(V12:W12*V25:W25)/V32</f>
        <v>0.22666543758117855</v>
      </c>
      <c r="W76" s="138"/>
      <c r="X76" s="193">
        <f t="array" ref="X76">SUM(X12:Y12*X25:Y25)/X32</f>
        <v>0.22752551958351508</v>
      </c>
      <c r="Y76" s="138"/>
      <c r="Z76" s="193">
        <f t="array" ref="Z76">SUM(Z12:AA12*Z25:AA25)/Z32</f>
        <v>0.22837661508078086</v>
      </c>
      <c r="AA76" s="138"/>
      <c r="AB76" s="193">
        <f t="array" ref="AB76">SUM(AB12:AC12*AB25:AC25)/AB32</f>
        <v>0.22905579891115463</v>
      </c>
      <c r="AC76" s="138"/>
      <c r="AD76" s="193">
        <f t="array" ref="AD76">SUM(AD12:AE12*AD25:AE25)/AD32</f>
        <v>0.22923631570225037</v>
      </c>
      <c r="AE76" s="138"/>
      <c r="AF76" s="193">
        <f t="array" ref="AF76">SUM(AF12:AG12*AF25:AG25)/AF32</f>
        <v>0.22831484146809583</v>
      </c>
      <c r="AG76" s="138"/>
      <c r="AH76" s="193">
        <f t="array" ref="AH76">SUM(AH12:AI12*AH25:AI25)/AH32</f>
        <v>0.22537531505475586</v>
      </c>
      <c r="AI76" s="138"/>
      <c r="AJ76" s="193">
        <f t="array" ref="AJ76">SUM(AJ12:AK12*AJ25:AK25)/AJ32</f>
        <v>0.21960139326087882</v>
      </c>
      <c r="AK76" s="138"/>
      <c r="AL76" s="193">
        <f t="array" ref="AL76">SUM(AL12:AM12*AL25:AM25)/AL32</f>
        <v>0.21103307025247495</v>
      </c>
      <c r="AM76" s="138"/>
      <c r="AN76" s="193">
        <f t="array" ref="AN76">SUM(AN12:AO12*AN25:AO25)/AN32</f>
        <v>0.19980558186514222</v>
      </c>
      <c r="AO76" s="138"/>
      <c r="AP76" s="193">
        <f t="array" ref="AP76">SUM(AP12:AQ12*AP25:AQ25)/AP32</f>
        <v>0.19705112787465545</v>
      </c>
      <c r="AQ76" s="138"/>
      <c r="AR76" s="193">
        <f t="array" ref="AR76">SUM(AR12:AS12*AR25:AS25)/AR32</f>
        <v>0.19397940825219398</v>
      </c>
      <c r="AS76" s="138"/>
      <c r="AT76" s="193">
        <f t="array" ref="AT76">SUM(AT12:AU12*AT25:AU25)/AT32</f>
        <v>0.1904328792914734</v>
      </c>
      <c r="AU76" s="138"/>
      <c r="AV76" s="193">
        <f t="array" ref="AV76">SUM(AV12:AW12*AV25:AW25)/AV32</f>
        <v>0.18611284356789462</v>
      </c>
      <c r="XFD76" s="193"/>
    </row>
    <row r="77" spans="1:48 16384:16384" x14ac:dyDescent="0.2">
      <c r="A77" t="s">
        <v>188</v>
      </c>
      <c r="B77" s="193">
        <f t="array" ref="B77">SUM(B4:C4*B19:C19)/B32</f>
        <v>0.14586087017236485</v>
      </c>
      <c r="D77" s="193">
        <f t="array" ref="D77">SUM(D4:E4*D19:E19)/D32</f>
        <v>0.14587354204686426</v>
      </c>
      <c r="E77" s="138"/>
      <c r="F77" s="193">
        <f t="array" ref="F77">SUM(F4:G4*F19:G19)/F32</f>
        <v>0.14594362436636027</v>
      </c>
      <c r="G77" s="138"/>
      <c r="H77" s="193">
        <f t="array" ref="H77">SUM(H4:I4*H19:I19)/H32</f>
        <v>0.14607837186367645</v>
      </c>
      <c r="I77" s="138"/>
      <c r="J77" s="193">
        <f t="array" ref="J77">SUM(J4:K4*J19:K19)/J32</f>
        <v>0.14628595615060316</v>
      </c>
      <c r="K77" s="138"/>
      <c r="L77" s="193">
        <f t="array" ref="L77">SUM(L4:M4*L19:M19)/L32</f>
        <v>0.14657508833753954</v>
      </c>
      <c r="M77" s="138"/>
      <c r="N77" s="193">
        <f t="array" ref="N77">SUM(N4:O4*N19:O19)/N32</f>
        <v>0.14695506015249341</v>
      </c>
      <c r="O77" s="138"/>
      <c r="P77" s="193">
        <f t="array" ref="P77">SUM(P4:Q4*P19:Q19)/P32</f>
        <v>0.14743462350051614</v>
      </c>
      <c r="Q77" s="138"/>
      <c r="R77" s="193">
        <f t="array" ref="R77">SUM(R4:S4*R19:S19)/R32</f>
        <v>0.14802058015917943</v>
      </c>
      <c r="S77" s="138"/>
      <c r="T77" s="193">
        <f t="array" ref="T77">SUM(T4:U4*T19:U19)/T32</f>
        <v>0.14871465101625569</v>
      </c>
      <c r="U77" s="138"/>
      <c r="V77" s="193">
        <f t="array" ref="V77">SUM(V4:W4*V19:W19)/V32</f>
        <v>0.14950756776792579</v>
      </c>
      <c r="W77" s="138"/>
      <c r="X77" s="193">
        <f t="array" ref="X77">SUM(X4:Y4*X19:Y19)/X32</f>
        <v>0.15036764612995773</v>
      </c>
      <c r="Y77" s="138"/>
      <c r="Z77" s="193">
        <f t="array" ref="Z77">SUM(Z4:AA4*Z19:AA19)/Z32</f>
        <v>0.15121874246889469</v>
      </c>
      <c r="AA77" s="138"/>
      <c r="AB77" s="193">
        <f t="array" ref="AB77">SUM(AB4:AC4*AB19:AC19)/AB32</f>
        <v>0.15189792511892369</v>
      </c>
      <c r="AC77" s="138"/>
      <c r="AD77" s="193">
        <f t="array" ref="AD77">SUM(AD4:AE4*AD19:AE19)/AD32</f>
        <v>0.15207844181935326</v>
      </c>
      <c r="AE77" s="138"/>
      <c r="AF77" s="193">
        <f t="array" ref="AF77">SUM(AF4:AG4*AF19:AG19)/AF32</f>
        <v>0.15115696892192601</v>
      </c>
      <c r="AG77" s="138"/>
      <c r="AH77" s="193">
        <f t="array" ref="AH77">SUM(AH4:AI4*AH19:AI19)/AH32</f>
        <v>0.14821744146591867</v>
      </c>
      <c r="AI77" s="138"/>
      <c r="AJ77" s="193">
        <f t="array" ref="AJ77">SUM(AJ4:AK4*AJ19:AK19)/AJ32</f>
        <v>0.14244351969602329</v>
      </c>
      <c r="AK77" s="138"/>
      <c r="AL77" s="193">
        <f t="array" ref="AL77">SUM(AL4:AM4*AL19:AM19)/AL32</f>
        <v>0.13387519667933459</v>
      </c>
      <c r="AM77" s="138"/>
      <c r="AN77" s="193">
        <f t="array" ref="AN77">SUM(AN4:AO4*AN19:AO19)/AN32</f>
        <v>0.12264770829025942</v>
      </c>
      <c r="AO77" s="138"/>
      <c r="AP77" s="193">
        <f t="array" ref="AP77">SUM(AP4:AQ4*AP19:AQ19)/AP32</f>
        <v>0.11989325429997041</v>
      </c>
      <c r="AQ77" s="138"/>
      <c r="AR77" s="193">
        <f t="array" ref="AR77">SUM(AR4:AS4*AR19:AS19)/AR32</f>
        <v>0.11682153467731256</v>
      </c>
      <c r="AS77" s="138"/>
      <c r="AT77" s="193">
        <f t="array" ref="AT77">SUM(AT4:AU4*AT19:AU19)/AT32</f>
        <v>0.11327500571659042</v>
      </c>
      <c r="AU77" s="138"/>
      <c r="AV77" s="193">
        <f t="array" ref="AV77">SUM(AV4:AW4*AV19:AW19)/AV32</f>
        <v>0.10895496999250417</v>
      </c>
      <c r="XFD77" s="193"/>
    </row>
    <row r="78" spans="1:48 16384:16384" x14ac:dyDescent="0.2">
      <c r="A78" t="s">
        <v>189</v>
      </c>
      <c r="B78" s="193">
        <f t="array" ref="B78">SUM(B13:C13*B26:C26)/B32</f>
        <v>0.346887593115773</v>
      </c>
      <c r="D78" s="193">
        <f t="array" ref="D78">SUM(D13:E13*D26:E26)/D32</f>
        <v>0.34579730931151192</v>
      </c>
      <c r="E78" s="138"/>
      <c r="F78" s="193">
        <f t="array" ref="F78">SUM(F13:G13*F26:G26)/F32</f>
        <v>0.3446566396518484</v>
      </c>
      <c r="G78" s="138"/>
      <c r="H78" s="193">
        <f t="array" ref="H78">SUM(H13:I13*H26:I26)/H32</f>
        <v>0.34345815804766322</v>
      </c>
      <c r="I78" s="138"/>
      <c r="J78" s="193">
        <f t="array" ref="J78">SUM(J13:K13*J26:K26)/J32</f>
        <v>0.34219274795790794</v>
      </c>
      <c r="K78" s="138"/>
      <c r="L78" s="193">
        <f t="array" ref="L78">SUM(L13:M13*L26:M26)/L32</f>
        <v>0.34084904267288857</v>
      </c>
      <c r="M78" s="138"/>
      <c r="N78" s="193">
        <f t="array" ref="N78">SUM(N13:O13*N26:O26)/N32</f>
        <v>0.33941237755590298</v>
      </c>
      <c r="O78" s="138"/>
      <c r="P78" s="193">
        <f t="array" ref="P78">SUM(P13:Q13*P26:Q26)/P32</f>
        <v>0.33786345673141055</v>
      </c>
      <c r="Q78" s="138"/>
      <c r="R78" s="193">
        <f t="array" ref="R78">SUM(R13:S13*R26:S26)/R32</f>
        <v>0.33617595756344804</v>
      </c>
      <c r="S78" s="138"/>
      <c r="T78" s="193">
        <f t="array" ref="T78">SUM(T13:U13*T26:U26)/T32</f>
        <v>0.33431264725476106</v>
      </c>
      <c r="U78" s="138"/>
      <c r="V78" s="193">
        <f t="array" ref="V78">SUM(V13:W13*V26:W26)/V32</f>
        <v>0.33221870981719465</v>
      </c>
      <c r="W78" s="138"/>
      <c r="X78" s="193">
        <f t="array" ref="X78">SUM(X13:Y13*X26:Y26)/X32</f>
        <v>0.32980978997225113</v>
      </c>
      <c r="Y78" s="138"/>
      <c r="Z78" s="193">
        <f t="array" ref="Z78">SUM(Z13:AA13*Z26:AA26)/Z32</f>
        <v>0.32694982608676476</v>
      </c>
      <c r="AA78" s="138"/>
      <c r="AB78" s="193">
        <f t="array" ref="AB78">SUM(AB13:AC13*AB26:AC26)/AB32</f>
        <v>0.32340849958745194</v>
      </c>
      <c r="AC78" s="138"/>
      <c r="AD78" s="193">
        <f t="array" ref="AD78">SUM(AD13:AE13*AD26:AE26)/AD32</f>
        <v>0.31877814161236068</v>
      </c>
      <c r="AE78" s="138"/>
      <c r="AF78" s="193">
        <f t="array" ref="AF78">SUM(AF13:AG13*AF26:AG26)/AF32</f>
        <v>0.31231676637398142</v>
      </c>
      <c r="AG78" s="138"/>
      <c r="AH78" s="193">
        <f t="array" ref="AH78">SUM(AH13:AI13*AH26:AI26)/AH32</f>
        <v>0.30268866629021546</v>
      </c>
      <c r="AI78" s="138"/>
      <c r="AJ78" s="193">
        <f t="array" ref="AJ78">SUM(AJ13:AK13*AJ26:AK26)/AJ32</f>
        <v>0.28756685472618099</v>
      </c>
      <c r="AK78" s="138"/>
      <c r="AL78" s="193">
        <f t="array" ref="AL78">SUM(AL13:AM13*AL26:AM26)/AL32</f>
        <v>0.26223156975518225</v>
      </c>
      <c r="AM78" s="138"/>
      <c r="AN78" s="193">
        <f t="array" ref="AN78">SUM(AN13:AO13*AN26:AO26)/AN32</f>
        <v>0.21091184844774466</v>
      </c>
      <c r="AO78" s="138"/>
      <c r="AP78" s="193">
        <f t="array" ref="AP78">SUM(AP13:AQ13*AP26:AQ26)/AP32</f>
        <v>0.19288924465485371</v>
      </c>
      <c r="AQ78" s="138"/>
      <c r="AR78" s="193">
        <f t="array" ref="AR78">SUM(AR13:AS13*AR26:AS26)/AR32</f>
        <v>0.16924847231067858</v>
      </c>
      <c r="AS78" s="138"/>
      <c r="AT78" s="193">
        <f t="array" ref="AT78">SUM(AT13:AU13*AT26:AU26)/AT32</f>
        <v>0.13644668168313662</v>
      </c>
      <c r="AU78" s="138"/>
      <c r="AV78" s="193">
        <f t="array" ref="AV78">SUM(AV13:AW13*AV26:AW26)/AV32</f>
        <v>8.6875343368026284E-2</v>
      </c>
      <c r="XFD78" s="193"/>
    </row>
    <row r="79" spans="1:48 16384:16384" x14ac:dyDescent="0.2">
      <c r="A79" t="s">
        <v>190</v>
      </c>
      <c r="B79" s="193">
        <f t="array" ref="B79">SUM(B15:C15*B27:C27)/B32</f>
        <v>0.45460968782440808</v>
      </c>
      <c r="D79" s="193">
        <f t="array" ref="D79">SUM(D15:E15*D27:E27)/D32</f>
        <v>0.45184102849929941</v>
      </c>
      <c r="F79" s="193">
        <f t="array" ref="F79">SUM(F15:G15*F27:G27)/F32</f>
        <v>0.44901699709516996</v>
      </c>
      <c r="H79" s="193">
        <f t="array" ref="H79">SUM(H15:I15*H27:I27)/H32</f>
        <v>0.44612797309771862</v>
      </c>
      <c r="J79" s="193">
        <f t="array" ref="J79">SUM(J15:K15*J27:K27)/J32</f>
        <v>0.44316234423225498</v>
      </c>
      <c r="L79" s="193">
        <f t="array" ref="L79">SUM(L15:M15*L27:M27)/L32</f>
        <v>0.44010593359650313</v>
      </c>
      <c r="N79" s="193">
        <f t="array" ref="N79">SUM(N15:O15*N27:O27)/N32</f>
        <v>0.43694068581673473</v>
      </c>
      <c r="P79" s="193">
        <f t="array" ref="P79">SUM(P15:Q15*P27:Q27)/P32</f>
        <v>0.43364349650225364</v>
      </c>
      <c r="R79" s="193">
        <f t="array" ref="R79">SUM(R15:S15*R27:S27)/R32</f>
        <v>0.43018353914833751</v>
      </c>
      <c r="T79" s="193">
        <f t="array" ref="T79">SUM(T15:U15*T27:U27)/T32</f>
        <v>0.42651808351395165</v>
      </c>
      <c r="V79" s="193">
        <f t="array" ref="V79">SUM(V15:W15*V27:W27)/V32</f>
        <v>0.42258534234356482</v>
      </c>
      <c r="X79" s="193">
        <f t="array" ref="X79">SUM(X15:Y15*X27:Y27)/X32</f>
        <v>0.41829128651536512</v>
      </c>
      <c r="Z79" s="193">
        <f t="array" ref="Z79">SUM(Z15:AA15*Z27:AA27)/Z32</f>
        <v>0.41348481938204579</v>
      </c>
      <c r="AB79" s="193">
        <f t="array" ref="AB79">SUM(AB15:AC15*AB27:AC27)/AB32</f>
        <v>0.40790895107496172</v>
      </c>
      <c r="AD79" s="193">
        <f t="array" ref="AD79">SUM(AD15:AE15*AD27:AE27)/AD32</f>
        <v>0.40110242418765846</v>
      </c>
      <c r="AF79" s="193">
        <f t="array" ref="AF79">SUM(AF15:AG15*AF27:AG27)/AF32</f>
        <v>0.39220544081259723</v>
      </c>
      <c r="AH79" s="193">
        <f t="array" ref="AH79">SUM(AH15:AI15*AH27:AI27)/AH32</f>
        <v>0.37961563590086272</v>
      </c>
      <c r="AJ79" s="193">
        <f t="array" ref="AJ79">SUM(AJ15:AK15*AJ27:AK27)/AJ32</f>
        <v>0.36042470690464046</v>
      </c>
      <c r="AL79" s="193">
        <f t="array" ref="AL79">SUM(AL15:AM15*AL27:AM27)/AL32</f>
        <v>0.32861405229322027</v>
      </c>
      <c r="AN79" s="193">
        <f t="array" ref="AN79">SUM(AN15:AO15*AN27:AO27)/AN32</f>
        <v>0.26429775007092465</v>
      </c>
      <c r="AP79" s="193">
        <f t="array" ref="AP79">SUM(AP15:AQ15*AP27:AQ27)/AP32</f>
        <v>0.24171319753520606</v>
      </c>
      <c r="AR79" s="193">
        <f t="array" ref="AR79">SUM(AR15:AS15*AR27:AS27)/AR32</f>
        <v>0.21208847009347984</v>
      </c>
      <c r="AT79" s="193">
        <f t="array" ref="AT79">SUM(AT15:AU15*AT27:AU27)/AT32</f>
        <v>0.17098391870847909</v>
      </c>
      <c r="AV79" s="193">
        <f t="array" ref="AV79">SUM(AV15:AW15*AV27:AW27)/AV32</f>
        <v>0.10886513600004581</v>
      </c>
      <c r="XFD79" s="193"/>
    </row>
    <row r="80" spans="1:48 16384:16384" x14ac:dyDescent="0.2">
      <c r="A80" t="s">
        <v>169</v>
      </c>
      <c r="B80" s="236">
        <f>B55</f>
        <v>0.19850271905982084</v>
      </c>
      <c r="D80" s="236">
        <f>D55</f>
        <v>0.20236170126888914</v>
      </c>
      <c r="F80" s="236">
        <f>F55</f>
        <v>0.20632641215711639</v>
      </c>
      <c r="H80" s="236">
        <f>H55</f>
        <v>0.21041386695131348</v>
      </c>
      <c r="J80" s="236">
        <f>J55</f>
        <v>0.21464494077344531</v>
      </c>
      <c r="L80" s="236">
        <f>L55</f>
        <v>0.21904502032686143</v>
      </c>
      <c r="N80" s="236">
        <f>N55</f>
        <v>0.22364692965367547</v>
      </c>
      <c r="P80" s="236">
        <f>P55</f>
        <v>0.22849303579267582</v>
      </c>
      <c r="R80" s="236">
        <f>R55</f>
        <v>0.2336405057255711</v>
      </c>
      <c r="T80" s="236">
        <f>T55</f>
        <v>0.23916927289451276</v>
      </c>
      <c r="V80" s="236">
        <f>V55</f>
        <v>0.2451959512093565</v>
      </c>
      <c r="X80" s="236">
        <f>X55</f>
        <v>0.25189892427709437</v>
      </c>
      <c r="Z80" s="236">
        <f>Z55</f>
        <v>0.25956536181360196</v>
      </c>
      <c r="AB80" s="236">
        <f>AB55</f>
        <v>0.26868255312193168</v>
      </c>
      <c r="AD80" s="236">
        <f>AD55</f>
        <v>0.28011943725781274</v>
      </c>
      <c r="AF80" s="236">
        <f>AF55</f>
        <v>0.29547779487284348</v>
      </c>
      <c r="AH80" s="236">
        <f>AH55</f>
        <v>0.31769569837158479</v>
      </c>
      <c r="AJ80" s="236">
        <f>AJ55</f>
        <v>0.35200843752042993</v>
      </c>
      <c r="AL80" s="236">
        <f>AL55</f>
        <v>0.40915437796940995</v>
      </c>
      <c r="AN80" s="236">
        <f>AN55</f>
        <v>0.52479040147107725</v>
      </c>
      <c r="AP80" s="236">
        <f>AP55</f>
        <v>0.56539755820677173</v>
      </c>
      <c r="AR80" s="236">
        <f>AR55</f>
        <v>0.61866305760877371</v>
      </c>
      <c r="AT80" s="236">
        <f>AT55</f>
        <v>0.69256939960906239</v>
      </c>
      <c r="AV80" s="236">
        <f>AV55</f>
        <v>0.80425952053439675</v>
      </c>
      <c r="XFD80" s="236"/>
    </row>
    <row r="81" spans="1:48 16384:16384" x14ac:dyDescent="0.2">
      <c r="A81" t="s">
        <v>191</v>
      </c>
      <c r="B81" s="236">
        <f>B51/B$32</f>
        <v>-2.7543485504603994E-2</v>
      </c>
      <c r="D81" s="236">
        <f>D51/D$32</f>
        <v>-2.3684503295535703E-2</v>
      </c>
      <c r="F81" s="236">
        <f>F51/F$32</f>
        <v>-1.9719792407308454E-2</v>
      </c>
      <c r="H81" s="236">
        <f>H51/H$32</f>
        <v>-1.5632337613111367E-2</v>
      </c>
      <c r="J81" s="236">
        <f>J51/J$32</f>
        <v>-1.1401263790979506E-2</v>
      </c>
      <c r="L81" s="236">
        <f>L51/L$32</f>
        <v>-7.0011842375634218E-3</v>
      </c>
      <c r="N81" s="236">
        <f>N51/N$32</f>
        <v>-2.3992749107493746E-3</v>
      </c>
      <c r="P81" s="236">
        <f>P51/P$32</f>
        <v>2.4468312282509759E-3</v>
      </c>
      <c r="R81" s="236">
        <f>R51/R$32</f>
        <v>7.5943011611462824E-3</v>
      </c>
      <c r="T81" s="236">
        <f>T51/T$32</f>
        <v>1.31230683300879E-2</v>
      </c>
      <c r="V81" s="236">
        <f>V51/V$32</f>
        <v>1.9149746644931662E-2</v>
      </c>
      <c r="X81" s="236">
        <f>X51/X$32</f>
        <v>2.5852719712669506E-2</v>
      </c>
      <c r="Z81" s="236">
        <f>Z51/Z$32</f>
        <v>3.351915724917711E-2</v>
      </c>
      <c r="AB81" s="236">
        <f>AB51/AB$32</f>
        <v>4.263634855750683E-2</v>
      </c>
      <c r="AD81" s="236">
        <f>AD51/AD$32</f>
        <v>5.4073232693387895E-2</v>
      </c>
      <c r="AF81" s="236">
        <f>AF51/AF$32</f>
        <v>6.9431590308418639E-2</v>
      </c>
      <c r="AH81" s="236">
        <f>AH51/AH$32</f>
        <v>9.1649493807159949E-2</v>
      </c>
      <c r="AJ81" s="236">
        <f>AJ51/AJ$32</f>
        <v>0.12596223295600506</v>
      </c>
      <c r="AL81" s="236">
        <f>AL51/AL$32</f>
        <v>0.18310817340498509</v>
      </c>
      <c r="AN81" s="236">
        <f>AN51/AN$32</f>
        <v>0.29874419690665244</v>
      </c>
      <c r="AP81" s="236">
        <f>AP51/AP$32</f>
        <v>0.33935135364234692</v>
      </c>
      <c r="AR81" s="236">
        <f>AR51/AR$32</f>
        <v>0.3926168530443489</v>
      </c>
      <c r="AT81" s="236">
        <f>AT51/AT$32</f>
        <v>0.46652319504463757</v>
      </c>
      <c r="AV81" s="236">
        <f>AV51/AV$32</f>
        <v>0.57821331596997194</v>
      </c>
      <c r="XFD81" s="236"/>
    </row>
    <row r="82" spans="1:48 16384:16384" x14ac:dyDescent="0.2">
      <c r="A82" t="s">
        <v>192</v>
      </c>
      <c r="B82" s="236">
        <f>B52/B$32</f>
        <v>0.13907860278212886</v>
      </c>
      <c r="D82" s="236">
        <f>D52/D$32</f>
        <v>0.13864147227892862</v>
      </c>
      <c r="F82" s="236">
        <f>F52/F$32</f>
        <v>0.13818414043526989</v>
      </c>
      <c r="H82" s="236">
        <f>H52/H$32</f>
        <v>0.13770362988868912</v>
      </c>
      <c r="J82" s="236">
        <f>J52/J$32</f>
        <v>0.13719628551915197</v>
      </c>
      <c r="L82" s="236">
        <f>L52/L$32</f>
        <v>0.13665755004028152</v>
      </c>
      <c r="N82" s="236">
        <f>N52/N$32</f>
        <v>0.13608154391869762</v>
      </c>
      <c r="P82" s="236">
        <f>P52/P$32</f>
        <v>0.13546053080561504</v>
      </c>
      <c r="R82" s="236">
        <f>R52/R$32</f>
        <v>0.13478395709374433</v>
      </c>
      <c r="T82" s="236">
        <f>T52/T$32</f>
        <v>0.1340368949346338</v>
      </c>
      <c r="V82" s="236">
        <f>V52/V$32</f>
        <v>0.13319736680243932</v>
      </c>
      <c r="X82" s="236">
        <f>X52/X$32</f>
        <v>0.13223155190188429</v>
      </c>
      <c r="Z82" s="236">
        <f>Z52/Z$32</f>
        <v>0.13108489866580836</v>
      </c>
      <c r="AB82" s="236">
        <f>AB52/AB$32</f>
        <v>0.12966506483117657</v>
      </c>
      <c r="AD82" s="236">
        <f>AD52/AD$32</f>
        <v>0.12780860259286916</v>
      </c>
      <c r="AF82" s="236">
        <f>AF52/AF$32</f>
        <v>0.12521802553551989</v>
      </c>
      <c r="AH82" s="236">
        <f>AH52/AH$32</f>
        <v>0.12135780472142535</v>
      </c>
      <c r="AJ82" s="236">
        <f>AJ52/AJ$32</f>
        <v>0.11529497495870551</v>
      </c>
      <c r="AL82" s="236">
        <f>AL52/AL$32</f>
        <v>0.10513722903529459</v>
      </c>
      <c r="AN82" s="236">
        <f>AN52/AN$32</f>
        <v>8.4561471134882882E-2</v>
      </c>
      <c r="AP82" s="236">
        <f>AP52/AP$32</f>
        <v>7.7335618715379917E-2</v>
      </c>
      <c r="AR82" s="236">
        <f>AR52/AR$32</f>
        <v>6.7857258429311881E-2</v>
      </c>
      <c r="AT82" s="236">
        <f>AT52/AT$32</f>
        <v>5.4705945728116781E-2</v>
      </c>
      <c r="AV82" s="236">
        <f>AV52/AV$32</f>
        <v>3.4831171859785341E-2</v>
      </c>
    </row>
    <row r="83" spans="1:48 16384:16384" x14ac:dyDescent="0.2">
      <c r="A83" t="s">
        <v>193</v>
      </c>
      <c r="B83" s="236">
        <f>B53/B$32</f>
        <v>0.18600714462930004</v>
      </c>
      <c r="D83" s="236">
        <f>D53/D$32</f>
        <v>0.18487432579743726</v>
      </c>
      <c r="F83" s="236">
        <f>F53/F$32</f>
        <v>0.183718851042072</v>
      </c>
      <c r="H83" s="236">
        <f>H53/H$32</f>
        <v>0.1825367840537877</v>
      </c>
      <c r="J83" s="236">
        <f>J53/J$32</f>
        <v>0.18132337357867223</v>
      </c>
      <c r="L83" s="236">
        <f>L53/L$32</f>
        <v>0.18007281902517927</v>
      </c>
      <c r="N83" s="236">
        <f>N53/N$32</f>
        <v>0.17877773289453272</v>
      </c>
      <c r="P83" s="236">
        <f>P53/P$32</f>
        <v>0.17742866184278303</v>
      </c>
      <c r="R83" s="236">
        <f>R53/R$32</f>
        <v>0.17601299296203171</v>
      </c>
      <c r="T83" s="236">
        <f>T53/T$32</f>
        <v>0.17451324283664318</v>
      </c>
      <c r="V83" s="236">
        <f>V53/V$32</f>
        <v>0.17290413072297373</v>
      </c>
      <c r="X83" s="236">
        <f>X53/X$32</f>
        <v>0.17114718386311989</v>
      </c>
      <c r="Z83" s="236">
        <f>Z53/Z$32</f>
        <v>0.16918057987035889</v>
      </c>
      <c r="AB83" s="236">
        <f>AB53/AB$32</f>
        <v>0.16689916931003157</v>
      </c>
      <c r="AD83" s="236">
        <f>AD53/AD$32</f>
        <v>0.16411422507092235</v>
      </c>
      <c r="AF83" s="236">
        <f>AF53/AF$32</f>
        <v>0.16047395404781845</v>
      </c>
      <c r="AH83" s="236">
        <f>AH53/AH$32</f>
        <v>0.15532273592424828</v>
      </c>
      <c r="AJ83" s="236">
        <f>AJ53/AJ$32</f>
        <v>0.14747061574076967</v>
      </c>
      <c r="AL83" s="236">
        <f>AL53/AL$32</f>
        <v>0.13445503514156215</v>
      </c>
      <c r="AN83" s="236">
        <f>AN53/AN$32</f>
        <v>0.10813951206783237</v>
      </c>
      <c r="AP83" s="236">
        <f>AP53/AP$32</f>
        <v>9.8898864007727641E-2</v>
      </c>
      <c r="AR83" s="236">
        <f>AR53/AR$32</f>
        <v>8.6777672776129536E-2</v>
      </c>
      <c r="AT83" s="236">
        <f>AT53/AT$32</f>
        <v>6.9959420901687566E-2</v>
      </c>
      <c r="AV83" s="236">
        <f>AV53/AV$32</f>
        <v>4.4543030294748882E-2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14"/>
  <dimension ref="A1:XFD83"/>
  <sheetViews>
    <sheetView showGridLines="0" workbookViewId="0">
      <pane ySplit="1" topLeftCell="A2" activePane="bottomLeft" state="frozen"/>
      <selection pane="bottomLeft" sqref="A1:XFD1048576"/>
    </sheetView>
  </sheetViews>
  <sheetFormatPr baseColWidth="10" defaultRowHeight="10" x14ac:dyDescent="0.2"/>
  <sheetData>
    <row r="1" spans="1:49" x14ac:dyDescent="0.2">
      <c r="B1" s="94">
        <v>0</v>
      </c>
      <c r="D1" s="94">
        <v>0.05</v>
      </c>
      <c r="F1" s="94">
        <v>0.1</v>
      </c>
      <c r="H1" s="94">
        <v>0.15000000000000002</v>
      </c>
      <c r="J1" s="94">
        <v>0.2</v>
      </c>
      <c r="L1" s="94">
        <v>0.25</v>
      </c>
      <c r="N1" s="94">
        <v>0.3</v>
      </c>
      <c r="P1" s="94">
        <v>0.35</v>
      </c>
      <c r="R1" s="94">
        <v>0.39999999999999997</v>
      </c>
      <c r="T1" s="94">
        <v>0.44999999999999996</v>
      </c>
      <c r="V1" s="94">
        <v>0.49999999999999994</v>
      </c>
      <c r="X1" s="94">
        <v>0.54999999999999993</v>
      </c>
      <c r="Z1" s="94">
        <v>0.6</v>
      </c>
      <c r="AB1" s="94">
        <v>0.65</v>
      </c>
      <c r="AD1" s="94">
        <v>0.70000000000000007</v>
      </c>
      <c r="AF1" s="94">
        <v>0.75000000000000011</v>
      </c>
      <c r="AH1" s="94">
        <v>0.80000000000000016</v>
      </c>
      <c r="AJ1" s="94">
        <v>0.8500000000000002</v>
      </c>
      <c r="AL1" s="94">
        <v>0.90000000000000024</v>
      </c>
      <c r="AN1" s="94"/>
      <c r="AP1" s="94"/>
      <c r="AR1" s="94"/>
      <c r="AT1" s="94"/>
      <c r="AV1" s="94"/>
    </row>
    <row r="2" spans="1:49" x14ac:dyDescent="0.2">
      <c r="A2" s="229" t="s">
        <v>155</v>
      </c>
      <c r="B2" s="226">
        <v>5.7716594496607888E-3</v>
      </c>
      <c r="C2" s="227"/>
      <c r="D2" s="226">
        <v>5.6361623216212076E-2</v>
      </c>
      <c r="E2" s="227"/>
      <c r="F2" s="226">
        <v>0.11184709778564959</v>
      </c>
      <c r="G2" s="227"/>
      <c r="H2" s="226">
        <v>0.17301914413661823</v>
      </c>
      <c r="I2" s="227"/>
      <c r="J2" s="226">
        <v>0.24086861641285093</v>
      </c>
      <c r="K2" s="227"/>
      <c r="L2" s="226">
        <v>0.31665749039834112</v>
      </c>
      <c r="M2" s="227"/>
      <c r="N2" s="226">
        <v>0.40204145052806656</v>
      </c>
      <c r="O2" s="227"/>
      <c r="P2" s="226">
        <v>0.4992363277814969</v>
      </c>
      <c r="Q2" s="227"/>
      <c r="R2" s="226">
        <v>0.61131204002333339</v>
      </c>
      <c r="S2" s="227"/>
      <c r="T2" s="226">
        <v>0.74267908699896279</v>
      </c>
      <c r="U2" s="227"/>
      <c r="V2" s="226">
        <v>0.8999522205182221</v>
      </c>
      <c r="W2" s="227"/>
      <c r="X2" s="226">
        <v>1.0935692509553194</v>
      </c>
      <c r="Y2" s="227"/>
      <c r="Z2" s="226">
        <v>1.3410187935279883</v>
      </c>
      <c r="AA2" s="227"/>
      <c r="AB2" s="226">
        <v>1.6737550226448146</v>
      </c>
      <c r="AC2" s="227"/>
      <c r="AD2" s="226">
        <v>2.1532461350817567</v>
      </c>
      <c r="AE2" s="227"/>
      <c r="AF2" s="226">
        <v>2.9112961352161988</v>
      </c>
      <c r="AG2" s="227"/>
      <c r="AH2" s="226">
        <v>4.2585929836854444</v>
      </c>
      <c r="AI2" s="227"/>
      <c r="AJ2" s="226">
        <v>7.0048413792010269</v>
      </c>
      <c r="AK2" s="227"/>
      <c r="AL2" s="226">
        <v>13.700012996633429</v>
      </c>
      <c r="AM2" s="227"/>
      <c r="AN2" s="226"/>
      <c r="AO2" s="227"/>
      <c r="AP2" s="226"/>
      <c r="AQ2" s="227"/>
      <c r="AR2" s="226"/>
      <c r="AS2" s="227"/>
      <c r="AT2" s="226"/>
      <c r="AU2" s="227"/>
      <c r="AV2" s="226"/>
      <c r="AW2" s="227"/>
    </row>
    <row r="3" spans="1:49" x14ac:dyDescent="0.2">
      <c r="A3" t="s">
        <v>12</v>
      </c>
      <c r="B3" s="84">
        <v>1000</v>
      </c>
      <c r="C3" s="85">
        <v>1000</v>
      </c>
      <c r="D3" s="84">
        <v>998.63070264015141</v>
      </c>
      <c r="E3" s="85">
        <v>1021.0314844678046</v>
      </c>
      <c r="F3" s="84">
        <v>997.21154423555981</v>
      </c>
      <c r="G3" s="85">
        <v>1044.6878627705578</v>
      </c>
      <c r="H3" s="84">
        <v>995.73499300766377</v>
      </c>
      <c r="I3" s="85">
        <v>1071.4404833127692</v>
      </c>
      <c r="J3" s="84">
        <v>994.19229691091743</v>
      </c>
      <c r="K3" s="85">
        <v>1101.880896719201</v>
      </c>
      <c r="L3" s="84">
        <v>992.57355306684576</v>
      </c>
      <c r="M3" s="85">
        <v>1136.7612832618292</v>
      </c>
      <c r="N3" s="84">
        <v>990.86783014256855</v>
      </c>
      <c r="O3" s="85">
        <v>1177.0615501037323</v>
      </c>
      <c r="P3" s="84">
        <v>989.06384033564882</v>
      </c>
      <c r="Q3" s="85">
        <v>1224.0780961471164</v>
      </c>
      <c r="R3" s="84">
        <v>987.15121966651304</v>
      </c>
      <c r="S3" s="85">
        <v>1279.5761621772615</v>
      </c>
      <c r="T3" s="84">
        <v>985.12322167924458</v>
      </c>
      <c r="U3" s="85">
        <v>1346.0337249354736</v>
      </c>
      <c r="V3" s="84">
        <v>982.98197975113021</v>
      </c>
      <c r="W3" s="85">
        <v>1427.0634686439334</v>
      </c>
      <c r="X3" s="84">
        <v>980.74872757397986</v>
      </c>
      <c r="Y3" s="85">
        <v>1528.1792599768098</v>
      </c>
      <c r="Z3" s="84">
        <v>978.48359115251606</v>
      </c>
      <c r="AA3" s="85">
        <v>1658.2801681119529</v>
      </c>
      <c r="AB3" s="84">
        <v>976.32372649159242</v>
      </c>
      <c r="AC3" s="85">
        <v>1832.7312244919337</v>
      </c>
      <c r="AD3" s="84">
        <v>974.55365511441494</v>
      </c>
      <c r="AE3" s="85">
        <v>2080.2813707272599</v>
      </c>
      <c r="AF3" s="84">
        <v>973.7122409846877</v>
      </c>
      <c r="AG3" s="85">
        <v>2459.8553242811477</v>
      </c>
      <c r="AH3" s="84">
        <v>974.63681227912753</v>
      </c>
      <c r="AI3" s="85">
        <v>3104.4583978417945</v>
      </c>
      <c r="AJ3" s="84">
        <v>978.03710962961532</v>
      </c>
      <c r="AK3" s="85">
        <v>4349.5534095444118</v>
      </c>
      <c r="AL3" s="84">
        <v>983.41103162355921</v>
      </c>
      <c r="AM3" s="85">
        <v>7237.7661379563833</v>
      </c>
      <c r="AN3" s="84"/>
      <c r="AO3" s="85"/>
      <c r="AP3" s="84"/>
      <c r="AQ3" s="85"/>
      <c r="AR3" s="84"/>
      <c r="AS3" s="85"/>
      <c r="AT3" s="84"/>
      <c r="AU3" s="85"/>
      <c r="AV3" s="84"/>
      <c r="AW3" s="85"/>
    </row>
    <row r="4" spans="1:49"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v>1000</v>
      </c>
      <c r="U4" s="102">
        <v>1000</v>
      </c>
      <c r="V4" s="101">
        <v>1000</v>
      </c>
      <c r="W4" s="102">
        <v>1000</v>
      </c>
      <c r="X4" s="101">
        <v>1000</v>
      </c>
      <c r="Y4" s="102">
        <v>1000</v>
      </c>
      <c r="Z4" s="101">
        <v>1000</v>
      </c>
      <c r="AA4" s="102">
        <v>1000</v>
      </c>
      <c r="AB4" s="101">
        <v>1000</v>
      </c>
      <c r="AC4" s="102">
        <v>1000</v>
      </c>
      <c r="AD4" s="101">
        <v>1000</v>
      </c>
      <c r="AE4" s="102">
        <v>1000</v>
      </c>
      <c r="AF4" s="101">
        <v>1000</v>
      </c>
      <c r="AG4" s="102">
        <v>1000</v>
      </c>
      <c r="AH4" s="101">
        <v>1000</v>
      </c>
      <c r="AI4" s="102">
        <v>1000</v>
      </c>
      <c r="AJ4" s="101">
        <v>1000</v>
      </c>
      <c r="AK4" s="102">
        <v>1000</v>
      </c>
      <c r="AL4" s="101">
        <v>1000</v>
      </c>
      <c r="AM4" s="102">
        <v>1000</v>
      </c>
      <c r="AN4" s="101"/>
      <c r="AO4" s="102"/>
      <c r="AP4" s="101"/>
      <c r="AQ4" s="102"/>
      <c r="AR4" s="101"/>
      <c r="AS4" s="102"/>
      <c r="AT4" s="101"/>
      <c r="AU4" s="102"/>
      <c r="AV4" s="101"/>
      <c r="AW4" s="102"/>
    </row>
    <row r="5" spans="1:49" x14ac:dyDescent="0.2">
      <c r="A5" t="s">
        <v>128</v>
      </c>
      <c r="B5" s="41">
        <v>1000</v>
      </c>
      <c r="C5" s="42">
        <v>1000</v>
      </c>
      <c r="D5" s="41">
        <v>998.56279213718005</v>
      </c>
      <c r="E5" s="42">
        <v>1018.2798922892582</v>
      </c>
      <c r="F5" s="41">
        <v>997.07237521477464</v>
      </c>
      <c r="G5" s="42">
        <v>1038.398343830678</v>
      </c>
      <c r="H5" s="41">
        <v>995.52073366021557</v>
      </c>
      <c r="I5" s="42">
        <v>1060.5906617385433</v>
      </c>
      <c r="J5" s="41">
        <v>993.89854330598803</v>
      </c>
      <c r="K5" s="42">
        <v>1085.1275167041911</v>
      </c>
      <c r="L5" s="41">
        <v>992.19523844123739</v>
      </c>
      <c r="M5" s="42">
        <v>1112.3218522110431</v>
      </c>
      <c r="N5" s="41">
        <v>990.39913112711417</v>
      </c>
      <c r="O5" s="42">
        <v>1142.5309833543422</v>
      </c>
      <c r="P5" s="41">
        <v>988.49811313136775</v>
      </c>
      <c r="Q5" s="42">
        <v>1176.1642000281765</v>
      </c>
      <c r="R5" s="41">
        <v>986.48099866016992</v>
      </c>
      <c r="S5" s="42">
        <v>1213.6836136092945</v>
      </c>
      <c r="T5" s="41">
        <v>984.34036710022042</v>
      </c>
      <c r="U5" s="42">
        <v>1255.5994961787251</v>
      </c>
      <c r="V5" s="41">
        <v>982.07813667309233</v>
      </c>
      <c r="W5" s="42">
        <v>1302.453160101966</v>
      </c>
      <c r="X5" s="41">
        <v>979.71642031094063</v>
      </c>
      <c r="Y5" s="42">
        <v>1354.7654104614212</v>
      </c>
      <c r="Z5" s="41">
        <v>977.3185929007534</v>
      </c>
      <c r="AA5" s="42">
        <v>1412.912161086861</v>
      </c>
      <c r="AB5" s="41">
        <v>975.02994243140517</v>
      </c>
      <c r="AC5" s="42">
        <v>1476.8309896547175</v>
      </c>
      <c r="AD5" s="41">
        <v>973.15266949655904</v>
      </c>
      <c r="AE5" s="42">
        <v>1545.3609846157021</v>
      </c>
      <c r="AF5" s="41">
        <v>972.25976984850217</v>
      </c>
      <c r="AG5" s="42">
        <v>1614.8955130514294</v>
      </c>
      <c r="AH5" s="41">
        <v>973.24089652329531</v>
      </c>
      <c r="AI5" s="42">
        <v>1677.5705735925217</v>
      </c>
      <c r="AJ5" s="41">
        <v>976.84567068799254</v>
      </c>
      <c r="AK5" s="42">
        <v>1722.3132433515609</v>
      </c>
      <c r="AL5" s="41">
        <v>982.53160233402514</v>
      </c>
      <c r="AM5" s="42">
        <v>1743.8972474914456</v>
      </c>
      <c r="AN5" s="41"/>
      <c r="AO5" s="42"/>
      <c r="AP5" s="41"/>
      <c r="AQ5" s="42"/>
      <c r="AR5" s="41"/>
      <c r="AS5" s="42"/>
      <c r="AT5" s="41"/>
      <c r="AU5" s="42"/>
      <c r="AV5" s="41"/>
      <c r="AW5" s="42"/>
    </row>
    <row r="6" spans="1:49" x14ac:dyDescent="0.2">
      <c r="A6" t="s">
        <v>77</v>
      </c>
      <c r="B6" s="41">
        <v>999.99999999999943</v>
      </c>
      <c r="C6" s="42">
        <v>999.99999999999909</v>
      </c>
      <c r="D6" s="41">
        <v>998.45303018718164</v>
      </c>
      <c r="E6" s="42">
        <v>1022.665322564528</v>
      </c>
      <c r="F6" s="41">
        <v>996.84914679056374</v>
      </c>
      <c r="G6" s="42">
        <v>1048.0769427822911</v>
      </c>
      <c r="H6" s="41">
        <v>995.17976609439813</v>
      </c>
      <c r="I6" s="42">
        <v>1076.719313565899</v>
      </c>
      <c r="J6" s="41">
        <v>993.43490699865242</v>
      </c>
      <c r="K6" s="42">
        <v>1109.1998410649205</v>
      </c>
      <c r="L6" s="41">
        <v>991.60326489104409</v>
      </c>
      <c r="M6" s="42">
        <v>1146.290213551154</v>
      </c>
      <c r="N6" s="41">
        <v>989.67234490188707</v>
      </c>
      <c r="O6" s="42">
        <v>1188.9953410333273</v>
      </c>
      <c r="P6" s="41">
        <v>987.62921725894034</v>
      </c>
      <c r="Q6" s="42">
        <v>1238.6441136680467</v>
      </c>
      <c r="R6" s="41">
        <v>985.4619634610716</v>
      </c>
      <c r="S6" s="42">
        <v>1297.0457489447974</v>
      </c>
      <c r="T6" s="41">
        <v>983.16272941957891</v>
      </c>
      <c r="U6" s="42">
        <v>1366.7398928707819</v>
      </c>
      <c r="V6" s="41">
        <v>980.73370426338386</v>
      </c>
      <c r="W6" s="42">
        <v>1451.4294241437794</v>
      </c>
      <c r="X6" s="41">
        <v>978.19875356197622</v>
      </c>
      <c r="Y6" s="42">
        <v>1556.7665355233801</v>
      </c>
      <c r="Z6" s="41">
        <v>975.62597835944325</v>
      </c>
      <c r="AA6" s="42">
        <v>1691.8745081299617</v>
      </c>
      <c r="AB6" s="41">
        <v>973.17122438754302</v>
      </c>
      <c r="AC6" s="42">
        <v>1872.506247059895</v>
      </c>
      <c r="AD6" s="41">
        <v>971.15834479276759</v>
      </c>
      <c r="AE6" s="42">
        <v>2128.1357754468659</v>
      </c>
      <c r="AF6" s="41">
        <v>970.20114809740346</v>
      </c>
      <c r="AG6" s="42">
        <v>2519.1702577119995</v>
      </c>
      <c r="AH6" s="41">
        <v>971.25293206866365</v>
      </c>
      <c r="AI6" s="42">
        <v>3181.9606725935155</v>
      </c>
      <c r="AJ6" s="41">
        <v>975.11866253791459</v>
      </c>
      <c r="AK6" s="42">
        <v>4460.4698360158327</v>
      </c>
      <c r="AL6" s="41">
        <v>981.2205367645364</v>
      </c>
      <c r="AM6" s="42">
        <v>7424.0673873553524</v>
      </c>
      <c r="AN6" s="41"/>
      <c r="AO6" s="42"/>
      <c r="AP6" s="41"/>
      <c r="AQ6" s="42"/>
      <c r="AR6" s="41"/>
      <c r="AS6" s="42"/>
      <c r="AT6" s="41"/>
      <c r="AU6" s="42"/>
      <c r="AV6" s="41"/>
      <c r="AW6" s="42"/>
    </row>
    <row r="7" spans="1:49" x14ac:dyDescent="0.2">
      <c r="A7" t="s">
        <v>13</v>
      </c>
      <c r="B7" s="33">
        <v>1015.9116825427475</v>
      </c>
      <c r="C7" s="34">
        <v>1015.9116825427475</v>
      </c>
      <c r="D7" s="33">
        <v>1014.4516062846664</v>
      </c>
      <c r="E7" s="34">
        <v>1014.4516062846664</v>
      </c>
      <c r="F7" s="33">
        <v>1012.9374743213353</v>
      </c>
      <c r="G7" s="34">
        <v>1012.9374743213353</v>
      </c>
      <c r="H7" s="33">
        <v>1011.3611435389399</v>
      </c>
      <c r="I7" s="34">
        <v>1011.3611435389399</v>
      </c>
      <c r="J7" s="33">
        <v>1009.713141406772</v>
      </c>
      <c r="K7" s="34">
        <v>1009.713141406772</v>
      </c>
      <c r="L7" s="33">
        <v>1007.9827340957399</v>
      </c>
      <c r="M7" s="34">
        <v>1007.9827340957399</v>
      </c>
      <c r="N7" s="33">
        <v>1006.1580476922217</v>
      </c>
      <c r="O7" s="34">
        <v>1006.1580476922217</v>
      </c>
      <c r="P7" s="33">
        <v>1004.2267813016189</v>
      </c>
      <c r="Q7" s="34">
        <v>1004.2267813016189</v>
      </c>
      <c r="R7" s="33">
        <v>1002.177571145303</v>
      </c>
      <c r="S7" s="34">
        <v>1002.177571145303</v>
      </c>
      <c r="T7" s="33">
        <v>1000.0028785355306</v>
      </c>
      <c r="U7" s="34">
        <v>1000.0028785355306</v>
      </c>
      <c r="V7" s="33">
        <v>997.7046522160075</v>
      </c>
      <c r="W7" s="34">
        <v>997.7046522160075</v>
      </c>
      <c r="X7" s="33">
        <v>995.30535697284529</v>
      </c>
      <c r="Y7" s="34">
        <v>995.30535697284529</v>
      </c>
      <c r="Z7" s="33">
        <v>992.86937609411484</v>
      </c>
      <c r="AA7" s="34">
        <v>992.86937609411484</v>
      </c>
      <c r="AB7" s="33">
        <v>990.54430934504705</v>
      </c>
      <c r="AC7" s="34">
        <v>990.54430934504705</v>
      </c>
      <c r="AD7" s="33">
        <v>988.63716583921553</v>
      </c>
      <c r="AE7" s="34">
        <v>988.63716583921553</v>
      </c>
      <c r="AF7" s="33">
        <v>987.7300586554162</v>
      </c>
      <c r="AG7" s="34">
        <v>987.7300586554162</v>
      </c>
      <c r="AH7" s="33">
        <v>988.72679670639286</v>
      </c>
      <c r="AI7" s="34">
        <v>988.72679670639286</v>
      </c>
      <c r="AJ7" s="33">
        <v>992.38892889323711</v>
      </c>
      <c r="AK7" s="34">
        <v>992.38892889323711</v>
      </c>
      <c r="AL7" s="33">
        <v>998.1653332785811</v>
      </c>
      <c r="AM7" s="34">
        <v>998.1653332785811</v>
      </c>
      <c r="AN7" s="33"/>
      <c r="AO7" s="34"/>
      <c r="AP7" s="33"/>
      <c r="AQ7" s="34"/>
      <c r="AR7" s="33"/>
      <c r="AS7" s="34"/>
      <c r="AT7" s="33"/>
      <c r="AU7" s="34"/>
      <c r="AV7" s="33"/>
      <c r="AW7" s="34"/>
    </row>
    <row r="8" spans="1:49" x14ac:dyDescent="0.2">
      <c r="B8" s="35">
        <v>1005.7716594496609</v>
      </c>
      <c r="C8" s="36">
        <v>1005.7716594496609</v>
      </c>
      <c r="D8" s="35">
        <v>1075.6717999071104</v>
      </c>
      <c r="E8" s="36">
        <v>1075.6717999071104</v>
      </c>
      <c r="F8" s="35">
        <v>1154.5401849335644</v>
      </c>
      <c r="G8" s="36">
        <v>1154.5401849335644</v>
      </c>
      <c r="H8" s="35">
        <v>1244.0931503118356</v>
      </c>
      <c r="I8" s="36">
        <v>1244.0931503118356</v>
      </c>
      <c r="J8" s="35">
        <v>1346.5006802842422</v>
      </c>
      <c r="K8" s="36">
        <v>1346.5006802842422</v>
      </c>
      <c r="L8" s="35">
        <v>1464.5468984474267</v>
      </c>
      <c r="M8" s="36">
        <v>1464.5468984474267</v>
      </c>
      <c r="N8" s="35">
        <v>1601.8757971753801</v>
      </c>
      <c r="O8" s="36">
        <v>1601.8757971753801</v>
      </c>
      <c r="P8" s="35">
        <v>1763.3480961183052</v>
      </c>
      <c r="Q8" s="36">
        <v>1763.3480961183052</v>
      </c>
      <c r="R8" s="35">
        <v>1955.6230193876834</v>
      </c>
      <c r="S8" s="36">
        <v>1955.6230193876834</v>
      </c>
      <c r="T8" s="35">
        <v>2188.1069836370984</v>
      </c>
      <c r="U8" s="36">
        <v>2188.1069836370984</v>
      </c>
      <c r="V8" s="35">
        <v>2474.5987736567058</v>
      </c>
      <c r="W8" s="36">
        <v>2474.5987736567058</v>
      </c>
      <c r="X8" s="35">
        <v>2836.2952055998931</v>
      </c>
      <c r="Y8" s="36">
        <v>2836.2952055998931</v>
      </c>
      <c r="Z8" s="35">
        <v>3307.6539227085859</v>
      </c>
      <c r="AA8" s="36">
        <v>3307.6539227085859</v>
      </c>
      <c r="AB8" s="35">
        <v>3948.6842761868133</v>
      </c>
      <c r="AC8" s="36">
        <v>3948.6842761868133</v>
      </c>
      <c r="AD8" s="35">
        <v>4872.9035520456009</v>
      </c>
      <c r="AE8" s="36">
        <v>4872.9035520456009</v>
      </c>
      <c r="AF8" s="35">
        <v>6316.334578976036</v>
      </c>
      <c r="AG8" s="36">
        <v>6316.334578976036</v>
      </c>
      <c r="AH8" s="35">
        <v>8821.6608479308015</v>
      </c>
      <c r="AI8" s="36">
        <v>8821.6608479308015</v>
      </c>
      <c r="AJ8" s="35">
        <v>13786.844318326503</v>
      </c>
      <c r="AK8" s="36">
        <v>13786.844318326503</v>
      </c>
      <c r="AL8" s="35">
        <v>25635.312202917514</v>
      </c>
      <c r="AM8" s="36">
        <v>25635.312202917514</v>
      </c>
      <c r="AN8" s="35"/>
      <c r="AO8" s="36"/>
      <c r="AP8" s="35"/>
      <c r="AQ8" s="36"/>
      <c r="AR8" s="35"/>
      <c r="AS8" s="36"/>
      <c r="AT8" s="35"/>
      <c r="AU8" s="36"/>
      <c r="AV8" s="35"/>
      <c r="AW8" s="36"/>
    </row>
    <row r="9" spans="1:49" x14ac:dyDescent="0.2">
      <c r="A9" t="s">
        <v>14</v>
      </c>
      <c r="B9" s="41">
        <v>1015.9116825427475</v>
      </c>
      <c r="C9" s="42">
        <v>1005.7716594496609</v>
      </c>
      <c r="D9" s="41">
        <v>1014.4516062846664</v>
      </c>
      <c r="E9" s="42">
        <v>1075.6717999071104</v>
      </c>
      <c r="F9" s="41">
        <v>1012.9374743213353</v>
      </c>
      <c r="G9" s="42">
        <v>1154.5401849335644</v>
      </c>
      <c r="H9" s="41">
        <v>1011.3611435389399</v>
      </c>
      <c r="I9" s="42">
        <v>1244.0931503118356</v>
      </c>
      <c r="J9" s="41">
        <v>1009.713141406772</v>
      </c>
      <c r="K9" s="42">
        <v>1346.5006802842422</v>
      </c>
      <c r="L9" s="41">
        <v>1007.9827340957399</v>
      </c>
      <c r="M9" s="42">
        <v>1464.5468984474267</v>
      </c>
      <c r="N9" s="41">
        <v>1006.1580476922217</v>
      </c>
      <c r="O9" s="42">
        <v>1601.8757971753801</v>
      </c>
      <c r="P9" s="41">
        <v>1004.2267813016189</v>
      </c>
      <c r="Q9" s="42">
        <v>1763.3480961183052</v>
      </c>
      <c r="R9" s="41">
        <v>1002.177571145303</v>
      </c>
      <c r="S9" s="42">
        <v>1955.6230193876834</v>
      </c>
      <c r="T9" s="41">
        <v>1000.0028785355306</v>
      </c>
      <c r="U9" s="42">
        <v>2188.1069836370984</v>
      </c>
      <c r="V9" s="41">
        <v>997.7046522160075</v>
      </c>
      <c r="W9" s="42">
        <v>2474.5987736567058</v>
      </c>
      <c r="X9" s="41">
        <v>995.30535697284529</v>
      </c>
      <c r="Y9" s="42">
        <v>2836.2952055998931</v>
      </c>
      <c r="Z9" s="41">
        <v>992.86937609411484</v>
      </c>
      <c r="AA9" s="42">
        <v>3307.6539227085859</v>
      </c>
      <c r="AB9" s="41">
        <v>990.54430934504705</v>
      </c>
      <c r="AC9" s="42">
        <v>3948.6842761868133</v>
      </c>
      <c r="AD9" s="41">
        <v>988.63716583921553</v>
      </c>
      <c r="AE9" s="42">
        <v>4872.9035520456009</v>
      </c>
      <c r="AF9" s="41">
        <v>987.7300586554162</v>
      </c>
      <c r="AG9" s="42">
        <v>6316.334578976036</v>
      </c>
      <c r="AH9" s="41">
        <v>988.72679670639286</v>
      </c>
      <c r="AI9" s="42">
        <v>8821.6608479308015</v>
      </c>
      <c r="AJ9" s="41">
        <v>992.38892889323711</v>
      </c>
      <c r="AK9" s="42">
        <v>13786.844318326503</v>
      </c>
      <c r="AL9" s="41">
        <v>998.1653332785811</v>
      </c>
      <c r="AM9" s="42">
        <v>25635.312202917514</v>
      </c>
      <c r="AN9" s="41"/>
      <c r="AO9" s="42"/>
      <c r="AP9" s="41"/>
      <c r="AQ9" s="42"/>
      <c r="AR9" s="41"/>
      <c r="AS9" s="42"/>
      <c r="AT9" s="41"/>
      <c r="AU9" s="42"/>
      <c r="AV9" s="41"/>
      <c r="AW9" s="42"/>
    </row>
    <row r="10" spans="1:49" x14ac:dyDescent="0.2">
      <c r="A10" t="s">
        <v>15</v>
      </c>
      <c r="B10" s="41">
        <v>1015.9116825427475</v>
      </c>
      <c r="C10" s="42">
        <v>1005.7716594496609</v>
      </c>
      <c r="D10" s="41">
        <v>1014.4516062846664</v>
      </c>
      <c r="E10" s="42">
        <v>1075.6717999071104</v>
      </c>
      <c r="F10" s="41">
        <v>1012.9374743213353</v>
      </c>
      <c r="G10" s="42">
        <v>1154.5401849335644</v>
      </c>
      <c r="H10" s="41">
        <v>1011.3611435389399</v>
      </c>
      <c r="I10" s="42">
        <v>1244.0931503118356</v>
      </c>
      <c r="J10" s="41">
        <v>1009.713141406772</v>
      </c>
      <c r="K10" s="42">
        <v>1346.5006802842422</v>
      </c>
      <c r="L10" s="41">
        <v>1007.9827340957399</v>
      </c>
      <c r="M10" s="42">
        <v>1464.5468984474267</v>
      </c>
      <c r="N10" s="41">
        <v>1006.1580476922217</v>
      </c>
      <c r="O10" s="42">
        <v>1601.8757971753801</v>
      </c>
      <c r="P10" s="41">
        <v>1004.2267813016189</v>
      </c>
      <c r="Q10" s="42">
        <v>1763.3480961183052</v>
      </c>
      <c r="R10" s="41">
        <v>1002.177571145303</v>
      </c>
      <c r="S10" s="42">
        <v>1955.6230193876834</v>
      </c>
      <c r="T10" s="41">
        <v>1000.0028785355306</v>
      </c>
      <c r="U10" s="42">
        <v>2188.1069836370984</v>
      </c>
      <c r="V10" s="41">
        <v>997.7046522160075</v>
      </c>
      <c r="W10" s="42">
        <v>2474.5987736567058</v>
      </c>
      <c r="X10" s="41">
        <v>995.30535697284529</v>
      </c>
      <c r="Y10" s="42">
        <v>2836.2952055998931</v>
      </c>
      <c r="Z10" s="41">
        <v>992.86937609411484</v>
      </c>
      <c r="AA10" s="42">
        <v>3307.6539227085859</v>
      </c>
      <c r="AB10" s="41">
        <v>990.54430934504705</v>
      </c>
      <c r="AC10" s="42">
        <v>3948.6842761868133</v>
      </c>
      <c r="AD10" s="41">
        <v>988.63716583921553</v>
      </c>
      <c r="AE10" s="42">
        <v>4872.9035520456009</v>
      </c>
      <c r="AF10" s="41">
        <v>987.7300586554162</v>
      </c>
      <c r="AG10" s="42">
        <v>6316.334578976036</v>
      </c>
      <c r="AH10" s="41">
        <v>988.72679670639286</v>
      </c>
      <c r="AI10" s="42">
        <v>8821.6608479308015</v>
      </c>
      <c r="AJ10" s="41">
        <v>992.38892889323711</v>
      </c>
      <c r="AK10" s="42">
        <v>13786.844318326503</v>
      </c>
      <c r="AL10" s="41">
        <v>998.1653332785811</v>
      </c>
      <c r="AM10" s="42">
        <v>25635.312202917514</v>
      </c>
      <c r="AN10" s="41"/>
      <c r="AO10" s="42"/>
      <c r="AP10" s="41"/>
      <c r="AQ10" s="42"/>
      <c r="AR10" s="41"/>
      <c r="AS10" s="42"/>
      <c r="AT10" s="41"/>
      <c r="AU10" s="42"/>
      <c r="AV10" s="41"/>
      <c r="AW10" s="42"/>
    </row>
    <row r="11" spans="1:49" x14ac:dyDescent="0.2">
      <c r="A11" t="s">
        <v>29</v>
      </c>
      <c r="B11" s="41">
        <v>1015.9116825427475</v>
      </c>
      <c r="C11" s="42">
        <v>1005.7716594496609</v>
      </c>
      <c r="D11" s="41">
        <v>1014.4516062846664</v>
      </c>
      <c r="E11" s="42">
        <v>1075.6717999071104</v>
      </c>
      <c r="F11" s="41">
        <v>1012.9374743213353</v>
      </c>
      <c r="G11" s="42">
        <v>1154.5401849335644</v>
      </c>
      <c r="H11" s="41">
        <v>1011.3611435389399</v>
      </c>
      <c r="I11" s="42">
        <v>1244.0931503118356</v>
      </c>
      <c r="J11" s="41">
        <v>1009.713141406772</v>
      </c>
      <c r="K11" s="42">
        <v>1346.5006802842422</v>
      </c>
      <c r="L11" s="41">
        <v>1007.9827340957399</v>
      </c>
      <c r="M11" s="42">
        <v>1464.5468984474267</v>
      </c>
      <c r="N11" s="41">
        <v>1006.1580476922217</v>
      </c>
      <c r="O11" s="42">
        <v>1601.8757971753801</v>
      </c>
      <c r="P11" s="41">
        <v>1004.2267813016189</v>
      </c>
      <c r="Q11" s="42">
        <v>1763.3480961183052</v>
      </c>
      <c r="R11" s="41">
        <v>1002.177571145303</v>
      </c>
      <c r="S11" s="42">
        <v>1955.6230193876834</v>
      </c>
      <c r="T11" s="41">
        <v>1000.0028785355306</v>
      </c>
      <c r="U11" s="42">
        <v>2188.1069836370984</v>
      </c>
      <c r="V11" s="41">
        <v>997.7046522160075</v>
      </c>
      <c r="W11" s="42">
        <v>2474.5987736567058</v>
      </c>
      <c r="X11" s="41">
        <v>995.30535697284529</v>
      </c>
      <c r="Y11" s="42">
        <v>2836.2952055998931</v>
      </c>
      <c r="Z11" s="41">
        <v>992.86937609411484</v>
      </c>
      <c r="AA11" s="42">
        <v>3307.6539227085859</v>
      </c>
      <c r="AB11" s="41">
        <v>990.54430934504705</v>
      </c>
      <c r="AC11" s="42">
        <v>3948.6842761868133</v>
      </c>
      <c r="AD11" s="41">
        <v>988.63716583921553</v>
      </c>
      <c r="AE11" s="42">
        <v>4872.9035520456009</v>
      </c>
      <c r="AF11" s="41">
        <v>987.7300586554162</v>
      </c>
      <c r="AG11" s="42">
        <v>6316.334578976036</v>
      </c>
      <c r="AH11" s="41">
        <v>988.72679670639286</v>
      </c>
      <c r="AI11" s="42">
        <v>8821.6608479308015</v>
      </c>
      <c r="AJ11" s="41">
        <v>992.38892889323711</v>
      </c>
      <c r="AK11" s="42">
        <v>13786.844318326503</v>
      </c>
      <c r="AL11" s="41">
        <v>998.1653332785811</v>
      </c>
      <c r="AM11" s="42">
        <v>25635.312202917514</v>
      </c>
      <c r="AN11" s="41"/>
      <c r="AO11" s="42"/>
      <c r="AP11" s="41"/>
      <c r="AQ11" s="42"/>
      <c r="AR11" s="41"/>
      <c r="AS11" s="42"/>
      <c r="AT11" s="41"/>
      <c r="AU11" s="42"/>
      <c r="AV11" s="41"/>
      <c r="AW11" s="42"/>
    </row>
    <row r="12" spans="1:49"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v>1000</v>
      </c>
      <c r="AA12" s="42">
        <v>1000</v>
      </c>
      <c r="AB12" s="41">
        <v>1000</v>
      </c>
      <c r="AC12" s="42">
        <v>1000</v>
      </c>
      <c r="AD12" s="41">
        <v>1000</v>
      </c>
      <c r="AE12" s="42">
        <v>1000</v>
      </c>
      <c r="AF12" s="41">
        <v>1000</v>
      </c>
      <c r="AG12" s="42">
        <v>1000</v>
      </c>
      <c r="AH12" s="41">
        <v>1000</v>
      </c>
      <c r="AI12" s="42">
        <v>1000</v>
      </c>
      <c r="AJ12" s="41">
        <v>1000</v>
      </c>
      <c r="AK12" s="42">
        <v>1000</v>
      </c>
      <c r="AL12" s="41">
        <v>1000</v>
      </c>
      <c r="AM12" s="42">
        <v>1000</v>
      </c>
      <c r="AN12" s="41"/>
      <c r="AO12" s="42"/>
      <c r="AP12" s="41"/>
      <c r="AQ12" s="42"/>
      <c r="AR12" s="41"/>
      <c r="AS12" s="42"/>
      <c r="AT12" s="41"/>
      <c r="AU12" s="42"/>
      <c r="AV12" s="41"/>
      <c r="AW12" s="42"/>
    </row>
    <row r="13" spans="1:49" x14ac:dyDescent="0.2">
      <c r="A13" t="s">
        <v>17</v>
      </c>
      <c r="B13" s="97">
        <v>1000</v>
      </c>
      <c r="C13" s="98">
        <v>1000</v>
      </c>
      <c r="D13" s="97">
        <v>1006.5757463961839</v>
      </c>
      <c r="E13" s="98">
        <v>1006.5757463961839</v>
      </c>
      <c r="F13" s="97">
        <v>1013.1487317659169</v>
      </c>
      <c r="G13" s="98">
        <v>1013.1487317659169</v>
      </c>
      <c r="H13" s="97">
        <v>1019.7180204444808</v>
      </c>
      <c r="I13" s="98">
        <v>1019.7180204444808</v>
      </c>
      <c r="J13" s="97">
        <v>1026.2823640001861</v>
      </c>
      <c r="K13" s="98">
        <v>1026.2823640001861</v>
      </c>
      <c r="L13" s="97">
        <v>1032.8407010224166</v>
      </c>
      <c r="M13" s="98">
        <v>1032.8407010224166</v>
      </c>
      <c r="N13" s="97">
        <v>1039.3936944864188</v>
      </c>
      <c r="O13" s="98">
        <v>1039.3936944864188</v>
      </c>
      <c r="P13" s="97">
        <v>1045.945988224885</v>
      </c>
      <c r="Q13" s="98">
        <v>1045.945988224885</v>
      </c>
      <c r="R13" s="97">
        <v>1052.5115496731141</v>
      </c>
      <c r="S13" s="98">
        <v>1052.5115496731141</v>
      </c>
      <c r="T13" s="97">
        <v>1059.1233844151216</v>
      </c>
      <c r="U13" s="98">
        <v>1059.1233844151216</v>
      </c>
      <c r="V13" s="97">
        <v>1065.8528399539007</v>
      </c>
      <c r="W13" s="98">
        <v>1065.8528399539007</v>
      </c>
      <c r="X13" s="97">
        <v>1072.846501837317</v>
      </c>
      <c r="Y13" s="98">
        <v>1072.846501837317</v>
      </c>
      <c r="Z13" s="97">
        <v>1080.3986902694096</v>
      </c>
      <c r="AA13" s="98">
        <v>1080.3986902694096</v>
      </c>
      <c r="AB13" s="97">
        <v>1089.0935348478458</v>
      </c>
      <c r="AC13" s="98">
        <v>1089.0935348478458</v>
      </c>
      <c r="AD13" s="97">
        <v>1100.0739391413601</v>
      </c>
      <c r="AE13" s="98">
        <v>1100.0739391413601</v>
      </c>
      <c r="AF13" s="97">
        <v>1115.4713320748438</v>
      </c>
      <c r="AG13" s="98">
        <v>1115.4713320748438</v>
      </c>
      <c r="AH13" s="97">
        <v>1138.6477228526912</v>
      </c>
      <c r="AI13" s="98">
        <v>1138.6477228526912</v>
      </c>
      <c r="AJ13" s="97">
        <v>1172.4843183021449</v>
      </c>
      <c r="AK13" s="98">
        <v>1172.4843183021449</v>
      </c>
      <c r="AL13" s="97">
        <v>1212.3184068823791</v>
      </c>
      <c r="AM13" s="98">
        <v>1212.3184068823791</v>
      </c>
      <c r="AN13" s="97"/>
      <c r="AO13" s="98"/>
      <c r="AP13" s="97"/>
      <c r="AQ13" s="98"/>
      <c r="AR13" s="97"/>
      <c r="AS13" s="98"/>
      <c r="AT13" s="97"/>
      <c r="AU13" s="98"/>
      <c r="AV13" s="97"/>
      <c r="AW13" s="98"/>
    </row>
    <row r="14" spans="1:49" x14ac:dyDescent="0.2">
      <c r="A14" t="s">
        <v>36</v>
      </c>
      <c r="B14" s="41">
        <v>1457.0034251455234</v>
      </c>
      <c r="C14" s="42">
        <v>1457.0034251455236</v>
      </c>
      <c r="D14" s="41">
        <v>1466.5843101676517</v>
      </c>
      <c r="E14" s="42">
        <v>1466.5843101676519</v>
      </c>
      <c r="F14" s="41">
        <v>1476.1611723647839</v>
      </c>
      <c r="G14" s="42">
        <v>1476.1611723647841</v>
      </c>
      <c r="H14" s="41">
        <v>1485.7326484702212</v>
      </c>
      <c r="I14" s="42">
        <v>1485.7326484702214</v>
      </c>
      <c r="J14" s="41">
        <v>1495.2969195147159</v>
      </c>
      <c r="K14" s="42">
        <v>1495.2969195147161</v>
      </c>
      <c r="L14" s="41">
        <v>1504.8524390193643</v>
      </c>
      <c r="M14" s="42">
        <v>1504.8524390193645</v>
      </c>
      <c r="N14" s="41">
        <v>1514.4001729413717</v>
      </c>
      <c r="O14" s="42">
        <v>1514.4001729413719</v>
      </c>
      <c r="P14" s="41">
        <v>1523.9468873608766</v>
      </c>
      <c r="Q14" s="42">
        <v>1523.9468873608769</v>
      </c>
      <c r="R14" s="41">
        <v>1533.5129328789499</v>
      </c>
      <c r="S14" s="42">
        <v>1533.5129328789501</v>
      </c>
      <c r="T14" s="41">
        <v>1543.1463987445509</v>
      </c>
      <c r="U14" s="42">
        <v>1543.1463987445511</v>
      </c>
      <c r="V14" s="41">
        <v>1552.9512385139165</v>
      </c>
      <c r="W14" s="42">
        <v>1552.9512385139167</v>
      </c>
      <c r="X14" s="41">
        <v>1563.1410278323638</v>
      </c>
      <c r="Y14" s="42">
        <v>1563.141027832364</v>
      </c>
      <c r="Z14" s="41">
        <v>1574.1445922452672</v>
      </c>
      <c r="AA14" s="42">
        <v>1574.1445922452674</v>
      </c>
      <c r="AB14" s="41">
        <v>1586.8130105771568</v>
      </c>
      <c r="AC14" s="42">
        <v>1586.813010577157</v>
      </c>
      <c r="AD14" s="41">
        <v>1602.8114972422898</v>
      </c>
      <c r="AE14" s="42">
        <v>1602.81149724229</v>
      </c>
      <c r="AF14" s="41">
        <v>1625.2455514846868</v>
      </c>
      <c r="AG14" s="42">
        <v>1625.245551484687</v>
      </c>
      <c r="AH14" s="41">
        <v>1659.0136322305216</v>
      </c>
      <c r="AI14" s="42">
        <v>1659.0136322305218</v>
      </c>
      <c r="AJ14" s="41">
        <v>1708.313667695639</v>
      </c>
      <c r="AK14" s="42">
        <v>1708.3136676956392</v>
      </c>
      <c r="AL14" s="41">
        <v>1766.3520711945905</v>
      </c>
      <c r="AM14" s="42">
        <v>1766.3520711945907</v>
      </c>
      <c r="AN14" s="41"/>
      <c r="AO14" s="42"/>
      <c r="AP14" s="41"/>
      <c r="AQ14" s="42"/>
      <c r="AR14" s="41"/>
      <c r="AS14" s="42"/>
      <c r="AT14" s="41"/>
      <c r="AU14" s="42"/>
      <c r="AV14" s="41"/>
      <c r="AW14" s="42"/>
    </row>
    <row r="15" spans="1:49" x14ac:dyDescent="0.2">
      <c r="A15" t="s">
        <v>18</v>
      </c>
      <c r="B15" s="154">
        <v>1000</v>
      </c>
      <c r="C15" s="155">
        <v>1000</v>
      </c>
      <c r="D15" s="154">
        <v>983.22215692915051</v>
      </c>
      <c r="E15" s="155">
        <v>983.22215692915051</v>
      </c>
      <c r="F15" s="154">
        <v>965.83131374055438</v>
      </c>
      <c r="G15" s="155">
        <v>965.83131374055438</v>
      </c>
      <c r="H15" s="154">
        <v>947.73470458220788</v>
      </c>
      <c r="I15" s="155">
        <v>947.73470458220788</v>
      </c>
      <c r="J15" s="154">
        <v>928.82063124202182</v>
      </c>
      <c r="K15" s="155">
        <v>928.82063124202182</v>
      </c>
      <c r="L15" s="154">
        <v>908.95285841504119</v>
      </c>
      <c r="M15" s="155">
        <v>908.95285841504119</v>
      </c>
      <c r="N15" s="154">
        <v>887.96129237823641</v>
      </c>
      <c r="O15" s="155">
        <v>887.96129237823641</v>
      </c>
      <c r="P15" s="154">
        <v>865.62982554475821</v>
      </c>
      <c r="Q15" s="155">
        <v>865.62982554475821</v>
      </c>
      <c r="R15" s="154">
        <v>841.67528125340618</v>
      </c>
      <c r="S15" s="155">
        <v>841.67528125340618</v>
      </c>
      <c r="T15" s="154">
        <v>815.71409346571363</v>
      </c>
      <c r="U15" s="155">
        <v>815.71409346571363</v>
      </c>
      <c r="V15" s="154">
        <v>787.20445280290255</v>
      </c>
      <c r="W15" s="155">
        <v>787.20445280290255</v>
      </c>
      <c r="X15" s="154">
        <v>755.34375005417769</v>
      </c>
      <c r="Y15" s="155">
        <v>755.34375005417769</v>
      </c>
      <c r="Z15" s="154">
        <v>718.87650789162694</v>
      </c>
      <c r="AA15" s="155">
        <v>718.87650789162694</v>
      </c>
      <c r="AB15" s="154">
        <v>675.72002973956262</v>
      </c>
      <c r="AC15" s="155">
        <v>675.72002973956262</v>
      </c>
      <c r="AD15" s="154">
        <v>622.21130594093449</v>
      </c>
      <c r="AE15" s="155">
        <v>622.21130594093449</v>
      </c>
      <c r="AF15" s="154">
        <v>551.60707854556529</v>
      </c>
      <c r="AG15" s="155">
        <v>551.60707854556529</v>
      </c>
      <c r="AH15" s="154">
        <v>451.39998356584778</v>
      </c>
      <c r="AI15" s="155">
        <v>451.39998356584778</v>
      </c>
      <c r="AJ15" s="154">
        <v>299.40756275776636</v>
      </c>
      <c r="AK15" s="155">
        <v>299.40756275776636</v>
      </c>
      <c r="AL15" s="154">
        <v>55.820868157564647</v>
      </c>
      <c r="AM15" s="155">
        <v>55.820868157564647</v>
      </c>
      <c r="AN15" s="154"/>
      <c r="AO15" s="155"/>
      <c r="AP15" s="154"/>
      <c r="AQ15" s="155"/>
      <c r="AR15" s="154"/>
      <c r="AS15" s="155"/>
      <c r="AT15" s="154"/>
      <c r="AU15" s="155"/>
      <c r="AV15" s="154"/>
      <c r="AW15" s="155"/>
    </row>
    <row r="16" spans="1:49" s="29" customFormat="1" x14ac:dyDescent="0.2">
      <c r="A16" t="s">
        <v>61</v>
      </c>
      <c r="B16" s="41">
        <v>1000</v>
      </c>
      <c r="C16" s="42">
        <v>1000</v>
      </c>
      <c r="D16" s="41">
        <v>995.66394379552173</v>
      </c>
      <c r="E16" s="42">
        <v>989.88297733054981</v>
      </c>
      <c r="F16" s="41">
        <v>991.02091325876449</v>
      </c>
      <c r="G16" s="42">
        <v>979.31697142280564</v>
      </c>
      <c r="H16" s="41">
        <v>986.02602867299015</v>
      </c>
      <c r="I16" s="42">
        <v>968.2348546938257</v>
      </c>
      <c r="J16" s="41">
        <v>980.6251870503894</v>
      </c>
      <c r="K16" s="42">
        <v>956.55568326613479</v>
      </c>
      <c r="L16" s="41">
        <v>974.75265000767979</v>
      </c>
      <c r="M16" s="42">
        <v>944.18111977325395</v>
      </c>
      <c r="N16" s="41">
        <v>968.32743335067084</v>
      </c>
      <c r="O16" s="42">
        <v>930.98862159582336</v>
      </c>
      <c r="P16" s="41">
        <v>961.24873483535896</v>
      </c>
      <c r="Q16" s="42">
        <v>916.82383735179008</v>
      </c>
      <c r="R16" s="41">
        <v>953.38878390766013</v>
      </c>
      <c r="S16" s="42">
        <v>901.48678776279576</v>
      </c>
      <c r="T16" s="41">
        <v>944.58221577197708</v>
      </c>
      <c r="U16" s="42">
        <v>884.71066119697718</v>
      </c>
      <c r="V16" s="41">
        <v>934.60893165951677</v>
      </c>
      <c r="W16" s="42">
        <v>866.12585120834069</v>
      </c>
      <c r="X16" s="41">
        <v>923.16515239547959</v>
      </c>
      <c r="Y16" s="42">
        <v>845.19673240358645</v>
      </c>
      <c r="Z16" s="41">
        <v>909.81102466872323</v>
      </c>
      <c r="AA16" s="42">
        <v>821.1044033531731</v>
      </c>
      <c r="AB16" s="41">
        <v>893.86892317993102</v>
      </c>
      <c r="AC16" s="42">
        <v>792.51817768874434</v>
      </c>
      <c r="AD16" s="41">
        <v>874.209946035553</v>
      </c>
      <c r="AE16" s="42">
        <v>757.13152473253251</v>
      </c>
      <c r="AF16" s="41">
        <v>848.77254003621624</v>
      </c>
      <c r="AG16" s="42">
        <v>710.70710676708416</v>
      </c>
      <c r="AH16" s="41">
        <v>813.42170051130336</v>
      </c>
      <c r="AI16" s="42">
        <v>645.21923454690102</v>
      </c>
      <c r="AJ16" s="41">
        <v>759.19071592118507</v>
      </c>
      <c r="AK16" s="42">
        <v>545.55998857613451</v>
      </c>
      <c r="AL16" s="41">
        <v>664.77579621046846</v>
      </c>
      <c r="AM16" s="42">
        <v>381.82636533278145</v>
      </c>
      <c r="AN16" s="41"/>
      <c r="AO16" s="42"/>
      <c r="AP16" s="41"/>
      <c r="AQ16" s="42"/>
      <c r="AR16" s="41"/>
      <c r="AS16" s="42"/>
      <c r="AT16" s="41"/>
      <c r="AU16" s="42"/>
      <c r="AV16" s="41"/>
      <c r="AW16" s="42"/>
    </row>
    <row r="17" spans="1:49" x14ac:dyDescent="0.2">
      <c r="A17" t="s">
        <v>62</v>
      </c>
      <c r="B17" s="35">
        <v>1000.0000000000002</v>
      </c>
      <c r="C17" s="36">
        <v>999.99999999999977</v>
      </c>
      <c r="D17" s="35">
        <v>998.6938639052795</v>
      </c>
      <c r="E17" s="36">
        <v>1032.0582779864608</v>
      </c>
      <c r="F17" s="35">
        <v>997.34098241860454</v>
      </c>
      <c r="G17" s="36">
        <v>1068.2024436074312</v>
      </c>
      <c r="H17" s="35">
        <v>995.93428062616442</v>
      </c>
      <c r="I17" s="36">
        <v>1109.1888087251871</v>
      </c>
      <c r="J17" s="35">
        <v>994.46554303185872</v>
      </c>
      <c r="K17" s="36">
        <v>1155.9704122845487</v>
      </c>
      <c r="L17" s="35">
        <v>992.92545443697645</v>
      </c>
      <c r="M17" s="36">
        <v>1209.766340431848</v>
      </c>
      <c r="N17" s="35">
        <v>991.30383283404012</v>
      </c>
      <c r="O17" s="36">
        <v>1272.1675988645341</v>
      </c>
      <c r="P17" s="35">
        <v>989.59013791322002</v>
      </c>
      <c r="Q17" s="36">
        <v>1345.2906190304454</v>
      </c>
      <c r="R17" s="35">
        <v>987.77477292154924</v>
      </c>
      <c r="S17" s="36">
        <v>1432.0275946232637</v>
      </c>
      <c r="T17" s="35">
        <v>985.85162267192823</v>
      </c>
      <c r="U17" s="36">
        <v>1536.4538449105607</v>
      </c>
      <c r="V17" s="35">
        <v>983.82302414273101</v>
      </c>
      <c r="W17" s="36">
        <v>1664.5330727482235</v>
      </c>
      <c r="X17" s="35">
        <v>981.70939469691507</v>
      </c>
      <c r="Y17" s="36">
        <v>1825.402682133167</v>
      </c>
      <c r="Z17" s="35">
        <v>979.56784723991336</v>
      </c>
      <c r="AA17" s="36">
        <v>2033.8735808769241</v>
      </c>
      <c r="AB17" s="35">
        <v>977.52794691186182</v>
      </c>
      <c r="AC17" s="36">
        <v>2315.6517463914874</v>
      </c>
      <c r="AD17" s="35">
        <v>975.85775689971047</v>
      </c>
      <c r="AE17" s="36">
        <v>2719.1656712179788</v>
      </c>
      <c r="AF17" s="35">
        <v>975.06431650564559</v>
      </c>
      <c r="AG17" s="36">
        <v>3344.617972334348</v>
      </c>
      <c r="AH17" s="35">
        <v>975.93618747177811</v>
      </c>
      <c r="AI17" s="36">
        <v>4421.1743938226755</v>
      </c>
      <c r="AJ17" s="35">
        <v>979.14598952745405</v>
      </c>
      <c r="AK17" s="36">
        <v>6536.4532331430273</v>
      </c>
      <c r="AL17" s="35">
        <v>984.22934317698605</v>
      </c>
      <c r="AM17" s="36">
        <v>11546.223347557394</v>
      </c>
      <c r="AN17" s="35"/>
      <c r="AO17" s="36"/>
      <c r="AP17" s="35"/>
      <c r="AQ17" s="36"/>
      <c r="AR17" s="35"/>
      <c r="AS17" s="36"/>
      <c r="AT17" s="35"/>
      <c r="AU17" s="36"/>
      <c r="AV17" s="35"/>
      <c r="AW17" s="36"/>
    </row>
    <row r="18" spans="1:49" x14ac:dyDescent="0.2">
      <c r="A18" t="s">
        <v>19</v>
      </c>
      <c r="B18" s="33">
        <v>27857.010133999996</v>
      </c>
      <c r="C18" s="34">
        <v>1236.7674480000003</v>
      </c>
      <c r="D18" s="33">
        <v>27864.57425890135</v>
      </c>
      <c r="E18" s="34">
        <v>1151.2186656365757</v>
      </c>
      <c r="F18" s="33">
        <v>27868.505146239946</v>
      </c>
      <c r="G18" s="34">
        <v>1065.616964032346</v>
      </c>
      <c r="H18" s="33">
        <v>27868.238534723394</v>
      </c>
      <c r="I18" s="34">
        <v>979.98633257537017</v>
      </c>
      <c r="J18" s="33">
        <v>27863.081788678941</v>
      </c>
      <c r="K18" s="34">
        <v>894.36088895195326</v>
      </c>
      <c r="L18" s="33">
        <v>27852.164141442852</v>
      </c>
      <c r="M18" s="34">
        <v>808.80204992264407</v>
      </c>
      <c r="N18" s="33">
        <v>27834.379367773021</v>
      </c>
      <c r="O18" s="34">
        <v>723.39498654440013</v>
      </c>
      <c r="P18" s="33">
        <v>27808.281068296779</v>
      </c>
      <c r="Q18" s="34">
        <v>638.28152299303952</v>
      </c>
      <c r="R18" s="33">
        <v>27771.932070724084</v>
      </c>
      <c r="S18" s="34">
        <v>553.68389353004807</v>
      </c>
      <c r="T18" s="33">
        <v>27722.660168103892</v>
      </c>
      <c r="U18" s="34">
        <v>469.95045123151181</v>
      </c>
      <c r="V18" s="33">
        <v>27656.647767574566</v>
      </c>
      <c r="W18" s="34">
        <v>387.63026885319425</v>
      </c>
      <c r="X18" s="33">
        <v>27568.224690657658</v>
      </c>
      <c r="Y18" s="34">
        <v>307.58461974112163</v>
      </c>
      <c r="Z18" s="33">
        <v>27448.581874775806</v>
      </c>
      <c r="AA18" s="34">
        <v>231.16164931418345</v>
      </c>
      <c r="AB18" s="33">
        <v>27283.327249341401</v>
      </c>
      <c r="AC18" s="34">
        <v>160.44905901484768</v>
      </c>
      <c r="AD18" s="33">
        <v>27047.631216858859</v>
      </c>
      <c r="AE18" s="34">
        <v>98.577388484083002</v>
      </c>
      <c r="AF18" s="33">
        <v>26696.381953066724</v>
      </c>
      <c r="AG18" s="34">
        <v>49.78285843823334</v>
      </c>
      <c r="AH18" s="33">
        <v>26144.379534472951</v>
      </c>
      <c r="AI18" s="34">
        <v>18.190464356083712</v>
      </c>
      <c r="AJ18" s="33">
        <v>25223.607759007329</v>
      </c>
      <c r="AK18" s="34">
        <v>3.9213302120403206</v>
      </c>
      <c r="AL18" s="33">
        <v>23539.976437466299</v>
      </c>
      <c r="AM18" s="34">
        <v>0.35787315011768372</v>
      </c>
      <c r="AN18" s="33"/>
      <c r="AO18" s="34"/>
      <c r="AP18" s="33"/>
      <c r="AQ18" s="34"/>
      <c r="AR18" s="33"/>
      <c r="AS18" s="34"/>
      <c r="AT18" s="33"/>
      <c r="AU18" s="34"/>
      <c r="AV18" s="33"/>
      <c r="AW18" s="34"/>
    </row>
    <row r="19" spans="1:49" x14ac:dyDescent="0.2">
      <c r="A19" t="s">
        <v>3</v>
      </c>
      <c r="B19" s="41">
        <v>1886.3937399999918</v>
      </c>
      <c r="C19" s="42">
        <v>262.78711299999759</v>
      </c>
      <c r="D19" s="41">
        <v>1880.4032157042066</v>
      </c>
      <c r="E19" s="42">
        <v>268.40866959701833</v>
      </c>
      <c r="F19" s="41">
        <v>1873.9357186760453</v>
      </c>
      <c r="G19" s="42">
        <v>274.98104959439786</v>
      </c>
      <c r="H19" s="41">
        <v>1866.9211402881747</v>
      </c>
      <c r="I19" s="42">
        <v>282.62757202483175</v>
      </c>
      <c r="J19" s="41">
        <v>1859.2760308680195</v>
      </c>
      <c r="K19" s="42">
        <v>291.48656551767732</v>
      </c>
      <c r="L19" s="41">
        <v>1850.9009732766651</v>
      </c>
      <c r="M19" s="42">
        <v>301.70832152457228</v>
      </c>
      <c r="N19" s="41">
        <v>1841.6778622957281</v>
      </c>
      <c r="O19" s="42">
        <v>313.45430262952374</v>
      </c>
      <c r="P19" s="41">
        <v>1831.466826847111</v>
      </c>
      <c r="Q19" s="42">
        <v>326.8809103456972</v>
      </c>
      <c r="R19" s="41">
        <v>1820.1032725597443</v>
      </c>
      <c r="S19" s="42">
        <v>342.11918190927355</v>
      </c>
      <c r="T19" s="41">
        <v>1807.3957591546089</v>
      </c>
      <c r="U19" s="42">
        <v>359.22906840545295</v>
      </c>
      <c r="V19" s="41">
        <v>1793.1254437674754</v>
      </c>
      <c r="W19" s="42">
        <v>378.11395021583468</v>
      </c>
      <c r="X19" s="41">
        <v>1777.0496330975791</v>
      </c>
      <c r="Y19" s="42">
        <v>398.35756764945233</v>
      </c>
      <c r="Z19" s="41">
        <v>1758.9118933362979</v>
      </c>
      <c r="AA19" s="42">
        <v>418.91380728219372</v>
      </c>
      <c r="AB19" s="41">
        <v>1738.4592881435003</v>
      </c>
      <c r="AC19" s="42">
        <v>437.51757017725475</v>
      </c>
      <c r="AD19" s="41">
        <v>1715.4408839947175</v>
      </c>
      <c r="AE19" s="42">
        <v>449.61931744976874</v>
      </c>
      <c r="AF19" s="41">
        <v>1689.4141562817047</v>
      </c>
      <c r="AG19" s="42">
        <v>446.80881528715713</v>
      </c>
      <c r="AH19" s="41">
        <v>1658.5170244399021</v>
      </c>
      <c r="AI19" s="42">
        <v>416.25301447406821</v>
      </c>
      <c r="AJ19" s="41">
        <v>1614.4487201873512</v>
      </c>
      <c r="AK19" s="42">
        <v>346.85176312939529</v>
      </c>
      <c r="AL19" s="41">
        <v>1527.918656884076</v>
      </c>
      <c r="AM19" s="42">
        <v>243.04552939748851</v>
      </c>
      <c r="AN19" s="41"/>
      <c r="AO19" s="42"/>
      <c r="AP19" s="41"/>
      <c r="AQ19" s="42"/>
      <c r="AR19" s="41"/>
      <c r="AS19" s="42"/>
      <c r="AT19" s="41"/>
      <c r="AU19" s="42"/>
      <c r="AV19" s="41"/>
      <c r="AW19" s="42"/>
    </row>
    <row r="20" spans="1:49" x14ac:dyDescent="0.2">
      <c r="A20" t="s">
        <v>127</v>
      </c>
      <c r="B20" s="82">
        <v>26548.356269999993</v>
      </c>
      <c r="C20" s="83">
        <v>1408.5418709999938</v>
      </c>
      <c r="D20" s="82">
        <v>26540.280989137442</v>
      </c>
      <c r="E20" s="83">
        <v>1338.1147774499941</v>
      </c>
      <c r="F20" s="82">
        <v>26528.128464522117</v>
      </c>
      <c r="G20" s="83">
        <v>1267.6876838999945</v>
      </c>
      <c r="H20" s="82">
        <v>26511.276855471882</v>
      </c>
      <c r="I20" s="83">
        <v>1197.2605903499943</v>
      </c>
      <c r="J20" s="82">
        <v>26488.96885779834</v>
      </c>
      <c r="K20" s="83">
        <v>1126.8334967999951</v>
      </c>
      <c r="L20" s="82">
        <v>26460.26548523442</v>
      </c>
      <c r="M20" s="83">
        <v>1056.4064032499953</v>
      </c>
      <c r="N20" s="82">
        <v>26423.993688222836</v>
      </c>
      <c r="O20" s="83">
        <v>985.97930969999561</v>
      </c>
      <c r="P20" s="82">
        <v>26378.655612999948</v>
      </c>
      <c r="Q20" s="83">
        <v>915.55221614999596</v>
      </c>
      <c r="R20" s="82">
        <v>26322.302285917915</v>
      </c>
      <c r="S20" s="83">
        <v>845.12512259999642</v>
      </c>
      <c r="T20" s="82">
        <v>26252.33625453314</v>
      </c>
      <c r="U20" s="83">
        <v>774.69802904999653</v>
      </c>
      <c r="V20" s="82">
        <v>26165.189118546034</v>
      </c>
      <c r="W20" s="83">
        <v>704.27093549999688</v>
      </c>
      <c r="X20" s="82">
        <v>26055.779744631851</v>
      </c>
      <c r="Y20" s="83">
        <v>633.84384194999734</v>
      </c>
      <c r="Z20" s="82">
        <v>25916.542005879419</v>
      </c>
      <c r="AA20" s="83">
        <v>563.41674839999757</v>
      </c>
      <c r="AB20" s="82">
        <v>25735.576999267534</v>
      </c>
      <c r="AC20" s="83">
        <v>492.98965484999775</v>
      </c>
      <c r="AD20" s="82">
        <v>25492.891072466089</v>
      </c>
      <c r="AE20" s="83">
        <v>422.56256129999804</v>
      </c>
      <c r="AF20" s="82">
        <v>25152.246914068281</v>
      </c>
      <c r="AG20" s="83">
        <v>352.13546774999827</v>
      </c>
      <c r="AH20" s="82">
        <v>24642.486321820281</v>
      </c>
      <c r="AI20" s="83">
        <v>281.70837419999856</v>
      </c>
      <c r="AJ20" s="82">
        <v>23810.999913266074</v>
      </c>
      <c r="AK20" s="83">
        <v>211.28128064999876</v>
      </c>
      <c r="AL20" s="82">
        <v>22274.731025200948</v>
      </c>
      <c r="AM20" s="83">
        <v>140.85418709999902</v>
      </c>
      <c r="AN20" s="82"/>
      <c r="AO20" s="83"/>
      <c r="AP20" s="82"/>
      <c r="AQ20" s="83"/>
      <c r="AR20" s="82"/>
      <c r="AS20" s="83"/>
      <c r="AT20" s="82"/>
      <c r="AU20" s="83"/>
      <c r="AV20" s="82"/>
      <c r="AW20" s="83"/>
    </row>
    <row r="21" spans="1:49" x14ac:dyDescent="0.2">
      <c r="A21" t="s">
        <v>76</v>
      </c>
      <c r="B21" s="82">
        <v>24661.962529999968</v>
      </c>
      <c r="C21" s="83">
        <v>1145.7547579999991</v>
      </c>
      <c r="D21" s="82">
        <v>24659.881966669956</v>
      </c>
      <c r="E21" s="83">
        <v>1069.9168471688065</v>
      </c>
      <c r="F21" s="82">
        <v>24654.210137550439</v>
      </c>
      <c r="G21" s="83">
        <v>993.61400388895811</v>
      </c>
      <c r="H21" s="82">
        <v>24644.39640157032</v>
      </c>
      <c r="I21" s="83">
        <v>916.83697657735274</v>
      </c>
      <c r="J21" s="82">
        <v>24629.768255661151</v>
      </c>
      <c r="K21" s="83">
        <v>839.58941395328111</v>
      </c>
      <c r="L21" s="82">
        <v>24609.487799214621</v>
      </c>
      <c r="M21" s="83">
        <v>761.89751294101234</v>
      </c>
      <c r="N21" s="82">
        <v>24582.50213081386</v>
      </c>
      <c r="O21" s="83">
        <v>683.81910418025632</v>
      </c>
      <c r="P21" s="82">
        <v>24547.455715026674</v>
      </c>
      <c r="Q21" s="83">
        <v>605.46771710045584</v>
      </c>
      <c r="R21" s="82">
        <v>24502.566987928385</v>
      </c>
      <c r="S21" s="83">
        <v>527.04033311788555</v>
      </c>
      <c r="T21" s="82">
        <v>24445.432915538207</v>
      </c>
      <c r="U21" s="83">
        <v>448.8648461087634</v>
      </c>
      <c r="V21" s="82">
        <v>24372.706502967547</v>
      </c>
      <c r="W21" s="83">
        <v>371.47245327482921</v>
      </c>
      <c r="X21" s="82">
        <v>24279.55008158927</v>
      </c>
      <c r="Y21" s="83">
        <v>295.71048811151707</v>
      </c>
      <c r="Z21" s="82">
        <v>24158.649928387051</v>
      </c>
      <c r="AA21" s="83">
        <v>222.91520523655478</v>
      </c>
      <c r="AB21" s="82">
        <v>23998.345087358532</v>
      </c>
      <c r="AC21" s="83">
        <v>155.16365566810836</v>
      </c>
      <c r="AD21" s="82">
        <v>23778.85567284605</v>
      </c>
      <c r="AE21" s="83">
        <v>95.573004142669646</v>
      </c>
      <c r="AF21" s="82">
        <v>23464.313234636036</v>
      </c>
      <c r="AG21" s="83">
        <v>48.37035310365458</v>
      </c>
      <c r="AH21" s="82">
        <v>22985.318982174529</v>
      </c>
      <c r="AI21" s="83">
        <v>17.703770318421729</v>
      </c>
      <c r="AJ21" s="82">
        <v>22197.527635767408</v>
      </c>
      <c r="AK21" s="83">
        <v>3.8204021867068279</v>
      </c>
      <c r="AL21" s="82">
        <v>20747.332272511652</v>
      </c>
      <c r="AM21" s="83">
        <v>0.34882501505464958</v>
      </c>
      <c r="AN21" s="82"/>
      <c r="AO21" s="83"/>
      <c r="AP21" s="82"/>
      <c r="AQ21" s="83"/>
      <c r="AR21" s="82"/>
      <c r="AS21" s="83"/>
      <c r="AT21" s="82"/>
      <c r="AU21" s="83"/>
      <c r="AV21" s="82"/>
      <c r="AW21" s="83"/>
    </row>
    <row r="22" spans="1:49" x14ac:dyDescent="0.2">
      <c r="A22" t="s">
        <v>28</v>
      </c>
      <c r="B22" s="41">
        <v>6533.6044688320644</v>
      </c>
      <c r="C22" s="42">
        <v>379.90788307663382</v>
      </c>
      <c r="D22" s="41">
        <v>6534.8410806510519</v>
      </c>
      <c r="E22" s="42">
        <v>364.40089944015944</v>
      </c>
      <c r="F22" s="41">
        <v>6534.5622290878728</v>
      </c>
      <c r="G22" s="42">
        <v>348.67462987282266</v>
      </c>
      <c r="H22" s="41">
        <v>6532.5462695843044</v>
      </c>
      <c r="I22" s="42">
        <v>332.72314375138336</v>
      </c>
      <c r="J22" s="41">
        <v>6528.5247515128403</v>
      </c>
      <c r="K22" s="42">
        <v>316.53941239917128</v>
      </c>
      <c r="L22" s="41">
        <v>6522.1643319734012</v>
      </c>
      <c r="M22" s="42">
        <v>300.11457308555936</v>
      </c>
      <c r="N22" s="41">
        <v>6513.0554593604957</v>
      </c>
      <c r="O22" s="42">
        <v>283.43634101734233</v>
      </c>
      <c r="P22" s="41">
        <v>6500.6762483812554</v>
      </c>
      <c r="Q22" s="42">
        <v>266.48801763908364</v>
      </c>
      <c r="R22" s="41">
        <v>6484.3555094439653</v>
      </c>
      <c r="S22" s="42">
        <v>249.24536987163339</v>
      </c>
      <c r="T22" s="41">
        <v>6463.2103841339003</v>
      </c>
      <c r="U22" s="42">
        <v>231.67288250005109</v>
      </c>
      <c r="V22" s="41">
        <v>6436.0473865370368</v>
      </c>
      <c r="W22" s="42">
        <v>213.7176996741517</v>
      </c>
      <c r="X22" s="41">
        <v>6401.2010270256551</v>
      </c>
      <c r="Y22" s="42">
        <v>195.3009812980238</v>
      </c>
      <c r="Z22" s="41">
        <v>6356.2514853805733</v>
      </c>
      <c r="AA22" s="42">
        <v>176.30555138168577</v>
      </c>
      <c r="AB22" s="41">
        <v>6297.50129665433</v>
      </c>
      <c r="AC22" s="42">
        <v>156.56091194957341</v>
      </c>
      <c r="AD22" s="41">
        <v>6218.9302189512109</v>
      </c>
      <c r="AE22" s="42">
        <v>135.83309893047334</v>
      </c>
      <c r="AF22" s="41">
        <v>6109.9450335270058</v>
      </c>
      <c r="AG22" s="42">
        <v>113.85467936139476</v>
      </c>
      <c r="AH22" s="41">
        <v>5950.1339557953379</v>
      </c>
      <c r="AI22" s="42">
        <v>90.491030675991198</v>
      </c>
      <c r="AJ22" s="41">
        <v>5695.9672482150527</v>
      </c>
      <c r="AK22" s="42">
        <v>66.120760635380577</v>
      </c>
      <c r="AL22" s="41">
        <v>5240.5277535768555</v>
      </c>
      <c r="AM22" s="42">
        <v>41.818162959660157</v>
      </c>
      <c r="AN22" s="41"/>
      <c r="AO22" s="42"/>
      <c r="AP22" s="41"/>
      <c r="AQ22" s="42"/>
      <c r="AR22" s="41"/>
      <c r="AS22" s="42"/>
      <c r="AT22" s="41"/>
      <c r="AU22" s="42"/>
      <c r="AV22" s="41"/>
      <c r="AW22" s="42"/>
    </row>
    <row r="23" spans="1:49" x14ac:dyDescent="0.2">
      <c r="A23" t="s">
        <v>7</v>
      </c>
      <c r="B23" s="116">
        <v>3278.5018080150408</v>
      </c>
      <c r="C23" s="8">
        <v>0</v>
      </c>
      <c r="D23" s="116">
        <v>3283.9641025240603</v>
      </c>
      <c r="E23" s="8">
        <v>0</v>
      </c>
      <c r="F23" s="116">
        <v>3289.0631269003952</v>
      </c>
      <c r="G23" s="8">
        <v>0</v>
      </c>
      <c r="H23" s="116">
        <v>3293.7392245910019</v>
      </c>
      <c r="I23" s="8">
        <v>0</v>
      </c>
      <c r="J23" s="116">
        <v>3297.9193220476354</v>
      </c>
      <c r="K23" s="8">
        <v>0</v>
      </c>
      <c r="L23" s="116">
        <v>3301.5115083069309</v>
      </c>
      <c r="M23" s="8">
        <v>0</v>
      </c>
      <c r="N23" s="116">
        <v>3304.4016017367821</v>
      </c>
      <c r="O23" s="8">
        <v>0</v>
      </c>
      <c r="P23" s="116">
        <v>3306.443310408511</v>
      </c>
      <c r="Q23" s="8">
        <v>0</v>
      </c>
      <c r="R23" s="116">
        <v>3307.4476992195582</v>
      </c>
      <c r="S23" s="8">
        <v>0</v>
      </c>
      <c r="T23" s="116">
        <v>3307.166612259382</v>
      </c>
      <c r="U23" s="8">
        <v>0</v>
      </c>
      <c r="V23" s="116">
        <v>3305.266662638579</v>
      </c>
      <c r="W23" s="8">
        <v>0</v>
      </c>
      <c r="X23" s="116">
        <v>3301.2883743692964</v>
      </c>
      <c r="Y23" s="8">
        <v>0</v>
      </c>
      <c r="Z23" s="116">
        <v>3294.5756263610283</v>
      </c>
      <c r="AA23" s="8">
        <v>0</v>
      </c>
      <c r="AB23" s="116">
        <v>3284.1442264406101</v>
      </c>
      <c r="AC23" s="8">
        <v>0</v>
      </c>
      <c r="AD23" s="116">
        <v>3268.4044322123259</v>
      </c>
      <c r="AE23" s="8">
        <v>0</v>
      </c>
      <c r="AF23" s="116">
        <v>3244.4829345527392</v>
      </c>
      <c r="AG23" s="8">
        <v>0</v>
      </c>
      <c r="AH23" s="116">
        <v>3206.2847892679897</v>
      </c>
      <c r="AI23" s="8">
        <v>0</v>
      </c>
      <c r="AJ23" s="116">
        <v>3138.4528286888935</v>
      </c>
      <c r="AK23" s="8">
        <v>0</v>
      </c>
      <c r="AL23" s="116">
        <v>2996.0929610955682</v>
      </c>
      <c r="AM23" s="8">
        <v>0</v>
      </c>
      <c r="AN23" s="116"/>
      <c r="AO23" s="8"/>
      <c r="AP23" s="116"/>
      <c r="AQ23" s="8"/>
      <c r="AR23" s="116"/>
      <c r="AS23" s="8"/>
      <c r="AT23" s="116"/>
      <c r="AU23" s="8"/>
      <c r="AV23" s="116"/>
      <c r="AW23" s="8"/>
    </row>
    <row r="24" spans="1:49" x14ac:dyDescent="0.2">
      <c r="A24" t="s">
        <v>8</v>
      </c>
      <c r="B24" s="97">
        <v>3196.3846373657216</v>
      </c>
      <c r="C24" s="8">
        <v>0</v>
      </c>
      <c r="D24" s="97">
        <v>3201.7101187463845</v>
      </c>
      <c r="E24" s="8">
        <v>0</v>
      </c>
      <c r="F24" s="97">
        <v>3206.6814273950326</v>
      </c>
      <c r="G24" s="8">
        <v>0</v>
      </c>
      <c r="H24" s="97">
        <v>3211.2404028792876</v>
      </c>
      <c r="I24" s="8">
        <v>0</v>
      </c>
      <c r="J24" s="97">
        <v>3215.3157949050333</v>
      </c>
      <c r="K24" s="8">
        <v>0</v>
      </c>
      <c r="L24" s="97">
        <v>3218.8180096317797</v>
      </c>
      <c r="M24" s="8">
        <v>0</v>
      </c>
      <c r="N24" s="97">
        <v>3221.6357141178014</v>
      </c>
      <c r="O24" s="8">
        <v>0</v>
      </c>
      <c r="P24" s="97">
        <v>3223.6262834709191</v>
      </c>
      <c r="Q24" s="8">
        <v>0</v>
      </c>
      <c r="R24" s="97">
        <v>3224.6055158461772</v>
      </c>
      <c r="S24" s="8">
        <v>0</v>
      </c>
      <c r="T24" s="97">
        <v>3224.331469303022</v>
      </c>
      <c r="U24" s="8">
        <v>0</v>
      </c>
      <c r="V24" s="97">
        <v>3222.4791080926566</v>
      </c>
      <c r="W24" s="8">
        <v>0</v>
      </c>
      <c r="X24" s="97">
        <v>3218.6004646393135</v>
      </c>
      <c r="Y24" s="8">
        <v>0</v>
      </c>
      <c r="Z24" s="97">
        <v>3212.0558525777069</v>
      </c>
      <c r="AA24" s="8">
        <v>0</v>
      </c>
      <c r="AB24" s="97">
        <v>3201.8857290719493</v>
      </c>
      <c r="AC24" s="8">
        <v>0</v>
      </c>
      <c r="AD24" s="97">
        <v>3186.5401722891679</v>
      </c>
      <c r="AE24" s="8">
        <v>0</v>
      </c>
      <c r="AF24" s="97">
        <v>3163.2178402056484</v>
      </c>
      <c r="AG24" s="8">
        <v>0</v>
      </c>
      <c r="AH24" s="97">
        <v>3125.9764501023133</v>
      </c>
      <c r="AI24" s="8">
        <v>0</v>
      </c>
      <c r="AJ24" s="97">
        <v>3059.843487716008</v>
      </c>
      <c r="AK24" s="8">
        <v>0</v>
      </c>
      <c r="AL24" s="97">
        <v>2921.0493309950289</v>
      </c>
      <c r="AM24" s="8">
        <v>0</v>
      </c>
      <c r="AN24" s="97"/>
      <c r="AO24" s="8"/>
      <c r="AP24" s="97"/>
      <c r="AQ24" s="8"/>
      <c r="AR24" s="97"/>
      <c r="AS24" s="8"/>
      <c r="AT24" s="97"/>
      <c r="AU24" s="8"/>
      <c r="AV24" s="97"/>
      <c r="AW24" s="8"/>
    </row>
    <row r="25" spans="1:49" x14ac:dyDescent="0.2">
      <c r="A25" t="s">
        <v>0</v>
      </c>
      <c r="B25" s="41">
        <v>3195.0476040000012</v>
      </c>
      <c r="C25" s="42">
        <v>91.012690000004397</v>
      </c>
      <c r="D25" s="41">
        <v>3204.685494066418</v>
      </c>
      <c r="E25" s="42">
        <v>81.26311371066781</v>
      </c>
      <c r="F25" s="41">
        <v>3214.266707981928</v>
      </c>
      <c r="G25" s="42">
        <v>71.852508072641697</v>
      </c>
      <c r="H25" s="41">
        <v>3223.7756504997378</v>
      </c>
      <c r="I25" s="42">
        <v>62.819983800561225</v>
      </c>
      <c r="J25" s="41">
        <v>3233.1897483590615</v>
      </c>
      <c r="K25" s="42">
        <v>54.207252564707403</v>
      </c>
      <c r="L25" s="41">
        <v>3242.4730741918688</v>
      </c>
      <c r="M25" s="42">
        <v>46.059328361980199</v>
      </c>
      <c r="N25" s="41">
        <v>3251.5685614464451</v>
      </c>
      <c r="O25" s="42">
        <v>38.422980708706632</v>
      </c>
      <c r="P25" s="41">
        <v>3260.3807947795808</v>
      </c>
      <c r="Q25" s="42">
        <v>31.347861838273548</v>
      </c>
      <c r="R25" s="41">
        <v>3268.7488428807815</v>
      </c>
      <c r="S25" s="42">
        <v>24.885336250535318</v>
      </c>
      <c r="T25" s="41">
        <v>3276.397751918727</v>
      </c>
      <c r="U25" s="42">
        <v>19.087721643792225</v>
      </c>
      <c r="V25" s="41">
        <v>3282.8516449175295</v>
      </c>
      <c r="W25" s="42">
        <v>14.006996158671804</v>
      </c>
      <c r="X25" s="41">
        <v>3287.2756601900337</v>
      </c>
      <c r="Y25" s="42">
        <v>9.6923685043373968</v>
      </c>
      <c r="Z25" s="41">
        <v>3288.1804925800466</v>
      </c>
      <c r="AA25" s="42">
        <v>6.1860564011240724</v>
      </c>
      <c r="AB25" s="41">
        <v>3282.8608594967709</v>
      </c>
      <c r="AC25" s="42">
        <v>3.5152281792658902</v>
      </c>
      <c r="AD25" s="41">
        <v>3266.3337480269315</v>
      </c>
      <c r="AE25" s="42">
        <v>1.676281891735383</v>
      </c>
      <c r="AF25" s="41">
        <v>3229.4902580565604</v>
      </c>
      <c r="AG25" s="42">
        <v>0.60544487064272279</v>
      </c>
      <c r="AH25" s="41">
        <v>3156.7162725098615</v>
      </c>
      <c r="AI25" s="42">
        <v>0.13889480477122948</v>
      </c>
      <c r="AJ25" s="41">
        <v>3024.4009672173202</v>
      </c>
      <c r="AK25" s="42">
        <v>1.525309531151027E-2</v>
      </c>
      <c r="AL25" s="41">
        <v>2791.7640038945005</v>
      </c>
      <c r="AM25" s="42">
        <v>5.0272898822318918E-4</v>
      </c>
      <c r="AN25" s="41"/>
      <c r="AO25" s="42"/>
      <c r="AP25" s="41"/>
      <c r="AQ25" s="42"/>
      <c r="AR25" s="41"/>
      <c r="AS25" s="42"/>
      <c r="AT25" s="41"/>
      <c r="AU25" s="42"/>
      <c r="AV25" s="41"/>
      <c r="AW25" s="42"/>
    </row>
    <row r="26" spans="1:49" x14ac:dyDescent="0.2">
      <c r="A26" t="s">
        <v>27</v>
      </c>
      <c r="B26" s="33">
        <v>5036.2953101960647</v>
      </c>
      <c r="C26" s="34">
        <v>74.905331803938267</v>
      </c>
      <c r="D26" s="33">
        <v>5041.0660213364117</v>
      </c>
      <c r="E26" s="34">
        <v>70.134620663587114</v>
      </c>
      <c r="F26" s="33">
        <v>5045.860699009053</v>
      </c>
      <c r="G26" s="34">
        <v>65.33994299093095</v>
      </c>
      <c r="H26" s="33">
        <v>5050.6817288931607</v>
      </c>
      <c r="I26" s="34">
        <v>60.518913106812249</v>
      </c>
      <c r="J26" s="33">
        <v>5055.5316170584401</v>
      </c>
      <c r="K26" s="34">
        <v>55.669024941565503</v>
      </c>
      <c r="L26" s="33">
        <v>5060.4122871550426</v>
      </c>
      <c r="M26" s="34">
        <v>50.788354844961844</v>
      </c>
      <c r="N26" s="33">
        <v>5065.325227942134</v>
      </c>
      <c r="O26" s="34">
        <v>45.875414057872696</v>
      </c>
      <c r="P26" s="33">
        <v>5070.2699245641561</v>
      </c>
      <c r="Q26" s="34">
        <v>40.930717435849992</v>
      </c>
      <c r="R26" s="33">
        <v>5075.2425366878915</v>
      </c>
      <c r="S26" s="34">
        <v>35.958105312111513</v>
      </c>
      <c r="T26" s="33">
        <v>5080.23322735282</v>
      </c>
      <c r="U26" s="34">
        <v>30.967414647182395</v>
      </c>
      <c r="V26" s="33">
        <v>5085.2215978681843</v>
      </c>
      <c r="W26" s="34">
        <v>25.979044131818956</v>
      </c>
      <c r="X26" s="33">
        <v>5090.1692677001847</v>
      </c>
      <c r="Y26" s="34">
        <v>21.031374299822968</v>
      </c>
      <c r="Z26" s="33">
        <v>5095.0074700690775</v>
      </c>
      <c r="AA26" s="34">
        <v>16.193171930929498</v>
      </c>
      <c r="AB26" s="33">
        <v>5099.6172029212285</v>
      </c>
      <c r="AC26" s="34">
        <v>11.58343907878003</v>
      </c>
      <c r="AD26" s="33">
        <v>5103.8008905674023</v>
      </c>
      <c r="AE26" s="34">
        <v>7.3997514326055018</v>
      </c>
      <c r="AF26" s="33">
        <v>5107.2594717476686</v>
      </c>
      <c r="AG26" s="34">
        <v>3.9411702523407772</v>
      </c>
      <c r="AH26" s="33">
        <v>5109.6447803547926</v>
      </c>
      <c r="AI26" s="34">
        <v>1.5558616452166916</v>
      </c>
      <c r="AJ26" s="33">
        <v>5110.822223753863</v>
      </c>
      <c r="AK26" s="34">
        <v>0.37841824614204966</v>
      </c>
      <c r="AL26" s="33">
        <v>5111.1580150851623</v>
      </c>
      <c r="AM26" s="34">
        <v>4.2626914841669583E-2</v>
      </c>
      <c r="AN26" s="33"/>
      <c r="AO26" s="34"/>
      <c r="AP26" s="33"/>
      <c r="AQ26" s="34"/>
      <c r="AR26" s="33"/>
      <c r="AS26" s="34"/>
      <c r="AT26" s="33"/>
      <c r="AU26" s="34"/>
      <c r="AV26" s="33"/>
      <c r="AW26" s="34"/>
    </row>
    <row r="27" spans="1:49" x14ac:dyDescent="0.2">
      <c r="A27" t="s">
        <v>2</v>
      </c>
      <c r="B27" s="35">
        <v>6425.1981590000305</v>
      </c>
      <c r="C27" s="36">
        <v>273.22915400000028</v>
      </c>
      <c r="D27" s="35">
        <v>6442.3135095481948</v>
      </c>
      <c r="E27" s="36">
        <v>256.11383824773617</v>
      </c>
      <c r="F27" s="35">
        <v>6459.5538271103851</v>
      </c>
      <c r="G27" s="36">
        <v>238.87352846485911</v>
      </c>
      <c r="H27" s="35">
        <v>6476.9283500329993</v>
      </c>
      <c r="I27" s="36">
        <v>221.49902268562235</v>
      </c>
      <c r="J27" s="35">
        <v>6494.4470465533341</v>
      </c>
      <c r="K27" s="36">
        <v>203.98032311372017</v>
      </c>
      <c r="L27" s="35">
        <v>6512.1172236411294</v>
      </c>
      <c r="M27" s="36">
        <v>186.31008884798041</v>
      </c>
      <c r="N27" s="35">
        <v>6529.9455282567842</v>
      </c>
      <c r="O27" s="36">
        <v>168.48178304534437</v>
      </c>
      <c r="P27" s="35">
        <v>6547.9308521834946</v>
      </c>
      <c r="Q27" s="36">
        <v>150.49645712372921</v>
      </c>
      <c r="R27" s="35">
        <v>6566.0600051906877</v>
      </c>
      <c r="S27" s="36">
        <v>132.36731072576396</v>
      </c>
      <c r="T27" s="35">
        <v>6584.2978862324517</v>
      </c>
      <c r="U27" s="36">
        <v>114.12942961117923</v>
      </c>
      <c r="V27" s="35">
        <v>6602.5701886009083</v>
      </c>
      <c r="W27" s="36">
        <v>95.857126805657501</v>
      </c>
      <c r="X27" s="35">
        <v>6620.7358573383981</v>
      </c>
      <c r="Y27" s="36">
        <v>77.691451267596008</v>
      </c>
      <c r="Z27" s="35">
        <v>6638.5405485282308</v>
      </c>
      <c r="AA27" s="36">
        <v>59.886780963349096</v>
      </c>
      <c r="AB27" s="35">
        <v>6655.542219933357</v>
      </c>
      <c r="AC27" s="36">
        <v>42.885089993957592</v>
      </c>
      <c r="AD27" s="35">
        <v>6671.004452779438</v>
      </c>
      <c r="AE27" s="36">
        <v>27.422866251069689</v>
      </c>
      <c r="AF27" s="35">
        <v>6683.8098043816344</v>
      </c>
      <c r="AG27" s="36">
        <v>14.617511225940724</v>
      </c>
      <c r="AH27" s="35">
        <v>6692.6535042846208</v>
      </c>
      <c r="AI27" s="36">
        <v>5.7738050880870126</v>
      </c>
      <c r="AJ27" s="35">
        <v>6697.0226125854861</v>
      </c>
      <c r="AK27" s="36">
        <v>1.4046993683738658</v>
      </c>
      <c r="AL27" s="35">
        <v>6698.2690680546648</v>
      </c>
      <c r="AM27" s="36">
        <v>0.15824481304380317</v>
      </c>
      <c r="AN27" s="35"/>
      <c r="AO27" s="36"/>
      <c r="AP27" s="35"/>
      <c r="AQ27" s="36"/>
      <c r="AR27" s="35"/>
      <c r="AS27" s="36"/>
      <c r="AT27" s="35"/>
      <c r="AU27" s="36"/>
      <c r="AV27" s="35"/>
      <c r="AW27" s="36"/>
    </row>
    <row r="28" spans="1:49" x14ac:dyDescent="0.2">
      <c r="A28" t="s">
        <v>35</v>
      </c>
      <c r="B28" s="41">
        <v>13763.097676000029</v>
      </c>
      <c r="C28" s="42">
        <v>382.36647899999997</v>
      </c>
      <c r="D28" s="41">
        <v>13787.155573340766</v>
      </c>
      <c r="E28" s="42">
        <v>358.30006803825347</v>
      </c>
      <c r="F28" s="41">
        <v>13811.356340459768</v>
      </c>
      <c r="G28" s="42">
        <v>334.07347662980538</v>
      </c>
      <c r="H28" s="41">
        <v>13835.712325549011</v>
      </c>
      <c r="I28" s="42">
        <v>309.67408547516851</v>
      </c>
      <c r="J28" s="41">
        <v>13860.2367406188</v>
      </c>
      <c r="K28" s="42">
        <v>285.08830686620968</v>
      </c>
      <c r="L28" s="41">
        <v>13884.939260701471</v>
      </c>
      <c r="M28" s="42">
        <v>260.3060584750408</v>
      </c>
      <c r="N28" s="41">
        <v>13909.828237838623</v>
      </c>
      <c r="O28" s="42">
        <v>235.31870114065083</v>
      </c>
      <c r="P28" s="41">
        <v>13934.901375678701</v>
      </c>
      <c r="Q28" s="42">
        <v>210.12810509096749</v>
      </c>
      <c r="R28" s="41">
        <v>13960.139549618048</v>
      </c>
      <c r="S28" s="42">
        <v>184.7531370918725</v>
      </c>
      <c r="T28" s="41">
        <v>13985.493236883545</v>
      </c>
      <c r="U28" s="42">
        <v>159.24329136958201</v>
      </c>
      <c r="V28" s="41">
        <v>14010.858859751315</v>
      </c>
      <c r="W28" s="42">
        <v>133.70267711001421</v>
      </c>
      <c r="X28" s="41">
        <v>14036.040939327162</v>
      </c>
      <c r="Y28" s="42">
        <v>108.32833416326849</v>
      </c>
      <c r="Z28" s="41">
        <v>14060.68838038369</v>
      </c>
      <c r="AA28" s="42">
        <v>83.474885185601167</v>
      </c>
      <c r="AB28" s="41">
        <v>14084.192644969469</v>
      </c>
      <c r="AC28" s="42">
        <v>59.757700760371009</v>
      </c>
      <c r="AD28" s="41">
        <v>14105.542033433496</v>
      </c>
      <c r="AE28" s="42">
        <v>38.201059254099746</v>
      </c>
      <c r="AF28" s="41">
        <v>14123.203769568525</v>
      </c>
      <c r="AG28" s="42">
        <v>20.357883627151487</v>
      </c>
      <c r="AH28" s="41">
        <v>14135.391297598266</v>
      </c>
      <c r="AI28" s="42">
        <v>8.0398881112323171</v>
      </c>
      <c r="AJ28" s="41">
        <v>14141.409333039121</v>
      </c>
      <c r="AK28" s="42">
        <v>1.9558519216588264</v>
      </c>
      <c r="AL28" s="41">
        <v>14143.125838998394</v>
      </c>
      <c r="AM28" s="42">
        <v>0.22032917050954262</v>
      </c>
      <c r="AN28" s="41"/>
      <c r="AO28" s="42"/>
      <c r="AP28" s="41"/>
      <c r="AQ28" s="42"/>
      <c r="AR28" s="41"/>
      <c r="AS28" s="42"/>
      <c r="AT28" s="41"/>
      <c r="AU28" s="42"/>
      <c r="AV28" s="41"/>
      <c r="AW28" s="42"/>
    </row>
    <row r="29" spans="1:49" x14ac:dyDescent="0.2">
      <c r="A29" t="s">
        <v>53</v>
      </c>
      <c r="B29" s="35">
        <v>14362.768558000025</v>
      </c>
      <c r="C29" s="36">
        <v>817.26650999999993</v>
      </c>
      <c r="D29" s="35">
        <v>14366.032538377005</v>
      </c>
      <c r="E29" s="36">
        <v>757.88042512125878</v>
      </c>
      <c r="F29" s="35">
        <v>14367.389899879205</v>
      </c>
      <c r="G29" s="36">
        <v>698.70413905774262</v>
      </c>
      <c r="H29" s="35">
        <v>14366.545174986128</v>
      </c>
      <c r="I29" s="36">
        <v>639.78280385395931</v>
      </c>
      <c r="J29" s="35">
        <v>14363.135926867211</v>
      </c>
      <c r="K29" s="36">
        <v>581.1713277416153</v>
      </c>
      <c r="L29" s="35">
        <v>14356.707248050796</v>
      </c>
      <c r="M29" s="36">
        <v>522.94572947339259</v>
      </c>
      <c r="N29" s="35">
        <v>14346.681691024158</v>
      </c>
      <c r="O29" s="36">
        <v>465.20068352531717</v>
      </c>
      <c r="P29" s="35">
        <v>14332.306296363573</v>
      </c>
      <c r="Q29" s="36">
        <v>408.07076354517505</v>
      </c>
      <c r="R29" s="35">
        <v>14312.575277874728</v>
      </c>
      <c r="S29" s="36">
        <v>351.74481725304463</v>
      </c>
      <c r="T29" s="35">
        <v>14286.105806850952</v>
      </c>
      <c r="U29" s="36">
        <v>296.49370135741788</v>
      </c>
      <c r="V29" s="35">
        <v>14250.929806319868</v>
      </c>
      <c r="W29" s="36">
        <v>242.71473185745583</v>
      </c>
      <c r="X29" s="35">
        <v>14204.136074544582</v>
      </c>
      <c r="Y29" s="36">
        <v>190.99664423745358</v>
      </c>
      <c r="Z29" s="35">
        <v>14141.220373811117</v>
      </c>
      <c r="AA29" s="36">
        <v>142.21923156651289</v>
      </c>
      <c r="AB29" s="35">
        <v>14054.851297726276</v>
      </c>
      <c r="AC29" s="36">
        <v>97.692622161427266</v>
      </c>
      <c r="AD29" s="35">
        <v>13932.41371177094</v>
      </c>
      <c r="AE29" s="36">
        <v>59.31208776976549</v>
      </c>
      <c r="AF29" s="35">
        <v>13750.998163285907</v>
      </c>
      <c r="AG29" s="36">
        <v>29.542861133847087</v>
      </c>
      <c r="AH29" s="35">
        <v>13467.189514543395</v>
      </c>
      <c r="AI29" s="36">
        <v>10.621266613584393</v>
      </c>
      <c r="AJ29" s="35">
        <v>12994.703755381306</v>
      </c>
      <c r="AK29" s="36">
        <v>2.2469579771514319</v>
      </c>
      <c r="AL29" s="35">
        <v>12129.888838223518</v>
      </c>
      <c r="AM29" s="36">
        <v>0.20082250502481366</v>
      </c>
      <c r="AN29" s="35"/>
      <c r="AO29" s="36"/>
      <c r="AP29" s="35"/>
      <c r="AQ29" s="36"/>
      <c r="AR29" s="35"/>
      <c r="AS29" s="36"/>
      <c r="AT29" s="35"/>
      <c r="AU29" s="36"/>
      <c r="AV29" s="35"/>
      <c r="AW29" s="36"/>
    </row>
    <row r="30" spans="1:49" x14ac:dyDescent="0.2">
      <c r="A30" t="s">
        <v>48</v>
      </c>
      <c r="B30" s="119">
        <v>2924829.9599999995</v>
      </c>
      <c r="D30" s="119">
        <v>3006942.9339897763</v>
      </c>
      <c r="F30" s="119">
        <v>3090690.7327023754</v>
      </c>
      <c r="H30" s="119">
        <v>3176318.1394341076</v>
      </c>
      <c r="J30" s="119">
        <v>3264119.2671317612</v>
      </c>
      <c r="L30" s="119">
        <v>3354452.8387957197</v>
      </c>
      <c r="N30" s="119">
        <v>3447783.3489744975</v>
      </c>
      <c r="P30" s="119">
        <v>3544717.6126910998</v>
      </c>
      <c r="R30" s="119">
        <v>3646096.2389267203</v>
      </c>
      <c r="T30" s="119">
        <v>3753137.9400912654</v>
      </c>
      <c r="V30" s="119">
        <v>3867702.0717273816</v>
      </c>
      <c r="X30" s="119">
        <v>3992773.0293870536</v>
      </c>
      <c r="Z30" s="119">
        <v>4133384.8702938817</v>
      </c>
      <c r="AB30" s="119">
        <v>4298425.8650107756</v>
      </c>
      <c r="AD30" s="119">
        <v>4504179.3348296974</v>
      </c>
      <c r="AF30" s="119">
        <v>4780774.3231998533</v>
      </c>
      <c r="AH30" s="119">
        <v>5180772.5940262945</v>
      </c>
      <c r="AJ30" s="119">
        <v>5780085.4446890969</v>
      </c>
      <c r="AL30" s="119">
        <v>6659706.7761177467</v>
      </c>
      <c r="AN30" s="119"/>
      <c r="AP30" s="119"/>
      <c r="AR30" s="119"/>
      <c r="AT30" s="119"/>
      <c r="AV30" s="119"/>
    </row>
    <row r="31" spans="1:49" x14ac:dyDescent="0.2">
      <c r="A31" t="s">
        <v>47</v>
      </c>
      <c r="B31" s="80">
        <v>1</v>
      </c>
      <c r="D31" s="80">
        <v>0.99788368140043981</v>
      </c>
      <c r="F31" s="80">
        <v>0.99535612734382217</v>
      </c>
      <c r="H31" s="80">
        <v>0.99236133040867369</v>
      </c>
      <c r="J31" s="80">
        <v>0.9888320177857487</v>
      </c>
      <c r="L31" s="80">
        <v>0.98468578252174277</v>
      </c>
      <c r="N31" s="80">
        <v>0.97982154341510375</v>
      </c>
      <c r="P31" s="80">
        <v>0.97411188133862336</v>
      </c>
      <c r="R31" s="80">
        <v>0.96739367724745629</v>
      </c>
      <c r="T31" s="80">
        <v>0.95945306294149713</v>
      </c>
      <c r="V31" s="80">
        <v>0.95000128453192823</v>
      </c>
      <c r="X31" s="80">
        <v>0.93863497103888704</v>
      </c>
      <c r="Z31" s="80">
        <v>0.92476673826325395</v>
      </c>
      <c r="AB31" s="80">
        <v>0.90749835942629564</v>
      </c>
      <c r="AD31" s="80">
        <v>0.88537705665485622</v>
      </c>
      <c r="AF31" s="80">
        <v>0.85591385990003432</v>
      </c>
      <c r="AH31" s="80">
        <v>0.81463038708727298</v>
      </c>
      <c r="AJ31" s="80">
        <v>0.75313380478232672</v>
      </c>
      <c r="AL31" s="80">
        <v>0.65403919764976615</v>
      </c>
      <c r="AN31" s="80"/>
      <c r="AP31" s="80"/>
      <c r="AR31" s="80"/>
      <c r="AT31" s="80"/>
      <c r="AV31" s="80"/>
    </row>
    <row r="32" spans="1:49" x14ac:dyDescent="0.2">
      <c r="A32" t="s">
        <v>64</v>
      </c>
      <c r="B32" s="86">
        <v>14734457.915000005</v>
      </c>
      <c r="D32" s="86">
        <v>14737795.156552766</v>
      </c>
      <c r="F32" s="86">
        <v>14738647.362231577</v>
      </c>
      <c r="H32" s="86">
        <v>14736632.606242286</v>
      </c>
      <c r="J32" s="86">
        <v>14731291.264931407</v>
      </c>
      <c r="L32" s="86">
        <v>14722063.585205225</v>
      </c>
      <c r="N32" s="86">
        <v>14708277.322333684</v>
      </c>
      <c r="P32" s="86">
        <v>14689116.013100164</v>
      </c>
      <c r="R32" s="86">
        <v>14663594.588022724</v>
      </c>
      <c r="T32" s="86">
        <v>14630531.569546487</v>
      </c>
      <c r="V32" s="86">
        <v>14588521.547987876</v>
      </c>
      <c r="X32" s="86">
        <v>14535922.026443325</v>
      </c>
      <c r="Z32" s="86">
        <v>14470861.18054094</v>
      </c>
      <c r="AB32" s="86">
        <v>14391262.975804502</v>
      </c>
      <c r="AD32" s="86">
        <v>14294715.104397116</v>
      </c>
      <c r="AF32" s="86">
        <v>14177072.008032404</v>
      </c>
      <c r="AH32" s="86">
        <v>14024299.568002073</v>
      </c>
      <c r="AJ32" s="86">
        <v>13778447.848952258</v>
      </c>
      <c r="AL32" s="86">
        <v>13230021.423311386</v>
      </c>
      <c r="AN32" s="86"/>
      <c r="AP32" s="86"/>
      <c r="AR32" s="86"/>
      <c r="AT32" s="86"/>
      <c r="AV32" s="86"/>
    </row>
    <row r="33" spans="1:49 16319:16321" x14ac:dyDescent="0.2">
      <c r="A33" t="s">
        <v>54</v>
      </c>
      <c r="B33" s="117">
        <v>7019665.6909999885</v>
      </c>
      <c r="D33" s="117">
        <v>7021255.8024700489</v>
      </c>
      <c r="F33" s="117">
        <v>7021661.8317828719</v>
      </c>
      <c r="H33" s="117">
        <v>7020702.0495191328</v>
      </c>
      <c r="J33" s="117">
        <v>7018157.7697341526</v>
      </c>
      <c r="L33" s="117">
        <v>7013760.9027555939</v>
      </c>
      <c r="N33" s="117">
        <v>7007192.9802169502</v>
      </c>
      <c r="P33" s="117">
        <v>6998064.3237380087</v>
      </c>
      <c r="R33" s="117">
        <v>6985905.6376939788</v>
      </c>
      <c r="T33" s="117">
        <v>6970154.0408323295</v>
      </c>
      <c r="V33" s="117">
        <v>6950139.9769530632</v>
      </c>
      <c r="X33" s="117">
        <v>6925080.9101632508</v>
      </c>
      <c r="Z33" s="117">
        <v>6894085.1952100322</v>
      </c>
      <c r="AB33" s="117">
        <v>6856163.683774747</v>
      </c>
      <c r="AD33" s="117">
        <v>6810167.1364794429</v>
      </c>
      <c r="AF33" s="117">
        <v>6754120.614575604</v>
      </c>
      <c r="AH33" s="117">
        <v>6681338.0684907576</v>
      </c>
      <c r="AJ33" s="117">
        <v>6564211.4695564155</v>
      </c>
      <c r="AL33" s="117">
        <v>6302934.7949280636</v>
      </c>
      <c r="AN33" s="117"/>
      <c r="AP33" s="117"/>
      <c r="AR33" s="117"/>
      <c r="AT33" s="117"/>
      <c r="AV33" s="117"/>
    </row>
    <row r="34" spans="1:49 16319:16321" x14ac:dyDescent="0.2">
      <c r="A34" t="s">
        <v>75</v>
      </c>
      <c r="B34" s="117">
        <v>1136879.4410000162</v>
      </c>
      <c r="D34" s="117">
        <v>1137136.722475861</v>
      </c>
      <c r="F34" s="117">
        <v>1137202.4477841263</v>
      </c>
      <c r="H34" s="117">
        <v>1137046.9219872928</v>
      </c>
      <c r="J34" s="117">
        <v>1136634.4045380719</v>
      </c>
      <c r="L34" s="117">
        <v>1135923.1077526114</v>
      </c>
      <c r="N34" s="117">
        <v>1134859.3772298996</v>
      </c>
      <c r="P34" s="117">
        <v>1133380.9194250465</v>
      </c>
      <c r="R34" s="117">
        <v>1131411.7246622988</v>
      </c>
      <c r="T34" s="117">
        <v>1128860.6460024575</v>
      </c>
      <c r="V34" s="117">
        <v>1125619.2470928913</v>
      </c>
      <c r="X34" s="117">
        <v>1121560.8279473397</v>
      </c>
      <c r="Z34" s="117">
        <v>1116540.8483626787</v>
      </c>
      <c r="AB34" s="117">
        <v>1110399.2293552817</v>
      </c>
      <c r="AD34" s="117">
        <v>1102949.8284741808</v>
      </c>
      <c r="AF34" s="117">
        <v>1093872.7313583416</v>
      </c>
      <c r="AH34" s="117">
        <v>1082085.1284006622</v>
      </c>
      <c r="AJ34" s="117">
        <v>1063115.7369958849</v>
      </c>
      <c r="AL34" s="117">
        <v>1020800.3203419241</v>
      </c>
      <c r="AN34" s="117"/>
      <c r="AP34" s="117"/>
      <c r="AR34" s="117"/>
      <c r="AT34" s="117"/>
      <c r="AV34" s="117"/>
    </row>
    <row r="35" spans="1:49 16319:16321" x14ac:dyDescent="0.2">
      <c r="A35" t="s">
        <v>78</v>
      </c>
      <c r="B35" s="233">
        <v>1</v>
      </c>
      <c r="D35" s="233">
        <v>1.0023490386451621</v>
      </c>
      <c r="F35" s="233">
        <v>1.0049620062534304</v>
      </c>
      <c r="H35" s="233">
        <v>1.0078862840226612</v>
      </c>
      <c r="J35" s="233">
        <v>1.0111818866863036</v>
      </c>
      <c r="L35" s="233">
        <v>1.0149262933283409</v>
      </c>
      <c r="N35" s="233">
        <v>1.0192219508951919</v>
      </c>
      <c r="P35" s="233">
        <v>1.0242073281706938</v>
      </c>
      <c r="R35" s="233">
        <v>1.0300752917986888</v>
      </c>
      <c r="T35" s="233">
        <v>1.037103268470519</v>
      </c>
      <c r="V35" s="233">
        <v>1.0457056669982967</v>
      </c>
      <c r="X35" s="233">
        <v>1.0565289782840082</v>
      </c>
      <c r="Z35" s="233">
        <v>1.0706340067988811</v>
      </c>
      <c r="AB35" s="233">
        <v>1.089865709190676</v>
      </c>
      <c r="AD35" s="233">
        <v>1.1176504931407383</v>
      </c>
      <c r="AF35" s="233">
        <v>1.160798492812251</v>
      </c>
      <c r="AH35" s="233">
        <v>1.2336780981616833</v>
      </c>
      <c r="AJ35" s="233">
        <v>1.3684647266694372</v>
      </c>
      <c r="AL35" s="233">
        <v>1.649522469322092</v>
      </c>
      <c r="AN35" s="233"/>
      <c r="AP35" s="233"/>
      <c r="AR35" s="233"/>
      <c r="AT35" s="233"/>
      <c r="AV35" s="233"/>
    </row>
    <row r="36" spans="1:49 16319:16321" x14ac:dyDescent="0.2">
      <c r="A36" t="s">
        <v>21</v>
      </c>
      <c r="B36" s="37">
        <v>0.47195767671988198</v>
      </c>
      <c r="C36" s="38">
        <v>0.31738834428178964</v>
      </c>
      <c r="D36" s="37">
        <v>0.4719801453616046</v>
      </c>
      <c r="E36" s="38">
        <v>0.31986982977370126</v>
      </c>
      <c r="F36" s="37">
        <v>0.47200378928007408</v>
      </c>
      <c r="G36" s="38">
        <v>0.3226130392158314</v>
      </c>
      <c r="H36" s="37">
        <v>0.47202877959691419</v>
      </c>
      <c r="I36" s="38">
        <v>0.32565831423860192</v>
      </c>
      <c r="J36" s="37">
        <v>0.47205531876191931</v>
      </c>
      <c r="K36" s="38">
        <v>0.32905487598011485</v>
      </c>
      <c r="L36" s="37">
        <v>0.47208363669482023</v>
      </c>
      <c r="M36" s="38">
        <v>0.33286353410701142</v>
      </c>
      <c r="N36" s="37">
        <v>0.47211401111587958</v>
      </c>
      <c r="O36" s="38">
        <v>0.33716081460303815</v>
      </c>
      <c r="P36" s="37">
        <v>0.47214673494768955</v>
      </c>
      <c r="Q36" s="38">
        <v>0.34204450609263726</v>
      </c>
      <c r="R36" s="37">
        <v>0.47218210966710616</v>
      </c>
      <c r="S36" s="38">
        <v>0.34764266113002751</v>
      </c>
      <c r="T36" s="37">
        <v>0.47222039211982159</v>
      </c>
      <c r="U36" s="38">
        <v>0.35412753456389756</v>
      </c>
      <c r="V36" s="37">
        <v>0.47226168715716266</v>
      </c>
      <c r="W36" s="38">
        <v>0.36173872772466914</v>
      </c>
      <c r="X36" s="37">
        <v>0.47230572615398336</v>
      </c>
      <c r="Y36" s="38">
        <v>0.37082315315552544</v>
      </c>
      <c r="Z36" s="37">
        <v>0.47235142028115445</v>
      </c>
      <c r="AA36" s="38">
        <v>0.38190785260034132</v>
      </c>
      <c r="AB36" s="37">
        <v>0.47239596362732494</v>
      </c>
      <c r="AC36" s="38">
        <v>0.39583962070692258</v>
      </c>
      <c r="AD36" s="37">
        <v>0.47243318744039636</v>
      </c>
      <c r="AE36" s="38">
        <v>0.41406675362036127</v>
      </c>
      <c r="AF36" s="37">
        <v>0.4724511108081938</v>
      </c>
      <c r="AG36" s="38">
        <v>0.43922344287035042</v>
      </c>
      <c r="AH36" s="37">
        <v>0.47243142363307961</v>
      </c>
      <c r="AI36" s="38">
        <v>0.47633105359901456</v>
      </c>
      <c r="AJ36" s="37">
        <v>0.47236054904710689</v>
      </c>
      <c r="AK36" s="38">
        <v>0.5353126700623505</v>
      </c>
      <c r="AL36" s="37">
        <v>0.47225333986770157</v>
      </c>
      <c r="AM36" s="38">
        <v>0.638456451973894</v>
      </c>
      <c r="AN36" s="37"/>
      <c r="AO36" s="38"/>
      <c r="AP36" s="37"/>
      <c r="AQ36" s="38"/>
      <c r="AR36" s="37"/>
      <c r="AS36" s="38"/>
      <c r="AT36" s="37"/>
      <c r="AU36" s="38"/>
      <c r="AV36" s="37"/>
      <c r="AW36" s="38"/>
    </row>
    <row r="37" spans="1:49 16319:16321" x14ac:dyDescent="0.2">
      <c r="B37" s="39">
        <v>2.1403217525954466E-2</v>
      </c>
      <c r="C37" s="40">
        <v>0.3496246130199252</v>
      </c>
      <c r="D37" s="39">
        <v>2.0681681003364052E-2</v>
      </c>
      <c r="E37" s="40">
        <v>0.34522335394355697</v>
      </c>
      <c r="F37" s="39">
        <v>1.9948333113729198E-2</v>
      </c>
      <c r="G37" s="40">
        <v>0.34072539932117052</v>
      </c>
      <c r="H37" s="39">
        <v>1.9202457695964289E-2</v>
      </c>
      <c r="I37" s="40">
        <v>0.33612582371578459</v>
      </c>
      <c r="J37" s="39">
        <v>1.8443222443762362E-2</v>
      </c>
      <c r="K37" s="40">
        <v>0.33141915589281407</v>
      </c>
      <c r="L37" s="39">
        <v>1.7669639187631769E-2</v>
      </c>
      <c r="M37" s="40">
        <v>0.3265992034952917</v>
      </c>
      <c r="N37" s="39">
        <v>1.6880449057997311E-2</v>
      </c>
      <c r="O37" s="40">
        <v>0.32165841135307077</v>
      </c>
      <c r="P37" s="39">
        <v>1.6074063934573293E-2</v>
      </c>
      <c r="Q37" s="40">
        <v>0.31658760947314823</v>
      </c>
      <c r="R37" s="39">
        <v>1.5248361753039008E-2</v>
      </c>
      <c r="S37" s="40">
        <v>0.31137487687767584</v>
      </c>
      <c r="T37" s="39">
        <v>1.4400433464109614E-2</v>
      </c>
      <c r="U37" s="40">
        <v>0.30600416158621274</v>
      </c>
      <c r="V37" s="39">
        <v>1.3526170543127308E-2</v>
      </c>
      <c r="W37" s="40">
        <v>0.30045300636507999</v>
      </c>
      <c r="X37" s="39">
        <v>1.2619637638498798E-2</v>
      </c>
      <c r="Y37" s="40">
        <v>0.29468913580489048</v>
      </c>
      <c r="Z37" s="39">
        <v>1.1672108339678227E-2</v>
      </c>
      <c r="AA37" s="40">
        <v>0.28866538340743492</v>
      </c>
      <c r="AB37" s="39">
        <v>1.0670687738738782E-2</v>
      </c>
      <c r="AC37" s="40">
        <v>0.28231307438646597</v>
      </c>
      <c r="AD37" s="39">
        <v>9.5966925018759388E-3</v>
      </c>
      <c r="AE37" s="40">
        <v>0.27553644858413279</v>
      </c>
      <c r="AF37" s="39">
        <v>8.4254089026266007E-3</v>
      </c>
      <c r="AG37" s="40">
        <v>0.26822191707858273</v>
      </c>
      <c r="AH37" s="39">
        <v>7.1327871884220226E-3</v>
      </c>
      <c r="AI37" s="40">
        <v>0.26030381766251215</v>
      </c>
      <c r="AJ37" s="39">
        <v>5.7157808632173797E-3</v>
      </c>
      <c r="AK37" s="40">
        <v>0.25193125316270742</v>
      </c>
      <c r="AL37" s="39">
        <v>4.203438988507534E-3</v>
      </c>
      <c r="AM37" s="40">
        <v>0.24357616600136756</v>
      </c>
      <c r="AN37" s="39"/>
      <c r="AO37" s="40"/>
      <c r="AP37" s="39"/>
      <c r="AQ37" s="40"/>
      <c r="AR37" s="39"/>
      <c r="AS37" s="40"/>
      <c r="AT37" s="39"/>
      <c r="AU37" s="40"/>
      <c r="AV37" s="39"/>
      <c r="AW37" s="40"/>
    </row>
    <row r="38" spans="1:49 16319:16321" x14ac:dyDescent="0.2">
      <c r="A38" t="s">
        <v>22</v>
      </c>
      <c r="B38" s="37">
        <v>0.18079094942242827</v>
      </c>
      <c r="C38" s="38">
        <v>6.0565413429233668E-2</v>
      </c>
      <c r="D38" s="37">
        <v>0.18091308248594687</v>
      </c>
      <c r="E38" s="38">
        <v>6.0922066986123444E-2</v>
      </c>
      <c r="F38" s="37">
        <v>0.18105961093108169</v>
      </c>
      <c r="G38" s="38">
        <v>6.1316537927175493E-2</v>
      </c>
      <c r="H38" s="37">
        <v>0.18123433680962969</v>
      </c>
      <c r="I38" s="38">
        <v>6.1754854221048816E-2</v>
      </c>
      <c r="J38" s="37">
        <v>0.18144194010558284</v>
      </c>
      <c r="K38" s="38">
        <v>6.22444760602184E-2</v>
      </c>
      <c r="L38" s="37">
        <v>0.18168829759355615</v>
      </c>
      <c r="M38" s="38">
        <v>6.2794542681759241E-2</v>
      </c>
      <c r="N38" s="37">
        <v>0.1819808935207238</v>
      </c>
      <c r="O38" s="38">
        <v>6.3416826092500128E-2</v>
      </c>
      <c r="P38" s="37">
        <v>0.1823294978971062</v>
      </c>
      <c r="Q38" s="38">
        <v>6.4126433182519593E-2</v>
      </c>
      <c r="R38" s="37">
        <v>0.18274718963604203</v>
      </c>
      <c r="S38" s="38">
        <v>6.4943383277520042E-2</v>
      </c>
      <c r="T38" s="37">
        <v>0.18325201104610611</v>
      </c>
      <c r="U38" s="38">
        <v>6.5895063120020095E-2</v>
      </c>
      <c r="V38" s="37">
        <v>0.18386977484054454</v>
      </c>
      <c r="W38" s="38">
        <v>6.7020163850150472E-2</v>
      </c>
      <c r="X38" s="37">
        <v>0.18463899379872456</v>
      </c>
      <c r="Y38" s="38">
        <v>6.8375897070289168E-2</v>
      </c>
      <c r="Z38" s="37">
        <v>0.18562006202408562</v>
      </c>
      <c r="AA38" s="38">
        <v>7.0051290856298326E-2</v>
      </c>
      <c r="AB38" s="37">
        <v>0.18691331729139926</v>
      </c>
      <c r="AC38" s="38">
        <v>7.2193873556516894E-2</v>
      </c>
      <c r="AD38" s="37">
        <v>0.18869677901354223</v>
      </c>
      <c r="AE38" s="38">
        <v>7.5065403399282762E-2</v>
      </c>
      <c r="AF38" s="37">
        <v>0.1913090500700218</v>
      </c>
      <c r="AG38" s="38">
        <v>7.9167214900499772E-2</v>
      </c>
      <c r="AH38" s="37">
        <v>0.19543951209924165</v>
      </c>
      <c r="AI38" s="38">
        <v>8.5531716769854813E-2</v>
      </c>
      <c r="AJ38" s="37">
        <v>0.20262058752990214</v>
      </c>
      <c r="AK38" s="38">
        <v>9.6502519726629599E-2</v>
      </c>
      <c r="AL38" s="37">
        <v>0.21712672604676986</v>
      </c>
      <c r="AM38" s="38">
        <v>0.11911179932792405</v>
      </c>
      <c r="AN38" s="37"/>
      <c r="AO38" s="38"/>
      <c r="AP38" s="37"/>
      <c r="AQ38" s="38"/>
      <c r="AR38" s="37"/>
      <c r="AS38" s="38"/>
      <c r="AT38" s="37"/>
      <c r="AU38" s="38"/>
      <c r="AV38" s="37"/>
      <c r="AW38" s="38"/>
    </row>
    <row r="39" spans="1:49 16319:16321" x14ac:dyDescent="0.2">
      <c r="A39" t="s">
        <v>23</v>
      </c>
      <c r="B39" s="39">
        <v>0.23064923795098732</v>
      </c>
      <c r="C39" s="40">
        <v>0.22092201281804777</v>
      </c>
      <c r="D39" s="39">
        <v>0.23120085918736746</v>
      </c>
      <c r="E39" s="40">
        <v>0.22247192987104317</v>
      </c>
      <c r="F39" s="39">
        <v>0.23178687888761468</v>
      </c>
      <c r="G39" s="40">
        <v>0.22416453240473025</v>
      </c>
      <c r="H39" s="39">
        <v>0.23241254885782778</v>
      </c>
      <c r="I39" s="40">
        <v>0.22602256309384497</v>
      </c>
      <c r="J39" s="39">
        <v>0.23308430473732075</v>
      </c>
      <c r="K39" s="40">
        <v>0.22807384092203789</v>
      </c>
      <c r="L39" s="39">
        <v>0.23381009786422205</v>
      </c>
      <c r="M39" s="40">
        <v>0.23035313630300466</v>
      </c>
      <c r="N39" s="39">
        <v>0.23460000461936772</v>
      </c>
      <c r="O39" s="40">
        <v>0.23290427246416007</v>
      </c>
      <c r="P39" s="39">
        <v>0.23546694008528829</v>
      </c>
      <c r="Q39" s="40">
        <v>0.23578382218870902</v>
      </c>
      <c r="R39" s="39">
        <v>0.23642791536683655</v>
      </c>
      <c r="S39" s="40">
        <v>0.23906657259225561</v>
      </c>
      <c r="T39" s="39">
        <v>0.23750599135533063</v>
      </c>
      <c r="U39" s="40">
        <v>0.24285417603515744</v>
      </c>
      <c r="V39" s="39">
        <v>0.23873356757075773</v>
      </c>
      <c r="W39" s="40">
        <v>0.24729009705369812</v>
      </c>
      <c r="X39" s="39">
        <v>0.24015822315834642</v>
      </c>
      <c r="Y39" s="40">
        <v>0.25258561800972024</v>
      </c>
      <c r="Z39" s="39">
        <v>0.24185368041285932</v>
      </c>
      <c r="AA39" s="40">
        <v>0.25906884269524288</v>
      </c>
      <c r="AB39" s="39">
        <v>0.24394173625190882</v>
      </c>
      <c r="AC39" s="40">
        <v>0.26728165473372506</v>
      </c>
      <c r="AD39" s="39">
        <v>0.24663913816679753</v>
      </c>
      <c r="AE39" s="40">
        <v>0.27818617101524834</v>
      </c>
      <c r="AF39" s="39">
        <v>0.25036388137284038</v>
      </c>
      <c r="AG39" s="40">
        <v>0.29362539003414162</v>
      </c>
      <c r="AH39" s="39">
        <v>0.2559882324023009</v>
      </c>
      <c r="AI39" s="40">
        <v>0.31740833961481535</v>
      </c>
      <c r="AJ39" s="39">
        <v>0.26550613522738375</v>
      </c>
      <c r="AK39" s="40">
        <v>0.35822011726040842</v>
      </c>
      <c r="AL39" s="39">
        <v>0.28454867343850349</v>
      </c>
      <c r="AM39" s="40">
        <v>0.44218129522085026</v>
      </c>
      <c r="AN39" s="39"/>
      <c r="AO39" s="40"/>
      <c r="AP39" s="39"/>
      <c r="AQ39" s="40"/>
      <c r="AR39" s="39"/>
      <c r="AS39" s="40"/>
      <c r="AT39" s="39"/>
      <c r="AU39" s="40"/>
      <c r="AV39" s="39"/>
      <c r="AW39" s="40"/>
    </row>
    <row r="40" spans="1:49 16319:16321"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49 16319:16321" x14ac:dyDescent="0.2">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row>
    <row r="42" spans="1:49 16319:16321" x14ac:dyDescent="0.2">
      <c r="A42" t="s">
        <v>107</v>
      </c>
      <c r="B42" s="177">
        <f>10.8%+(1-10.8%)*(1-SUM(B26:C26)/SUM($B$26:$C$26))</f>
        <v>0.10800000000000001</v>
      </c>
      <c r="C42" s="135"/>
      <c r="D42" s="177">
        <f>10.8%+(1-10.8%)*(1-SUM(D26:E26)/SUM($B$26:$C$26))</f>
        <v>0.1080000000000008</v>
      </c>
      <c r="E42" s="135"/>
      <c r="F42" s="177">
        <f>10.8%+(1-10.8%)*(1-SUM(F26:G26)/SUM($B$26:$C$26))</f>
        <v>0.10800000000000338</v>
      </c>
      <c r="G42" s="135"/>
      <c r="H42" s="177">
        <f>10.8%+(1-10.8%)*(1-SUM(H26:I26)/SUM($B$26:$C$26))</f>
        <v>0.10800000000000536</v>
      </c>
      <c r="I42" s="135"/>
      <c r="J42" s="177">
        <f>10.8%+(1-10.8%)*(1-SUM(J26:K26)/SUM($B$26:$C$26))</f>
        <v>0.10799999999999961</v>
      </c>
      <c r="K42" s="135"/>
      <c r="L42" s="177">
        <f>10.8%+(1-10.8%)*(1-SUM(L26:M26)/SUM($B$26:$C$26))</f>
        <v>0.10799999999999982</v>
      </c>
      <c r="M42" s="135"/>
      <c r="N42" s="177">
        <f>10.8%+(1-10.8%)*(1-SUM(N26:O26)/SUM($B$26:$C$26))</f>
        <v>0.10799999999999942</v>
      </c>
      <c r="O42" s="135"/>
      <c r="P42" s="177">
        <f>10.8%+(1-10.8%)*(1-SUM(P26:Q26)/SUM($B$26:$C$26))</f>
        <v>0.10799999999999961</v>
      </c>
      <c r="Q42" s="135"/>
      <c r="R42" s="177">
        <f>10.8%+(1-10.8%)*(1-SUM(R26:S26)/SUM($B$26:$C$26))</f>
        <v>0.10800000000000001</v>
      </c>
      <c r="S42" s="135"/>
      <c r="T42" s="177">
        <f>10.8%+(1-10.8%)*(1-SUM(T26:U26)/SUM($B$26:$C$26))</f>
        <v>0.10800000000000021</v>
      </c>
      <c r="U42" s="135"/>
      <c r="V42" s="177">
        <f>10.8%+(1-10.8%)*(1-SUM(V26:W26)/SUM($B$26:$C$26))</f>
        <v>0.10800000000000001</v>
      </c>
      <c r="W42" s="135"/>
      <c r="X42" s="177">
        <f>10.8%+(1-10.8%)*(1-SUM(X26:Y26)/SUM($B$26:$C$26))</f>
        <v>0.10799999999999922</v>
      </c>
      <c r="Y42" s="162"/>
      <c r="Z42" s="177">
        <f>10.8%+(1-10.8%)*(1-SUM(Z26:AA26)/SUM($B$26:$C$26))</f>
        <v>0.10799999999999942</v>
      </c>
      <c r="AA42" s="135"/>
      <c r="AB42" s="177">
        <f>10.8%+(1-10.8%)*(1-SUM(AB26:AC26)/SUM($B$26:$C$26))</f>
        <v>0.10799999999999903</v>
      </c>
      <c r="AC42" s="135"/>
      <c r="AD42" s="177">
        <f>10.8%+(1-10.8%)*(1-SUM(AD26:AE26)/SUM($B$26:$C$26))</f>
        <v>0.10799999999999922</v>
      </c>
      <c r="AE42" s="135"/>
      <c r="AF42" s="177">
        <f>10.8%+(1-10.8%)*(1-SUM(AF26:AG26)/SUM($B$26:$C$26))</f>
        <v>0.10799999999999882</v>
      </c>
      <c r="AG42" s="135"/>
      <c r="AH42" s="177">
        <f>10.8%+(1-10.8%)*(1-SUM(AH26:AI26)/SUM($B$26:$C$26))</f>
        <v>0.10799999999999903</v>
      </c>
      <c r="AI42" s="135"/>
      <c r="AJ42" s="177">
        <f>10.8%+(1-10.8%)*(1-SUM(AJ26:AK26)/SUM($B$26:$C$26))</f>
        <v>0.10799999999999961</v>
      </c>
      <c r="AK42" s="135"/>
      <c r="AL42" s="177">
        <f>10.8%+(1-10.8%)*(1-SUM(AL26:AM26)/SUM($B$26:$C$26))</f>
        <v>0.10799999999999982</v>
      </c>
      <c r="AM42" s="135"/>
      <c r="AN42" s="177">
        <f>10.8%+(1-10.8%)*(1-SUM(AN26:AO26)/SUM($B$26:$C$26))</f>
        <v>1</v>
      </c>
      <c r="AO42" s="135"/>
      <c r="AP42" s="177">
        <f>10.8%+(1-10.8%)*(1-SUM(AP26:AQ26)/SUM($B$26:$C$26))</f>
        <v>1</v>
      </c>
      <c r="AQ42" s="135"/>
      <c r="AR42" s="177">
        <f>10.8%+(1-10.8%)*(1-SUM(AR26:AS26)/SUM($B$26:$C$26))</f>
        <v>1</v>
      </c>
      <c r="AS42" s="135"/>
      <c r="AT42" s="177">
        <f>10.8%+(1-10.8%)*(1-SUM(AT26:AU26)/SUM($B$26:$C$26))</f>
        <v>1</v>
      </c>
      <c r="AU42" s="135"/>
      <c r="AV42" s="177">
        <f>10.8%+(1-10.8%)*(1-SUM(AV26:AW26)/SUM($B$26:$C$26))</f>
        <v>1</v>
      </c>
    </row>
    <row r="43" spans="1:49 16319:16321" x14ac:dyDescent="0.2">
      <c r="A43" t="s">
        <v>108</v>
      </c>
      <c r="B43" s="162">
        <f>SUM(B15:C15*B27:C27)/SUM(B15:C15*B27:C27,B13:C13*B26:C26)</f>
        <v>0.56058995943839174</v>
      </c>
      <c r="C43" s="135"/>
      <c r="D43" s="162">
        <f t="array" ref="D43">SUM(D15:E15*D27:E27)/SUM(D15:E15*D27:E27,D13:E13*D26:E26)</f>
        <v>0.5614291053688254</v>
      </c>
      <c r="E43" s="135"/>
      <c r="F43" s="162">
        <f t="array" ref="F43">SUM(F15:G15*F27:G27)/SUM(F15:G15*F27:G27,F13:G13*F26:G26)</f>
        <v>0.55542364239412634</v>
      </c>
      <c r="G43" s="135"/>
      <c r="H43" s="162">
        <f t="array" ref="H43">SUM(H15:I15*H27:I27)/SUM(H15:I15*H27:I27,H13:I13*H26:I26)</f>
        <v>0.54914868835860486</v>
      </c>
      <c r="I43" s="135"/>
      <c r="J43" s="162">
        <f t="array" ref="J43">SUM(J15:K15*J27:K27)/SUM(J15:K15*J27:K27,J13:K13*J26:K26)</f>
        <v>0.54256072934431432</v>
      </c>
      <c r="K43" s="135"/>
      <c r="L43" s="162">
        <f t="array" ref="L43">SUM(L15:M15*L27:M27)/SUM(L15:M15*L27:M27,L13:M13*L26:M26)</f>
        <v>0.53560548559004473</v>
      </c>
      <c r="M43" s="135"/>
      <c r="N43" s="162">
        <f t="array" ref="N43">SUM(N15:O15*N27:O27)/SUM(N15:O15*N27:O27,N13:O13*N26:O26)</f>
        <v>0.52821343627809991</v>
      </c>
      <c r="O43" s="135"/>
      <c r="P43" s="162">
        <f t="array" ref="P43">SUM(P15:Q15*P27:Q27)/SUM(P15:Q15*P27:Q27,P13:Q13*P26:Q26)</f>
        <v>0.52029354325471289</v>
      </c>
      <c r="Q43" s="135"/>
      <c r="R43" s="162">
        <f t="array" ref="R43">SUM(R15:S15*R27:S27)/SUM(R15:S15*R27:S27,R13:S13*R26:S26)</f>
        <v>0.51172239728195579</v>
      </c>
      <c r="S43" s="135"/>
      <c r="T43" s="162">
        <f t="array" ref="T43">SUM(T15:U15*T27:U27)/SUM(T15:U15*T27:U27,T13:U13*T26:U26)</f>
        <v>0.50232635889907851</v>
      </c>
      <c r="U43" s="135"/>
      <c r="V43" s="162">
        <f t="array" ref="V43">SUM(V15:W15*V27:W27)/SUM(V15:W15*V27:W27,V13:W13*V26:W26)</f>
        <v>0.49184969442366711</v>
      </c>
      <c r="W43" s="135"/>
      <c r="X43" s="162">
        <f t="array" ref="X43">SUM(X15:Y15*X27:Y27)/SUM(X15:Y15*X27:Y27,X13:Y13*X26:Y26)</f>
        <v>0.4798960192558907</v>
      </c>
      <c r="Y43" s="135"/>
      <c r="Z43" s="162">
        <f t="array" ref="Z43">SUM(Z15:AA15*Z27:AA27)/SUM(Z15:AA15*Z27:AA27,Z13:AA13*Z26:AA26)</f>
        <v>0.46581407316711931</v>
      </c>
      <c r="AA43" s="135"/>
      <c r="AB43" s="162">
        <f t="array" ref="AB43">SUM(AB15:AC15*AB27:AC27)/SUM(AB15:AC15*AB27:AC27,AB13:AC13*AB26:AC26)</f>
        <v>0.44846275305698857</v>
      </c>
      <c r="AC43" s="135"/>
      <c r="AD43" s="162">
        <f t="array" ref="AD43">SUM(AD15:AE15*AD27:AE27)/SUM(AD15:AE15*AD27:AE27,AD13:AE13*AD26:AE26)</f>
        <v>0.42570062360513344</v>
      </c>
      <c r="AE43" s="135"/>
      <c r="AF43" s="162">
        <f t="array" ref="AF43">SUM(AF15:AG15*AF27:AG27)/SUM(AF15:AG15*AF27:AG27,AF13:AG13*AF26:AG26)</f>
        <v>0.39322933734513671</v>
      </c>
      <c r="AG43" s="135"/>
      <c r="AH43" s="162">
        <f t="array" ref="AH43">SUM(AH15:AI15*AH27:AI27)/SUM(AH15:AI15*AH27:AI27,AH13:AI13*AH26:AI26)</f>
        <v>0.34190770205824628</v>
      </c>
      <c r="AI43" s="135"/>
      <c r="AJ43" s="162">
        <f t="array" ref="AJ43">SUM(AJ15:AK15*AJ27:AK27)/SUM(AJ15:AK15*AJ27:AK27,AJ13:AK13*AJ26:AK26)</f>
        <v>0.250746302359246</v>
      </c>
      <c r="AK43" s="135"/>
      <c r="AL43" s="162">
        <f t="array" ref="AL43">SUM(AL15:AM15*AL27:AM27)/SUM(AL15:AM15*AL27:AM27,AL13:AM13*AL26:AM26)</f>
        <v>5.690930312434176E-2</v>
      </c>
      <c r="AM43" s="135"/>
      <c r="AN43" s="162" t="e">
        <f t="array" ref="AN43">SUM(AN15:AO15*AN27:AO27)/SUM(AN15:AO15*AN27:AO27,AN13:AO13*AN26:AO26)</f>
        <v>#DIV/0!</v>
      </c>
      <c r="AO43" s="135"/>
      <c r="AP43" s="162" t="e">
        <f t="array" ref="AP43">SUM(AP15:AQ15*AP27:AQ27)/SUM(AP15:AQ15*AP27:AQ27,AP13:AQ13*AP26:AQ26)</f>
        <v>#DIV/0!</v>
      </c>
      <c r="AQ43" s="135"/>
      <c r="AR43" s="162" t="e">
        <f t="array" ref="AR43">SUM(AR15:AS15*AR27:AS27)/SUM(AR15:AS15*AR27:AS27,AR13:AS13*AR26:AS26)</f>
        <v>#DIV/0!</v>
      </c>
      <c r="AS43" s="135"/>
      <c r="AT43" s="162" t="e">
        <f t="array" ref="AT43">SUM(AT15:AU15*AT27:AU27)/SUM(AT15:AU15*AT27:AU27,AT13:AU13*AT26:AU26)</f>
        <v>#DIV/0!</v>
      </c>
      <c r="AU43" s="135"/>
      <c r="AV43" s="162" t="e">
        <f t="array" ref="AV43">SUM(AV15:AW15*AV27:AW27)/SUM(AV15:AW15*AV27:AW27,AV13:AW13*AV26:AW26)</f>
        <v>#DIV/0!</v>
      </c>
    </row>
    <row r="44" spans="1:49 16319:16321" x14ac:dyDescent="0.2">
      <c r="A44" t="s">
        <v>142</v>
      </c>
      <c r="B44" s="193">
        <f>(SUM(B11:C11*B24:C24)+B34)/B32</f>
        <v>0.29754226190682465</v>
      </c>
      <c r="D44" s="193">
        <f>(SUM(D11:E11*D24:E24)+D34)/D32</f>
        <v>0.29754224758282627</v>
      </c>
      <c r="F44" s="193">
        <f>(SUM(F11:G11*F24:G24)+F34)/F32</f>
        <v>0.2975422456364949</v>
      </c>
      <c r="H44" s="193">
        <f>(SUM(H11:I11*H24:I24)+H34)/H32</f>
        <v>0.29754224083488323</v>
      </c>
      <c r="J44" s="193">
        <f>(SUM(J11:K11*J24:K24)+J34)/J32</f>
        <v>0.29754221389002278</v>
      </c>
      <c r="L44" s="193">
        <f>(SUM(L11:M11*L24:M24)+L34)/L32</f>
        <v>0.29754226099525422</v>
      </c>
      <c r="N44" s="193">
        <f>(SUM(N11:O11*N24:O24)+N34)/N32</f>
        <v>0.29754226017189572</v>
      </c>
      <c r="P44" s="193">
        <f>(SUM(P11:Q11*P24:Q24)+P34)/P32</f>
        <v>0.29754225933653833</v>
      </c>
      <c r="R44" s="193">
        <f>(SUM(R11:S11*R24:S24)+R34)/R32</f>
        <v>0.2975422582944644</v>
      </c>
      <c r="T44" s="193">
        <f>(SUM(T11:U11*T24:U24)+T34)/T32</f>
        <v>0.29754225784382188</v>
      </c>
      <c r="V44" s="193">
        <f>(SUM(V11:W11*V24:W24)+V34)/V32</f>
        <v>0.2975422581806802</v>
      </c>
      <c r="X44" s="193">
        <f>(SUM(X11:Y11*X24:Y24)+X34)/X32</f>
        <v>0.29754226147403173</v>
      </c>
      <c r="Z44" s="193">
        <f>(SUM(Z11:AA11*Z24:AA24)+Z34)/Z32</f>
        <v>0.29754225992305483</v>
      </c>
      <c r="AB44" s="193">
        <f>(SUM(AB11:AC11*AB24:AC24)+AB34)/AB32</f>
        <v>0.29754226051318788</v>
      </c>
      <c r="AD44" s="193">
        <f>(SUM(AD11:AE11*AD24:AE24)+AD34)/AD32</f>
        <v>0.29754226244989107</v>
      </c>
      <c r="AF44" s="193">
        <f>(SUM(AF11:AG11*AF24:AG24)+AF34)/AF32</f>
        <v>0.29754226202805106</v>
      </c>
      <c r="AH44" s="193">
        <f>(SUM(AH11:AI11*AH24:AI24)+AH34)/AH32</f>
        <v>0.29754226157651964</v>
      </c>
      <c r="AJ44" s="193">
        <f>(SUM(AJ11:AK11*AJ24:AK24)+AJ34)/AJ32</f>
        <v>0.29754226189295102</v>
      </c>
      <c r="AL44" s="193">
        <f>(SUM(AL11:AM11*AL24:AM24)+AL34)/AL32</f>
        <v>0.29754226190455224</v>
      </c>
      <c r="AN44" s="193" t="e">
        <f>(SUM(AN11:AO11*AN24:AO24)+AN34)/AN32</f>
        <v>#DIV/0!</v>
      </c>
      <c r="AP44" s="193" t="e">
        <f>(SUM(AP11:AQ11*AP24:AQ24)+AP34)/AP32</f>
        <v>#DIV/0!</v>
      </c>
      <c r="AR44" s="193" t="e">
        <f>(SUM(AR11:AS11*AR24:AS24)+AR34)/AR32</f>
        <v>#DIV/0!</v>
      </c>
      <c r="AT44" s="193" t="e">
        <f>(SUM(AT11:AU11*AT24:AU24)+AT34)/AT32</f>
        <v>#DIV/0!</v>
      </c>
      <c r="AV44" s="193" t="e">
        <f>(SUM(AV11:AW11*AV24:AW24)+AV34)/AV32</f>
        <v>#DIV/0!</v>
      </c>
    </row>
    <row r="45" spans="1:49 16319:16321" x14ac:dyDescent="0.2">
      <c r="A45" t="s">
        <v>82</v>
      </c>
      <c r="B45" s="193">
        <f>SUM(B11:C11*B24:C24)/B32</f>
        <v>0.22038438833194082</v>
      </c>
      <c r="D45" s="193">
        <f>SUM(D11:E11*D24:E24)/D32</f>
        <v>0.22038438845962738</v>
      </c>
      <c r="F45" s="193">
        <f>SUM(F11:G11*F24:G24)/F32</f>
        <v>0.22038438848480965</v>
      </c>
      <c r="H45" s="193">
        <f>SUM(H11:I11*H24:I24)/H32</f>
        <v>0.22038438853790385</v>
      </c>
      <c r="J45" s="193">
        <f>SUM(J11:K11*J24:K24)/J32</f>
        <v>0.22038438813690037</v>
      </c>
      <c r="L45" s="193">
        <f>SUM(L11:M11*L24:M24)/L32</f>
        <v>0.22038438831128176</v>
      </c>
      <c r="N45" s="193">
        <f>SUM(N11:O11*N24:O24)/N32</f>
        <v>0.22038438829068771</v>
      </c>
      <c r="P45" s="193">
        <f>SUM(P11:Q11*P24:Q24)/P32</f>
        <v>0.22038438826967052</v>
      </c>
      <c r="R45" s="193">
        <f>SUM(R11:S11*R24:S24)/R32</f>
        <v>0.22038438831445009</v>
      </c>
      <c r="T45" s="193">
        <f>SUM(T11:U11*T24:U24)/T32</f>
        <v>0.2203843883134908</v>
      </c>
      <c r="V45" s="193">
        <f>SUM(V11:W11*V24:W24)/V32</f>
        <v>0.22038438831770274</v>
      </c>
      <c r="X45" s="193">
        <f>SUM(X11:Y11*X24:Y24)/X32</f>
        <v>0.22038438831627616</v>
      </c>
      <c r="Z45" s="193">
        <f>SUM(Z11:AA11*Z24:AA24)/Z32</f>
        <v>0.22038438836084967</v>
      </c>
      <c r="AB45" s="193">
        <f>SUM(AB11:AC11*AB24:AC24)/AB32</f>
        <v>0.22038438832211227</v>
      </c>
      <c r="AD45" s="193">
        <f>SUM(AD11:AE11*AD24:AE24)/AD32</f>
        <v>0.22038438833913609</v>
      </c>
      <c r="AF45" s="193">
        <f>SUM(AF11:AG11*AF24:AG24)/AF32</f>
        <v>0.2203843883332163</v>
      </c>
      <c r="AH45" s="193">
        <f>SUM(AH11:AI11*AH24:AI24)/AH32</f>
        <v>0.22038438833274249</v>
      </c>
      <c r="AJ45" s="193">
        <f>SUM(AJ11:AK11*AJ24:AK24)/AJ32</f>
        <v>0.22038438833198051</v>
      </c>
      <c r="AL45" s="193">
        <f>SUM(AL11:AM11*AL24:AM24)/AL32</f>
        <v>0.22038438833200708</v>
      </c>
      <c r="AN45" s="193" t="e">
        <f>SUM(AN11:AO11*AN24:AO24)/AN32</f>
        <v>#DIV/0!</v>
      </c>
      <c r="AP45" s="193" t="e">
        <f>SUM(AP11:AQ11*AP24:AQ24)/AP32</f>
        <v>#DIV/0!</v>
      </c>
      <c r="AR45" s="193" t="e">
        <f>SUM(AR11:AS11*AR24:AS24)/AR32</f>
        <v>#DIV/0!</v>
      </c>
      <c r="AT45" s="193" t="e">
        <f>SUM(AT11:AU11*AT24:AU24)/AT32</f>
        <v>#DIV/0!</v>
      </c>
      <c r="AV45" s="193" t="e">
        <f>SUM(AV11:AW11*AV24:AW24)/AV32</f>
        <v>#DIV/0!</v>
      </c>
      <c r="XCQ45" s="193"/>
    </row>
    <row r="46" spans="1:49 16319:16321" x14ac:dyDescent="0.2">
      <c r="A46" t="s">
        <v>139</v>
      </c>
      <c r="B46" s="193">
        <f>B34/B32</f>
        <v>7.7157873574883795E-2</v>
      </c>
      <c r="D46" s="193">
        <f>D34/D32</f>
        <v>7.7157859123198877E-2</v>
      </c>
      <c r="F46" s="193">
        <f>F34/F32</f>
        <v>7.715785715168523E-2</v>
      </c>
      <c r="H46" s="193">
        <f>H34/H32</f>
        <v>7.7157852296979398E-2</v>
      </c>
      <c r="J46" s="193">
        <f>J34/J32</f>
        <v>7.7157825753122425E-2</v>
      </c>
      <c r="L46" s="193">
        <f>L34/L32</f>
        <v>7.7157872683972423E-2</v>
      </c>
      <c r="N46" s="193">
        <f>N34/N32</f>
        <v>7.7157871881208012E-2</v>
      </c>
      <c r="P46" s="193">
        <f>P34/P32</f>
        <v>7.7157871066867861E-2</v>
      </c>
      <c r="R46" s="193">
        <f>R34/R32</f>
        <v>7.715786998001431E-2</v>
      </c>
      <c r="T46" s="193">
        <f>T34/T32</f>
        <v>7.7157869530331061E-2</v>
      </c>
      <c r="V46" s="193">
        <f>V34/V32</f>
        <v>7.7157869862977471E-2</v>
      </c>
      <c r="X46" s="193">
        <f>X34/X32</f>
        <v>7.7157873157755602E-2</v>
      </c>
      <c r="Z46" s="193">
        <f>Z34/Z32</f>
        <v>7.7157871562205174E-2</v>
      </c>
      <c r="AB46" s="193">
        <f>AB34/AB32</f>
        <v>7.7157872191075574E-2</v>
      </c>
      <c r="AD46" s="193">
        <f>AD34/AD32</f>
        <v>7.7157874110755004E-2</v>
      </c>
      <c r="AF46" s="193">
        <f>AF34/AF32</f>
        <v>7.7157873694834761E-2</v>
      </c>
      <c r="AH46" s="193">
        <f>AH34/AH32</f>
        <v>7.7157873243777125E-2</v>
      </c>
      <c r="AJ46" s="193">
        <f>AJ34/AJ32</f>
        <v>7.715787356097055E-2</v>
      </c>
      <c r="AL46" s="193">
        <f>AL34/AL32</f>
        <v>7.715787357254518E-2</v>
      </c>
      <c r="AN46" s="193" t="e">
        <f>AN34/AN32</f>
        <v>#DIV/0!</v>
      </c>
      <c r="AP46" s="193" t="e">
        <f>AP34/AP32</f>
        <v>#DIV/0!</v>
      </c>
      <c r="AR46" s="193" t="e">
        <f>AR34/AR32</f>
        <v>#DIV/0!</v>
      </c>
      <c r="AT46" s="193" t="e">
        <f>AT34/AT32</f>
        <v>#DIV/0!</v>
      </c>
      <c r="AV46" s="193" t="e">
        <f>AV34/AV32</f>
        <v>#DIV/0!</v>
      </c>
      <c r="XCS46" s="193"/>
    </row>
    <row r="48" spans="1:49 16319:16321" x14ac:dyDescent="0.2">
      <c r="A48" t="s">
        <v>159</v>
      </c>
      <c r="B48" s="191">
        <f>B24/$B$24</f>
        <v>1</v>
      </c>
      <c r="C48" s="191"/>
      <c r="D48" s="191">
        <f>D24/$B$24</f>
        <v>1.0016660952872842</v>
      </c>
      <c r="E48" s="191"/>
      <c r="F48" s="191">
        <f>F24/$B$24</f>
        <v>1.0032213864091766</v>
      </c>
      <c r="G48" s="191"/>
      <c r="H48" s="191">
        <f>H24/$B$24</f>
        <v>1.0046476776730504</v>
      </c>
      <c r="I48" s="191"/>
      <c r="J48" s="191">
        <f>J24/$B$24</f>
        <v>1.0059226781777157</v>
      </c>
      <c r="K48" s="191"/>
      <c r="L48" s="191">
        <f>L24/$B$24</f>
        <v>1.0070183581799925</v>
      </c>
      <c r="M48" s="191"/>
      <c r="N48" s="191">
        <f>N24/$B$24</f>
        <v>1.0078998867836164</v>
      </c>
      <c r="O48" s="191"/>
      <c r="P48" s="191">
        <f>P24/$B$24</f>
        <v>1.0085226432972874</v>
      </c>
      <c r="Q48" s="191"/>
      <c r="R48" s="191">
        <f>R24/$B$24</f>
        <v>1.0088289995360864</v>
      </c>
      <c r="S48" s="191"/>
      <c r="T48" s="191">
        <f>T24/$B$24</f>
        <v>1.008743263126284</v>
      </c>
      <c r="U48" s="191"/>
      <c r="V48" s="191">
        <f>V24/$B$24</f>
        <v>1.0081637455085632</v>
      </c>
      <c r="W48" s="191"/>
      <c r="X48" s="191">
        <f>X24/$B$24</f>
        <v>1.0069502984759371</v>
      </c>
      <c r="Y48" s="191"/>
      <c r="Z48" s="191">
        <f>Z24/$B$24</f>
        <v>1.0049027939343684</v>
      </c>
      <c r="AA48" s="191"/>
      <c r="AB48" s="191">
        <f>AB24/$B$24</f>
        <v>1.0017210355856176</v>
      </c>
      <c r="AC48" s="191"/>
      <c r="AD48" s="191">
        <f>AD24/$B$24</f>
        <v>0.99692012501828731</v>
      </c>
      <c r="AE48" s="191"/>
      <c r="AF48" s="191">
        <f>AF24/$B$24</f>
        <v>0.98962365268173502</v>
      </c>
      <c r="AG48" s="191"/>
      <c r="AH48" s="191">
        <f>AH24/$B$24</f>
        <v>0.97797255485452628</v>
      </c>
      <c r="AI48" s="191"/>
      <c r="AJ48" s="191">
        <f>AJ24/$B$24</f>
        <v>0.95728262861310609</v>
      </c>
      <c r="AK48" s="191"/>
      <c r="AL48" s="191">
        <f>AL24/$B$24</f>
        <v>0.9138603961638333</v>
      </c>
      <c r="AM48" s="191"/>
      <c r="AN48" s="191">
        <f>AN24/$B$24</f>
        <v>0</v>
      </c>
      <c r="AO48" s="191"/>
      <c r="AP48" s="191">
        <f>AP24/$B$24</f>
        <v>0</v>
      </c>
      <c r="AQ48" s="191"/>
      <c r="AR48" s="191">
        <f>AR24/$B$24</f>
        <v>0</v>
      </c>
      <c r="AS48" s="191"/>
      <c r="AT48" s="191">
        <f>AT24/$B$24</f>
        <v>0</v>
      </c>
      <c r="AU48" s="191"/>
      <c r="AV48" s="191">
        <f>AV24/$B$24</f>
        <v>0</v>
      </c>
    </row>
    <row r="49" spans="1:48 16321:16384" x14ac:dyDescent="0.2">
      <c r="A49" t="s">
        <v>160</v>
      </c>
      <c r="B49" s="191">
        <f>B13/B35/$B$13*$B$35</f>
        <v>1</v>
      </c>
      <c r="C49" s="191"/>
      <c r="D49" s="191">
        <f>D13/D35/$B$13*$B$35</f>
        <v>1.0042168023194145</v>
      </c>
      <c r="E49" s="191"/>
      <c r="F49" s="191">
        <f>F13/F35/$B$13*$B$35</f>
        <v>1.0081463035035594</v>
      </c>
      <c r="G49" s="191"/>
      <c r="H49" s="191">
        <f>H13/H35/$B$13*$B$35</f>
        <v>1.0117391580869588</v>
      </c>
      <c r="I49" s="191"/>
      <c r="J49" s="191">
        <f>J13/J35/$B$13*$B$35</f>
        <v>1.0149334926907834</v>
      </c>
      <c r="K49" s="191"/>
      <c r="L49" s="191">
        <f>L13/L35/$B$13*$B$35</f>
        <v>1.0176509445186677</v>
      </c>
      <c r="M49" s="191"/>
      <c r="N49" s="191">
        <f>N13/N35/$B$13*$B$35</f>
        <v>1.0197913158890564</v>
      </c>
      <c r="O49" s="191"/>
      <c r="P49" s="191">
        <f>P13/P35/$B$13*$B$35</f>
        <v>1.021224862834186</v>
      </c>
      <c r="Q49" s="191"/>
      <c r="R49" s="191">
        <f>R13/R35/$B$13*$B$35</f>
        <v>1.0217811824563305</v>
      </c>
      <c r="S49" s="191"/>
      <c r="T49" s="191">
        <f>T13/T35/$B$13*$B$35</f>
        <v>1.021232327207952</v>
      </c>
      <c r="U49" s="191"/>
      <c r="V49" s="191">
        <f>V13/V35/$B$13*$B$35</f>
        <v>1.0192665810193384</v>
      </c>
      <c r="W49" s="191"/>
      <c r="X49" s="191">
        <f>X13/X35/$B$13*$B$35</f>
        <v>1.0154444637948421</v>
      </c>
      <c r="Y49" s="191"/>
      <c r="Z49" s="191">
        <f>Z13/Z35/$B$13*$B$35</f>
        <v>1.0091204682538752</v>
      </c>
      <c r="AA49" s="191"/>
      <c r="AB49" s="191">
        <f>AB13/AB35/$B$13*$B$35</f>
        <v>0.99929149588218202</v>
      </c>
      <c r="AC49" s="191"/>
      <c r="AD49" s="191">
        <f>AD13/AD35/$B$13*$B$35</f>
        <v>0.98427365790356713</v>
      </c>
      <c r="AE49" s="191"/>
      <c r="AF49" s="191">
        <f>AF13/AF35/$B$13*$B$35</f>
        <v>0.96095174053199039</v>
      </c>
      <c r="AG49" s="191"/>
      <c r="AH49" s="191">
        <f>AH13/AH35/$B$13*$B$35</f>
        <v>0.92296987727139046</v>
      </c>
      <c r="AI49" s="191"/>
      <c r="AJ49" s="191">
        <f>AJ13/AJ35/$B$13*$B$35</f>
        <v>0.85678811843088676</v>
      </c>
      <c r="AK49" s="191"/>
      <c r="AL49" s="191">
        <f>AL13/AL35/$B$13*$B$35</f>
        <v>0.73495113248175903</v>
      </c>
      <c r="AM49" s="191"/>
      <c r="AN49" s="191" t="e">
        <f>AN13/AN35/$B$13*$B$35</f>
        <v>#DIV/0!</v>
      </c>
      <c r="AO49" s="191"/>
      <c r="AP49" s="191" t="e">
        <f>AP13/AP35/$B$13*$B$35</f>
        <v>#DIV/0!</v>
      </c>
      <c r="AQ49" s="191"/>
      <c r="AR49" s="191" t="e">
        <f>AR13/AR35/$B$13*$B$35</f>
        <v>#DIV/0!</v>
      </c>
      <c r="AS49" s="191"/>
      <c r="AT49" s="191" t="e">
        <f>AT13/AT35/$B$13*$B$35</f>
        <v>#DIV/0!</v>
      </c>
      <c r="AU49" s="191"/>
      <c r="AV49" s="191" t="e">
        <f>AV13/AV35/$B$13*$B$35</f>
        <v>#DIV/0!</v>
      </c>
    </row>
    <row r="51" spans="1:48 16321:16384" x14ac:dyDescent="0.2">
      <c r="A51" t="s">
        <v>166</v>
      </c>
      <c r="B51" s="29">
        <f>B30-B10*B23</f>
        <v>-405838.32800000021</v>
      </c>
      <c r="D51" s="29">
        <f>D30-D10*D23</f>
        <v>-324479.72479693964</v>
      </c>
      <c r="F51" s="29">
        <f>F30-F10*F23</f>
        <v>-240924.5639435444</v>
      </c>
      <c r="H51" s="29">
        <f>H30-H10*H23</f>
        <v>-154841.72926730942</v>
      </c>
      <c r="J51" s="29">
        <f>J30-J10*J23</f>
        <v>-65833.211639048532</v>
      </c>
      <c r="L51" s="29">
        <f>L30-L10*L23</f>
        <v>26586.242003949359</v>
      </c>
      <c r="N51" s="29">
        <f>N30-N10*N23</f>
        <v>123033.0845799665</v>
      </c>
      <c r="P51" s="29">
        <f>P30-P10*P23</f>
        <v>224298.68952329131</v>
      </c>
      <c r="R51" s="29">
        <f>R30-R10*R23</f>
        <v>331446.3370327428</v>
      </c>
      <c r="T51" s="29">
        <f>T30-T10*T23</f>
        <v>445961.80803528428</v>
      </c>
      <c r="V51" s="29">
        <f>V30-V10*V23</f>
        <v>570022.14559839433</v>
      </c>
      <c r="X51" s="29">
        <f>X30-X10*X23</f>
        <v>706983.02546511684</v>
      </c>
      <c r="Z51" s="29">
        <f>Z30-Z10*Z23</f>
        <v>862301.62365393015</v>
      </c>
      <c r="AB51" s="29">
        <f>AB30-AB10*AB23</f>
        <v>1045335.4904416376</v>
      </c>
      <c r="AD51" s="29">
        <f>AD30-AD10*AD23</f>
        <v>1272913.2401509732</v>
      </c>
      <c r="AF51" s="29">
        <f>AF30-AF10*AF23</f>
        <v>1576101.0039475793</v>
      </c>
      <c r="AH51" s="29">
        <f>AH30-AH10*AH23</f>
        <v>2010632.9050049232</v>
      </c>
      <c r="AJ51" s="29">
        <f>AJ30-AJ10*AJ23</f>
        <v>2665519.6036445755</v>
      </c>
      <c r="AL51" s="29">
        <f>AL30-AL10*AL23</f>
        <v>3669110.6470721778</v>
      </c>
      <c r="AN51" s="29">
        <f>AN30-AN10*AN23</f>
        <v>0</v>
      </c>
      <c r="AP51" s="29">
        <f>AP30-AP10*AP23</f>
        <v>0</v>
      </c>
      <c r="AQ51" s="29"/>
      <c r="AR51" s="29">
        <f>AR30-AR10*AR23</f>
        <v>0</v>
      </c>
      <c r="AT51" s="29">
        <f>AT30-AT10*AT23</f>
        <v>0</v>
      </c>
      <c r="AV51" s="29">
        <f>AV30-AV10*AV23</f>
        <v>0</v>
      </c>
      <c r="XFD51" s="29"/>
    </row>
    <row r="52" spans="1:48 16321:16384" x14ac:dyDescent="0.2">
      <c r="A52" t="s">
        <v>167</v>
      </c>
      <c r="B52" s="29">
        <f t="array" ref="B52">Calibration!sL*SUM(B13:C13*B26:C26)</f>
        <v>2049247.8195702801</v>
      </c>
      <c r="D52" s="29">
        <f t="array" ref="D52">Calibration!sL*SUM(D13:E13*D26:E26)</f>
        <v>2062723.1535347053</v>
      </c>
      <c r="F52" s="29">
        <f t="array" ref="F52">Calibration!sL*SUM(F13:G13*F26:G26)</f>
        <v>2076192.829471692</v>
      </c>
      <c r="H52" s="29">
        <f t="array" ref="H52">Calibration!sL*SUM(H13:I13*H26:I26)</f>
        <v>2089654.9299723622</v>
      </c>
      <c r="J52" s="29">
        <f t="array" ref="J52">Calibration!sL*SUM(J13:K13*J26:K26)</f>
        <v>2103106.8966908152</v>
      </c>
      <c r="L52" s="29">
        <f t="array" ref="L52">Calibration!sL*SUM(L13:M13*L26:M26)</f>
        <v>2116546.5545336273</v>
      </c>
      <c r="N52" s="29">
        <f t="array" ref="N52">Calibration!sL*SUM(N13:O13*N26:O26)</f>
        <v>2129975.2621013937</v>
      </c>
      <c r="P52" s="29">
        <f t="array" ref="P52">Calibration!sL*SUM(P13:Q13*P26:Q26)</f>
        <v>2143402.5357581289</v>
      </c>
      <c r="R52" s="29">
        <f t="array" ref="R52">Calibration!sL*SUM(R13:S13*R26:S26)</f>
        <v>2156856.9982401659</v>
      </c>
      <c r="T52" s="29">
        <f t="array" ref="T52">Calibration!sL*SUM(T13:U13*T26:U26)</f>
        <v>2170406.2861685832</v>
      </c>
      <c r="V52" s="29">
        <f t="array" ref="V52">Calibration!sL*SUM(V13:W13*V26:W26)</f>
        <v>2184196.6082583219</v>
      </c>
      <c r="X52" s="29">
        <f t="array" ref="X52">Calibration!sL*SUM(X13:Y13*X26:Y26)</f>
        <v>2198528.3546237261</v>
      </c>
      <c r="Z52" s="29">
        <f t="array" ref="Z52">Calibration!sL*SUM(Z13:AA13*Z26:AA26)</f>
        <v>2214004.6603011759</v>
      </c>
      <c r="AB52" s="29">
        <f t="array" ref="AB52">Calibration!sL*SUM(AB13:AC13*AB26:AC26)</f>
        <v>2231822.5515950397</v>
      </c>
      <c r="AD52" s="29">
        <f t="array" ref="AD52">Calibration!sL*SUM(AD13:AE13*AD26:AE26)</f>
        <v>2254324.1211515237</v>
      </c>
      <c r="AF52" s="29">
        <f t="array" ref="AF52">Calibration!sL*SUM(AF13:AG13*AF26:AG26)</f>
        <v>2285877.1950475322</v>
      </c>
      <c r="AH52" s="29">
        <f t="array" ref="AH52">Calibration!sL*SUM(AH13:AI13*AH26:AI26)</f>
        <v>2333371.3633145452</v>
      </c>
      <c r="AJ52" s="29">
        <f t="array" ref="AJ52">Calibration!sL*SUM(AJ13:AK13*AJ26:AK26)</f>
        <v>2402710.9327610177</v>
      </c>
      <c r="AL52" s="29">
        <f t="array" ref="AL52">Calibration!sL*SUM(AL13:AM13*AL26:AM26)</f>
        <v>2484340.8519286318</v>
      </c>
      <c r="AN52" s="29">
        <f t="array" ref="AN52">Calibration!sL*SUM(AN13:AO13*AN26:AO26)</f>
        <v>0</v>
      </c>
      <c r="AP52" s="29">
        <f t="array" ref="AP52">Calibration!sL*SUM(AP13:AQ13*AP26:AQ26)</f>
        <v>0</v>
      </c>
      <c r="AQ52" s="29"/>
      <c r="AR52" s="29">
        <f t="array" ref="AR52">Calibration!sL*SUM(AR13:AS13*AR26:AS26)</f>
        <v>0</v>
      </c>
      <c r="AT52" s="29">
        <f t="array" ref="AT52">Calibration!sL*SUM(AT13:AU13*AT26:AU26)</f>
        <v>0</v>
      </c>
      <c r="AV52" s="29">
        <f t="array" ref="AV52">Calibration!sL*SUM(AV13:AW13*AV26:AW26)</f>
        <v>0</v>
      </c>
    </row>
    <row r="53" spans="1:48 16321:16384" x14ac:dyDescent="0.2">
      <c r="A53" t="s">
        <v>168</v>
      </c>
      <c r="B53" s="29">
        <f t="array" ref="B53">Calibration!sK*SUM(B15:C15*B27:C27)</f>
        <v>2740714.4444297408</v>
      </c>
      <c r="D53" s="29">
        <f t="array" ref="D53">Calibration!sK*SUM(D15:E15*D27:E27)</f>
        <v>2694731.1815772387</v>
      </c>
      <c r="F53" s="29">
        <f t="array" ref="F53">Calibration!sK*SUM(F15:G15*F27:G27)</f>
        <v>2647067.849276057</v>
      </c>
      <c r="H53" s="29">
        <f t="array" ref="H53">Calibration!sK*SUM(H15:I15*H27:I27)</f>
        <v>2597470.2174930754</v>
      </c>
      <c r="J53" s="29">
        <f t="array" ref="J53">Calibration!sK*SUM(J15:K15*J27:K27)</f>
        <v>2545632.1418647715</v>
      </c>
      <c r="L53" s="29">
        <f t="array" ref="L53">Calibration!sK*SUM(L15:M15*L27:M27)</f>
        <v>2491180.22817379</v>
      </c>
      <c r="N53" s="29">
        <f t="array" ref="N53">Calibration!sK*SUM(N15:O15*N27:O27)</f>
        <v>2433648.3394986573</v>
      </c>
      <c r="P53" s="29">
        <f t="array" ref="P53">Calibration!sK*SUM(P15:Q15*P27:Q27)</f>
        <v>2372444.1650917996</v>
      </c>
      <c r="R53" s="29">
        <f t="array" ref="R53">Calibration!sK*SUM(R15:S15*R27:S27)</f>
        <v>2306791.6018550266</v>
      </c>
      <c r="T53" s="29">
        <f t="array" ref="T53">Calibration!sK*SUM(T15:U15*T27:U27)</f>
        <v>2235639.399435461</v>
      </c>
      <c r="V53" s="29">
        <f t="array" ref="V53">Calibration!sK*SUM(V15:W15*V27:W27)</f>
        <v>2157502.6152914478</v>
      </c>
      <c r="X53" s="29">
        <f t="array" ref="X53">Calibration!sK*SUM(X15:Y15*X27:Y27)</f>
        <v>2070181.5249252145</v>
      </c>
      <c r="Z53" s="29">
        <f t="array" ref="Z53">Calibration!sK*SUM(Z15:AA15*Z27:AA27)</f>
        <v>1970235.233790518</v>
      </c>
      <c r="AB53" s="29">
        <f t="array" ref="AB53">Calibration!sK*SUM(AB15:AC15*AB27:AC27)</f>
        <v>1851955.6450481804</v>
      </c>
      <c r="AD53" s="29">
        <f t="array" ref="AD53">Calibration!sK*SUM(AD15:AE15*AD27:AE27)</f>
        <v>1705303.5152150665</v>
      </c>
      <c r="AF53" s="29">
        <f t="array" ref="AF53">Calibration!sK*SUM(AF15:AG15*AF27:AG27)</f>
        <v>1511797.4884080293</v>
      </c>
      <c r="AH53" s="29">
        <f t="array" ref="AH53">Calibration!sK*SUM(AH15:AI15*AH27:AI27)</f>
        <v>1237158.4545043223</v>
      </c>
      <c r="AJ53" s="29">
        <f t="array" ref="AJ53">Calibration!sK*SUM(AJ15:AK15*AJ27:AK27)</f>
        <v>820590.63189355331</v>
      </c>
      <c r="AL53" s="29">
        <f t="array" ref="AL53">Calibration!sK*SUM(AL15:AM15*AL27:AM27)</f>
        <v>152989.0596570234</v>
      </c>
      <c r="AN53" s="29">
        <f t="array" ref="AN53">Calibration!sK*SUM(AN15:AO15*AN27:AO27)</f>
        <v>0</v>
      </c>
      <c r="AP53" s="29">
        <f t="array" ref="AP53">Calibration!sK*SUM(AP15:AQ15*AP27:AQ27)</f>
        <v>0</v>
      </c>
      <c r="AQ53" s="29"/>
      <c r="AR53" s="29">
        <f t="array" ref="AR53">Calibration!sK*SUM(AR15:AS15*AR27:AS27)</f>
        <v>0</v>
      </c>
      <c r="AT53" s="29">
        <f t="array" ref="AT53">Calibration!sK*SUM(AT15:AU15*AT27:AU27)</f>
        <v>0</v>
      </c>
      <c r="AV53" s="29">
        <f t="array" ref="AV53">Calibration!sK*SUM(AV15:AW15*AV27:AW27)</f>
        <v>0</v>
      </c>
      <c r="XFD53" s="29"/>
    </row>
    <row r="55" spans="1:48 16321:16384" x14ac:dyDescent="0.2">
      <c r="A55" t="s">
        <v>169</v>
      </c>
      <c r="B55" s="193">
        <f>B30/B32</f>
        <v>0.19850271905982084</v>
      </c>
      <c r="D55" s="193">
        <f>D30/D32</f>
        <v>0.20402936138332875</v>
      </c>
      <c r="F55" s="193">
        <f>F30/F32</f>
        <v>0.2096997544443871</v>
      </c>
      <c r="H55" s="193">
        <f>H30/H32</f>
        <v>0.21553893784992997</v>
      </c>
      <c r="J55" s="193">
        <f>J30/J32</f>
        <v>0.22157726762908858</v>
      </c>
      <c r="L55" s="193">
        <f>L30/L32</f>
        <v>0.22785208197081419</v>
      </c>
      <c r="N55" s="193">
        <f>N30/N32</f>
        <v>0.23441109202770022</v>
      </c>
      <c r="P55" s="193">
        <f>P30/P32</f>
        <v>0.24131592462948903</v>
      </c>
      <c r="R55" s="193">
        <f>R30/R32</f>
        <v>0.24864955294828356</v>
      </c>
      <c r="T55" s="193">
        <f>T30/T32</f>
        <v>0.25652779068557136</v>
      </c>
      <c r="V55" s="193">
        <f>V30/V32</f>
        <v>0.2651195365482964</v>
      </c>
      <c r="X55" s="193">
        <f>X30/X32</f>
        <v>0.27468316231495443</v>
      </c>
      <c r="Z55" s="193">
        <f>Z30/Z32</f>
        <v>0.28563503019793118</v>
      </c>
      <c r="AB55" s="193">
        <f>AB30/AB32</f>
        <v>0.29868301845623696</v>
      </c>
      <c r="AD55" s="193">
        <f>AD30/AD32</f>
        <v>0.31509402614426307</v>
      </c>
      <c r="AF55" s="193">
        <f>AF30/AF32</f>
        <v>0.33721873744389363</v>
      </c>
      <c r="AH55" s="193">
        <f>AH30/AH32</f>
        <v>0.36941399953027076</v>
      </c>
      <c r="AJ55" s="193">
        <f>AJ30/AJ32</f>
        <v>0.41950192852300316</v>
      </c>
      <c r="AL55" s="193">
        <f>AL30/AL32</f>
        <v>0.50337838186590533</v>
      </c>
      <c r="AN55" s="193" t="e">
        <f>AN30/AN32</f>
        <v>#DIV/0!</v>
      </c>
      <c r="AP55" s="193" t="e">
        <f>AP30/AP32</f>
        <v>#DIV/0!</v>
      </c>
      <c r="AR55" s="193" t="e">
        <f>AR30/AR32</f>
        <v>#DIV/0!</v>
      </c>
      <c r="AT55" s="193" t="e">
        <f>AT30/AT32</f>
        <v>#DIV/0!</v>
      </c>
      <c r="AV55" s="193" t="e">
        <f>AV30/AV32</f>
        <v>#DIV/0!</v>
      </c>
      <c r="XCS55" s="193"/>
      <c r="XFD55" s="193"/>
    </row>
    <row r="56" spans="1:48 16321:16384" x14ac:dyDescent="0.2">
      <c r="A56" t="s">
        <v>170</v>
      </c>
      <c r="B56" s="193">
        <f>(Model!$C$52*B5*B20+B2*C5*C20)/B32</f>
        <v>2.9221206744340551E-2</v>
      </c>
      <c r="D56" s="193">
        <f>(Model!$C$52*D5*D20+D2*E5*E20)/D32</f>
        <v>3.3823957142349273E-2</v>
      </c>
      <c r="F56" s="193">
        <f>(Model!$C$52*F5*F20+F2*G5*G20)/F32</f>
        <v>3.8545122546903836E-2</v>
      </c>
      <c r="H56" s="193">
        <f>(Model!$C$52*H5*H20+H2*I5*I20)/H32</f>
        <v>4.3405424203085539E-2</v>
      </c>
      <c r="J56" s="193">
        <f>(Model!$C$52*J5*J20+J2*K5*K20)/J32</f>
        <v>4.8429999763511838E-2</v>
      </c>
      <c r="L56" s="193">
        <f>(Model!$C$52*L5*L20+L2*M5*M20)/L32</f>
        <v>5.3649688171976136E-2</v>
      </c>
      <c r="N56" s="193">
        <f>(Model!$C$52*N5*N20+N2*O5*O20)/N32</f>
        <v>5.9103998057961793E-2</v>
      </c>
      <c r="P56" s="193">
        <f>(Model!$C$52*P5*P20+P2*Q5*Q20)/P32</f>
        <v>6.4843836580611977E-2</v>
      </c>
      <c r="R56" s="193">
        <f>(Model!$C$52*R5*R20+R2*S5*S20)/R32</f>
        <v>7.0937692039465303E-2</v>
      </c>
      <c r="T56" s="193">
        <f>(Model!$C$52*T5*T20+T2*U5*U20)/T32</f>
        <v>7.7481069229102514E-2</v>
      </c>
      <c r="V56" s="193">
        <f>(Model!$C$52*V5*V20+V2*W5*W20)/V32</f>
        <v>8.4613017034268462E-2</v>
      </c>
      <c r="X56" s="193">
        <f>(Model!$C$52*X5*X20+X2*Y5*Y20)/X32</f>
        <v>9.2545931037765913E-2</v>
      </c>
      <c r="Z56" s="193">
        <f>(Model!$C$52*Z5*Z20+Z2*AA5*AA20)/Z32</f>
        <v>0.10162157938624498</v>
      </c>
      <c r="AB56" s="193">
        <f>(Model!$C$52*AB5*AB20+AB2*AC5*AC20)/AB32</f>
        <v>0.11242024314254237</v>
      </c>
      <c r="AD56" s="193">
        <f>(Model!$C$52*AD5*AD20+AD2*AE5*AE20)/AD32</f>
        <v>0.12597938997394539</v>
      </c>
      <c r="AF56" s="193">
        <f>(Model!$C$52*AF5*AF20+AF2*AG5*AG20)/AF32</f>
        <v>0.14422272577316894</v>
      </c>
      <c r="AH56" s="193">
        <f>(Model!$C$52*AH5*AH20+AH2*AI5*AI20)/AH32</f>
        <v>0.17071520243531083</v>
      </c>
      <c r="AJ56" s="193">
        <f>(Model!$C$52*AJ5*AJ20+AJ2*AK5*AK20)/AJ32</f>
        <v>0.21186059037566696</v>
      </c>
      <c r="AL56" s="193">
        <f>(Model!$C$52*AL5*AL20+AL2*AM5*AM20)/AL32</f>
        <v>0.28068306657331138</v>
      </c>
      <c r="AN56" s="193" t="e">
        <f>(Model!$C$52*AN5*AN20+AN2*AO5*AO20)/AN32</f>
        <v>#DIV/0!</v>
      </c>
      <c r="AP56" s="193" t="e">
        <f>(Model!$C$52*AP5*AP20+AP2*AQ5*AQ20)/AP32</f>
        <v>#DIV/0!</v>
      </c>
      <c r="AR56" s="193" t="e">
        <f>(Model!$C$52*AR5*AR20+AR2*AS5*AS20)/AR32</f>
        <v>#DIV/0!</v>
      </c>
      <c r="AT56" s="193" t="e">
        <f>(Model!$C$52*AT5*AT20+AT2*AU5*AU20)/AT32</f>
        <v>#DIV/0!</v>
      </c>
      <c r="AV56" s="193" t="e">
        <f>(Model!$C$52*AV5*AV20+AV2*AW5*AW20)/AV32</f>
        <v>#DIV/0!</v>
      </c>
      <c r="XFD56" s="193"/>
    </row>
    <row r="57" spans="1:48 16321:16384" x14ac:dyDescent="0.2">
      <c r="A57" t="s">
        <v>171</v>
      </c>
      <c r="B57" s="193">
        <f t="array" ref="B57">SUM(Model!tauL*B13:C13*B26:C26)/B32</f>
        <v>0.15852881819439493</v>
      </c>
      <c r="D57" s="193">
        <f t="array" ref="D57">SUM(Model!tauL*D13:E13*D26:E26)/D32</f>
        <v>0.15953513001765579</v>
      </c>
      <c r="F57" s="193">
        <f t="array" ref="F57">SUM(Model!tauL*F13:G13*F26:G26)/F32</f>
        <v>0.16056761692441973</v>
      </c>
      <c r="H57" s="193">
        <f t="array" ref="H57">SUM(Model!tauL*H13:I13*H26:I26)/H32</f>
        <v>0.16163083721973209</v>
      </c>
      <c r="J57" s="193">
        <f t="array" ref="J57">SUM(Model!tauL*J13:K13*J26:K26)/J32</f>
        <v>0.16273030341609865</v>
      </c>
      <c r="L57" s="193">
        <f t="array" ref="L57">SUM(Model!tauL*L13:M13*L26:M26)/L32</f>
        <v>0.16387286227360132</v>
      </c>
      <c r="N57" s="193">
        <f t="array" ref="N57">SUM(Model!tauL*N13:O13*N26:O26)/N32</f>
        <v>0.16506714990657409</v>
      </c>
      <c r="P57" s="193">
        <f t="array" ref="P57">SUM(Model!tauL*P13:Q13*P26:Q26)/P32</f>
        <v>0.16632440647630425</v>
      </c>
      <c r="R57" s="193">
        <f t="array" ref="R57">SUM(Model!tauL*R13:S13*R26:S26)/R32</f>
        <v>0.16765974835751832</v>
      </c>
      <c r="T57" s="193">
        <f t="array" ref="T57">SUM(Model!tauL*T13:U13*T26:U26)/T32</f>
        <v>0.16909424854616148</v>
      </c>
      <c r="V57" s="193">
        <f t="array" ref="V57">SUM(Model!tauL*V13:W13*V26:W26)/V32</f>
        <v>0.17065866744944508</v>
      </c>
      <c r="X57" s="193">
        <f t="array" ref="X57">SUM(Model!tauL*X13:Y13*X26:Y26)/X32</f>
        <v>0.17240005081728851</v>
      </c>
      <c r="Y57" s="193"/>
      <c r="Z57" s="193">
        <f t="array" ref="Z57">SUM(Model!tauL*Z13:AA13*Z26:AA26)/Z32</f>
        <v>0.17439420775851427</v>
      </c>
      <c r="AB57" s="193">
        <f t="array" ref="AB57">SUM(Model!tauL*AB13:AC13*AB26:AC26)/AB32</f>
        <v>0.17677003805438071</v>
      </c>
      <c r="AD57" s="193">
        <f t="array" ref="AD57">SUM(Model!tauL*AD13:AE13*AD26:AE26)/AD32</f>
        <v>0.17975821910102771</v>
      </c>
      <c r="AF57" s="193">
        <f t="array" ref="AF57">SUM(Model!tauL*AF13:AG13*AF26:AG26)/AF32</f>
        <v>0.18378677318182443</v>
      </c>
      <c r="AH57" s="193">
        <f t="array" ref="AH57">SUM(Model!tauL*AH13:AI13*AH26:AI26)/AH32</f>
        <v>0.18964901292862146</v>
      </c>
      <c r="AJ57" s="193">
        <f t="array" ref="AJ57">SUM(Model!tauL*AJ13:AK13*AJ26:AK26)/AJ32</f>
        <v>0.19876921875715717</v>
      </c>
      <c r="AL57" s="193">
        <f t="array" ref="AL57">SUM(Model!tauL*AL13:AM13*AL26:AM26)/AL32</f>
        <v>0.21404177137102587</v>
      </c>
      <c r="AN57" s="193" t="e">
        <f t="array" ref="AN57">SUM(Model!tauL*AN13:AO13*AN26:AO26)/AN32</f>
        <v>#DIV/0!</v>
      </c>
      <c r="AP57" s="193" t="e">
        <f t="array" ref="AP57">SUM(Model!tauL*AP13:AQ13*AP26:AQ26)/AP32</f>
        <v>#DIV/0!</v>
      </c>
      <c r="AR57" s="193" t="e">
        <f t="array" ref="AR57">SUM(Model!tauL*AR13:AS13*AR26:AS26)/AR32</f>
        <v>#DIV/0!</v>
      </c>
      <c r="AT57" s="193" t="e">
        <f t="array" ref="AT57">SUM(Model!tauL*AT13:AU13*AT26:AU26)/AT32</f>
        <v>#DIV/0!</v>
      </c>
      <c r="AV57" s="193" t="e">
        <f t="array" ref="AV57">SUM(Model!tauL*AV13:AW13*AV26:AW26)/AV32</f>
        <v>#DIV/0!</v>
      </c>
      <c r="XFD57" s="193"/>
    </row>
    <row r="58" spans="1:48 16321:16384" x14ac:dyDescent="0.2">
      <c r="A58" t="s">
        <v>172</v>
      </c>
      <c r="B58" s="193">
        <f t="array" ref="B58">SUM(Model!tauY/(1+Model!tauY)*B3:C3*B18:C18)/B32</f>
        <v>1.075269412108535E-2</v>
      </c>
      <c r="D58" s="193">
        <f t="array" ref="D58">SUM(Model!tauY/(1+Model!tauY)*D3:E3*D18:E18)/D32</f>
        <v>1.0670274223323695E-2</v>
      </c>
      <c r="F58" s="193">
        <f t="array" ref="F58">SUM(Model!tauY/(1+Model!tauY)*F3:G3*F18:G18)/F32</f>
        <v>1.0587014973063524E-2</v>
      </c>
      <c r="H58" s="193">
        <f t="array" ref="H58">SUM(Model!tauY/(1+Model!tauY)*H3:I3*H18:I18)/H32</f>
        <v>1.0502676427112339E-2</v>
      </c>
      <c r="J58" s="193">
        <f t="array" ref="J58">SUM(Model!tauY/(1+Model!tauY)*J3:K3*J18:K18)/J32</f>
        <v>1.0416964449478058E-2</v>
      </c>
      <c r="L58" s="193">
        <f t="array" ref="L58">SUM(Model!tauY/(1+Model!tauY)*L3:M3*L18:M18)/L32</f>
        <v>1.0329531525236697E-2</v>
      </c>
      <c r="N58" s="193">
        <f t="array" ref="N58">SUM(Model!tauY/(1+Model!tauY)*N3:O3*N18:O18)/N32</f>
        <v>1.0239944063164332E-2</v>
      </c>
      <c r="P58" s="193">
        <f t="array" ref="P58">SUM(Model!tauY/(1+Model!tauY)*P3:Q3*P18:Q18)/P32</f>
        <v>1.0147681572572818E-2</v>
      </c>
      <c r="R58" s="193">
        <f t="array" ref="R58">SUM(Model!tauY/(1+Model!tauY)*R3:S3*R18:S18)/R32</f>
        <v>1.005211255129998E-2</v>
      </c>
      <c r="T58" s="193">
        <f t="array" ref="T58">SUM(Model!tauY/(1+Model!tauY)*T3:U3*T18:U18)/T32</f>
        <v>9.9524729103074149E-3</v>
      </c>
      <c r="V58" s="193">
        <f t="array" ref="V58">SUM(Model!tauY/(1+Model!tauY)*V3:W3*V18:W18)/V32</f>
        <v>9.8478520645828641E-3</v>
      </c>
      <c r="X58" s="193">
        <f t="array" ref="X58">SUM(Model!tauY/(1+Model!tauY)*X3:Y3*X18:Y18)/X32</f>
        <v>9.7371804599000623E-3</v>
      </c>
      <c r="Y58" s="193"/>
      <c r="Z58" s="193">
        <f t="array" ref="Z58">SUM(Model!tauY/(1+Model!tauY)*Z3:AA3*Z18:AA18)/Z32</f>
        <v>9.6192430531719317E-3</v>
      </c>
      <c r="AB58" s="193">
        <f t="array" ref="AB58">SUM(Model!tauY/(1+Model!tauY)*AB3:AC3*AB18:AC18)/AB32</f>
        <v>9.4927372593138909E-3</v>
      </c>
      <c r="AD58" s="193">
        <f t="array" ref="AD58">SUM(Model!tauY/(1+Model!tauY)*AD3:AE3*AD18:AE18)/AD32</f>
        <v>9.356417069289958E-3</v>
      </c>
      <c r="AF58" s="193">
        <f t="array" ref="AF58">SUM(Model!tauY/(1+Model!tauY)*AF3:AG3*AF18:AG18)/AF32</f>
        <v>9.2092384889003089E-3</v>
      </c>
      <c r="AH58" s="193">
        <f t="array" ref="AH58">SUM(Model!tauY/(1+Model!tauY)*AH3:AI3*AH18:AI18)/AH32</f>
        <v>9.049784166338502E-3</v>
      </c>
      <c r="AJ58" s="193">
        <f t="array" ref="AJ58">SUM(Model!tauY/(1+Model!tauY)*AJ3:AK3*AJ18:AK18)/AJ32</f>
        <v>8.8721193901790674E-3</v>
      </c>
      <c r="AL58" s="193">
        <f t="array" ref="AL58">SUM(Model!tauY/(1+Model!tauY)*AL3:AM3*AL18:AM18)/AL32</f>
        <v>8.653543921568075E-3</v>
      </c>
      <c r="AN58" s="193" t="e">
        <f t="array" ref="AN58">SUM(Model!tauY/(1+Model!tauY)*AN3:AO3*AN18:AO18)/AN32</f>
        <v>#DIV/0!</v>
      </c>
      <c r="AP58" s="193" t="e">
        <f t="array" ref="AP58">SUM(Model!tauY/(1+Model!tauY)*AP3:AQ3*AP18:AQ18)/AP32</f>
        <v>#DIV/0!</v>
      </c>
      <c r="AR58" s="193" t="e">
        <f t="array" ref="AR58">SUM(Model!tauY/(1+Model!tauY)*AR3:AS3*AR18:AS18)/AR32</f>
        <v>#DIV/0!</v>
      </c>
      <c r="AT58" s="193" t="e">
        <f t="array" ref="AT58">SUM(Model!tauY/(1+Model!tauY)*AT3:AU3*AT18:AU18)/AT32</f>
        <v>#DIV/0!</v>
      </c>
      <c r="AV58" s="193" t="e">
        <f t="array" ref="AV58">SUM(Model!tauY/(1+Model!tauY)*AV3:AW3*AV18:AW18)/AV32</f>
        <v>#DIV/0!</v>
      </c>
      <c r="XFD58" s="193"/>
    </row>
    <row r="59" spans="1:48 16321:16384" x14ac:dyDescent="0.2">
      <c r="A59" t="s">
        <v>173</v>
      </c>
      <c r="B59" s="193">
        <f>(B2*C5*C20)/B32</f>
        <v>5.5174232040962052E-4</v>
      </c>
      <c r="D59" s="193">
        <f>(D2*E5*E20)/D32</f>
        <v>5.2108852697241616E-3</v>
      </c>
      <c r="F59" s="193">
        <f>(F2*G5*G20)/F32</f>
        <v>9.9894907540081738E-3</v>
      </c>
      <c r="H59" s="193">
        <f>(H2*I5*I20)/H32</f>
        <v>1.4908446432117084E-2</v>
      </c>
      <c r="J59" s="193">
        <f>(J2*K5*K20)/J32</f>
        <v>1.9993090258673785E-2</v>
      </c>
      <c r="L59" s="193">
        <f>(L2*M5*M20)/L32</f>
        <v>2.5274499873989918E-2</v>
      </c>
      <c r="N59" s="193">
        <f>(N2*O5*O20)/N32</f>
        <v>3.0792490005463136E-2</v>
      </c>
      <c r="P59" s="193">
        <f>(P2*Q5*Q20)/P32</f>
        <v>3.6598357373817586E-2</v>
      </c>
      <c r="R59" s="193">
        <f>(R2*S5*S20)/R32</f>
        <v>4.2761113416378213E-2</v>
      </c>
      <c r="T59" s="193">
        <f>(T2*U5*U20)/T32</f>
        <v>4.9376996944668038E-2</v>
      </c>
      <c r="V59" s="193">
        <f>(V2*W5*W20)/V32</f>
        <v>5.6586137607225362E-2</v>
      </c>
      <c r="X59" s="193">
        <f>(X2*Y5*Y20)/X32</f>
        <v>6.4602612452492103E-2</v>
      </c>
      <c r="Z59" s="193">
        <f>(Z2*AA5*AA20)/Z32</f>
        <v>7.3770954545960887E-2</v>
      </c>
      <c r="AB59" s="193">
        <f>(AB2*AC5*AC20)/AB32</f>
        <v>8.4676244233468201E-2</v>
      </c>
      <c r="AD59" s="193">
        <f>(AD2*AE5*AE20)/AD32</f>
        <v>9.8364668330845478E-2</v>
      </c>
      <c r="AF59" s="193">
        <f>(AF2*AG5*AG20)/AF32</f>
        <v>0.11677611876694168</v>
      </c>
      <c r="AH59" s="193">
        <f>(AH2*AI5*AI20)/AH32</f>
        <v>0.14350449707404317</v>
      </c>
      <c r="AJ59" s="193">
        <f>(AJ2*AK5*AK20)/AJ32</f>
        <v>0.18499976223056533</v>
      </c>
      <c r="AL59" s="193">
        <f>(AL2*AM5*AM20)/AL32</f>
        <v>0.25436132902141662</v>
      </c>
      <c r="AN59" s="193" t="e">
        <f>(AN2*AO5*AO20)/AN32</f>
        <v>#DIV/0!</v>
      </c>
      <c r="AP59" s="193" t="e">
        <f>(AP2*AQ5*AQ20)/AP32</f>
        <v>#DIV/0!</v>
      </c>
      <c r="AR59" s="193" t="e">
        <f>(AR2*AS5*AS20)/AR32</f>
        <v>#DIV/0!</v>
      </c>
      <c r="AT59" s="193" t="e">
        <f>(AT2*AU5*AU20)/AT32</f>
        <v>#DIV/0!</v>
      </c>
      <c r="AV59" s="193" t="e">
        <f>(AV2*AW5*AW20)/AV32</f>
        <v>#DIV/0!</v>
      </c>
      <c r="XFD59" s="193"/>
    </row>
    <row r="60" spans="1:48 16321:16384" x14ac:dyDescent="0.2">
      <c r="A60" t="s">
        <v>174</v>
      </c>
      <c r="B60" s="193">
        <f>Model!$C$52*B5*B20/B32</f>
        <v>2.8669464423930927E-2</v>
      </c>
      <c r="D60" s="193">
        <f>Model!$C$52*D5*D20/D32</f>
        <v>2.8613071872625115E-2</v>
      </c>
      <c r="F60" s="193">
        <f>Model!$C$52*F5*F20/F32</f>
        <v>2.8555631792895664E-2</v>
      </c>
      <c r="H60" s="193">
        <f>Model!$C$52*H5*H20/H32</f>
        <v>2.8496977770968455E-2</v>
      </c>
      <c r="J60" s="193">
        <f>Model!$C$52*J5*J20/J32</f>
        <v>2.843690950483806E-2</v>
      </c>
      <c r="L60" s="193">
        <f>Model!$C$52*L5*L20/L32</f>
        <v>2.8375188297986225E-2</v>
      </c>
      <c r="N60" s="193">
        <f>Model!$C$52*N5*N20/N32</f>
        <v>2.8311508052498654E-2</v>
      </c>
      <c r="P60" s="193">
        <f>Model!$C$52*P5*P20/P32</f>
        <v>2.8245479206794395E-2</v>
      </c>
      <c r="R60" s="193">
        <f>Model!$C$52*R5*R20/R32</f>
        <v>2.8176578623087083E-2</v>
      </c>
      <c r="T60" s="193">
        <f>Model!$C$52*T5*T20/T32</f>
        <v>2.8104072284434473E-2</v>
      </c>
      <c r="V60" s="193">
        <f>Model!$C$52*V5*V20/V32</f>
        <v>2.8026879427043096E-2</v>
      </c>
      <c r="X60" s="193">
        <f>Model!$C$52*X5*X20/X32</f>
        <v>2.79433185852738E-2</v>
      </c>
      <c r="Z60" s="193">
        <f>Model!$C$52*Z5*Z20/Z32</f>
        <v>2.785062484028409E-2</v>
      </c>
      <c r="AB60" s="193">
        <f>Model!$C$52*AB5*AB20/AB32</f>
        <v>2.7743998909074166E-2</v>
      </c>
      <c r="AD60" s="193">
        <f>Model!$C$52*AD5*AD20/AD32</f>
        <v>2.7614721643099922E-2</v>
      </c>
      <c r="AF60" s="193">
        <f>Model!$C$52*AF5*AF20/AF32</f>
        <v>2.744660700622727E-2</v>
      </c>
      <c r="AH60" s="193">
        <f>Model!$C$52*AH5*AH20/AH32</f>
        <v>2.7210705361267677E-2</v>
      </c>
      <c r="AJ60" s="193">
        <f>Model!$C$52*AJ5*AJ20/AJ32</f>
        <v>2.6860828145101608E-2</v>
      </c>
      <c r="AL60" s="193">
        <f>Model!$C$52*AL5*AL20/AL32</f>
        <v>2.6321737551894691E-2</v>
      </c>
      <c r="AN60" s="193" t="e">
        <f>Model!$C$52*AN5*AN20/AN32</f>
        <v>#DIV/0!</v>
      </c>
      <c r="AP60" s="193" t="e">
        <f>Model!$C$52*AP5*AP20/AP32</f>
        <v>#DIV/0!</v>
      </c>
      <c r="AR60" s="193" t="e">
        <f>Model!$C$52*AR5*AR20/AR32</f>
        <v>#DIV/0!</v>
      </c>
      <c r="AT60" s="193" t="e">
        <f>Model!$C$52*AT5*AT20/AT32</f>
        <v>#DIV/0!</v>
      </c>
      <c r="AV60" s="193" t="e">
        <f>Model!$C$52*AV5*AV20/AV32</f>
        <v>#DIV/0!</v>
      </c>
      <c r="XFD60" s="193"/>
    </row>
    <row r="62" spans="1:48 16321:16384" x14ac:dyDescent="0.2">
      <c r="A62" t="s">
        <v>175</v>
      </c>
      <c r="B62">
        <f>B13/B15</f>
        <v>1</v>
      </c>
      <c r="D62">
        <f>D13/D15</f>
        <v>1.0237520984473871</v>
      </c>
      <c r="F62">
        <f>F13/F15</f>
        <v>1.0489913894405718</v>
      </c>
      <c r="H62">
        <f>H13/H15</f>
        <v>1.0759530230498475</v>
      </c>
      <c r="J62">
        <f>J13/J15</f>
        <v>1.1049306286702936</v>
      </c>
      <c r="L62">
        <f>L13/L15</f>
        <v>1.1362973243996406</v>
      </c>
      <c r="N62">
        <f>N13/N15</f>
        <v>1.1705394181120208</v>
      </c>
      <c r="P62">
        <f>P13/P15</f>
        <v>1.2083063191204741</v>
      </c>
      <c r="R62">
        <f>R13/R15</f>
        <v>1.2504959728717882</v>
      </c>
      <c r="T62">
        <f>T13/T15</f>
        <v>1.2984002518765345</v>
      </c>
      <c r="V62">
        <f>V13/V15</f>
        <v>1.3539720667977029</v>
      </c>
      <c r="X62">
        <f>X13/X15</f>
        <v>1.4203420651330816</v>
      </c>
      <c r="Z62">
        <f>Z13/Z15</f>
        <v>1.5028988684552804</v>
      </c>
      <c r="AB62">
        <f>AB13/AB15</f>
        <v>1.611752629661735</v>
      </c>
      <c r="AD62">
        <f>AD13/AD15</f>
        <v>1.7680069915762482</v>
      </c>
      <c r="AF62">
        <f>AF13/AF15</f>
        <v>2.0222208442575318</v>
      </c>
      <c r="AH62">
        <f>AH13/AH15</f>
        <v>2.5224806475576478</v>
      </c>
      <c r="AJ62">
        <f>AJ13/AJ15</f>
        <v>3.9160143701872197</v>
      </c>
      <c r="AL62">
        <f>AL13/AL15</f>
        <v>21.71801419247705</v>
      </c>
      <c r="AN62" t="e">
        <f>AN13/AN15</f>
        <v>#DIV/0!</v>
      </c>
      <c r="AP62" t="e">
        <f>AP13/AP15</f>
        <v>#DIV/0!</v>
      </c>
      <c r="AR62" t="e">
        <f>AR13/AR15</f>
        <v>#DIV/0!</v>
      </c>
      <c r="AT62" t="e">
        <f>AT13/AT15</f>
        <v>#DIV/0!</v>
      </c>
      <c r="AV62" t="e">
        <f>AV13/AV15</f>
        <v>#DIV/0!</v>
      </c>
    </row>
    <row r="65" spans="1:48 16384:16384" x14ac:dyDescent="0.2">
      <c r="A65" t="s">
        <v>176</v>
      </c>
      <c r="B65" s="191">
        <f>SQRT((B9:C9*$B$22:$C$22+B10:C10*$B$23:$C$23+B11:C11*$B$24:$C$24+B4:C4*($B$25:$C$25-$B$19:$C$19))/($B$9:$C$9*$B$22:$C$22+$B$10:$C$10*$B$23:$C$23+$B$11:$C$11*$B$24:$C$24+$B$4:$C$4*($B$25:$C$25-$B$19:$C$19))*(B9:C9*B22:C22+B10:C10*B23:C23+B11:C11*B24:C24+B4:C4*(B25:C25-B19:C19))/($B$9:$C$9*B22:C22+$B$10:$C$10*B23:C23+$B$11:$C$11*B24:C24+$B$4:$C$4*(B25:C25-B19:C19)))</f>
        <v>1</v>
      </c>
      <c r="C65" s="191"/>
      <c r="D65" s="191">
        <f t="array" ref="D65">SQRT((D9:E9*$B$22:$C$22+D10:E10*$B$23:$C$23+D11:E11*$B$24:$C$24+D4:E4*($B$25:$C$25-$B$19:$C$19))/($B$9:$C$9*$B$22:$C$22+$B$10:$C$10*$B$23:$C$23+$B$11:$C$11*$B$24:$C$24+$B$4:$C$4*($B$25:$C$25-$B$19:$C$19))*(D9:E9*D22:E22+D10:E10*D23:E23+D11:E11*D24:E24+D4:E4*(D25:E25-D19:E19))/($B$9:$C$9*D22:E22+$B$10:$C$10*D23:E23+$B$11:$C$11*D24:E24+$B$4:$C$4*(D25:E25-D19:E19)))</f>
        <v>0.99869293536429804</v>
      </c>
      <c r="E65" s="191"/>
      <c r="F65" s="191">
        <f t="array" ref="F65">SQRT((F9:G9*$B$22:$C$22+F10:G10*$B$23:$C$23+F11:G11*$B$24:$C$24+F4:G4*($B$25:$C$25-$B$19:$C$19))/($B$9:$C$9*$B$22:$C$22+$B$10:$C$10*$B$23:$C$23+$B$11:$C$11*$B$24:$C$24+$B$4:$C$4*($B$25:$C$25-$B$19:$C$19))*(F9:G9*F22:G22+F10:G10*F23:G23+F11:G11*F24:G24+F4:G4*(F25:G25-F19:G19))/($B$9:$C$9*F22:G22+$B$10:$C$10*F23:G23+$B$11:$C$11*F24:G24+$B$4:$C$4*(F25:G25-F19:G19)))</f>
        <v>0.99733885384038889</v>
      </c>
      <c r="G65" s="191"/>
      <c r="H65" s="191">
        <f t="array" ref="H65">SQRT((H9:I9*$B$22:$C$22+H10:I10*$B$23:$C$23+H11:I11*$B$24:$C$24+H4:I4*($B$25:$C$25-$B$19:$C$19))/($B$9:$C$9*$B$22:$C$22+$B$10:$C$10*$B$23:$C$23+$B$11:$C$11*$B$24:$C$24+$B$4:$C$4*($B$25:$C$25-$B$19:$C$19))*(H9:I9*H22:I22+H10:I10*H23:I23+H11:I11*H24:I24+H4:I4*(H25:I25-H19:I19))/($B$9:$C$9*H22:I22+$B$10:$C$10*H23:I23+$B$11:$C$11*H24:I24+$B$4:$C$4*(H25:I25-H19:I19)))</f>
        <v>0.99593064392232777</v>
      </c>
      <c r="I65" s="191"/>
      <c r="J65" s="191">
        <f t="array" ref="J65">SQRT((J9:K9*$B$22:$C$22+J10:K10*$B$23:$C$23+J11:K11*$B$24:$C$24+J4:K4*($B$25:$C$25-$B$19:$C$19))/($B$9:$C$9*$B$22:$C$22+$B$10:$C$10*$B$23:$C$23+$B$11:$C$11*$B$24:$C$24+$B$4:$C$4*($B$25:$C$25-$B$19:$C$19))*(J9:K9*J22:K22+J10:K10*J23:K23+J11:K11*J24:K24+J4:K4*(J25:K25-J19:K19))/($B$9:$C$9*J22:K22+$B$10:$C$10*J23:K23+$B$11:$C$11*J24:K24+$B$4:$C$4*(J25:K25-J19:K19)))</f>
        <v>0.99446004957004963</v>
      </c>
      <c r="K65" s="191"/>
      <c r="L65" s="191">
        <f t="array" ref="L65">SQRT((L9:M9*$B$22:$C$22+L10:M10*$B$23:$C$23+L11:M11*$B$24:$C$24+L4:M4*($B$25:$C$25-$B$19:$C$19))/($B$9:$C$9*$B$22:$C$22+$B$10:$C$10*$B$23:$C$23+$B$11:$C$11*$B$24:$C$24+$B$4:$C$4*($B$25:$C$25-$B$19:$C$19))*(L9:M9*L22:M22+L10:M10*L23:M23+L11:M11*L24:M24+L4:M4*(L25:M25-L19:M19))/($B$9:$C$9*L22:M22+$B$10:$C$10*L23:M23+$B$11:$C$11*L24:M24+$B$4:$C$4*(L25:M25-L19:M19)))</f>
        <v>0.99291774231367802</v>
      </c>
      <c r="M65" s="191"/>
      <c r="N65" s="191">
        <f t="array" ref="N65">SQRT((N9:O9*$B$22:$C$22+N10:O10*$B$23:$C$23+N11:O11*$B$24:$C$24+N4:O4*($B$25:$C$25-$B$19:$C$19))/($B$9:$C$9*$B$22:$C$22+$B$10:$C$10*$B$23:$C$23+$B$11:$C$11*$B$24:$C$24+$B$4:$C$4*($B$25:$C$25-$B$19:$C$19))*(N9:O9*N22:O22+N10:O10*N23:O23+N11:O11*N24:O24+N4:O4*(N25:O25-N19:O19))/($B$9:$C$9*N22:O22+$B$10:$C$10*N23:O23+$B$11:$C$11*N24:O24+$B$4:$C$4*(N25:O25-N19:O19)))</f>
        <v>0.99129344159601007</v>
      </c>
      <c r="O65" s="191"/>
      <c r="P65" s="191">
        <f t="array" ref="P65">SQRT((P9:Q9*$B$22:$C$22+P10:Q10*$B$23:$C$23+P11:Q11*$B$24:$C$24+P4:Q4*($B$25:$C$25-$B$19:$C$19))/($B$9:$C$9*$B$22:$C$22+$B$10:$C$10*$B$23:$C$23+$B$11:$C$11*$B$24:$C$24+$B$4:$C$4*($B$25:$C$25-$B$19:$C$19))*(P9:Q9*P22:Q22+P10:Q10*P23:Q23+P11:Q11*P24:Q24+P4:Q4*(P25:Q25-P19:Q19))/($B$9:$C$9*P22:Q22+$B$10:$C$10*P23:Q23+$B$11:$C$11*P24:Q24+$B$4:$C$4*(P25:Q25-P19:Q19)))</f>
        <v>0.98957656232949132</v>
      </c>
      <c r="Q65" s="191"/>
      <c r="R65" s="191">
        <f t="array" ref="R65">SQRT((R9:S9*$B$22:$C$22+R10:S10*$B$23:$C$23+R11:S11*$B$24:$C$24+R4:S4*($B$25:$C$25-$B$19:$C$19))/($B$9:$C$9*$B$22:$C$22+$B$10:$C$10*$B$23:$C$23+$B$11:$C$11*$B$24:$C$24+$B$4:$C$4*($B$25:$C$25-$B$19:$C$19))*(R9:S9*R22:S22+R10:S10*R23:S23+R11:S11*R24:S24+R4:S4*(R25:S25-R19:S19))/($B$9:$C$9*R22:S22+$B$10:$C$10*R23:S23+$B$11:$C$11*R24:S24+$B$4:$C$4*(R25:S25-R19:S19)))</f>
        <v>0.98775743601312549</v>
      </c>
      <c r="S65" s="191"/>
      <c r="T65" s="191">
        <f t="array" ref="T65">SQRT((T9:U9*$B$22:$C$22+T10:U10*$B$23:$C$23+T11:U11*$B$24:$C$24+T4:U4*($B$25:$C$25-$B$19:$C$19))/($B$9:$C$9*$B$22:$C$22+$B$10:$C$10*$B$23:$C$23+$B$11:$C$11*$B$24:$C$24+$B$4:$C$4*($B$25:$C$25-$B$19:$C$19))*(T9:U9*T22:U22+T10:U10*T23:U23+T11:U11*T24:U24+T4:U4*(T25:U25-T19:U19))/($B$9:$C$9*T22:U22+$B$10:$C$10*T23:U23+$B$11:$C$11*T24:U24+$B$4:$C$4*(T25:U25-T19:U19)))</f>
        <v>0.98582987100153918</v>
      </c>
      <c r="U65" s="191"/>
      <c r="V65" s="191">
        <f t="array" ref="V65">SQRT((V9:W9*$B$22:$C$22+V10:W10*$B$23:$C$23+V11:W11*$B$24:$C$24+V4:W4*($B$25:$C$25-$B$19:$C$19))/($B$9:$C$9*$B$22:$C$22+$B$10:$C$10*$B$23:$C$23+$B$11:$C$11*$B$24:$C$24+$B$4:$C$4*($B$25:$C$25-$B$19:$C$19))*(V9:W9*V22:W22+V10:W10*V23:W23+V11:W11*V24:W24+V4:W4*(V25:W25-V19:W19))/($B$9:$C$9*V22:W22+$B$10:$C$10*V23:W23+$B$11:$C$11*V24:W24+$B$4:$C$4*(V25:W25-V19:W19)))</f>
        <v>0.98379613800363153</v>
      </c>
      <c r="W65" s="191"/>
      <c r="X65" s="191">
        <f t="array" ref="X65">SQRT((X9:Y9*$B$22:$C$22+X10:Y10*$B$23:$C$23+X11:Y11*$B$24:$C$24+X4:Y4*($B$25:$C$25-$B$19:$C$19))/($B$9:$C$9*$B$22:$C$22+$B$10:$C$10*$B$23:$C$23+$B$11:$C$11*$B$24:$C$24+$B$4:$C$4*($B$25:$C$25-$B$19:$C$19))*(X9:Y9*X22:Y22+X10:Y10*X23:Y23+X11:Y11*X24:Y24+X4:Y4*(X25:Y25-X19:Y19))/($B$9:$C$9*X22:Y22+$B$10:$C$10*X23:Y23+$B$11:$C$11*X24:Y24+$B$4:$C$4*(X25:Y25-X19:Y19)))</f>
        <v>0.98167662983231307</v>
      </c>
      <c r="Y65" s="191"/>
      <c r="Z65" s="191">
        <f t="array" ref="Z65">SQRT((Z9:AA9*$B$22:$C$22+Z10:AA10*$B$23:$C$23+Z11:AA11*$B$24:$C$24+Z4:AA4*($B$25:$C$25-$B$19:$C$19))/($B$9:$C$9*$B$22:$C$22+$B$10:$C$10*$B$23:$C$23+$B$11:$C$11*$B$24:$C$24+$B$4:$C$4*($B$25:$C$25-$B$19:$C$19))*(Z9:AA9*Z22:AA22+Z10:AA10*Z23:AA23+Z11:AA11*Z24:AA24+Z4:AA4*(Z25:AA25-Z19:AA19))/($B$9:$C$9*Z22:AA22+$B$10:$C$10*Z23:AA23+$B$11:$C$11*Z24:AA24+$B$4:$C$4*(Z25:AA25-Z19:AA19)))</f>
        <v>0.97952853339509061</v>
      </c>
      <c r="AA65" s="191"/>
      <c r="AB65" s="191">
        <f t="array" ref="AB65">SQRT((AB9:AC9*$B$22:$C$22+AB10:AC10*$B$23:$C$23+AB11:AC11*$B$24:$C$24+AB4:AC4*($B$25:$C$25-$B$19:$C$19))/($B$9:$C$9*$B$22:$C$22+$B$10:$C$10*$B$23:$C$23+$B$11:$C$11*$B$24:$C$24+$B$4:$C$4*($B$25:$C$25-$B$19:$C$19))*(AB9:AC9*AB22:AC22+AB10:AC10*AB23:AC23+AB11:AC11*AB24:AC24+AB4:AC4*(AB25:AC25-AB19:AC19))/($B$9:$C$9*AB22:AC22+$B$10:$C$10*AB23:AC23+$B$11:$C$11*AB24:AC24+$B$4:$C$4*(AB25:AC25-AB19:AC19)))</f>
        <v>0.97748176616468452</v>
      </c>
      <c r="AC65" s="191"/>
      <c r="AD65" s="191">
        <f t="array" ref="AD65">SQRT((AD9:AE9*$B$22:$C$22+AD10:AE10*$B$23:$C$23+AD11:AE11*$B$24:$C$24+AD4:AE4*($B$25:$C$25-$B$19:$C$19))/($B$9:$C$9*$B$22:$C$22+$B$10:$C$10*$B$23:$C$23+$B$11:$C$11*$B$24:$C$24+$B$4:$C$4*($B$25:$C$25-$B$19:$C$19))*(AD9:AE9*AD22:AE22+AD10:AE10*AD23:AE23+AD11:AE11*AD24:AE24+AD4:AE4*(AD25:AE25-AD19:AE19))/($B$9:$C$9*AD22:AE22+$B$10:$C$10*AD23:AE23+$B$11:$C$11*AD24:AE24+$B$4:$C$4*(AD25:AE25-AD19:AE19)))</f>
        <v>0.9758052331553384</v>
      </c>
      <c r="AE65" s="191"/>
      <c r="AF65" s="191">
        <f t="array" ref="AF65">SQRT((AF9:AG9*$B$22:$C$22+AF10:AG10*$B$23:$C$23+AF11:AG11*$B$24:$C$24+AF4:AG4*($B$25:$C$25-$B$19:$C$19))/($B$9:$C$9*$B$22:$C$22+$B$10:$C$10*$B$23:$C$23+$B$11:$C$11*$B$24:$C$24+$B$4:$C$4*($B$25:$C$25-$B$19:$C$19))*(AF9:AG9*AF22:AG22+AF10:AG10*AF23:AG23+AF11:AG11*AF24:AG24+AF4:AG4*(AF25:AG25-AF19:AG19))/($B$9:$C$9*AF22:AG22+$B$10:$C$10*AF23:AG23+$B$11:$C$11*AF24:AG24+$B$4:$C$4*(AF25:AG25-AF19:AG19)))</f>
        <v>0.975007758279542</v>
      </c>
      <c r="AG65" s="191"/>
      <c r="AH65" s="191">
        <f t="array" ref="AH65">SQRT((AH9:AI9*$B$22:$C$22+AH10:AI10*$B$23:$C$23+AH11:AI11*$B$24:$C$24+AH4:AI4*($B$25:$C$25-$B$19:$C$19))/($B$9:$C$9*$B$22:$C$22+$B$10:$C$10*$B$23:$C$23+$B$11:$C$11*$B$24:$C$24+$B$4:$C$4*($B$25:$C$25-$B$19:$C$19))*(AH9:AI9*AH22:AI22+AH10:AI10*AH23:AI23+AH11:AI11*AH24:AI24+AH4:AI4*(AH25:AI25-AH19:AI19))/($B$9:$C$9*AH22:AI22+$B$10:$C$10*AH23:AI23+$B$11:$C$11*AH24:AI24+$B$4:$C$4*(AH25:AI25-AH19:AI19)))</f>
        <v>0.97588065290178172</v>
      </c>
      <c r="AI65" s="191"/>
      <c r="AJ65" s="191">
        <f t="array" ref="AJ65">SQRT((AJ9:AK9*$B$22:$C$22+AJ10:AK10*$B$23:$C$23+AJ11:AK11*$B$24:$C$24+AJ4:AK4*($B$25:$C$25-$B$19:$C$19))/($B$9:$C$9*$B$22:$C$22+$B$10:$C$10*$B$23:$C$23+$B$11:$C$11*$B$24:$C$24+$B$4:$C$4*($B$25:$C$25-$B$19:$C$19))*(AJ9:AK9*AJ22:AK22+AJ10:AK10*AJ23:AK23+AJ11:AK11*AJ24:AK24+AJ4:AK4*(AJ25:AK25-AJ19:AK19))/($B$9:$C$9*AJ22:AK22+$B$10:$C$10*AJ23:AK23+$B$11:$C$11*AJ24:AK24+$B$4:$C$4*(AJ25:AK25-AJ19:AK19)))</f>
        <v>0.97909849704370033</v>
      </c>
      <c r="AK65" s="191"/>
      <c r="AL65" s="191">
        <f t="array" ref="AL65">SQRT((AL9:AM9*$B$22:$C$22+AL10:AM10*$B$23:$C$23+AL11:AM11*$B$24:$C$24+AL4:AM4*($B$25:$C$25-$B$19:$C$19))/($B$9:$C$9*$B$22:$C$22+$B$10:$C$10*$B$23:$C$23+$B$11:$C$11*$B$24:$C$24+$B$4:$C$4*($B$25:$C$25-$B$19:$C$19))*(AL9:AM9*AL22:AM22+AL10:AM10*AL23:AM23+AL11:AM11*AL24:AM24+AL4:AM4*(AL25:AM25-AL19:AM19))/($B$9:$C$9*AL22:AM22+$B$10:$C$10*AL23:AM23+$B$11:$C$11*AL24:AM24+$B$4:$C$4*(AL25:AM25-AL19:AM19)))</f>
        <v>0.98419471871653308</v>
      </c>
      <c r="AM65" s="191"/>
      <c r="AN65" s="191" t="e">
        <f t="array" ref="AN65">SQRT((AN9:AO9*$B$22:$C$22+AN10:AO10*$B$23:$C$23+AN11:AO11*$B$24:$C$24+AN4:AO4*($B$25:$C$25-$B$19:$C$19))/($B$9:$C$9*$B$22:$C$22+$B$10:$C$10*$B$23:$C$23+$B$11:$C$11*$B$24:$C$24+$B$4:$C$4*($B$25:$C$25-$B$19:$C$19))*(AN9:AO9*AN22:AO22+AN10:AO10*AN23:AO23+AN11:AO11*AN24:AO24+AN4:AO4*(AN25:AO25-AN19:AO19))/($B$9:$C$9*AN22:AO22+$B$10:$C$10*AN23:AO23+$B$11:$C$11*AN24:AO24+$B$4:$C$4*(AN25:AO25-AN19:AO19)))</f>
        <v>#DIV/0!</v>
      </c>
      <c r="AO65" s="191"/>
      <c r="AP65" s="191" t="e">
        <f t="array" ref="AP65">SQRT((AP9:AQ9*$B$22:$C$22+AP10:AQ10*$B$23:$C$23+AP11:AQ11*$B$24:$C$24+AP4:AQ4*($B$25:$C$25-$B$19:$C$19))/($B$9:$C$9*$B$22:$C$22+$B$10:$C$10*$B$23:$C$23+$B$11:$C$11*$B$24:$C$24+$B$4:$C$4*($B$25:$C$25-$B$19:$C$19))*(AP9:AQ9*AP22:AQ22+AP10:AQ10*AP23:AQ23+AP11:AQ11*AP24:AQ24+AP4:AQ4*(AP25:AQ25-AP19:AQ19))/($B$9:$C$9*AP22:AQ22+$B$10:$C$10*AP23:AQ23+$B$11:$C$11*AP24:AQ24+$B$4:$C$4*(AP25:AQ25-AP19:AQ19)))</f>
        <v>#DIV/0!</v>
      </c>
      <c r="AQ65" s="191"/>
      <c r="AR65" s="191" t="e">
        <f t="array" ref="AR65">SQRT((AR9:AS9*$B$22:$C$22+AR10:AS10*$B$23:$C$23+AR11:AS11*$B$24:$C$24+AR4:AS4*($B$25:$C$25-$B$19:$C$19))/($B$9:$C$9*$B$22:$C$22+$B$10:$C$10*$B$23:$C$23+$B$11:$C$11*$B$24:$C$24+$B$4:$C$4*($B$25:$C$25-$B$19:$C$19))*(AR9:AS9*AR22:AS22+AR10:AS10*AR23:AS23+AR11:AS11*AR24:AS24+AR4:AS4*(AR25:AS25-AR19:AS19))/($B$9:$C$9*AR22:AS22+$B$10:$C$10*AR23:AS23+$B$11:$C$11*AR24:AS24+$B$4:$C$4*(AR25:AS25-AR19:AS19)))</f>
        <v>#DIV/0!</v>
      </c>
      <c r="AS65" s="191"/>
      <c r="AT65" s="191" t="e">
        <f t="array" ref="AT65">SQRT((AT9:AU9*$B$22:$C$22+AT10:AU10*$B$23:$C$23+AT11:AU11*$B$24:$C$24+AT4:AU4*($B$25:$C$25-$B$19:$C$19))/($B$9:$C$9*$B$22:$C$22+$B$10:$C$10*$B$23:$C$23+$B$11:$C$11*$B$24:$C$24+$B$4:$C$4*($B$25:$C$25-$B$19:$C$19))*(AT9:AU9*AT22:AU22+AT10:AU10*AT23:AU23+AT11:AU11*AT24:AU24+AT4:AU4*(AT25:AU25-AT19:AU19))/($B$9:$C$9*AT22:AU22+$B$10:$C$10*AT23:AU23+$B$11:$C$11*AT24:AU24+$B$4:$C$4*(AT25:AU25-AT19:AU19)))</f>
        <v>#DIV/0!</v>
      </c>
      <c r="AU65" s="191"/>
      <c r="AV65" s="191" t="e">
        <f t="array" ref="AV65">SQRT((AV9:AW9*$B$22:$C$22+AV10:AW10*$B$23:$C$23+AV11:AW11*$B$24:$C$24+AV4:AW4*($B$25:$C$25-$B$19:$C$19))/($B$9:$C$9*$B$22:$C$22+$B$10:$C$10*$B$23:$C$23+$B$11:$C$11*$B$24:$C$24+$B$4:$C$4*($B$25:$C$25-$B$19:$C$19))*(AV9:AW9*AV22:AW22+AV10:AW10*AV23:AW23+AV11:AW11*AV24:AW24+AV4:AW4*(AV25:AW25-AV19:AW19))/($B$9:$C$9*AV22:AW22+$B$10:$C$10*AV23:AW23+$B$11:$C$11*AV24:AW24+$B$4:$C$4*(AV25:AW25-AV19:AW19)))</f>
        <v>#DIV/0!</v>
      </c>
    </row>
    <row r="66" spans="1:48 16384:16384" x14ac:dyDescent="0.2">
      <c r="A66" t="s">
        <v>182</v>
      </c>
      <c r="B66" s="191">
        <f t="array" ref="B66">SQRT((B9:C9*$B$22:$C$22)/($B$9:$C$9*$B$22:$C$22)*(B9:C9*B22:C22)/($B$9:$C$9*B22:C22))</f>
        <v>1</v>
      </c>
      <c r="C66" s="191"/>
      <c r="D66" s="191">
        <f t="array" ref="D66">SQRT((D9:E9*$B$22:$C$22)/($B$9:$C$9*$B$22:$C$22)*(D9:E9*D22:E22)/($B$9:$C$9*D22:E22))</f>
        <v>0.99856279213718002</v>
      </c>
      <c r="E66" s="191"/>
      <c r="F66" s="191">
        <f t="array" ref="F66">SQRT((F9:G9*$B$22:$C$22)/($B$9:$C$9*$B$22:$C$22)*(F9:G9*F22:G22)/($B$9:$C$9*F22:G22))</f>
        <v>0.99707237521477465</v>
      </c>
      <c r="G66" s="191"/>
      <c r="H66" s="191">
        <f t="array" ref="H66">SQRT((H9:I9*$B$22:$C$22)/($B$9:$C$9*$B$22:$C$22)*(H9:I9*H22:I22)/($B$9:$C$9*H22:I22))</f>
        <v>0.99552073366021543</v>
      </c>
      <c r="I66" s="191"/>
      <c r="J66" s="191">
        <f t="array" ref="J66">SQRT((J9:K9*$B$22:$C$22)/($B$9:$C$9*$B$22:$C$22)*(J9:K9*J22:K22)/($B$9:$C$9*J22:K22))</f>
        <v>0.99389854330598804</v>
      </c>
      <c r="K66" s="191"/>
      <c r="L66" s="191">
        <f t="array" ref="L66">SQRT((L9:M9*$B$22:$C$22)/($B$9:$C$9*$B$22:$C$22)*(L9:M9*L22:M22)/($B$9:$C$9*L22:M22))</f>
        <v>0.99219523844123736</v>
      </c>
      <c r="M66" s="191"/>
      <c r="N66" s="191">
        <f t="array" ref="N66">SQRT((N9:O9*$B$22:$C$22)/($B$9:$C$9*$B$22:$C$22)*(N9:O9*N22:O22)/($B$9:$C$9*N22:O22))</f>
        <v>0.99039913112711409</v>
      </c>
      <c r="O66" s="191"/>
      <c r="P66" s="191">
        <f t="array" ref="P66">SQRT((P9:Q9*$B$22:$C$22)/($B$9:$C$9*$B$22:$C$22)*(P9:Q9*P22:Q22)/($B$9:$C$9*P22:Q22))</f>
        <v>0.98849811313136771</v>
      </c>
      <c r="Q66" s="191"/>
      <c r="R66" s="191">
        <f t="array" ref="R66">SQRT((R9:S9*$B$22:$C$22)/($B$9:$C$9*$B$22:$C$22)*(R9:S9*R22:S22)/($B$9:$C$9*R22:S22))</f>
        <v>0.98648099866016981</v>
      </c>
      <c r="S66" s="191"/>
      <c r="T66" s="191">
        <f t="array" ref="T66">SQRT((T9:U9*$B$22:$C$22)/($B$9:$C$9*$B$22:$C$22)*(T9:U9*T22:U22)/($B$9:$C$9*T22:U22))</f>
        <v>0.98434036710022033</v>
      </c>
      <c r="U66" s="191"/>
      <c r="V66" s="191">
        <f t="array" ref="V66">SQRT((V9:W9*$B$22:$C$22)/($B$9:$C$9*$B$22:$C$22)*(V9:W9*V22:W22)/($B$9:$C$9*V22:W22))</f>
        <v>0.98207813667309229</v>
      </c>
      <c r="W66" s="191"/>
      <c r="X66" s="191">
        <f t="array" ref="X66">SQRT((X9:Y9*$B$22:$C$22)/($B$9:$C$9*$B$22:$C$22)*(X9:Y9*X22:Y22)/($B$9:$C$9*X22:Y22))</f>
        <v>0.97971642031094064</v>
      </c>
      <c r="Y66" s="191"/>
      <c r="Z66" s="191">
        <f t="array" ref="Z66">SQRT((Z9:AA9*$B$22:$C$22)/($B$9:$C$9*$B$22:$C$22)*(Z9:AA9*Z22:AA22)/($B$9:$C$9*Z22:AA22))</f>
        <v>0.9773185929007534</v>
      </c>
      <c r="AA66" s="191"/>
      <c r="AB66" s="191">
        <f t="array" ref="AB66">SQRT((AB9:AC9*$B$22:$C$22)/($B$9:$C$9*$B$22:$C$22)*(AB9:AC9*AB22:AC22)/($B$9:$C$9*AB22:AC22))</f>
        <v>0.97502994243140517</v>
      </c>
      <c r="AC66" s="191"/>
      <c r="AD66" s="191">
        <f t="array" ref="AD66">SQRT((AD9:AE9*$B$22:$C$22)/($B$9:$C$9*$B$22:$C$22)*(AD9:AE9*AD22:AE22)/($B$9:$C$9*AD22:AE22))</f>
        <v>0.9731526694965591</v>
      </c>
      <c r="AE66" s="191"/>
      <c r="AF66" s="191">
        <f t="array" ref="AF66">SQRT((AF9:AG9*$B$22:$C$22)/($B$9:$C$9*$B$22:$C$22)*(AF9:AG9*AF22:AG22)/($B$9:$C$9*AF22:AG22))</f>
        <v>0.97225976984850204</v>
      </c>
      <c r="AG66" s="191"/>
      <c r="AH66" s="191">
        <f t="array" ref="AH66">SQRT((AH9:AI9*$B$22:$C$22)/($B$9:$C$9*$B$22:$C$22)*(AH9:AI9*AH22:AI22)/($B$9:$C$9*AH22:AI22))</f>
        <v>0.97324089652329526</v>
      </c>
      <c r="AI66" s="191"/>
      <c r="AJ66" s="191">
        <f t="array" ref="AJ66">SQRT((AJ9:AK9*$B$22:$C$22)/($B$9:$C$9*$B$22:$C$22)*(AJ9:AK9*AJ22:AK22)/($B$9:$C$9*AJ22:AK22))</f>
        <v>0.97684567068799255</v>
      </c>
      <c r="AK66" s="191"/>
      <c r="AL66" s="191">
        <f t="array" ref="AL66">SQRT((AL9:AM9*$B$22:$C$22)/($B$9:$C$9*$B$22:$C$22)*(AL9:AM9*AL22:AM22)/($B$9:$C$9*AL22:AM22))</f>
        <v>0.98253160233402503</v>
      </c>
      <c r="AM66" s="191"/>
      <c r="AN66" s="191" t="e">
        <f t="array" ref="AN66">SQRT((AN9:AO9*$B$22:$C$22)/($B$9:$C$9*$B$22:$C$22)*(AN9:AO9*AN22:AO22)/($B$9:$C$9*AN22:AO22))</f>
        <v>#DIV/0!</v>
      </c>
      <c r="AO66" s="191"/>
      <c r="AP66" s="191" t="e">
        <f t="array" ref="AP66">SQRT((AP9:AQ9*$B$22:$C$22)/($B$9:$C$9*$B$22:$C$22)*(AP9:AQ9*AP22:AQ22)/($B$9:$C$9*AP22:AQ22))</f>
        <v>#DIV/0!</v>
      </c>
      <c r="AQ66" s="191"/>
      <c r="AR66" s="191" t="e">
        <f t="array" ref="AR66">SQRT((AR9:AS9*$B$22:$C$22)/($B$9:$C$9*$B$22:$C$22)*(AR9:AS9*AR22:AS22)/($B$9:$C$9*AR22:AS22))</f>
        <v>#DIV/0!</v>
      </c>
      <c r="AS66" s="191"/>
      <c r="AT66" s="191" t="e">
        <f t="array" ref="AT66">SQRT((AT9:AU9*$B$22:$C$22)/($B$9:$C$9*$B$22:$C$22)*(AT9:AU9*AT22:AU22)/($B$9:$C$9*AT22:AU22))</f>
        <v>#DIV/0!</v>
      </c>
      <c r="AU66" s="191"/>
      <c r="AV66" s="191" t="e">
        <f t="array" ref="AV66">SQRT((AV9:AW9*$B$22:$C$22)/($B$9:$C$9*$B$22:$C$22)*(AV9:AW9*AV22:AW22)/($B$9:$C$9*AV22:AW22))</f>
        <v>#DIV/0!</v>
      </c>
      <c r="XFD66" s="191"/>
    </row>
    <row r="67" spans="1:48 16384:16384" x14ac:dyDescent="0.2">
      <c r="A67" t="s">
        <v>183</v>
      </c>
      <c r="B67" s="191">
        <f t="array" ref="B67">SQRT((B4:C4*$B$19:$C$19)/($B$4:$C$4*$B$19:$C$19)*(B4:C4*B19:C19)/($B$4:$C$4*B19:C19))</f>
        <v>1</v>
      </c>
      <c r="C67" s="191"/>
      <c r="D67" s="191">
        <f t="array" ref="D67">SQRT((D4:E4*$B$19:$C$19)/($B$4:$C$4*$B$19:$C$19)*(D4:E4*D19:E19)/($B$4:$C$4*D19:E19))</f>
        <v>1</v>
      </c>
      <c r="E67" s="191"/>
      <c r="F67" s="191">
        <f t="array" ref="F67">SQRT((F4:G4*$B$19:$C$19)/($B$4:$C$4*$B$19:$C$19)*(F4:G4*F19:G19)/($B$4:$C$4*F19:G19))</f>
        <v>1</v>
      </c>
      <c r="G67" s="191"/>
      <c r="H67" s="191">
        <f t="array" ref="H67">SQRT((H4:I4*$B$19:$C$19)/($B$4:$C$4*$B$19:$C$19)*(H4:I4*H19:I19)/($B$4:$C$4*H19:I19))</f>
        <v>1</v>
      </c>
      <c r="I67" s="191"/>
      <c r="J67" s="191">
        <f t="array" ref="J67">SQRT((J4:K4*$B$19:$C$19)/($B$4:$C$4*$B$19:$C$19)*(J4:K4*J19:K19)/($B$4:$C$4*J19:K19))</f>
        <v>1</v>
      </c>
      <c r="K67" s="191"/>
      <c r="L67" s="191">
        <f t="array" ref="L67">SQRT((L4:M4*$B$19:$C$19)/($B$4:$C$4*$B$19:$C$19)*(L4:M4*L19:M19)/($B$4:$C$4*L19:M19))</f>
        <v>1</v>
      </c>
      <c r="M67" s="191"/>
      <c r="N67" s="191">
        <f t="array" ref="N67">SQRT((N4:O4*$B$19:$C$19)/($B$4:$C$4*$B$19:$C$19)*(N4:O4*N19:O19)/($B$4:$C$4*N19:O19))</f>
        <v>1</v>
      </c>
      <c r="O67" s="191"/>
      <c r="P67" s="191">
        <f t="array" ref="P67">SQRT((P4:Q4*$B$19:$C$19)/($B$4:$C$4*$B$19:$C$19)*(P4:Q4*P19:Q19)/($B$4:$C$4*P19:Q19))</f>
        <v>1</v>
      </c>
      <c r="Q67" s="191"/>
      <c r="R67" s="191">
        <f t="array" ref="R67">SQRT((R4:S4*$B$19:$C$19)/($B$4:$C$4*$B$19:$C$19)*(R4:S4*R19:S19)/($B$4:$C$4*R19:S19))</f>
        <v>1</v>
      </c>
      <c r="S67" s="191"/>
      <c r="T67" s="191">
        <f t="array" ref="T67">SQRT((T4:U4*$B$19:$C$19)/($B$4:$C$4*$B$19:$C$19)*(T4:U4*T19:U19)/($B$4:$C$4*T19:U19))</f>
        <v>1</v>
      </c>
      <c r="U67" s="191"/>
      <c r="V67" s="191">
        <f t="array" ref="V67">SQRT((V4:W4*$B$19:$C$19)/($B$4:$C$4*$B$19:$C$19)*(V4:W4*V19:W19)/($B$4:$C$4*V19:W19))</f>
        <v>1</v>
      </c>
      <c r="W67" s="191"/>
      <c r="X67" s="191">
        <f t="array" ref="X67">SQRT((X4:Y4*$B$19:$C$19)/($B$4:$C$4*$B$19:$C$19)*(X4:Y4*X19:Y19)/($B$4:$C$4*X19:Y19))</f>
        <v>1</v>
      </c>
      <c r="Y67" s="191"/>
      <c r="Z67" s="191">
        <f t="array" ref="Z67">SQRT((Z4:AA4*$B$19:$C$19)/($B$4:$C$4*$B$19:$C$19)*(Z4:AA4*Z19:AA19)/($B$4:$C$4*Z19:AA19))</f>
        <v>1</v>
      </c>
      <c r="AA67" s="191"/>
      <c r="AB67" s="191">
        <f t="array" ref="AB67">SQRT((AB4:AC4*$B$19:$C$19)/($B$4:$C$4*$B$19:$C$19)*(AB4:AC4*AB19:AC19)/($B$4:$C$4*AB19:AC19))</f>
        <v>1</v>
      </c>
      <c r="AC67" s="191"/>
      <c r="AD67" s="191">
        <f t="array" ref="AD67">SQRT((AD4:AE4*$B$19:$C$19)/($B$4:$C$4*$B$19:$C$19)*(AD4:AE4*AD19:AE19)/($B$4:$C$4*AD19:AE19))</f>
        <v>1</v>
      </c>
      <c r="AE67" s="191"/>
      <c r="AF67" s="191">
        <f t="array" ref="AF67">SQRT((AF4:AG4*$B$19:$C$19)/($B$4:$C$4*$B$19:$C$19)*(AF4:AG4*AF19:AG19)/($B$4:$C$4*AF19:AG19))</f>
        <v>1</v>
      </c>
      <c r="AG67" s="191"/>
      <c r="AH67" s="191">
        <f t="array" ref="AH67">SQRT((AH4:AI4*$B$19:$C$19)/($B$4:$C$4*$B$19:$C$19)*(AH4:AI4*AH19:AI19)/($B$4:$C$4*AH19:AI19))</f>
        <v>1</v>
      </c>
      <c r="AI67" s="191"/>
      <c r="AJ67" s="191">
        <f t="array" ref="AJ67">SQRT((AJ4:AK4*$B$19:$C$19)/($B$4:$C$4*$B$19:$C$19)*(AJ4:AK4*AJ19:AK19)/($B$4:$C$4*AJ19:AK19))</f>
        <v>1</v>
      </c>
      <c r="AK67" s="191"/>
      <c r="AL67" s="191">
        <f t="array" ref="AL67">SQRT((AL4:AM4*$B$19:$C$19)/($B$4:$C$4*$B$19:$C$19)*(AL4:AM4*AL19:AM19)/($B$4:$C$4*AL19:AM19))</f>
        <v>1</v>
      </c>
      <c r="AM67" s="191"/>
      <c r="AN67" s="191" t="e">
        <f t="array" ref="AN67">SQRT((AN4:AO4*$B$19:$C$19)/($B$4:$C$4*$B$19:$C$19)*(AN4:AO4*AN19:AO19)/($B$4:$C$4*AN19:AO19))</f>
        <v>#DIV/0!</v>
      </c>
      <c r="AO67" s="191"/>
      <c r="AP67" s="191" t="e">
        <f t="array" ref="AP67">SQRT((AP4:AQ4*$B$19:$C$19)/($B$4:$C$4*$B$19:$C$19)*(AP4:AQ4*AP19:AQ19)/($B$4:$C$4*AP19:AQ19))</f>
        <v>#DIV/0!</v>
      </c>
      <c r="AQ67" s="191"/>
      <c r="AR67" s="191" t="e">
        <f t="array" ref="AR67">SQRT((AR4:AS4*$B$19:$C$19)/($B$4:$C$4*$B$19:$C$19)*(AR4:AS4*AR19:AS19)/($B$4:$C$4*AR19:AS19))</f>
        <v>#DIV/0!</v>
      </c>
      <c r="AS67" s="191"/>
      <c r="AT67" s="191" t="e">
        <f t="array" ref="AT67">SQRT((AT4:AU4*$B$19:$C$19)/($B$4:$C$4*$B$19:$C$19)*(AT4:AU4*AT19:AU19)/($B$4:$C$4*AT19:AU19))</f>
        <v>#DIV/0!</v>
      </c>
      <c r="AU67" s="191"/>
      <c r="AV67" s="191" t="e">
        <f t="array" ref="AV67">SQRT((AV4:AW4*$B$19:$C$19)/($B$4:$C$4*$B$19:$C$19)*(AV4:AW4*AV19:AW19)/($B$4:$C$4*AV19:AW19))</f>
        <v>#DIV/0!</v>
      </c>
      <c r="XFD67" s="191"/>
    </row>
    <row r="68" spans="1:48 16384:16384" x14ac:dyDescent="0.2">
      <c r="A68" t="s">
        <v>181</v>
      </c>
      <c r="B68" s="191">
        <f>B66/B67</f>
        <v>1</v>
      </c>
      <c r="C68" s="191"/>
      <c r="D68" s="191">
        <f>D66/D67</f>
        <v>0.99856279213718002</v>
      </c>
      <c r="E68" s="191"/>
      <c r="F68" s="191">
        <f>F66/F67</f>
        <v>0.99707237521477465</v>
      </c>
      <c r="G68" s="191"/>
      <c r="H68" s="191">
        <f>H66/H67</f>
        <v>0.99552073366021543</v>
      </c>
      <c r="I68" s="191"/>
      <c r="J68" s="191">
        <f>J66/J67</f>
        <v>0.99389854330598804</v>
      </c>
      <c r="K68" s="191"/>
      <c r="L68" s="191">
        <f>L66/L67</f>
        <v>0.99219523844123736</v>
      </c>
      <c r="M68" s="191"/>
      <c r="N68" s="191">
        <f>N66/N67</f>
        <v>0.99039913112711409</v>
      </c>
      <c r="O68" s="191"/>
      <c r="P68" s="191">
        <f>P66/P67</f>
        <v>0.98849811313136771</v>
      </c>
      <c r="Q68" s="191"/>
      <c r="R68" s="191">
        <f>R66/R67</f>
        <v>0.98648099866016981</v>
      </c>
      <c r="S68" s="191"/>
      <c r="T68" s="191">
        <f>T66/T67</f>
        <v>0.98434036710022033</v>
      </c>
      <c r="U68" s="191"/>
      <c r="V68" s="191">
        <f>V66/V67</f>
        <v>0.98207813667309229</v>
      </c>
      <c r="W68" s="191"/>
      <c r="X68" s="191">
        <f>X66/X67</f>
        <v>0.97971642031094064</v>
      </c>
      <c r="Y68" s="191"/>
      <c r="Z68" s="191">
        <f>Z66/Z67</f>
        <v>0.9773185929007534</v>
      </c>
      <c r="AA68" s="191"/>
      <c r="AB68" s="191">
        <f>AB66/AB67</f>
        <v>0.97502994243140517</v>
      </c>
      <c r="AC68" s="191"/>
      <c r="AD68" s="191">
        <f>AD66/AD67</f>
        <v>0.9731526694965591</v>
      </c>
      <c r="AE68" s="191"/>
      <c r="AF68" s="191">
        <f>AF66/AF67</f>
        <v>0.97225976984850204</v>
      </c>
      <c r="AG68" s="191"/>
      <c r="AH68" s="191">
        <f>AH66/AH67</f>
        <v>0.97324089652329526</v>
      </c>
      <c r="AI68" s="191"/>
      <c r="AJ68" s="191">
        <f>AJ66/AJ67</f>
        <v>0.97684567068799255</v>
      </c>
      <c r="AK68" s="191"/>
      <c r="AL68" s="191">
        <f>AL66/AL67</f>
        <v>0.98253160233402503</v>
      </c>
      <c r="AM68" s="191"/>
      <c r="AN68" s="191" t="e">
        <f>AN66/AN67</f>
        <v>#DIV/0!</v>
      </c>
      <c r="AO68" s="191"/>
      <c r="AP68" s="191" t="e">
        <f>AP66/AP67</f>
        <v>#DIV/0!</v>
      </c>
      <c r="AQ68" s="191"/>
      <c r="AR68" s="191" t="e">
        <f>AR66/AR67</f>
        <v>#DIV/0!</v>
      </c>
      <c r="AS68" s="191"/>
      <c r="AT68" s="191" t="e">
        <f>AT66/AT67</f>
        <v>#DIV/0!</v>
      </c>
      <c r="AU68" s="191"/>
      <c r="AV68" s="191" t="e">
        <f>AV66/AV67</f>
        <v>#DIV/0!</v>
      </c>
      <c r="XFD68" s="191"/>
    </row>
    <row r="69" spans="1:48 16384:16384" x14ac:dyDescent="0.2">
      <c r="A69" t="s">
        <v>177</v>
      </c>
      <c r="B69" s="191">
        <f>B32/B65/($B$32)</f>
        <v>1</v>
      </c>
      <c r="C69" s="191"/>
      <c r="D69" s="191">
        <f>D32/D65/($B$32)</f>
        <v>1.0015355640368551</v>
      </c>
      <c r="E69" s="191"/>
      <c r="F69" s="191">
        <f>F32/F65/($B$32)</f>
        <v>1.0029533353360118</v>
      </c>
      <c r="G69" s="191"/>
      <c r="H69" s="191">
        <f>H32/H65/($B$32)</f>
        <v>1.0042341786707865</v>
      </c>
      <c r="I69" s="191"/>
      <c r="J69" s="191">
        <f>J32/J65/($B$32)</f>
        <v>1.0053547006099977</v>
      </c>
      <c r="K69" s="191"/>
      <c r="L69" s="191">
        <f>L32/L65/($B$32)</f>
        <v>1.0062855939854014</v>
      </c>
      <c r="M69" s="191"/>
      <c r="N69" s="191">
        <f>N32/N65/($B$32)</f>
        <v>1.0069905947458884</v>
      </c>
      <c r="O69" s="191"/>
      <c r="P69" s="191">
        <f>P32/P65/($B$32)</f>
        <v>1.007423546778965</v>
      </c>
      <c r="Q69" s="191"/>
      <c r="R69" s="191">
        <f>R32/R65/($B$32)</f>
        <v>1.0075253323686011</v>
      </c>
      <c r="S69" s="191"/>
      <c r="T69" s="191">
        <f>T32/T65/($B$32)</f>
        <v>1.0072191391502046</v>
      </c>
      <c r="U69" s="191"/>
      <c r="V69" s="191">
        <f>V32/V65/($B$32)</f>
        <v>1.0064031911362579</v>
      </c>
      <c r="W69" s="191"/>
      <c r="X69" s="191">
        <f>X32/X65/($B$32)</f>
        <v>1.0049396226255427</v>
      </c>
      <c r="Y69" s="191"/>
      <c r="Z69" s="191">
        <f>Z32/Z65/($B$32)</f>
        <v>1.0026356057613819</v>
      </c>
      <c r="AA69" s="191"/>
      <c r="AB69" s="191">
        <f>AB32/AB65/($B$32)</f>
        <v>0.9992084123831898</v>
      </c>
      <c r="AC69" s="191"/>
      <c r="AD69" s="191">
        <f>AD32/AD65/($B$32)</f>
        <v>0.99421016401771667</v>
      </c>
      <c r="AE69" s="191"/>
      <c r="AF69" s="191">
        <f>AF32/AF65/($B$32)</f>
        <v>0.9868344704099753</v>
      </c>
      <c r="AG69" s="191"/>
      <c r="AH69" s="191">
        <f>AH32/AH65/($B$32)</f>
        <v>0.97532713987939812</v>
      </c>
      <c r="AI69" s="191"/>
      <c r="AJ69" s="191">
        <f>AJ32/AJ65/($B$32)</f>
        <v>0.95507999880386729</v>
      </c>
      <c r="AK69" s="191"/>
      <c r="AL69" s="191">
        <f>AL32/AL65/($B$32)</f>
        <v>0.91231613244492482</v>
      </c>
      <c r="AM69" s="191"/>
      <c r="AN69" s="191" t="e">
        <f>AN32/AN65/($B$32)</f>
        <v>#DIV/0!</v>
      </c>
      <c r="AO69" s="191"/>
      <c r="AP69" s="191" t="e">
        <f>AP32/AP65/($B$32)</f>
        <v>#DIV/0!</v>
      </c>
      <c r="AQ69" s="191"/>
      <c r="AR69" s="191" t="e">
        <f>AR32/AR65/($B$32)</f>
        <v>#DIV/0!</v>
      </c>
      <c r="AS69" s="191"/>
      <c r="AT69" s="191" t="e">
        <f>AT32/AT65/($B$32)</f>
        <v>#DIV/0!</v>
      </c>
      <c r="AU69" s="191"/>
      <c r="AV69" s="191" t="e">
        <f>AV32/AV65/($B$32)</f>
        <v>#DIV/0!</v>
      </c>
    </row>
    <row r="70" spans="1:48 16384:16384" x14ac:dyDescent="0.2">
      <c r="A70" t="s">
        <v>178</v>
      </c>
      <c r="B70" s="138">
        <f>B18/$B$18</f>
        <v>1</v>
      </c>
      <c r="C70" s="138"/>
      <c r="D70" s="138">
        <f>D18/$B$18</f>
        <v>1.0002715339824686</v>
      </c>
      <c r="E70" s="138"/>
      <c r="F70" s="138">
        <f>F18/$B$18</f>
        <v>1.0004126434310308</v>
      </c>
      <c r="G70" s="138"/>
      <c r="H70" s="138">
        <f>H18/$B$18</f>
        <v>1.0004030727156068</v>
      </c>
      <c r="I70" s="138"/>
      <c r="J70" s="138">
        <f>J18/$B$18</f>
        <v>1.0002179578730717</v>
      </c>
      <c r="K70" s="138"/>
      <c r="L70" s="138">
        <f>L18/$B$18</f>
        <v>0.99982604046400403</v>
      </c>
      <c r="M70" s="138"/>
      <c r="N70" s="138">
        <f>N18/$B$18</f>
        <v>0.99918760964948805</v>
      </c>
      <c r="O70" s="138"/>
      <c r="P70" s="138">
        <f>P18/$B$18</f>
        <v>0.99825074315338158</v>
      </c>
      <c r="Q70" s="138"/>
      <c r="R70" s="138">
        <f>R18/$B$18</f>
        <v>0.99694590112626358</v>
      </c>
      <c r="S70" s="138"/>
      <c r="T70" s="138">
        <f>T18/$B$18</f>
        <v>0.99517715773337323</v>
      </c>
      <c r="U70" s="138"/>
      <c r="V70" s="138">
        <f>V18/$B$18</f>
        <v>0.99280747052674956</v>
      </c>
      <c r="W70" s="138"/>
      <c r="X70" s="138">
        <f>X18/$B$18</f>
        <v>0.98963329366815755</v>
      </c>
      <c r="Y70" s="138"/>
      <c r="Z70" s="138">
        <f>Z18/$B$18</f>
        <v>0.98533840289178432</v>
      </c>
      <c r="AA70" s="138"/>
      <c r="AB70" s="138">
        <f>AB18/$B$18</f>
        <v>0.97940615730478542</v>
      </c>
      <c r="AC70" s="138"/>
      <c r="AD70" s="138">
        <f>AD18/$B$18</f>
        <v>0.97094523377606579</v>
      </c>
      <c r="AE70" s="138"/>
      <c r="AF70" s="138">
        <f>AF18/$B$18</f>
        <v>0.95833622577044963</v>
      </c>
      <c r="AG70" s="138"/>
      <c r="AH70" s="138">
        <f>AH18/$B$18</f>
        <v>0.93852065992406175</v>
      </c>
      <c r="AI70" s="138"/>
      <c r="AJ70" s="138">
        <f>AJ18/$B$18</f>
        <v>0.90546715665732735</v>
      </c>
      <c r="AK70" s="138"/>
      <c r="AL70" s="138">
        <f>AL18/$B$18</f>
        <v>0.84502882126374801</v>
      </c>
      <c r="AM70" s="138"/>
      <c r="AN70" s="138">
        <f>AN18/$B$18</f>
        <v>0</v>
      </c>
      <c r="AO70" s="138"/>
      <c r="AP70" s="138">
        <f>AP18/$B$18</f>
        <v>0</v>
      </c>
      <c r="AQ70" s="138"/>
      <c r="AR70" s="138">
        <f>AR18/$B$18</f>
        <v>0</v>
      </c>
      <c r="AS70" s="138"/>
      <c r="AT70" s="138">
        <f>AT18/$B$18</f>
        <v>0</v>
      </c>
      <c r="AU70" s="138"/>
      <c r="AV70" s="138">
        <f>AV18/$B$18</f>
        <v>0</v>
      </c>
    </row>
    <row r="71" spans="1:48 16384:16384" x14ac:dyDescent="0.2">
      <c r="A71" t="s">
        <v>179</v>
      </c>
      <c r="B71" s="138">
        <f>C18/$C$18</f>
        <v>1</v>
      </c>
      <c r="D71" s="138">
        <f>E18/$C$18</f>
        <v>0.93082872410511197</v>
      </c>
      <c r="E71" s="138"/>
      <c r="F71" s="138">
        <f>G18/$C$18</f>
        <v>0.86161465985830654</v>
      </c>
      <c r="G71" s="138"/>
      <c r="H71" s="138">
        <f>I18/$C$18</f>
        <v>0.79237720410585222</v>
      </c>
      <c r="I71" s="138"/>
      <c r="J71" s="138">
        <f>K18/$C$18</f>
        <v>0.72314394302521545</v>
      </c>
      <c r="K71" s="138"/>
      <c r="L71" s="138">
        <f>M18/$C$18</f>
        <v>0.65396453571815216</v>
      </c>
      <c r="M71" s="138"/>
      <c r="N71" s="138">
        <f>O18/$C$18</f>
        <v>0.58490784804711315</v>
      </c>
      <c r="O71" s="138"/>
      <c r="P71" s="138">
        <f>Q18/$C$18</f>
        <v>0.51608855328883085</v>
      </c>
      <c r="Q71" s="138"/>
      <c r="R71" s="138">
        <f>S18/$C$18</f>
        <v>0.44768634105418981</v>
      </c>
      <c r="S71" s="138"/>
      <c r="T71" s="138">
        <f>U18/$C$18</f>
        <v>0.37998287551267412</v>
      </c>
      <c r="U71" s="138"/>
      <c r="V71" s="138">
        <f>W18/$C$18</f>
        <v>0.31342211462634983</v>
      </c>
      <c r="W71" s="138"/>
      <c r="X71" s="138">
        <f>Y18/$C$18</f>
        <v>0.24870044909293373</v>
      </c>
      <c r="Y71" s="138"/>
      <c r="Z71" s="138">
        <f>AA18/$C$18</f>
        <v>0.18690793462263197</v>
      </c>
      <c r="AA71" s="138"/>
      <c r="AB71" s="138">
        <f>AC18/$C$18</f>
        <v>0.12973260193281513</v>
      </c>
      <c r="AC71" s="138"/>
      <c r="AD71" s="138">
        <f>AE18/$C$18</f>
        <v>7.9705678414720843E-2</v>
      </c>
      <c r="AE71" s="138"/>
      <c r="AF71" s="138">
        <f>AG18/$C$18</f>
        <v>4.0252400335033175E-2</v>
      </c>
      <c r="AG71" s="138"/>
      <c r="AH71" s="138">
        <f>AI18/$C$18</f>
        <v>1.4708071744206925E-2</v>
      </c>
      <c r="AI71" s="138"/>
      <c r="AJ71" s="138">
        <f>AK18/$C$18</f>
        <v>3.1706285756320455E-3</v>
      </c>
      <c r="AK71" s="138"/>
      <c r="AL71" s="138">
        <f>AM18/$C$18</f>
        <v>2.8936171524922256E-4</v>
      </c>
      <c r="AM71" s="138"/>
      <c r="AN71" s="138">
        <f>AO18/$C$18</f>
        <v>0</v>
      </c>
      <c r="AO71" s="138"/>
      <c r="AP71" s="138">
        <f>AQ18/$C$18</f>
        <v>0</v>
      </c>
      <c r="AQ71" s="138"/>
      <c r="AR71" s="138">
        <f>AS18/$C$18</f>
        <v>0</v>
      </c>
      <c r="AS71" s="138"/>
      <c r="AT71" s="138">
        <f>AU18/$C$18</f>
        <v>0</v>
      </c>
      <c r="AU71" s="138"/>
      <c r="AV71" s="138">
        <f>AW18/$C$18</f>
        <v>0</v>
      </c>
      <c r="XFD71" s="138"/>
    </row>
    <row r="72" spans="1:48 16384:16384" x14ac:dyDescent="0.2">
      <c r="A72" t="s">
        <v>180</v>
      </c>
      <c r="B72" s="138">
        <f>C19/$C$19</f>
        <v>1</v>
      </c>
      <c r="D72" s="138">
        <f>E19/$C$19</f>
        <v>1.0213920558464402</v>
      </c>
      <c r="E72" s="138"/>
      <c r="F72" s="138">
        <f>G19/$C$19</f>
        <v>1.0464023385895653</v>
      </c>
      <c r="G72" s="138"/>
      <c r="H72" s="138">
        <f>I19/$C$19</f>
        <v>1.0755001217462072</v>
      </c>
      <c r="I72" s="138"/>
      <c r="J72" s="138">
        <f>K19/$C$19</f>
        <v>1.1092117957766063</v>
      </c>
      <c r="K72" s="138"/>
      <c r="L72" s="138">
        <f>M19/$C$19</f>
        <v>1.148109274006047</v>
      </c>
      <c r="M72" s="138"/>
      <c r="N72" s="138">
        <f>O19/$C$19</f>
        <v>1.1928069799584373</v>
      </c>
      <c r="O72" s="138"/>
      <c r="P72" s="138">
        <f>Q19/$C$19</f>
        <v>1.243900077952834</v>
      </c>
      <c r="Q72" s="138"/>
      <c r="R72" s="138">
        <f>S19/$C$19</f>
        <v>1.3018872120615621</v>
      </c>
      <c r="S72" s="138"/>
      <c r="T72" s="138">
        <f>U19/$C$19</f>
        <v>1.3669965178446792</v>
      </c>
      <c r="U72" s="138"/>
      <c r="V72" s="138">
        <f>W19/$C$19</f>
        <v>1.4388603227123933</v>
      </c>
      <c r="W72" s="138"/>
      <c r="X72" s="138">
        <f>Y19/$C$19</f>
        <v>1.515894608003308</v>
      </c>
      <c r="Y72" s="138"/>
      <c r="Z72" s="138">
        <f>AA19/$C$19</f>
        <v>1.5941185338194175</v>
      </c>
      <c r="AA72" s="138"/>
      <c r="AB72" s="138">
        <f>AC19/$C$19</f>
        <v>1.664912579549739</v>
      </c>
      <c r="AC72" s="138"/>
      <c r="AD72" s="138">
        <f>AE19/$C$19</f>
        <v>1.710964104429934</v>
      </c>
      <c r="AE72" s="138"/>
      <c r="AF72" s="138">
        <f>AG19/$C$19</f>
        <v>1.7002691273036712</v>
      </c>
      <c r="AG72" s="138"/>
      <c r="AH72" s="138">
        <f>AI19/$C$19</f>
        <v>1.583993254928266</v>
      </c>
      <c r="AI72" s="138"/>
      <c r="AJ72" s="138">
        <f>AK19/$C$19</f>
        <v>1.3198963951074667</v>
      </c>
      <c r="AK72" s="138"/>
      <c r="AL72" s="138">
        <f>AM19/$C$19</f>
        <v>0.924876134993312</v>
      </c>
      <c r="AM72" s="138"/>
      <c r="AN72" s="138">
        <f>AO19/$C$19</f>
        <v>0</v>
      </c>
      <c r="AO72" s="138"/>
      <c r="AP72" s="138">
        <f>AQ19/$C$19</f>
        <v>0</v>
      </c>
      <c r="AQ72" s="138"/>
      <c r="AR72" s="138">
        <f>AS19/$C$19</f>
        <v>0</v>
      </c>
      <c r="AS72" s="138"/>
      <c r="AT72" s="138">
        <f>AU19/$C$19</f>
        <v>0</v>
      </c>
      <c r="AU72" s="138"/>
      <c r="AV72" s="138">
        <f>AW19/$C$19</f>
        <v>0</v>
      </c>
      <c r="XFD72" s="138"/>
    </row>
    <row r="73" spans="1:48 16384:16384" x14ac:dyDescent="0.2">
      <c r="A73" t="s">
        <v>184</v>
      </c>
      <c r="B73" s="193">
        <f t="array" ref="B73">SUM(B9:C9*B22:C22)/B32</f>
        <v>0.47641153352875065</v>
      </c>
      <c r="D73" s="193">
        <f t="array" ref="D73">SUM(D9:E9*D22:E22)/D32</f>
        <v>0.47641154785274903</v>
      </c>
      <c r="E73" s="138"/>
      <c r="F73" s="193">
        <f t="array" ref="F73">SUM(F9:G9*F22:G22)/F32</f>
        <v>0.47641154979908051</v>
      </c>
      <c r="G73" s="138"/>
      <c r="H73" s="193">
        <f t="array" ref="H73">SUM(H9:I9*H22:I22)/H32</f>
        <v>0.4764115546006919</v>
      </c>
      <c r="I73" s="138"/>
      <c r="J73" s="193">
        <f t="array" ref="J73">SUM(J9:K9*J22:K22)/J32</f>
        <v>0.47641158154555246</v>
      </c>
      <c r="K73" s="138"/>
      <c r="L73" s="193">
        <f t="array" ref="L73">SUM(L9:M9*L22:M22)/L32</f>
        <v>0.47641153444032092</v>
      </c>
      <c r="M73" s="138"/>
      <c r="N73" s="193">
        <f t="array" ref="N73">SUM(N9:O9*N22:O22)/N32</f>
        <v>0.47641153526367946</v>
      </c>
      <c r="O73" s="138"/>
      <c r="P73" s="193">
        <f t="array" ref="P73">SUM(P9:Q9*P22:Q22)/P32</f>
        <v>0.47641153609903697</v>
      </c>
      <c r="Q73" s="138"/>
      <c r="R73" s="193">
        <f t="array" ref="R73">SUM(R9:S9*R22:S22)/R32</f>
        <v>0.4764115371411109</v>
      </c>
      <c r="S73" s="138"/>
      <c r="T73" s="193">
        <f t="array" ref="T73">SUM(T9:U9*T22:U22)/T32</f>
        <v>0.47641153759175342</v>
      </c>
      <c r="U73" s="138"/>
      <c r="V73" s="193">
        <f t="array" ref="V73">SUM(V9:W9*V22:W22)/V32</f>
        <v>0.47641153725489516</v>
      </c>
      <c r="W73" s="138"/>
      <c r="X73" s="193">
        <f t="array" ref="X73">SUM(X9:Y9*X22:Y22)/X32</f>
        <v>0.47641153396154351</v>
      </c>
      <c r="Y73" s="138"/>
      <c r="Z73" s="193">
        <f t="array" ref="Z73">SUM(Z9:AA9*Z22:AA22)/Z32</f>
        <v>0.47641153551252047</v>
      </c>
      <c r="AA73" s="138"/>
      <c r="AB73" s="193">
        <f t="array" ref="AB73">SUM(AB9:AC9*AB22:AC22)/AB32</f>
        <v>0.47641153492238758</v>
      </c>
      <c r="AC73" s="138"/>
      <c r="AD73" s="193">
        <f t="array" ref="AD73">SUM(AD9:AE9*AD22:AE22)/AD32</f>
        <v>0.47641153298568401</v>
      </c>
      <c r="AE73" s="138"/>
      <c r="AF73" s="193">
        <f t="array" ref="AF73">SUM(AF9:AG9*AF22:AG22)/AF32</f>
        <v>0.47641153340752412</v>
      </c>
      <c r="AG73" s="138"/>
      <c r="AH73" s="193">
        <f t="array" ref="AH73">SUM(AH9:AI9*AH22:AI22)/AH32</f>
        <v>0.4764115338590556</v>
      </c>
      <c r="AI73" s="138"/>
      <c r="AJ73" s="193">
        <f t="array" ref="AJ73">SUM(AJ9:AK9*AJ22:AK22)/AJ32</f>
        <v>0.47641153354262439</v>
      </c>
      <c r="AK73" s="138"/>
      <c r="AL73" s="193">
        <f t="array" ref="AL73">SUM(AL9:AM9*AL22:AM22)/AL32</f>
        <v>0.47641153353102295</v>
      </c>
      <c r="AM73" s="138"/>
      <c r="AN73" s="193" t="e">
        <f t="array" ref="AN73">SUM(AN9:AO9*AN22:AO22)/AN32</f>
        <v>#DIV/0!</v>
      </c>
      <c r="AO73" s="138"/>
      <c r="AP73" s="193" t="e">
        <f t="array" ref="AP73">SUM(AP9:AQ9*AP22:AQ22)/AP32</f>
        <v>#DIV/0!</v>
      </c>
      <c r="AQ73" s="138"/>
      <c r="AR73" s="193" t="e">
        <f t="array" ref="AR73">SUM(AR9:AS9*AR22:AS22)/AR32</f>
        <v>#DIV/0!</v>
      </c>
      <c r="AS73" s="138"/>
      <c r="AT73" s="193" t="e">
        <f t="array" ref="AT73">SUM(AT9:AU9*AT22:AU22)/AT32</f>
        <v>#DIV/0!</v>
      </c>
      <c r="AU73" s="138"/>
      <c r="AV73" s="193" t="e">
        <f t="array" ref="AV73">SUM(AV9:AW9*AV22:AW22)/AV32</f>
        <v>#DIV/0!</v>
      </c>
      <c r="XFD73" s="193"/>
    </row>
    <row r="74" spans="1:48 16384:16384" x14ac:dyDescent="0.2">
      <c r="A74" t="s">
        <v>185</v>
      </c>
      <c r="B74" s="193">
        <f t="array" ref="B74">SUM(B10:C10*B23:C23)/B32</f>
        <v>0.22604620456442484</v>
      </c>
      <c r="D74" s="193">
        <f t="array" ref="D74">SUM(D10:E10*D23:E23)/D32</f>
        <v>0.22604620456442484</v>
      </c>
      <c r="E74" s="138"/>
      <c r="F74" s="193">
        <f t="array" ref="F74">SUM(F10:G10*F23:G23)/F32</f>
        <v>0.22604620456442484</v>
      </c>
      <c r="G74" s="138"/>
      <c r="H74" s="193">
        <f t="array" ref="H74">SUM(H10:I10*H23:I23)/H32</f>
        <v>0.22604620456442484</v>
      </c>
      <c r="I74" s="138"/>
      <c r="J74" s="193">
        <f t="array" ref="J74">SUM(J10:K10*J23:K23)/J32</f>
        <v>0.22604620456442484</v>
      </c>
      <c r="K74" s="138"/>
      <c r="L74" s="193">
        <f t="array" ref="L74">SUM(L10:M10*L23:M23)/L32</f>
        <v>0.22604620456442484</v>
      </c>
      <c r="M74" s="138"/>
      <c r="N74" s="193">
        <f t="array" ref="N74">SUM(N10:O10*N23:O23)/N32</f>
        <v>0.22604620456442487</v>
      </c>
      <c r="O74" s="138"/>
      <c r="P74" s="193">
        <f t="array" ref="P74">SUM(P10:Q10*P23:Q23)/P32</f>
        <v>0.22604620456442484</v>
      </c>
      <c r="Q74" s="138"/>
      <c r="R74" s="193">
        <f t="array" ref="R74">SUM(R10:S10*R23:S23)/R32</f>
        <v>0.22604620456442484</v>
      </c>
      <c r="S74" s="138"/>
      <c r="T74" s="193">
        <f t="array" ref="T74">SUM(T10:U10*T23:U23)/T32</f>
        <v>0.22604620456442487</v>
      </c>
      <c r="U74" s="138"/>
      <c r="V74" s="193">
        <f t="array" ref="V74">SUM(V10:W10*V23:W23)/V32</f>
        <v>0.22604620456442484</v>
      </c>
      <c r="W74" s="138"/>
      <c r="X74" s="193">
        <f t="array" ref="X74">SUM(X10:Y10*X23:Y23)/X32</f>
        <v>0.22604620456442484</v>
      </c>
      <c r="Y74" s="138"/>
      <c r="Z74" s="193">
        <f t="array" ref="Z74">SUM(Z10:AA10*Z23:AA23)/Z32</f>
        <v>0.22604620456442484</v>
      </c>
      <c r="AA74" s="138"/>
      <c r="AB74" s="193">
        <f t="array" ref="AB74">SUM(AB10:AC10*AB23:AC23)/AB32</f>
        <v>0.22604620456442484</v>
      </c>
      <c r="AC74" s="138"/>
      <c r="AD74" s="193">
        <f t="array" ref="AD74">SUM(AD10:AE10*AD23:AE23)/AD32</f>
        <v>0.22604620456442484</v>
      </c>
      <c r="AE74" s="138"/>
      <c r="AF74" s="193">
        <f t="array" ref="AF74">SUM(AF10:AG10*AF23:AG23)/AF32</f>
        <v>0.22604620456442484</v>
      </c>
      <c r="AG74" s="138"/>
      <c r="AH74" s="193">
        <f t="array" ref="AH74">SUM(AH10:AI10*AH23:AI23)/AH32</f>
        <v>0.22604620456442481</v>
      </c>
      <c r="AI74" s="138"/>
      <c r="AJ74" s="193">
        <f t="array" ref="AJ74">SUM(AJ10:AK10*AJ23:AK23)/AJ32</f>
        <v>0.22604620456442484</v>
      </c>
      <c r="AK74" s="138"/>
      <c r="AL74" s="193">
        <f t="array" ref="AL74">SUM(AL10:AM10*AL23:AM23)/AL32</f>
        <v>0.22604620456442484</v>
      </c>
      <c r="AM74" s="138"/>
      <c r="AN74" s="193" t="e">
        <f t="array" ref="AN74">SUM(AN10:AO10*AN23:AO23)/AN32</f>
        <v>#DIV/0!</v>
      </c>
      <c r="AO74" s="138"/>
      <c r="AP74" s="193" t="e">
        <f t="array" ref="AP74">SUM(AP10:AQ10*AP23:AQ23)/AP32</f>
        <v>#DIV/0!</v>
      </c>
      <c r="AQ74" s="138"/>
      <c r="AR74" s="193" t="e">
        <f t="array" ref="AR74">SUM(AR10:AS10*AR23:AS23)/AR32</f>
        <v>#DIV/0!</v>
      </c>
      <c r="AS74" s="138"/>
      <c r="AT74" s="193" t="e">
        <f t="array" ref="AT74">SUM(AT10:AU10*AT23:AU23)/AT32</f>
        <v>#DIV/0!</v>
      </c>
      <c r="AU74" s="138"/>
      <c r="AV74" s="193" t="e">
        <f t="array" ref="AV74">SUM(AV10:AW10*AV23:AW23)/AV32</f>
        <v>#DIV/0!</v>
      </c>
      <c r="XFD74" s="193"/>
    </row>
    <row r="75" spans="1:48 16384:16384" x14ac:dyDescent="0.2">
      <c r="A75" t="s">
        <v>186</v>
      </c>
      <c r="B75" s="193">
        <f t="array" ref="B75">SUM(B11:C11*B24:C24)/B32</f>
        <v>0.22038438833194082</v>
      </c>
      <c r="D75" s="193">
        <f t="array" ref="D75">SUM(D11:E11*D24:E24)/D32</f>
        <v>0.22038438845962738</v>
      </c>
      <c r="E75" s="138"/>
      <c r="F75" s="193">
        <f t="array" ref="F75">SUM(F11:G11*F24:G24)/F32</f>
        <v>0.22038438848480965</v>
      </c>
      <c r="G75" s="138"/>
      <c r="H75" s="193">
        <f t="array" ref="H75">SUM(H11:I11*H24:I24)/H32</f>
        <v>0.22038438853790385</v>
      </c>
      <c r="I75" s="138"/>
      <c r="J75" s="193">
        <f t="array" ref="J75">SUM(J11:K11*J24:K24)/J32</f>
        <v>0.22038438813690037</v>
      </c>
      <c r="K75" s="138"/>
      <c r="L75" s="193">
        <f t="array" ref="L75">SUM(L11:M11*L24:M24)/L32</f>
        <v>0.22038438831128176</v>
      </c>
      <c r="M75" s="138"/>
      <c r="N75" s="193">
        <f t="array" ref="N75">SUM(N11:O11*N24:O24)/N32</f>
        <v>0.22038438829068771</v>
      </c>
      <c r="O75" s="138"/>
      <c r="P75" s="193">
        <f t="array" ref="P75">SUM(P11:Q11*P24:Q24)/P32</f>
        <v>0.22038438826967052</v>
      </c>
      <c r="Q75" s="138"/>
      <c r="R75" s="193">
        <f t="array" ref="R75">SUM(R11:S11*R24:S24)/R32</f>
        <v>0.22038438831445009</v>
      </c>
      <c r="S75" s="138"/>
      <c r="T75" s="193">
        <f t="array" ref="T75">SUM(T11:U11*T24:U24)/T32</f>
        <v>0.2203843883134908</v>
      </c>
      <c r="U75" s="138"/>
      <c r="V75" s="193">
        <f t="array" ref="V75">SUM(V11:W11*V24:W24)/V32</f>
        <v>0.22038438831770274</v>
      </c>
      <c r="W75" s="138"/>
      <c r="X75" s="193">
        <f t="array" ref="X75">SUM(X11:Y11*X24:Y24)/X32</f>
        <v>0.22038438831627616</v>
      </c>
      <c r="Y75" s="138"/>
      <c r="Z75" s="193">
        <f t="array" ref="Z75">SUM(Z11:AA11*Z24:AA24)/Z32</f>
        <v>0.22038438836084967</v>
      </c>
      <c r="AA75" s="138"/>
      <c r="AB75" s="193">
        <f t="array" ref="AB75">SUM(AB11:AC11*AB24:AC24)/AB32</f>
        <v>0.22038438832211227</v>
      </c>
      <c r="AC75" s="138"/>
      <c r="AD75" s="193">
        <f t="array" ref="AD75">SUM(AD11:AE11*AD24:AE24)/AD32</f>
        <v>0.22038438833913609</v>
      </c>
      <c r="AE75" s="138"/>
      <c r="AF75" s="193">
        <f t="array" ref="AF75">SUM(AF11:AG11*AF24:AG24)/AF32</f>
        <v>0.2203843883332163</v>
      </c>
      <c r="AG75" s="138"/>
      <c r="AH75" s="193">
        <f t="array" ref="AH75">SUM(AH11:AI11*AH24:AI24)/AH32</f>
        <v>0.22038438833274249</v>
      </c>
      <c r="AI75" s="138"/>
      <c r="AJ75" s="193">
        <f t="array" ref="AJ75">SUM(AJ11:AK11*AJ24:AK24)/AJ32</f>
        <v>0.22038438833198051</v>
      </c>
      <c r="AK75" s="138"/>
      <c r="AL75" s="193">
        <f t="array" ref="AL75">SUM(AL11:AM11*AL24:AM24)/AL32</f>
        <v>0.22038438833200708</v>
      </c>
      <c r="AM75" s="138"/>
      <c r="AN75" s="193" t="e">
        <f t="array" ref="AN75">SUM(AN11:AO11*AN24:AO24)/AN32</f>
        <v>#DIV/0!</v>
      </c>
      <c r="AO75" s="138"/>
      <c r="AP75" s="193" t="e">
        <f t="array" ref="AP75">SUM(AP11:AQ11*AP24:AQ24)/AP32</f>
        <v>#DIV/0!</v>
      </c>
      <c r="AQ75" s="138"/>
      <c r="AR75" s="193" t="e">
        <f t="array" ref="AR75">SUM(AR11:AS11*AR24:AS24)/AR32</f>
        <v>#DIV/0!</v>
      </c>
      <c r="AS75" s="138"/>
      <c r="AT75" s="193" t="e">
        <f t="array" ref="AT75">SUM(AT11:AU11*AT24:AU24)/AT32</f>
        <v>#DIV/0!</v>
      </c>
      <c r="AU75" s="138"/>
      <c r="AV75" s="193" t="e">
        <f t="array" ref="AV75">SUM(AV11:AW11*AV24:AW24)/AV32</f>
        <v>#DIV/0!</v>
      </c>
      <c r="XFD75" s="193"/>
    </row>
    <row r="76" spans="1:48 16384:16384" x14ac:dyDescent="0.2">
      <c r="A76" t="s">
        <v>187</v>
      </c>
      <c r="B76" s="193">
        <f t="array" ref="B76">SUM(B12:C12*B25:C25)/B32</f>
        <v>0.22301874374724867</v>
      </c>
      <c r="D76" s="193">
        <f t="array" ref="D76">SUM(D12:E12*D25:E25)/D32</f>
        <v>0.22296066493474617</v>
      </c>
      <c r="E76" s="138"/>
      <c r="F76" s="193">
        <f t="array" ref="F76">SUM(F12:G12*F25:G25)/F32</f>
        <v>0.22295934866284897</v>
      </c>
      <c r="G76" s="138"/>
      <c r="H76" s="193">
        <f t="array" ref="H76">SUM(H12:I12*H25:I25)/H32</f>
        <v>0.22302215995451571</v>
      </c>
      <c r="I76" s="138"/>
      <c r="J76" s="193">
        <f t="array" ref="J76">SUM(J12:K12*J25:K25)/J32</f>
        <v>0.2231574233244295</v>
      </c>
      <c r="K76" s="138"/>
      <c r="L76" s="193">
        <f t="array" ref="L76">SUM(L12:M12*L25:M25)/L32</f>
        <v>0.22337441918527123</v>
      </c>
      <c r="M76" s="138"/>
      <c r="N76" s="193">
        <f t="array" ref="N76">SUM(N12:O12*N25:O25)/N32</f>
        <v>0.22368299631932329</v>
      </c>
      <c r="O76" s="138"/>
      <c r="P76" s="193">
        <f t="array" ref="P76">SUM(P12:Q12*P25:Q25)/P32</f>
        <v>0.2240930396139699</v>
      </c>
      <c r="Q76" s="138"/>
      <c r="R76" s="193">
        <f t="array" ref="R76">SUM(R12:S12*R25:S25)/R32</f>
        <v>0.22461301418013621</v>
      </c>
      <c r="S76" s="138"/>
      <c r="T76" s="193">
        <f t="array" ref="T76">SUM(T12:U12*T25:U25)/T32</f>
        <v>0.22524714552559977</v>
      </c>
      <c r="U76" s="138"/>
      <c r="V76" s="193">
        <f t="array" ref="V76">SUM(V12:W12*V25:W25)/V32</f>
        <v>0.22598990790337634</v>
      </c>
      <c r="W76" s="138"/>
      <c r="X76" s="193">
        <f t="array" ref="X76">SUM(X12:Y12*X25:Y25)/X32</f>
        <v>0.22681519773541872</v>
      </c>
      <c r="Y76" s="138"/>
      <c r="Z76" s="193">
        <f t="array" ref="Z76">SUM(Z12:AA12*Z25:AA25)/Z32</f>
        <v>0.22765518291413966</v>
      </c>
      <c r="AA76" s="138"/>
      <c r="AB76" s="193">
        <f t="array" ref="AB76">SUM(AB12:AC12*AB25:AC25)/AB32</f>
        <v>0.22835911574969472</v>
      </c>
      <c r="AC76" s="138"/>
      <c r="AD76" s="193">
        <f t="array" ref="AD76">SUM(AD12:AE12*AD25:AE25)/AD32</f>
        <v>0.22861666049667634</v>
      </c>
      <c r="AE76" s="138"/>
      <c r="AF76" s="193">
        <f t="array" ref="AF76">SUM(AF12:AG12*AF25:AG25)/AF32</f>
        <v>0.22783940866612692</v>
      </c>
      <c r="AG76" s="138"/>
      <c r="AH76" s="193">
        <f t="array" ref="AH76">SUM(AH12:AI12*AH25:AI25)/AH32</f>
        <v>0.2250989542834162</v>
      </c>
      <c r="AI76" s="138"/>
      <c r="AJ76" s="193">
        <f t="array" ref="AJ76">SUM(AJ12:AK12*AJ25:AK25)/AJ32</f>
        <v>0.21950340513446256</v>
      </c>
      <c r="AK76" s="138"/>
      <c r="AL76" s="193">
        <f t="array" ref="AL76">SUM(AL12:AM12*AL25:AM25)/AL32</f>
        <v>0.21101738366835757</v>
      </c>
      <c r="AM76" s="138"/>
      <c r="AN76" s="193" t="e">
        <f t="array" ref="AN76">SUM(AN12:AO12*AN25:AO25)/AN32</f>
        <v>#DIV/0!</v>
      </c>
      <c r="AO76" s="138"/>
      <c r="AP76" s="193" t="e">
        <f t="array" ref="AP76">SUM(AP12:AQ12*AP25:AQ25)/AP32</f>
        <v>#DIV/0!</v>
      </c>
      <c r="AQ76" s="138"/>
      <c r="AR76" s="193" t="e">
        <f t="array" ref="AR76">SUM(AR12:AS12*AR25:AS25)/AR32</f>
        <v>#DIV/0!</v>
      </c>
      <c r="AS76" s="138"/>
      <c r="AT76" s="193" t="e">
        <f t="array" ref="AT76">SUM(AT12:AU12*AT25:AU25)/AT32</f>
        <v>#DIV/0!</v>
      </c>
      <c r="AU76" s="138"/>
      <c r="AV76" s="193" t="e">
        <f t="array" ref="AV76">SUM(AV12:AW12*AV25:AW25)/AV32</f>
        <v>#DIV/0!</v>
      </c>
      <c r="XFD76" s="193"/>
    </row>
    <row r="77" spans="1:48 16384:16384" x14ac:dyDescent="0.2">
      <c r="A77" t="s">
        <v>188</v>
      </c>
      <c r="B77" s="193">
        <f t="array" ref="B77">SUM(B4:C4*B19:C19)/B32</f>
        <v>0.14586087017236485</v>
      </c>
      <c r="D77" s="193">
        <f t="array" ref="D77">SUM(D4:E4*D19:E19)/D32</f>
        <v>0.14580280581154728</v>
      </c>
      <c r="E77" s="138"/>
      <c r="F77" s="193">
        <f t="array" ref="F77">SUM(F4:G4*F19:G19)/F32</f>
        <v>0.14580149151116376</v>
      </c>
      <c r="G77" s="138"/>
      <c r="H77" s="193">
        <f t="array" ref="H77">SUM(H4:I4*H19:I19)/H32</f>
        <v>0.14586430765753633</v>
      </c>
      <c r="I77" s="138"/>
      <c r="J77" s="193">
        <f t="array" ref="J77">SUM(J4:K4*J19:K19)/J32</f>
        <v>0.14599959757130709</v>
      </c>
      <c r="K77" s="138"/>
      <c r="L77" s="193">
        <f t="array" ref="L77">SUM(L4:M4*L19:M19)/L32</f>
        <v>0.14621654650129881</v>
      </c>
      <c r="M77" s="138"/>
      <c r="N77" s="193">
        <f t="array" ref="N77">SUM(N4:O4*N19:O19)/N32</f>
        <v>0.14652512443811527</v>
      </c>
      <c r="O77" s="138"/>
      <c r="P77" s="193">
        <f t="array" ref="P77">SUM(P4:Q4*P19:Q19)/P32</f>
        <v>0.14693516854710204</v>
      </c>
      <c r="Q77" s="138"/>
      <c r="R77" s="193">
        <f t="array" ref="R77">SUM(R4:S4*R19:S19)/R32</f>
        <v>0.1474551442001219</v>
      </c>
      <c r="S77" s="138"/>
      <c r="T77" s="193">
        <f t="array" ref="T77">SUM(T4:U4*T19:U19)/T32</f>
        <v>0.14808927599526875</v>
      </c>
      <c r="U77" s="138"/>
      <c r="V77" s="193">
        <f t="array" ref="V77">SUM(V4:W4*V19:W19)/V32</f>
        <v>0.14883203804039885</v>
      </c>
      <c r="W77" s="138"/>
      <c r="X77" s="193">
        <f t="array" ref="X77">SUM(X4:Y4*X19:Y19)/X32</f>
        <v>0.14965732457766312</v>
      </c>
      <c r="Y77" s="138"/>
      <c r="Z77" s="193">
        <f t="array" ref="Z77">SUM(Z4:AA4*Z19:AA19)/Z32</f>
        <v>0.15049731135193445</v>
      </c>
      <c r="AA77" s="138"/>
      <c r="AB77" s="193">
        <f t="array" ref="AB77">SUM(AB4:AC4*AB19:AC19)/AB32</f>
        <v>0.15120124355861916</v>
      </c>
      <c r="AC77" s="138"/>
      <c r="AD77" s="193">
        <f t="array" ref="AD77">SUM(AD4:AE4*AD19:AE19)/AD32</f>
        <v>0.15145878638592133</v>
      </c>
      <c r="AE77" s="138"/>
      <c r="AF77" s="193">
        <f t="array" ref="AF77">SUM(AF4:AG4*AF19:AG19)/AF32</f>
        <v>0.15068153497129214</v>
      </c>
      <c r="AG77" s="138"/>
      <c r="AH77" s="193">
        <f t="array" ref="AH77">SUM(AH4:AI4*AH19:AI19)/AH32</f>
        <v>0.1479410810396391</v>
      </c>
      <c r="AI77" s="138"/>
      <c r="AJ77" s="193">
        <f t="array" ref="AJ77">SUM(AJ4:AK4*AJ19:AK19)/AJ32</f>
        <v>0.142345531573492</v>
      </c>
      <c r="AK77" s="138"/>
      <c r="AL77" s="193">
        <f t="array" ref="AL77">SUM(AL4:AM4*AL19:AM19)/AL32</f>
        <v>0.13385951009581237</v>
      </c>
      <c r="AM77" s="138"/>
      <c r="AN77" s="193" t="e">
        <f t="array" ref="AN77">SUM(AN4:AO4*AN19:AO19)/AN32</f>
        <v>#DIV/0!</v>
      </c>
      <c r="AO77" s="138"/>
      <c r="AP77" s="193" t="e">
        <f t="array" ref="AP77">SUM(AP4:AQ4*AP19:AQ19)/AP32</f>
        <v>#DIV/0!</v>
      </c>
      <c r="AQ77" s="138"/>
      <c r="AR77" s="193" t="e">
        <f t="array" ref="AR77">SUM(AR4:AS4*AR19:AS19)/AR32</f>
        <v>#DIV/0!</v>
      </c>
      <c r="AS77" s="138"/>
      <c r="AT77" s="193" t="e">
        <f t="array" ref="AT77">SUM(AT4:AU4*AT19:AU19)/AT32</f>
        <v>#DIV/0!</v>
      </c>
      <c r="AU77" s="138"/>
      <c r="AV77" s="193" t="e">
        <f t="array" ref="AV77">SUM(AV4:AW4*AV19:AW19)/AV32</f>
        <v>#DIV/0!</v>
      </c>
      <c r="XFD77" s="193"/>
    </row>
    <row r="78" spans="1:48 16384:16384" x14ac:dyDescent="0.2">
      <c r="A78" t="s">
        <v>189</v>
      </c>
      <c r="B78" s="193">
        <f t="array" ref="B78">SUM(B13:C13*B26:C26)/B32</f>
        <v>0.346887593115773</v>
      </c>
      <c r="D78" s="193">
        <f t="array" ref="D78">SUM(D13:E13*D26:E26)/D32</f>
        <v>0.34908957184917178</v>
      </c>
      <c r="E78" s="138"/>
      <c r="F78" s="193">
        <f t="array" ref="F78">SUM(F13:G13*F26:G26)/F32</f>
        <v>0.35134882604717949</v>
      </c>
      <c r="G78" s="138"/>
      <c r="H78" s="193">
        <f t="array" ref="H78">SUM(H13:I13*H26:I26)/H32</f>
        <v>0.35367533004432972</v>
      </c>
      <c r="I78" s="138"/>
      <c r="J78" s="193">
        <f t="array" ref="J78">SUM(J13:K13*J26:K26)/J32</f>
        <v>0.35608114614082065</v>
      </c>
      <c r="K78" s="138"/>
      <c r="L78" s="193">
        <f t="array" ref="L78">SUM(L13:M13*L26:M26)/L32</f>
        <v>0.35858125619391018</v>
      </c>
      <c r="M78" s="138"/>
      <c r="N78" s="193">
        <f t="array" ref="N78">SUM(N13:O13*N26:O26)/N32</f>
        <v>0.36119455746751106</v>
      </c>
      <c r="O78" s="138"/>
      <c r="P78" s="193">
        <f t="array" ref="P78">SUM(P13:Q13*P26:Q26)/P32</f>
        <v>0.3639456453162066</v>
      </c>
      <c r="Q78" s="138"/>
      <c r="R78" s="193">
        <f t="array" ref="R78">SUM(R13:S13*R26:S26)/R32</f>
        <v>0.36686759689849263</v>
      </c>
      <c r="S78" s="138"/>
      <c r="T78" s="193">
        <f t="array" ref="T78">SUM(T13:U13*T26:U26)/T32</f>
        <v>0.37000652345727364</v>
      </c>
      <c r="U78" s="138"/>
      <c r="V78" s="193">
        <f t="array" ref="V78">SUM(V13:W13*V26:W26)/V32</f>
        <v>0.37342973391304968</v>
      </c>
      <c r="W78" s="138"/>
      <c r="X78" s="193">
        <f t="array" ref="X78">SUM(X13:Y13*X26:Y26)/X32</f>
        <v>0.37724017224245365</v>
      </c>
      <c r="Y78" s="138"/>
      <c r="Z78" s="193">
        <f t="array" ref="Z78">SUM(Z13:AA13*Z26:AA26)/Z32</f>
        <v>0.3816037214665996</v>
      </c>
      <c r="AA78" s="138"/>
      <c r="AB78" s="193">
        <f t="array" ref="AB78">SUM(AB13:AC13*AB26:AC26)/AB32</f>
        <v>0.38680243588566526</v>
      </c>
      <c r="AC78" s="138"/>
      <c r="AD78" s="193">
        <f t="array" ref="AD78">SUM(AD13:AE13*AD26:AE26)/AD32</f>
        <v>0.39334107625952142</v>
      </c>
      <c r="AE78" s="138"/>
      <c r="AF78" s="193">
        <f t="array" ref="AF78">SUM(AF13:AG13*AF26:AG26)/AF32</f>
        <v>0.40215622699830161</v>
      </c>
      <c r="AG78" s="138"/>
      <c r="AH78" s="193">
        <f t="array" ref="AH78">SUM(AH13:AI13*AH26:AI26)/AH32</f>
        <v>0.41498378894694637</v>
      </c>
      <c r="AI78" s="138"/>
      <c r="AJ78" s="193">
        <f t="array" ref="AJ78">SUM(AJ13:AK13*AJ26:AK26)/AJ32</f>
        <v>0.43494032609025457</v>
      </c>
      <c r="AK78" s="138"/>
      <c r="AL78" s="193">
        <f t="array" ref="AL78">SUM(AL13:AM13*AL26:AM26)/AL32</f>
        <v>0.46835922794860602</v>
      </c>
      <c r="AM78" s="138"/>
      <c r="AN78" s="193" t="e">
        <f t="array" ref="AN78">SUM(AN13:AO13*AN26:AO26)/AN32</f>
        <v>#DIV/0!</v>
      </c>
      <c r="AO78" s="138"/>
      <c r="AP78" s="193" t="e">
        <f t="array" ref="AP78">SUM(AP13:AQ13*AP26:AQ26)/AP32</f>
        <v>#DIV/0!</v>
      </c>
      <c r="AQ78" s="138"/>
      <c r="AR78" s="193" t="e">
        <f t="array" ref="AR78">SUM(AR13:AS13*AR26:AS26)/AR32</f>
        <v>#DIV/0!</v>
      </c>
      <c r="AS78" s="138"/>
      <c r="AT78" s="193" t="e">
        <f t="array" ref="AT78">SUM(AT13:AU13*AT26:AU26)/AT32</f>
        <v>#DIV/0!</v>
      </c>
      <c r="AU78" s="138"/>
      <c r="AV78" s="193" t="e">
        <f t="array" ref="AV78">SUM(AV13:AW13*AV26:AW26)/AV32</f>
        <v>#DIV/0!</v>
      </c>
      <c r="XFD78" s="193"/>
    </row>
    <row r="79" spans="1:48 16384:16384" x14ac:dyDescent="0.2">
      <c r="A79" t="s">
        <v>190</v>
      </c>
      <c r="B79" s="193">
        <f t="array" ref="B79">SUM(B15:C15*B27:C27)/B32</f>
        <v>0.45460968782440808</v>
      </c>
      <c r="D79" s="193">
        <f t="array" ref="D79">SUM(D15:E15*D27:E27)/D32</f>
        <v>0.44688110500740791</v>
      </c>
      <c r="F79" s="193">
        <f t="array" ref="F79">SUM(F15:G15*F27:G27)/F32</f>
        <v>0.43895146778593885</v>
      </c>
      <c r="H79" s="193">
        <f t="array" ref="H79">SUM(H15:I15*H27:I27)/H32</f>
        <v>0.43078580140213096</v>
      </c>
      <c r="J79" s="193">
        <f t="array" ref="J79">SUM(J15:K15*J27:K27)/J32</f>
        <v>0.42234162816629095</v>
      </c>
      <c r="L79" s="193">
        <f t="array" ref="L79">SUM(L15:M15*L27:M27)/L32</f>
        <v>0.41356665913948265</v>
      </c>
      <c r="N79" s="193">
        <f t="array" ref="N79">SUM(N15:O15*N27:O27)/N32</f>
        <v>0.40439434489135573</v>
      </c>
      <c r="P79" s="193">
        <f t="array" ref="P79">SUM(P15:Q15*P27:Q27)/P32</f>
        <v>0.39473842115541319</v>
      </c>
      <c r="R79" s="193">
        <f t="array" ref="R79">SUM(R15:S15*R27:S27)/R32</f>
        <v>0.38448285386207659</v>
      </c>
      <c r="T79" s="193">
        <f t="array" ref="T79">SUM(T15:U15*T27:U27)/T32</f>
        <v>0.37346568985659434</v>
      </c>
      <c r="V79" s="193">
        <f t="array" ref="V79">SUM(V15:W15*V27:W27)/V32</f>
        <v>0.36145073317535215</v>
      </c>
      <c r="X79" s="193">
        <f t="array" ref="X79">SUM(X15:Y15*X27:Y27)/X32</f>
        <v>0.34807666094682271</v>
      </c>
      <c r="Z79" s="193">
        <f t="array" ref="Z79">SUM(Z15:AA15*Z27:AA27)/Z32</f>
        <v>0.33276126326648514</v>
      </c>
      <c r="AB79" s="193">
        <f t="array" ref="AB79">SUM(AB15:AC15*AB27:AC27)/AB32</f>
        <v>0.31451454321154576</v>
      </c>
      <c r="AD79" s="193">
        <f t="array" ref="AD79">SUM(AD15:AE15*AD27:AE27)/AD32</f>
        <v>0.29156490209744435</v>
      </c>
      <c r="AF79" s="193">
        <f t="array" ref="AF79">SUM(AF15:AG15*AF27:AG27)/AF32</f>
        <v>0.26062503740678344</v>
      </c>
      <c r="AH79" s="193">
        <f t="array" ref="AH79">SUM(AH15:AI15*AH27:AI27)/AH32</f>
        <v>0.21560220977215078</v>
      </c>
      <c r="AJ79" s="193">
        <f t="array" ref="AJ79">SUM(AJ15:AK15*AJ27:AK27)/AJ32</f>
        <v>0.14555774480321226</v>
      </c>
      <c r="AL79" s="193">
        <f t="array" ref="AL79">SUM(AL15:AM15*AL27:AM27)/AL32</f>
        <v>2.8262390205641155E-2</v>
      </c>
      <c r="AN79" s="193" t="e">
        <f t="array" ref="AN79">SUM(AN15:AO15*AN27:AO27)/AN32</f>
        <v>#DIV/0!</v>
      </c>
      <c r="AP79" s="193" t="e">
        <f t="array" ref="AP79">SUM(AP15:AQ15*AP27:AQ27)/AP32</f>
        <v>#DIV/0!</v>
      </c>
      <c r="AR79" s="193" t="e">
        <f t="array" ref="AR79">SUM(AR15:AS15*AR27:AS27)/AR32</f>
        <v>#DIV/0!</v>
      </c>
      <c r="AT79" s="193" t="e">
        <f t="array" ref="AT79">SUM(AT15:AU15*AT27:AU27)/AT32</f>
        <v>#DIV/0!</v>
      </c>
      <c r="AV79" s="193" t="e">
        <f t="array" ref="AV79">SUM(AV15:AW15*AV27:AW27)/AV32</f>
        <v>#DIV/0!</v>
      </c>
      <c r="XFD79" s="193"/>
    </row>
    <row r="80" spans="1:48 16384:16384" x14ac:dyDescent="0.2">
      <c r="A80" t="s">
        <v>169</v>
      </c>
      <c r="B80" s="236">
        <f>B55</f>
        <v>0.19850271905982084</v>
      </c>
      <c r="D80" s="236">
        <f>D55</f>
        <v>0.20402936138332875</v>
      </c>
      <c r="F80" s="236">
        <f>F55</f>
        <v>0.2096997544443871</v>
      </c>
      <c r="H80" s="236">
        <f>H55</f>
        <v>0.21553893784992997</v>
      </c>
      <c r="J80" s="236">
        <f>J55</f>
        <v>0.22157726762908858</v>
      </c>
      <c r="L80" s="236">
        <f>L55</f>
        <v>0.22785208197081419</v>
      </c>
      <c r="N80" s="236">
        <f>N55</f>
        <v>0.23441109202770022</v>
      </c>
      <c r="P80" s="236">
        <f>P55</f>
        <v>0.24131592462948903</v>
      </c>
      <c r="R80" s="236">
        <f>R55</f>
        <v>0.24864955294828356</v>
      </c>
      <c r="T80" s="236">
        <f>T55</f>
        <v>0.25652779068557136</v>
      </c>
      <c r="V80" s="236">
        <f>V55</f>
        <v>0.2651195365482964</v>
      </c>
      <c r="X80" s="236">
        <f>X55</f>
        <v>0.27468316231495443</v>
      </c>
      <c r="Z80" s="236">
        <f>Z55</f>
        <v>0.28563503019793118</v>
      </c>
      <c r="AB80" s="236">
        <f>AB55</f>
        <v>0.29868301845623696</v>
      </c>
      <c r="AD80" s="236">
        <f>AD55</f>
        <v>0.31509402614426307</v>
      </c>
      <c r="AF80" s="236">
        <f>AF55</f>
        <v>0.33721873744389363</v>
      </c>
      <c r="AH80" s="236">
        <f>AH55</f>
        <v>0.36941399953027076</v>
      </c>
      <c r="AJ80" s="236">
        <f>AJ55</f>
        <v>0.41950192852300316</v>
      </c>
      <c r="AL80" s="236">
        <f>AL55</f>
        <v>0.50337838186590533</v>
      </c>
      <c r="AN80" s="236" t="e">
        <f>AN55</f>
        <v>#DIV/0!</v>
      </c>
      <c r="AP80" s="236" t="e">
        <f>AP55</f>
        <v>#DIV/0!</v>
      </c>
      <c r="AR80" s="236" t="e">
        <f>AR55</f>
        <v>#DIV/0!</v>
      </c>
      <c r="AT80" s="236" t="e">
        <f>AT55</f>
        <v>#DIV/0!</v>
      </c>
      <c r="AV80" s="236" t="e">
        <f>AV55</f>
        <v>#DIV/0!</v>
      </c>
      <c r="XFD80" s="236"/>
    </row>
    <row r="81" spans="1:48 16384:16384" x14ac:dyDescent="0.2">
      <c r="A81" t="s">
        <v>191</v>
      </c>
      <c r="B81" s="236">
        <f>B51/B$32</f>
        <v>-2.7543485504603994E-2</v>
      </c>
      <c r="D81" s="236">
        <f>D51/D$32</f>
        <v>-2.2016843181096084E-2</v>
      </c>
      <c r="F81" s="236">
        <f>F51/F$32</f>
        <v>-1.6346450120037749E-2</v>
      </c>
      <c r="H81" s="236">
        <f>H51/H$32</f>
        <v>-1.0507266714494874E-2</v>
      </c>
      <c r="J81" s="236">
        <f>J51/J$32</f>
        <v>-4.46893693533627E-3</v>
      </c>
      <c r="L81" s="236">
        <f>L51/L$32</f>
        <v>1.8058774063893399E-3</v>
      </c>
      <c r="N81" s="236">
        <f>N51/N$32</f>
        <v>8.3648874632753726E-3</v>
      </c>
      <c r="P81" s="236">
        <f>P51/P$32</f>
        <v>1.5269720065064192E-2</v>
      </c>
      <c r="R81" s="236">
        <f>R51/R$32</f>
        <v>2.2603348383858711E-2</v>
      </c>
      <c r="T81" s="236">
        <f>T51/T$32</f>
        <v>3.0481586121146525E-2</v>
      </c>
      <c r="V81" s="236">
        <f>V51/V$32</f>
        <v>3.907333198387157E-2</v>
      </c>
      <c r="X81" s="236">
        <f>X51/X$32</f>
        <v>4.8636957750529619E-2</v>
      </c>
      <c r="Z81" s="236">
        <f>Z51/Z$32</f>
        <v>5.9588825633506363E-2</v>
      </c>
      <c r="AB81" s="236">
        <f>AB51/AB$32</f>
        <v>7.2636813891812105E-2</v>
      </c>
      <c r="AD81" s="236">
        <f>AD51/AD$32</f>
        <v>8.9047821579838246E-2</v>
      </c>
      <c r="AF81" s="236">
        <f>AF51/AF$32</f>
        <v>0.11117253287946881</v>
      </c>
      <c r="AH81" s="236">
        <f>AH51/AH$32</f>
        <v>0.14336779496584595</v>
      </c>
      <c r="AJ81" s="236">
        <f>AJ51/AJ$32</f>
        <v>0.19345572395857832</v>
      </c>
      <c r="AL81" s="236">
        <f>AL51/AL$32</f>
        <v>0.27733217730148041</v>
      </c>
      <c r="AN81" s="236" t="e">
        <f>AN51/AN$32</f>
        <v>#DIV/0!</v>
      </c>
      <c r="AP81" s="236" t="e">
        <f>AP51/AP$32</f>
        <v>#DIV/0!</v>
      </c>
      <c r="AR81" s="236" t="e">
        <f>AR51/AR$32</f>
        <v>#DIV/0!</v>
      </c>
      <c r="AT81" s="236" t="e">
        <f>AT51/AT$32</f>
        <v>#DIV/0!</v>
      </c>
      <c r="AV81" s="236" t="e">
        <f>AV51/AV$32</f>
        <v>#DIV/0!</v>
      </c>
      <c r="XFD81" s="236"/>
    </row>
    <row r="82" spans="1:48 16384:16384" x14ac:dyDescent="0.2">
      <c r="A82" t="s">
        <v>192</v>
      </c>
      <c r="B82" s="236">
        <f>B52/B$32</f>
        <v>0.13907860278212886</v>
      </c>
      <c r="D82" s="236">
        <f>D52/D$32</f>
        <v>0.13996144821008527</v>
      </c>
      <c r="F82" s="236">
        <f>F52/F$32</f>
        <v>0.14086725724858756</v>
      </c>
      <c r="H82" s="236">
        <f>H52/H$32</f>
        <v>0.14180002893518603</v>
      </c>
      <c r="J82" s="236">
        <f>J52/J$32</f>
        <v>0.14276459944128381</v>
      </c>
      <c r="L82" s="236">
        <f>L52/L$32</f>
        <v>0.1437669754843762</v>
      </c>
      <c r="N82" s="236">
        <f>N52/N$32</f>
        <v>0.14481473359678548</v>
      </c>
      <c r="P82" s="236">
        <f>P52/P$32</f>
        <v>0.14591773486209672</v>
      </c>
      <c r="R82" s="236">
        <f>R52/R$32</f>
        <v>0.14708924099701273</v>
      </c>
      <c r="T82" s="236">
        <f>T52/T$32</f>
        <v>0.14834773950977237</v>
      </c>
      <c r="V82" s="236">
        <f>V52/V$32</f>
        <v>0.14972021675216138</v>
      </c>
      <c r="X82" s="236">
        <f>X52/X$32</f>
        <v>0.15124794633764735</v>
      </c>
      <c r="Z82" s="236">
        <f>Z52/Z$32</f>
        <v>0.15299743620499673</v>
      </c>
      <c r="AB82" s="236">
        <f>AB52/AB$32</f>
        <v>0.15508177116541616</v>
      </c>
      <c r="AD82" s="236">
        <f>AD52/AD$32</f>
        <v>0.15770332634737741</v>
      </c>
      <c r="AF82" s="236">
        <f>AF52/AF$32</f>
        <v>0.16123760913060234</v>
      </c>
      <c r="AH82" s="236">
        <f>AH52/AH$32</f>
        <v>0.16638059904527278</v>
      </c>
      <c r="AJ82" s="236">
        <f>AJ52/AJ$32</f>
        <v>0.1743818287154692</v>
      </c>
      <c r="AL82" s="236">
        <f>AL52/AL$32</f>
        <v>0.18778056153039985</v>
      </c>
      <c r="AN82" s="236" t="e">
        <f>AN52/AN$32</f>
        <v>#DIV/0!</v>
      </c>
      <c r="AP82" s="236" t="e">
        <f>AP52/AP$32</f>
        <v>#DIV/0!</v>
      </c>
      <c r="AR82" s="236" t="e">
        <f>AR52/AR$32</f>
        <v>#DIV/0!</v>
      </c>
      <c r="AT82" s="236" t="e">
        <f>AT52/AT$32</f>
        <v>#DIV/0!</v>
      </c>
      <c r="AV82" s="236" t="e">
        <f>AV52/AV$32</f>
        <v>#DIV/0!</v>
      </c>
    </row>
    <row r="83" spans="1:48 16384:16384" x14ac:dyDescent="0.2">
      <c r="A83" t="s">
        <v>193</v>
      </c>
      <c r="B83" s="236">
        <f>B53/B$32</f>
        <v>0.18600714462930004</v>
      </c>
      <c r="D83" s="236">
        <f>D53/D$32</f>
        <v>0.18284493392345047</v>
      </c>
      <c r="F83" s="236">
        <f>F53/F$32</f>
        <v>0.17960046021993056</v>
      </c>
      <c r="H83" s="236">
        <f>H53/H$32</f>
        <v>0.17625941332030043</v>
      </c>
      <c r="J83" s="236">
        <f>J53/J$32</f>
        <v>0.17280441314230063</v>
      </c>
      <c r="L83" s="236">
        <f>L53/L$32</f>
        <v>0.16921406525354735</v>
      </c>
      <c r="N83" s="236">
        <f>N53/N$32</f>
        <v>0.16546114042895427</v>
      </c>
      <c r="P83" s="236">
        <f>P53/P$32</f>
        <v>0.16151034296250283</v>
      </c>
      <c r="R83" s="236">
        <f>R53/R$32</f>
        <v>0.15731419659809895</v>
      </c>
      <c r="T83" s="236">
        <f>T53/T$32</f>
        <v>0.15280643692324575</v>
      </c>
      <c r="V83" s="236">
        <f>V53/V$32</f>
        <v>0.14789042249377365</v>
      </c>
      <c r="X83" s="236">
        <f>X53/X$32</f>
        <v>0.14241831520279213</v>
      </c>
      <c r="Z83" s="236">
        <f>Z53/Z$32</f>
        <v>0.13615189926912616</v>
      </c>
      <c r="AB83" s="236">
        <f>AB53/AB$32</f>
        <v>0.12868610963205973</v>
      </c>
      <c r="AD83" s="236">
        <f>AD53/AD$32</f>
        <v>0.11929608269636012</v>
      </c>
      <c r="AF83" s="236">
        <f>AF53/AF$32</f>
        <v>0.10663679267139783</v>
      </c>
      <c r="AH83" s="236">
        <f>AH53/AH$32</f>
        <v>8.8215347119868323E-2</v>
      </c>
      <c r="AJ83" s="236">
        <f>AJ53/AJ$32</f>
        <v>5.955610101292743E-2</v>
      </c>
      <c r="AL83" s="236">
        <f>AL53/AL$32</f>
        <v>1.1563780190669658E-2</v>
      </c>
      <c r="AN83" s="236" t="e">
        <f>AN53/AN$32</f>
        <v>#DIV/0!</v>
      </c>
      <c r="AP83" s="236" t="e">
        <f>AP53/AP$32</f>
        <v>#DIV/0!</v>
      </c>
      <c r="AR83" s="236" t="e">
        <f>AR53/AR$32</f>
        <v>#DIV/0!</v>
      </c>
      <c r="AT83" s="236" t="e">
        <f>AT53/AT$32</f>
        <v>#DIV/0!</v>
      </c>
      <c r="AV83" s="236" t="e">
        <f>AV53/AV$32</f>
        <v>#DIV/0!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10"/>
  <dimension ref="A1:XFD83"/>
  <sheetViews>
    <sheetView showGridLines="0" workbookViewId="0">
      <pane ySplit="1" topLeftCell="A2" activePane="bottomLeft" state="frozen"/>
      <selection pane="bottomLeft" sqref="A1:XFD1048576"/>
    </sheetView>
  </sheetViews>
  <sheetFormatPr baseColWidth="10" defaultRowHeight="10" x14ac:dyDescent="0.2"/>
  <sheetData>
    <row r="1" spans="1:49" x14ac:dyDescent="0.2">
      <c r="B1" s="94">
        <v>0</v>
      </c>
      <c r="D1" s="94">
        <v>0.05</v>
      </c>
      <c r="F1" s="94">
        <v>0.1</v>
      </c>
      <c r="H1" s="94">
        <v>0.15000000000000002</v>
      </c>
      <c r="J1" s="94">
        <v>0.2</v>
      </c>
      <c r="L1" s="94">
        <v>0.25</v>
      </c>
      <c r="N1" s="94">
        <v>0.3</v>
      </c>
      <c r="P1" s="94">
        <v>0.35</v>
      </c>
      <c r="R1" s="94">
        <v>0.39999999999999997</v>
      </c>
      <c r="T1" s="94"/>
      <c r="V1" s="94"/>
      <c r="X1" s="94"/>
      <c r="Z1" s="94"/>
      <c r="AB1" s="94"/>
      <c r="AD1" s="94"/>
      <c r="AF1" s="94"/>
      <c r="AH1" s="94"/>
      <c r="AJ1" s="94"/>
      <c r="AL1" s="94"/>
      <c r="AN1" s="94"/>
      <c r="AP1" s="94"/>
      <c r="AR1" s="94"/>
      <c r="AT1" s="94"/>
      <c r="AV1" s="94"/>
    </row>
    <row r="2" spans="1:49" x14ac:dyDescent="0.2">
      <c r="A2" s="229" t="s">
        <v>155</v>
      </c>
      <c r="B2" s="226">
        <v>5.7716594496607888E-3</v>
      </c>
      <c r="C2" s="227"/>
      <c r="D2" s="226">
        <v>0.11579041748959829</v>
      </c>
      <c r="E2" s="227"/>
      <c r="F2" s="226">
        <v>0.23615534956480858</v>
      </c>
      <c r="G2" s="227"/>
      <c r="H2" s="226">
        <v>0.37290117777800752</v>
      </c>
      <c r="I2" s="227"/>
      <c r="J2" s="226">
        <v>0.53511539423081556</v>
      </c>
      <c r="K2" s="227"/>
      <c r="L2" s="226">
        <v>0.73886313873076515</v>
      </c>
      <c r="M2" s="227"/>
      <c r="N2" s="226">
        <v>1.0173865465926848</v>
      </c>
      <c r="O2" s="227"/>
      <c r="P2" s="226">
        <v>1.457268712242404</v>
      </c>
      <c r="Q2" s="227"/>
      <c r="R2" s="226">
        <v>2.4107134253558717</v>
      </c>
      <c r="S2" s="227"/>
      <c r="T2" s="226"/>
      <c r="U2" s="227"/>
      <c r="V2" s="226"/>
      <c r="W2" s="227"/>
      <c r="X2" s="226"/>
      <c r="Y2" s="227"/>
      <c r="Z2" s="226"/>
      <c r="AA2" s="227"/>
      <c r="AB2" s="226"/>
      <c r="AC2" s="227"/>
      <c r="AD2" s="226"/>
      <c r="AE2" s="227"/>
      <c r="AF2" s="226"/>
      <c r="AG2" s="227"/>
      <c r="AH2" s="226"/>
      <c r="AI2" s="227"/>
      <c r="AJ2" s="226"/>
      <c r="AK2" s="227"/>
      <c r="AL2" s="226"/>
      <c r="AM2" s="227"/>
      <c r="AN2" s="226"/>
      <c r="AO2" s="227"/>
      <c r="AP2" s="226"/>
      <c r="AQ2" s="227"/>
      <c r="AR2" s="226"/>
      <c r="AS2" s="227"/>
      <c r="AT2" s="226"/>
      <c r="AU2" s="227"/>
      <c r="AV2" s="226"/>
      <c r="AW2" s="227"/>
    </row>
    <row r="3" spans="1:49" x14ac:dyDescent="0.2">
      <c r="A3" t="s">
        <v>12</v>
      </c>
      <c r="B3" s="84">
        <v>1000</v>
      </c>
      <c r="C3" s="85">
        <v>1000</v>
      </c>
      <c r="D3" s="84">
        <v>994.53521966400956</v>
      </c>
      <c r="E3" s="85">
        <v>1082.7631405405637</v>
      </c>
      <c r="F3" s="84">
        <v>989.60175358360527</v>
      </c>
      <c r="G3" s="85">
        <v>1175.3249745259393</v>
      </c>
      <c r="H3" s="84">
        <v>984.99300353487138</v>
      </c>
      <c r="I3" s="85">
        <v>1281.7900880463901</v>
      </c>
      <c r="J3" s="84">
        <v>980.62288468453596</v>
      </c>
      <c r="K3" s="85">
        <v>1408.4387708944898</v>
      </c>
      <c r="L3" s="84">
        <v>976.49632024796188</v>
      </c>
      <c r="M3" s="85">
        <v>1566.3892208777413</v>
      </c>
      <c r="N3" s="84">
        <v>972.73685734763012</v>
      </c>
      <c r="O3" s="85">
        <v>1778.4705161002346</v>
      </c>
      <c r="P3" s="84">
        <v>969.73787099033871</v>
      </c>
      <c r="Q3" s="85">
        <v>2103.2242511481381</v>
      </c>
      <c r="R3" s="84">
        <v>968.94745030657145</v>
      </c>
      <c r="S3" s="85">
        <v>2772.7223438470219</v>
      </c>
      <c r="T3" s="84"/>
      <c r="U3" s="85"/>
      <c r="V3" s="84"/>
      <c r="W3" s="85"/>
      <c r="X3" s="84"/>
      <c r="Y3" s="85"/>
      <c r="Z3" s="84"/>
      <c r="AA3" s="85"/>
      <c r="AB3" s="84"/>
      <c r="AC3" s="85"/>
      <c r="AD3" s="84"/>
      <c r="AE3" s="85"/>
      <c r="AF3" s="84"/>
      <c r="AG3" s="85"/>
      <c r="AH3" s="84"/>
      <c r="AI3" s="85"/>
      <c r="AJ3" s="84"/>
      <c r="AK3" s="85"/>
      <c r="AL3" s="84"/>
      <c r="AM3" s="85"/>
      <c r="AN3" s="84"/>
      <c r="AO3" s="85"/>
      <c r="AP3" s="84"/>
      <c r="AQ3" s="85"/>
      <c r="AR3" s="84"/>
      <c r="AS3" s="85"/>
      <c r="AT3" s="84"/>
      <c r="AU3" s="85"/>
      <c r="AV3" s="84"/>
      <c r="AW3" s="85"/>
    </row>
    <row r="4" spans="1:49"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c r="U4" s="102"/>
      <c r="V4" s="101"/>
      <c r="W4" s="102"/>
      <c r="X4" s="101"/>
      <c r="Y4" s="102"/>
      <c r="Z4" s="101"/>
      <c r="AA4" s="102"/>
      <c r="AB4" s="101"/>
      <c r="AC4" s="102"/>
      <c r="AD4" s="101"/>
      <c r="AE4" s="102"/>
      <c r="AF4" s="101"/>
      <c r="AG4" s="102"/>
      <c r="AH4" s="101"/>
      <c r="AI4" s="102"/>
      <c r="AJ4" s="101"/>
      <c r="AK4" s="102"/>
      <c r="AL4" s="101"/>
      <c r="AM4" s="102"/>
      <c r="AN4" s="101"/>
      <c r="AO4" s="102"/>
      <c r="AP4" s="101"/>
      <c r="AQ4" s="102"/>
      <c r="AR4" s="101"/>
      <c r="AS4" s="102"/>
      <c r="AT4" s="101"/>
      <c r="AU4" s="102"/>
      <c r="AV4" s="101"/>
      <c r="AW4" s="102"/>
    </row>
    <row r="5" spans="1:49" x14ac:dyDescent="0.2">
      <c r="A5" t="s">
        <v>128</v>
      </c>
      <c r="B5" s="41">
        <v>1000</v>
      </c>
      <c r="C5" s="42">
        <v>1000</v>
      </c>
      <c r="D5" s="41">
        <v>994.25922899374279</v>
      </c>
      <c r="E5" s="42">
        <v>1069.8062367299597</v>
      </c>
      <c r="F5" s="41">
        <v>989.06511327630676</v>
      </c>
      <c r="G5" s="42">
        <v>1141.2558372390595</v>
      </c>
      <c r="H5" s="41">
        <v>984.20285188669595</v>
      </c>
      <c r="I5" s="42">
        <v>1215.132418503083</v>
      </c>
      <c r="J5" s="41">
        <v>979.58326899985457</v>
      </c>
      <c r="K5" s="42">
        <v>1292.0850710228256</v>
      </c>
      <c r="L5" s="41">
        <v>975.21290895344964</v>
      </c>
      <c r="M5" s="42">
        <v>1372.8641232752473</v>
      </c>
      <c r="N5" s="41">
        <v>971.22427673806328</v>
      </c>
      <c r="O5" s="42">
        <v>1458.5142026097878</v>
      </c>
      <c r="P5" s="41">
        <v>968.03758861950644</v>
      </c>
      <c r="Q5" s="42">
        <v>1550.631564853699</v>
      </c>
      <c r="R5" s="41">
        <v>967.19696777484683</v>
      </c>
      <c r="S5" s="42">
        <v>1651.4136415655903</v>
      </c>
      <c r="T5" s="41"/>
      <c r="U5" s="42"/>
      <c r="V5" s="41"/>
      <c r="W5" s="42"/>
      <c r="X5" s="41"/>
      <c r="Y5" s="42"/>
      <c r="Z5" s="41"/>
      <c r="AA5" s="42"/>
      <c r="AB5" s="41"/>
      <c r="AC5" s="42"/>
      <c r="AD5" s="41"/>
      <c r="AE5" s="42"/>
      <c r="AF5" s="41"/>
      <c r="AG5" s="42"/>
      <c r="AH5" s="41"/>
      <c r="AI5" s="42"/>
      <c r="AJ5" s="41"/>
      <c r="AK5" s="42"/>
      <c r="AL5" s="41"/>
      <c r="AM5" s="42"/>
      <c r="AN5" s="41"/>
      <c r="AO5" s="42"/>
      <c r="AP5" s="41"/>
      <c r="AQ5" s="42"/>
      <c r="AR5" s="41"/>
      <c r="AS5" s="42"/>
      <c r="AT5" s="41"/>
      <c r="AU5" s="42"/>
      <c r="AV5" s="41"/>
      <c r="AW5" s="42"/>
    </row>
    <row r="6" spans="1:49" x14ac:dyDescent="0.2">
      <c r="A6" t="s">
        <v>77</v>
      </c>
      <c r="B6" s="41">
        <v>999.99999999999943</v>
      </c>
      <c r="C6" s="42">
        <v>999.99999999999909</v>
      </c>
      <c r="D6" s="41">
        <v>993.82282983076959</v>
      </c>
      <c r="E6" s="42">
        <v>1088.8138174880039</v>
      </c>
      <c r="F6" s="41">
        <v>988.23854108571584</v>
      </c>
      <c r="G6" s="42">
        <v>1187.1581325248458</v>
      </c>
      <c r="H6" s="41">
        <v>983.01505118282171</v>
      </c>
      <c r="I6" s="42">
        <v>1299.3714498103186</v>
      </c>
      <c r="J6" s="41">
        <v>978.05586266546993</v>
      </c>
      <c r="K6" s="42">
        <v>1431.9879023632773</v>
      </c>
      <c r="L6" s="41">
        <v>973.36743854056749</v>
      </c>
      <c r="M6" s="42">
        <v>1596.4905829548425</v>
      </c>
      <c r="N6" s="41">
        <v>969.09125325437833</v>
      </c>
      <c r="O6" s="42">
        <v>1816.3762710737012</v>
      </c>
      <c r="P6" s="41">
        <v>965.67669726633687</v>
      </c>
      <c r="Q6" s="42">
        <v>2151.7977462645063</v>
      </c>
      <c r="R6" s="41">
        <v>964.77624361536664</v>
      </c>
      <c r="S6" s="42">
        <v>2840.999914458424</v>
      </c>
      <c r="T6" s="41"/>
      <c r="U6" s="42"/>
      <c r="V6" s="41"/>
      <c r="W6" s="42"/>
      <c r="X6" s="41"/>
      <c r="Y6" s="42"/>
      <c r="Z6" s="41"/>
      <c r="AA6" s="42"/>
      <c r="AB6" s="41"/>
      <c r="AC6" s="42"/>
      <c r="AD6" s="41"/>
      <c r="AE6" s="42"/>
      <c r="AF6" s="41"/>
      <c r="AG6" s="42"/>
      <c r="AH6" s="41"/>
      <c r="AI6" s="42"/>
      <c r="AJ6" s="41"/>
      <c r="AK6" s="42"/>
      <c r="AL6" s="41"/>
      <c r="AM6" s="42"/>
      <c r="AN6" s="41"/>
      <c r="AO6" s="42"/>
      <c r="AP6" s="41"/>
      <c r="AQ6" s="42"/>
      <c r="AR6" s="41"/>
      <c r="AS6" s="42"/>
      <c r="AT6" s="41"/>
      <c r="AU6" s="42"/>
      <c r="AV6" s="41"/>
      <c r="AW6" s="42"/>
    </row>
    <row r="7" spans="1:49" x14ac:dyDescent="0.2">
      <c r="A7" t="s">
        <v>13</v>
      </c>
      <c r="B7" s="33">
        <v>1015.9116825427475</v>
      </c>
      <c r="C7" s="34">
        <v>1015.9116825427475</v>
      </c>
      <c r="D7" s="33">
        <v>1010.0795662106881</v>
      </c>
      <c r="E7" s="34">
        <v>1010.0795662106881</v>
      </c>
      <c r="F7" s="33">
        <v>1004.8028033728659</v>
      </c>
      <c r="G7" s="34">
        <v>1004.8028033728659</v>
      </c>
      <c r="H7" s="33">
        <v>999.86317522358377</v>
      </c>
      <c r="I7" s="34">
        <v>999.86317522358377</v>
      </c>
      <c r="J7" s="33">
        <v>995.17008700036706</v>
      </c>
      <c r="K7" s="34">
        <v>995.17008700036706</v>
      </c>
      <c r="L7" s="33">
        <v>990.73018717230616</v>
      </c>
      <c r="M7" s="34">
        <v>990.73018717230616</v>
      </c>
      <c r="N7" s="33">
        <v>986.67808910732879</v>
      </c>
      <c r="O7" s="34">
        <v>986.67808910732879</v>
      </c>
      <c r="P7" s="33">
        <v>983.44069541906674</v>
      </c>
      <c r="Q7" s="34">
        <v>983.44069541906674</v>
      </c>
      <c r="R7" s="33">
        <v>982.58669888238808</v>
      </c>
      <c r="S7" s="34">
        <v>982.58669888238808</v>
      </c>
      <c r="T7" s="33"/>
      <c r="U7" s="34"/>
      <c r="V7" s="33"/>
      <c r="W7" s="34"/>
      <c r="X7" s="33"/>
      <c r="Y7" s="34"/>
      <c r="Z7" s="33"/>
      <c r="AA7" s="34"/>
      <c r="AB7" s="33"/>
      <c r="AC7" s="34"/>
      <c r="AD7" s="33"/>
      <c r="AE7" s="34"/>
      <c r="AF7" s="33"/>
      <c r="AG7" s="34"/>
      <c r="AH7" s="33"/>
      <c r="AI7" s="34"/>
      <c r="AJ7" s="33"/>
      <c r="AK7" s="34"/>
      <c r="AL7" s="33"/>
      <c r="AM7" s="34"/>
      <c r="AN7" s="33"/>
      <c r="AO7" s="34"/>
      <c r="AP7" s="33"/>
      <c r="AQ7" s="34"/>
      <c r="AR7" s="33"/>
      <c r="AS7" s="34"/>
      <c r="AT7" s="33"/>
      <c r="AU7" s="34"/>
      <c r="AV7" s="33"/>
      <c r="AW7" s="34"/>
    </row>
    <row r="8" spans="1:49" x14ac:dyDescent="0.2">
      <c r="B8" s="35">
        <v>1005.7716594496609</v>
      </c>
      <c r="C8" s="36">
        <v>1005.7716594496609</v>
      </c>
      <c r="D8" s="35">
        <v>1193.6795475138977</v>
      </c>
      <c r="E8" s="36">
        <v>1193.6795475138977</v>
      </c>
      <c r="F8" s="35">
        <v>1410.7695084251279</v>
      </c>
      <c r="G8" s="36">
        <v>1410.7695084251279</v>
      </c>
      <c r="H8" s="35">
        <v>1668.2567285191215</v>
      </c>
      <c r="I8" s="36">
        <v>1668.2567285191215</v>
      </c>
      <c r="J8" s="35">
        <v>1983.4996831829562</v>
      </c>
      <c r="K8" s="36">
        <v>1983.4996831829562</v>
      </c>
      <c r="L8" s="35">
        <v>2387.2228184492565</v>
      </c>
      <c r="M8" s="36">
        <v>2387.2228184492565</v>
      </c>
      <c r="N8" s="35">
        <v>2942.3869303593438</v>
      </c>
      <c r="O8" s="36">
        <v>2942.3869303593438</v>
      </c>
      <c r="P8" s="35">
        <v>3810.3184285304724</v>
      </c>
      <c r="Q8" s="36">
        <v>3810.3184285304724</v>
      </c>
      <c r="R8" s="35">
        <v>5632.4986781035886</v>
      </c>
      <c r="S8" s="36">
        <v>5632.4986781035886</v>
      </c>
      <c r="T8" s="35"/>
      <c r="U8" s="36"/>
      <c r="V8" s="35"/>
      <c r="W8" s="36"/>
      <c r="X8" s="35"/>
      <c r="Y8" s="36"/>
      <c r="Z8" s="35"/>
      <c r="AA8" s="36"/>
      <c r="AB8" s="35"/>
      <c r="AC8" s="36"/>
      <c r="AD8" s="35"/>
      <c r="AE8" s="36"/>
      <c r="AF8" s="35"/>
      <c r="AG8" s="36"/>
      <c r="AH8" s="35"/>
      <c r="AI8" s="36"/>
      <c r="AJ8" s="35"/>
      <c r="AK8" s="36"/>
      <c r="AL8" s="35"/>
      <c r="AM8" s="36"/>
      <c r="AN8" s="35"/>
      <c r="AO8" s="36"/>
      <c r="AP8" s="35"/>
      <c r="AQ8" s="36"/>
      <c r="AR8" s="35"/>
      <c r="AS8" s="36"/>
      <c r="AT8" s="35"/>
      <c r="AU8" s="36"/>
      <c r="AV8" s="35"/>
      <c r="AW8" s="36"/>
    </row>
    <row r="9" spans="1:49" x14ac:dyDescent="0.2">
      <c r="A9" t="s">
        <v>14</v>
      </c>
      <c r="B9" s="41">
        <v>1015.9116825427475</v>
      </c>
      <c r="C9" s="42">
        <v>1005.7716594496609</v>
      </c>
      <c r="D9" s="41">
        <v>1010.0795662106881</v>
      </c>
      <c r="E9" s="42">
        <v>1193.6795475138977</v>
      </c>
      <c r="F9" s="41">
        <v>1004.8028033728659</v>
      </c>
      <c r="G9" s="42">
        <v>1410.7695084251279</v>
      </c>
      <c r="H9" s="41">
        <v>999.86317522358377</v>
      </c>
      <c r="I9" s="42">
        <v>1668.2567285191215</v>
      </c>
      <c r="J9" s="41">
        <v>995.17008700036706</v>
      </c>
      <c r="K9" s="42">
        <v>1983.4996831829562</v>
      </c>
      <c r="L9" s="41">
        <v>990.73018717230616</v>
      </c>
      <c r="M9" s="42">
        <v>2387.2228184492565</v>
      </c>
      <c r="N9" s="41">
        <v>986.67808910732879</v>
      </c>
      <c r="O9" s="42">
        <v>2942.3869303593438</v>
      </c>
      <c r="P9" s="41">
        <v>983.44069541906674</v>
      </c>
      <c r="Q9" s="42">
        <v>3810.3184285304724</v>
      </c>
      <c r="R9" s="41">
        <v>982.58669888238808</v>
      </c>
      <c r="S9" s="42">
        <v>5632.4986781035886</v>
      </c>
      <c r="T9" s="41"/>
      <c r="U9" s="42"/>
      <c r="V9" s="41"/>
      <c r="W9" s="42"/>
      <c r="X9" s="41"/>
      <c r="Y9" s="42"/>
      <c r="Z9" s="41"/>
      <c r="AA9" s="42"/>
      <c r="AB9" s="41"/>
      <c r="AC9" s="42"/>
      <c r="AD9" s="41"/>
      <c r="AE9" s="42"/>
      <c r="AF9" s="41"/>
      <c r="AG9" s="42"/>
      <c r="AH9" s="41"/>
      <c r="AI9" s="42"/>
      <c r="AJ9" s="41"/>
      <c r="AK9" s="42"/>
      <c r="AL9" s="41"/>
      <c r="AM9" s="42"/>
      <c r="AN9" s="41"/>
      <c r="AO9" s="42"/>
      <c r="AP9" s="41"/>
      <c r="AQ9" s="42"/>
      <c r="AR9" s="41"/>
      <c r="AS9" s="42"/>
      <c r="AT9" s="41"/>
      <c r="AU9" s="42"/>
      <c r="AV9" s="41"/>
      <c r="AW9" s="42"/>
    </row>
    <row r="10" spans="1:49" x14ac:dyDescent="0.2">
      <c r="A10" t="s">
        <v>15</v>
      </c>
      <c r="B10" s="41">
        <v>1015.9116825427475</v>
      </c>
      <c r="C10" s="42">
        <v>1005.7716594496609</v>
      </c>
      <c r="D10" s="41">
        <v>1010.0795662106881</v>
      </c>
      <c r="E10" s="42">
        <v>1193.6795475138977</v>
      </c>
      <c r="F10" s="41">
        <v>1004.8028033728659</v>
      </c>
      <c r="G10" s="42">
        <v>1410.7695084251279</v>
      </c>
      <c r="H10" s="41">
        <v>999.86317522358377</v>
      </c>
      <c r="I10" s="42">
        <v>1668.2567285191215</v>
      </c>
      <c r="J10" s="41">
        <v>995.17008700036706</v>
      </c>
      <c r="K10" s="42">
        <v>1983.4996831829562</v>
      </c>
      <c r="L10" s="41">
        <v>990.73018717230616</v>
      </c>
      <c r="M10" s="42">
        <v>2387.2228184492565</v>
      </c>
      <c r="N10" s="41">
        <v>986.67808910732879</v>
      </c>
      <c r="O10" s="42">
        <v>2942.3869303593438</v>
      </c>
      <c r="P10" s="41">
        <v>983.44069541906674</v>
      </c>
      <c r="Q10" s="42">
        <v>3810.3184285304724</v>
      </c>
      <c r="R10" s="41">
        <v>982.58669888238808</v>
      </c>
      <c r="S10" s="42">
        <v>5632.4986781035886</v>
      </c>
      <c r="T10" s="41"/>
      <c r="U10" s="42"/>
      <c r="V10" s="41"/>
      <c r="W10" s="42"/>
      <c r="X10" s="41"/>
      <c r="Y10" s="42"/>
      <c r="Z10" s="41"/>
      <c r="AA10" s="42"/>
      <c r="AB10" s="41"/>
      <c r="AC10" s="42"/>
      <c r="AD10" s="41"/>
      <c r="AE10" s="42"/>
      <c r="AF10" s="41"/>
      <c r="AG10" s="42"/>
      <c r="AH10" s="41"/>
      <c r="AI10" s="42"/>
      <c r="AJ10" s="41"/>
      <c r="AK10" s="42"/>
      <c r="AL10" s="41"/>
      <c r="AM10" s="42"/>
      <c r="AN10" s="41"/>
      <c r="AO10" s="42"/>
      <c r="AP10" s="41"/>
      <c r="AQ10" s="42"/>
      <c r="AR10" s="41"/>
      <c r="AS10" s="42"/>
      <c r="AT10" s="41"/>
      <c r="AU10" s="42"/>
      <c r="AV10" s="41"/>
      <c r="AW10" s="42"/>
    </row>
    <row r="11" spans="1:49" x14ac:dyDescent="0.2">
      <c r="A11" t="s">
        <v>29</v>
      </c>
      <c r="B11" s="41">
        <v>1015.9116825427475</v>
      </c>
      <c r="C11" s="42">
        <v>1005.7716594496609</v>
      </c>
      <c r="D11" s="41">
        <v>1010.0795662106881</v>
      </c>
      <c r="E11" s="42">
        <v>1193.6795475138977</v>
      </c>
      <c r="F11" s="41">
        <v>1004.8028033728659</v>
      </c>
      <c r="G11" s="42">
        <v>1410.7695084251279</v>
      </c>
      <c r="H11" s="41">
        <v>999.86317522358377</v>
      </c>
      <c r="I11" s="42">
        <v>1668.2567285191215</v>
      </c>
      <c r="J11" s="41">
        <v>995.17008700036706</v>
      </c>
      <c r="K11" s="42">
        <v>1983.4996831829562</v>
      </c>
      <c r="L11" s="41">
        <v>990.73018717230616</v>
      </c>
      <c r="M11" s="42">
        <v>2387.2228184492565</v>
      </c>
      <c r="N11" s="41">
        <v>986.67808910732879</v>
      </c>
      <c r="O11" s="42">
        <v>2942.3869303593438</v>
      </c>
      <c r="P11" s="41">
        <v>983.44069541906674</v>
      </c>
      <c r="Q11" s="42">
        <v>3810.3184285304724</v>
      </c>
      <c r="R11" s="41">
        <v>982.58669888238808</v>
      </c>
      <c r="S11" s="42">
        <v>5632.4986781035886</v>
      </c>
      <c r="T11" s="41"/>
      <c r="U11" s="42"/>
      <c r="V11" s="41"/>
      <c r="W11" s="42"/>
      <c r="X11" s="41"/>
      <c r="Y11" s="42"/>
      <c r="Z11" s="41"/>
      <c r="AA11" s="42"/>
      <c r="AB11" s="41"/>
      <c r="AC11" s="42"/>
      <c r="AD11" s="41"/>
      <c r="AE11" s="42"/>
      <c r="AF11" s="41"/>
      <c r="AG11" s="42"/>
      <c r="AH11" s="41"/>
      <c r="AI11" s="42"/>
      <c r="AJ11" s="41"/>
      <c r="AK11" s="42"/>
      <c r="AL11" s="41"/>
      <c r="AM11" s="42"/>
      <c r="AN11" s="41"/>
      <c r="AO11" s="42"/>
      <c r="AP11" s="41"/>
      <c r="AQ11" s="42"/>
      <c r="AR11" s="41"/>
      <c r="AS11" s="42"/>
      <c r="AT11" s="41"/>
      <c r="AU11" s="42"/>
      <c r="AV11" s="41"/>
      <c r="AW11" s="42"/>
    </row>
    <row r="12" spans="1:49"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c r="U12" s="42"/>
      <c r="V12" s="41"/>
      <c r="W12" s="42"/>
      <c r="X12" s="41"/>
      <c r="Y12" s="42"/>
      <c r="Z12" s="41"/>
      <c r="AA12" s="42"/>
      <c r="AB12" s="41"/>
      <c r="AC12" s="42"/>
      <c r="AD12" s="41"/>
      <c r="AE12" s="42"/>
      <c r="AF12" s="41"/>
      <c r="AG12" s="42"/>
      <c r="AH12" s="41"/>
      <c r="AI12" s="42"/>
      <c r="AJ12" s="41"/>
      <c r="AK12" s="42"/>
      <c r="AL12" s="41"/>
      <c r="AM12" s="42"/>
      <c r="AN12" s="41"/>
      <c r="AO12" s="42"/>
      <c r="AP12" s="41"/>
      <c r="AQ12" s="42"/>
      <c r="AR12" s="41"/>
      <c r="AS12" s="42"/>
      <c r="AT12" s="41"/>
      <c r="AU12" s="42"/>
      <c r="AV12" s="41"/>
      <c r="AW12" s="42"/>
    </row>
    <row r="13" spans="1:49" x14ac:dyDescent="0.2">
      <c r="A13" t="s">
        <v>17</v>
      </c>
      <c r="B13" s="97">
        <v>1000</v>
      </c>
      <c r="C13" s="98">
        <v>1000</v>
      </c>
      <c r="D13" s="97">
        <v>861.90887324946152</v>
      </c>
      <c r="E13" s="98">
        <v>861.90887324946152</v>
      </c>
      <c r="F13" s="97">
        <v>739.47912351804337</v>
      </c>
      <c r="G13" s="98">
        <v>739.47912351804337</v>
      </c>
      <c r="H13" s="97">
        <v>627.3136813397889</v>
      </c>
      <c r="I13" s="98">
        <v>627.3136813397889</v>
      </c>
      <c r="J13" s="97">
        <v>521.56506237593283</v>
      </c>
      <c r="K13" s="98">
        <v>521.56506237593283</v>
      </c>
      <c r="L13" s="97">
        <v>418.66914363903447</v>
      </c>
      <c r="M13" s="98">
        <v>418.66914363903447</v>
      </c>
      <c r="N13" s="97">
        <v>314.37076920574805</v>
      </c>
      <c r="O13" s="98">
        <v>314.37076920574805</v>
      </c>
      <c r="P13" s="97">
        <v>202.34109216216763</v>
      </c>
      <c r="Q13" s="98">
        <v>202.34109216216763</v>
      </c>
      <c r="R13" s="97">
        <v>73.430710969884402</v>
      </c>
      <c r="S13" s="98">
        <v>73.430710969884402</v>
      </c>
      <c r="T13" s="97"/>
      <c r="U13" s="98"/>
      <c r="V13" s="97"/>
      <c r="W13" s="98"/>
      <c r="X13" s="97"/>
      <c r="Y13" s="98"/>
      <c r="Z13" s="97"/>
      <c r="AA13" s="98"/>
      <c r="AB13" s="97"/>
      <c r="AC13" s="98"/>
      <c r="AD13" s="97"/>
      <c r="AE13" s="98"/>
      <c r="AF13" s="97"/>
      <c r="AG13" s="98"/>
      <c r="AH13" s="97"/>
      <c r="AI13" s="98"/>
      <c r="AJ13" s="97"/>
      <c r="AK13" s="98"/>
      <c r="AL13" s="97"/>
      <c r="AM13" s="98"/>
      <c r="AN13" s="97"/>
      <c r="AO13" s="98"/>
      <c r="AP13" s="97"/>
      <c r="AQ13" s="98"/>
      <c r="AR13" s="97"/>
      <c r="AS13" s="98"/>
      <c r="AT13" s="97"/>
      <c r="AU13" s="98"/>
      <c r="AV13" s="97"/>
      <c r="AW13" s="98"/>
    </row>
    <row r="14" spans="1:49" x14ac:dyDescent="0.2">
      <c r="A14" t="s">
        <v>36</v>
      </c>
      <c r="B14" s="41">
        <v>1457.0034251455234</v>
      </c>
      <c r="C14" s="42">
        <v>1457.0034251455236</v>
      </c>
      <c r="D14" s="41">
        <v>1255.8041804877842</v>
      </c>
      <c r="E14" s="42">
        <v>1255.8041804877844</v>
      </c>
      <c r="F14" s="41">
        <v>1077.4236157893986</v>
      </c>
      <c r="G14" s="42">
        <v>1077.4236157893988</v>
      </c>
      <c r="H14" s="41">
        <v>913.99818235271971</v>
      </c>
      <c r="I14" s="42">
        <v>913.99818235271994</v>
      </c>
      <c r="J14" s="41">
        <v>759.92208231797258</v>
      </c>
      <c r="K14" s="42">
        <v>759.92208231797269</v>
      </c>
      <c r="L14" s="41">
        <v>610.00237628481625</v>
      </c>
      <c r="M14" s="42">
        <v>610.00237628481636</v>
      </c>
      <c r="N14" s="41">
        <v>458.0392874984077</v>
      </c>
      <c r="O14" s="42">
        <v>458.03928749840776</v>
      </c>
      <c r="P14" s="41">
        <v>294.81166432796425</v>
      </c>
      <c r="Q14" s="42">
        <v>294.81166432796425</v>
      </c>
      <c r="R14" s="41">
        <v>106.98879739399253</v>
      </c>
      <c r="S14" s="42">
        <v>106.98879739399254</v>
      </c>
      <c r="T14" s="41"/>
      <c r="U14" s="42"/>
      <c r="V14" s="41"/>
      <c r="W14" s="42"/>
      <c r="X14" s="41"/>
      <c r="Y14" s="42"/>
      <c r="Z14" s="41"/>
      <c r="AA14" s="42"/>
      <c r="AB14" s="41"/>
      <c r="AC14" s="42"/>
      <c r="AD14" s="41"/>
      <c r="AE14" s="42"/>
      <c r="AF14" s="41"/>
      <c r="AG14" s="42"/>
      <c r="AH14" s="41"/>
      <c r="AI14" s="42"/>
      <c r="AJ14" s="41"/>
      <c r="AK14" s="42"/>
      <c r="AL14" s="41"/>
      <c r="AM14" s="42"/>
      <c r="AN14" s="41"/>
      <c r="AO14" s="42"/>
      <c r="AP14" s="41"/>
      <c r="AQ14" s="42"/>
      <c r="AR14" s="41"/>
      <c r="AS14" s="42"/>
      <c r="AT14" s="41"/>
      <c r="AU14" s="42"/>
      <c r="AV14" s="41"/>
      <c r="AW14" s="42"/>
    </row>
    <row r="15" spans="1:49" x14ac:dyDescent="0.2">
      <c r="A15" t="s">
        <v>18</v>
      </c>
      <c r="B15" s="154">
        <v>1000</v>
      </c>
      <c r="C15" s="155">
        <v>1000</v>
      </c>
      <c r="D15" s="154">
        <v>1142.034804880816</v>
      </c>
      <c r="E15" s="155">
        <v>1142.034804880816</v>
      </c>
      <c r="F15" s="154">
        <v>1289.950130784827</v>
      </c>
      <c r="G15" s="155">
        <v>1289.950130784827</v>
      </c>
      <c r="H15" s="154">
        <v>1449.1308171316352</v>
      </c>
      <c r="I15" s="155">
        <v>1449.1308171316352</v>
      </c>
      <c r="J15" s="154">
        <v>1626.9986103607571</v>
      </c>
      <c r="K15" s="155">
        <v>1626.9986103607571</v>
      </c>
      <c r="L15" s="154">
        <v>1836.399995817027</v>
      </c>
      <c r="M15" s="155">
        <v>1836.399995817027</v>
      </c>
      <c r="N15" s="154">
        <v>2103.8647366266068</v>
      </c>
      <c r="O15" s="155">
        <v>2103.8647366266068</v>
      </c>
      <c r="P15" s="154">
        <v>2498.1695614692721</v>
      </c>
      <c r="Q15" s="155">
        <v>2498.1695614692721</v>
      </c>
      <c r="R15" s="154">
        <v>3292.5799217451909</v>
      </c>
      <c r="S15" s="155">
        <v>3292.5799217451909</v>
      </c>
      <c r="T15" s="154"/>
      <c r="U15" s="155"/>
      <c r="V15" s="154"/>
      <c r="W15" s="155"/>
      <c r="X15" s="154"/>
      <c r="Y15" s="155"/>
      <c r="Z15" s="154"/>
      <c r="AA15" s="155"/>
      <c r="AB15" s="154"/>
      <c r="AC15" s="155"/>
      <c r="AD15" s="154"/>
      <c r="AE15" s="155"/>
      <c r="AF15" s="154"/>
      <c r="AG15" s="155"/>
      <c r="AH15" s="154"/>
      <c r="AI15" s="155"/>
      <c r="AJ15" s="154"/>
      <c r="AK15" s="155"/>
      <c r="AL15" s="154"/>
      <c r="AM15" s="155"/>
      <c r="AN15" s="154"/>
      <c r="AO15" s="155"/>
      <c r="AP15" s="154"/>
      <c r="AQ15" s="155"/>
      <c r="AR15" s="154"/>
      <c r="AS15" s="155"/>
      <c r="AT15" s="154"/>
      <c r="AU15" s="155"/>
      <c r="AV15" s="154"/>
      <c r="AW15" s="155"/>
    </row>
    <row r="16" spans="1:49" s="29" customFormat="1" x14ac:dyDescent="0.2">
      <c r="A16" t="s">
        <v>61</v>
      </c>
      <c r="B16" s="41">
        <v>1000</v>
      </c>
      <c r="C16" s="42">
        <v>1000</v>
      </c>
      <c r="D16" s="41">
        <v>986.80972247711668</v>
      </c>
      <c r="E16" s="42">
        <v>1059.6919386125617</v>
      </c>
      <c r="F16" s="41">
        <v>973.75429648451723</v>
      </c>
      <c r="G16" s="42">
        <v>1123.6797584384528</v>
      </c>
      <c r="H16" s="41">
        <v>960.36550663896719</v>
      </c>
      <c r="I16" s="42">
        <v>1194.3614770988215</v>
      </c>
      <c r="J16" s="41">
        <v>946.20921311650272</v>
      </c>
      <c r="K16" s="42">
        <v>1275.3849033930646</v>
      </c>
      <c r="L16" s="41">
        <v>930.71991184409717</v>
      </c>
      <c r="M16" s="42">
        <v>1373.3730025173581</v>
      </c>
      <c r="N16" s="41">
        <v>912.91842569166829</v>
      </c>
      <c r="O16" s="42">
        <v>1502.3817434380742</v>
      </c>
      <c r="P16" s="41">
        <v>890.55367068020803</v>
      </c>
      <c r="Q16" s="42">
        <v>1699.7243078368324</v>
      </c>
      <c r="R16" s="41">
        <v>855.61521380921295</v>
      </c>
      <c r="S16" s="42">
        <v>2118.8131853986038</v>
      </c>
      <c r="T16" s="41"/>
      <c r="U16" s="42"/>
      <c r="V16" s="41"/>
      <c r="W16" s="42"/>
      <c r="X16" s="41"/>
      <c r="Y16" s="42"/>
      <c r="Z16" s="41"/>
      <c r="AA16" s="42"/>
      <c r="AB16" s="41"/>
      <c r="AC16" s="42"/>
      <c r="AD16" s="41"/>
      <c r="AE16" s="42"/>
      <c r="AF16" s="41"/>
      <c r="AG16" s="42"/>
      <c r="AH16" s="41"/>
      <c r="AI16" s="42"/>
      <c r="AJ16" s="41"/>
      <c r="AK16" s="42"/>
      <c r="AL16" s="41"/>
      <c r="AM16" s="42"/>
      <c r="AN16" s="41"/>
      <c r="AO16" s="42"/>
      <c r="AP16" s="41"/>
      <c r="AQ16" s="42"/>
      <c r="AR16" s="41"/>
      <c r="AS16" s="42"/>
      <c r="AT16" s="41"/>
      <c r="AU16" s="42"/>
      <c r="AV16" s="41"/>
      <c r="AW16" s="42"/>
    </row>
    <row r="17" spans="1:49" x14ac:dyDescent="0.2">
      <c r="A17" t="s">
        <v>62</v>
      </c>
      <c r="B17" s="35">
        <v>1000.0000000000002</v>
      </c>
      <c r="C17" s="36">
        <v>999.99999999999977</v>
      </c>
      <c r="D17" s="35">
        <v>994.7919225518516</v>
      </c>
      <c r="E17" s="36">
        <v>1126.8990529836963</v>
      </c>
      <c r="F17" s="35">
        <v>990.10098015170206</v>
      </c>
      <c r="G17" s="36">
        <v>1270.2230103361931</v>
      </c>
      <c r="H17" s="35">
        <v>985.72819572822823</v>
      </c>
      <c r="I17" s="36">
        <v>1436.7229209442892</v>
      </c>
      <c r="J17" s="35">
        <v>981.59035856277671</v>
      </c>
      <c r="K17" s="36">
        <v>1636.7660680404176</v>
      </c>
      <c r="L17" s="35">
        <v>977.69087731532488</v>
      </c>
      <c r="M17" s="36">
        <v>1888.757387640728</v>
      </c>
      <c r="N17" s="35">
        <v>974.14494706117114</v>
      </c>
      <c r="O17" s="36">
        <v>2230.6381817807969</v>
      </c>
      <c r="P17" s="35">
        <v>971.32090737266378</v>
      </c>
      <c r="Q17" s="36">
        <v>2760.273611300398</v>
      </c>
      <c r="R17" s="35">
        <v>970.57728330024929</v>
      </c>
      <c r="S17" s="36">
        <v>3869.3618523988434</v>
      </c>
      <c r="T17" s="35"/>
      <c r="U17" s="36"/>
      <c r="V17" s="35"/>
      <c r="W17" s="36"/>
      <c r="X17" s="35"/>
      <c r="Y17" s="36"/>
      <c r="Z17" s="35"/>
      <c r="AA17" s="36"/>
      <c r="AB17" s="35"/>
      <c r="AC17" s="36"/>
      <c r="AD17" s="35"/>
      <c r="AE17" s="36"/>
      <c r="AF17" s="35"/>
      <c r="AG17" s="36"/>
      <c r="AH17" s="35"/>
      <c r="AI17" s="36"/>
      <c r="AJ17" s="35"/>
      <c r="AK17" s="36"/>
      <c r="AL17" s="35"/>
      <c r="AM17" s="36"/>
      <c r="AN17" s="35"/>
      <c r="AO17" s="36"/>
      <c r="AP17" s="35"/>
      <c r="AQ17" s="36"/>
      <c r="AR17" s="35"/>
      <c r="AS17" s="36"/>
      <c r="AT17" s="35"/>
      <c r="AU17" s="36"/>
      <c r="AV17" s="35"/>
      <c r="AW17" s="36"/>
    </row>
    <row r="18" spans="1:49" x14ac:dyDescent="0.2">
      <c r="A18" t="s">
        <v>19</v>
      </c>
      <c r="B18" s="33">
        <v>27857.010133999996</v>
      </c>
      <c r="C18" s="34">
        <v>1236.7674480000003</v>
      </c>
      <c r="D18" s="33">
        <v>30476.017943950392</v>
      </c>
      <c r="E18" s="34">
        <v>1082.8723744775284</v>
      </c>
      <c r="F18" s="33">
        <v>33097.045289142305</v>
      </c>
      <c r="G18" s="34">
        <v>931.80939241552198</v>
      </c>
      <c r="H18" s="33">
        <v>35810.945754563429</v>
      </c>
      <c r="I18" s="34">
        <v>782.41142545060086</v>
      </c>
      <c r="J18" s="33">
        <v>38723.444745023924</v>
      </c>
      <c r="K18" s="34">
        <v>634.42789276465101</v>
      </c>
      <c r="L18" s="33">
        <v>41999.065048422555</v>
      </c>
      <c r="M18" s="34">
        <v>488.27077075539842</v>
      </c>
      <c r="N18" s="33">
        <v>45955.406297334703</v>
      </c>
      <c r="O18" s="34">
        <v>345.05405606723605</v>
      </c>
      <c r="P18" s="33">
        <v>51371.387698252234</v>
      </c>
      <c r="Q18" s="34">
        <v>207.10865934680015</v>
      </c>
      <c r="R18" s="33">
        <v>61131.040095147488</v>
      </c>
      <c r="S18" s="34">
        <v>80.69527069605536</v>
      </c>
      <c r="T18" s="33"/>
      <c r="U18" s="34"/>
      <c r="V18" s="33"/>
      <c r="W18" s="34"/>
      <c r="X18" s="33"/>
      <c r="Y18" s="34"/>
      <c r="Z18" s="33"/>
      <c r="AA18" s="34"/>
      <c r="AB18" s="33"/>
      <c r="AC18" s="34"/>
      <c r="AD18" s="33"/>
      <c r="AE18" s="34"/>
      <c r="AF18" s="33"/>
      <c r="AG18" s="34"/>
      <c r="AH18" s="33"/>
      <c r="AI18" s="34"/>
      <c r="AJ18" s="33"/>
      <c r="AK18" s="34"/>
      <c r="AL18" s="33"/>
      <c r="AM18" s="34"/>
      <c r="AN18" s="33"/>
      <c r="AO18" s="34"/>
      <c r="AP18" s="33"/>
      <c r="AQ18" s="34"/>
      <c r="AR18" s="33"/>
      <c r="AS18" s="34"/>
      <c r="AT18" s="33"/>
      <c r="AU18" s="34"/>
      <c r="AV18" s="33"/>
      <c r="AW18" s="34"/>
    </row>
    <row r="19" spans="1:49" x14ac:dyDescent="0.2">
      <c r="A19" t="s">
        <v>3</v>
      </c>
      <c r="B19" s="41">
        <v>1886.3937399999918</v>
      </c>
      <c r="C19" s="42">
        <v>262.78711299999759</v>
      </c>
      <c r="D19" s="41">
        <v>2035.4086080681238</v>
      </c>
      <c r="E19" s="42">
        <v>327.00027185744312</v>
      </c>
      <c r="F19" s="41">
        <v>2182.7967850364344</v>
      </c>
      <c r="G19" s="42">
        <v>401.21633448588648</v>
      </c>
      <c r="H19" s="41">
        <v>2333.9310106491257</v>
      </c>
      <c r="I19" s="42">
        <v>486.9869510809641</v>
      </c>
      <c r="J19" s="41">
        <v>2495.2980279864428</v>
      </c>
      <c r="K19" s="42">
        <v>585.94716233498616</v>
      </c>
      <c r="L19" s="41">
        <v>2677.339840479267</v>
      </c>
      <c r="M19" s="42">
        <v>700.12490521941822</v>
      </c>
      <c r="N19" s="41">
        <v>2900.697269601967</v>
      </c>
      <c r="O19" s="42">
        <v>832.42433201767687</v>
      </c>
      <c r="P19" s="41">
        <v>3216.8990726426732</v>
      </c>
      <c r="Q19" s="42">
        <v>987.53353279706687</v>
      </c>
      <c r="R19" s="41">
        <v>3820.0195432237529</v>
      </c>
      <c r="S19" s="42">
        <v>1172.6779127211946</v>
      </c>
      <c r="T19" s="41"/>
      <c r="U19" s="42"/>
      <c r="V19" s="41"/>
      <c r="W19" s="42"/>
      <c r="X19" s="41"/>
      <c r="Y19" s="42"/>
      <c r="Z19" s="41"/>
      <c r="AA19" s="42"/>
      <c r="AB19" s="41"/>
      <c r="AC19" s="42"/>
      <c r="AD19" s="41"/>
      <c r="AE19" s="42"/>
      <c r="AF19" s="41"/>
      <c r="AG19" s="42"/>
      <c r="AH19" s="41"/>
      <c r="AI19" s="42"/>
      <c r="AJ19" s="41"/>
      <c r="AK19" s="42"/>
      <c r="AL19" s="41"/>
      <c r="AM19" s="42"/>
      <c r="AN19" s="41"/>
      <c r="AO19" s="42"/>
      <c r="AP19" s="41"/>
      <c r="AQ19" s="42"/>
      <c r="AR19" s="41"/>
      <c r="AS19" s="42"/>
      <c r="AT19" s="41"/>
      <c r="AU19" s="42"/>
      <c r="AV19" s="41"/>
      <c r="AW19" s="42"/>
    </row>
    <row r="20" spans="1:49" x14ac:dyDescent="0.2">
      <c r="A20" t="s">
        <v>127</v>
      </c>
      <c r="B20" s="82">
        <v>26548.356269999993</v>
      </c>
      <c r="C20" s="83">
        <v>1408.5418709999938</v>
      </c>
      <c r="D20" s="82">
        <v>28977.281221908106</v>
      </c>
      <c r="E20" s="83">
        <v>1338.1147774499941</v>
      </c>
      <c r="F20" s="82">
        <v>31402.832953002842</v>
      </c>
      <c r="G20" s="83">
        <v>1267.6876838999945</v>
      </c>
      <c r="H20" s="82">
        <v>33909.709304772383</v>
      </c>
      <c r="I20" s="83">
        <v>1197.2605903499943</v>
      </c>
      <c r="J20" s="82">
        <v>36596.958720382856</v>
      </c>
      <c r="K20" s="83">
        <v>1126.8334967999951</v>
      </c>
      <c r="L20" s="82">
        <v>39619.58373513697</v>
      </c>
      <c r="M20" s="83">
        <v>1056.4064032499953</v>
      </c>
      <c r="N20" s="82">
        <v>43278.145006733561</v>
      </c>
      <c r="O20" s="83">
        <v>985.97930969999561</v>
      </c>
      <c r="P20" s="82">
        <v>48312.363445032883</v>
      </c>
      <c r="Q20" s="83">
        <v>915.55221614999596</v>
      </c>
      <c r="R20" s="82">
        <v>57469.976915907566</v>
      </c>
      <c r="S20" s="83">
        <v>845.12512259999642</v>
      </c>
      <c r="T20" s="82"/>
      <c r="U20" s="83"/>
      <c r="V20" s="82"/>
      <c r="W20" s="83"/>
      <c r="X20" s="82"/>
      <c r="Y20" s="83"/>
      <c r="Z20" s="82"/>
      <c r="AA20" s="83"/>
      <c r="AB20" s="82"/>
      <c r="AC20" s="83"/>
      <c r="AD20" s="82"/>
      <c r="AE20" s="83"/>
      <c r="AF20" s="82"/>
      <c r="AG20" s="83"/>
      <c r="AH20" s="82"/>
      <c r="AI20" s="83"/>
      <c r="AJ20" s="82"/>
      <c r="AK20" s="83"/>
      <c r="AL20" s="82"/>
      <c r="AM20" s="83"/>
      <c r="AN20" s="82"/>
      <c r="AO20" s="83"/>
      <c r="AP20" s="82"/>
      <c r="AQ20" s="83"/>
      <c r="AR20" s="82"/>
      <c r="AS20" s="83"/>
      <c r="AT20" s="82"/>
      <c r="AU20" s="83"/>
      <c r="AV20" s="82"/>
      <c r="AW20" s="83"/>
    </row>
    <row r="21" spans="1:49" x14ac:dyDescent="0.2">
      <c r="A21" t="s">
        <v>76</v>
      </c>
      <c r="B21" s="82">
        <v>24661.962529999968</v>
      </c>
      <c r="C21" s="83">
        <v>1145.7547579999991</v>
      </c>
      <c r="D21" s="82">
        <v>26941.945660909252</v>
      </c>
      <c r="E21" s="83">
        <v>1014.4279929799003</v>
      </c>
      <c r="F21" s="82">
        <v>29220.323379660742</v>
      </c>
      <c r="G21" s="83">
        <v>880.70796438829188</v>
      </c>
      <c r="H21" s="82">
        <v>31576.425565140282</v>
      </c>
      <c r="I21" s="83">
        <v>744.85484959552446</v>
      </c>
      <c r="J21" s="82">
        <v>34102.827561454178</v>
      </c>
      <c r="K21" s="83">
        <v>607.55928876029463</v>
      </c>
      <c r="L21" s="82">
        <v>36944.10583492781</v>
      </c>
      <c r="M21" s="83">
        <v>469.89160702669983</v>
      </c>
      <c r="N21" s="82">
        <v>40380.188843239324</v>
      </c>
      <c r="O21" s="83">
        <v>333.43339406930852</v>
      </c>
      <c r="P21" s="82">
        <v>45099.239590698766</v>
      </c>
      <c r="Q21" s="83">
        <v>200.83234715307299</v>
      </c>
      <c r="R21" s="82">
        <v>53654.687509655123</v>
      </c>
      <c r="S21" s="83">
        <v>78.484061322098427</v>
      </c>
      <c r="T21" s="82"/>
      <c r="U21" s="83"/>
      <c r="V21" s="82"/>
      <c r="W21" s="83"/>
      <c r="X21" s="82"/>
      <c r="Y21" s="83"/>
      <c r="Z21" s="82"/>
      <c r="AA21" s="83"/>
      <c r="AB21" s="82"/>
      <c r="AC21" s="83"/>
      <c r="AD21" s="82"/>
      <c r="AE21" s="83"/>
      <c r="AF21" s="82"/>
      <c r="AG21" s="83"/>
      <c r="AH21" s="82"/>
      <c r="AI21" s="83"/>
      <c r="AJ21" s="82"/>
      <c r="AK21" s="83"/>
      <c r="AL21" s="82"/>
      <c r="AM21" s="83"/>
      <c r="AN21" s="82"/>
      <c r="AO21" s="83"/>
      <c r="AP21" s="82"/>
      <c r="AQ21" s="83"/>
      <c r="AR21" s="82"/>
      <c r="AS21" s="83"/>
      <c r="AT21" s="82"/>
      <c r="AU21" s="83"/>
      <c r="AV21" s="82"/>
      <c r="AW21" s="83"/>
    </row>
    <row r="22" spans="1:49" x14ac:dyDescent="0.2">
      <c r="A22" t="s">
        <v>28</v>
      </c>
      <c r="B22" s="41">
        <v>6533.6044688320644</v>
      </c>
      <c r="C22" s="42">
        <v>379.90788307663382</v>
      </c>
      <c r="D22" s="41">
        <v>7136.8051649684539</v>
      </c>
      <c r="E22" s="42">
        <v>372.50077639874598</v>
      </c>
      <c r="F22" s="41">
        <v>7735.473649547821</v>
      </c>
      <c r="G22" s="42">
        <v>363.45946801377619</v>
      </c>
      <c r="H22" s="41">
        <v>8349.965454718309</v>
      </c>
      <c r="I22" s="42">
        <v>353.13115296796161</v>
      </c>
      <c r="J22" s="41">
        <v>9003.7162244225474</v>
      </c>
      <c r="K22" s="42">
        <v>341.6437819870618</v>
      </c>
      <c r="L22" s="41">
        <v>9733.1854704410052</v>
      </c>
      <c r="M22" s="42">
        <v>328.95845293826642</v>
      </c>
      <c r="N22" s="41">
        <v>10609.000107567819</v>
      </c>
      <c r="O22" s="42">
        <v>314.83470176447474</v>
      </c>
      <c r="P22" s="41">
        <v>11804.948159084655</v>
      </c>
      <c r="Q22" s="42">
        <v>298.62217866416376</v>
      </c>
      <c r="R22" s="41">
        <v>13964.853698700661</v>
      </c>
      <c r="S22" s="42">
        <v>278.17809015444618</v>
      </c>
      <c r="T22" s="41"/>
      <c r="U22" s="42"/>
      <c r="V22" s="41"/>
      <c r="W22" s="42"/>
      <c r="X22" s="41"/>
      <c r="Y22" s="42"/>
      <c r="Z22" s="41"/>
      <c r="AA22" s="42"/>
      <c r="AB22" s="41"/>
      <c r="AC22" s="42"/>
      <c r="AD22" s="41"/>
      <c r="AE22" s="42"/>
      <c r="AF22" s="41"/>
      <c r="AG22" s="42"/>
      <c r="AH22" s="41"/>
      <c r="AI22" s="42"/>
      <c r="AJ22" s="41"/>
      <c r="AK22" s="42"/>
      <c r="AL22" s="41"/>
      <c r="AM22" s="42"/>
      <c r="AN22" s="41"/>
      <c r="AO22" s="42"/>
      <c r="AP22" s="41"/>
      <c r="AQ22" s="42"/>
      <c r="AR22" s="41"/>
      <c r="AS22" s="42"/>
      <c r="AT22" s="41"/>
      <c r="AU22" s="42"/>
      <c r="AV22" s="41"/>
      <c r="AW22" s="42"/>
    </row>
    <row r="23" spans="1:49" x14ac:dyDescent="0.2">
      <c r="A23" t="s">
        <v>7</v>
      </c>
      <c r="B23" s="116">
        <v>3278.5018080150408</v>
      </c>
      <c r="C23" s="8">
        <v>0</v>
      </c>
      <c r="D23" s="116">
        <v>3595.1174130200648</v>
      </c>
      <c r="E23" s="8">
        <v>0</v>
      </c>
      <c r="F23" s="116">
        <v>3912.4311797967866</v>
      </c>
      <c r="G23" s="8">
        <v>0</v>
      </c>
      <c r="H23" s="116">
        <v>4241.4235315277938</v>
      </c>
      <c r="I23" s="8">
        <v>0</v>
      </c>
      <c r="J23" s="116">
        <v>4595.1440241587361</v>
      </c>
      <c r="K23" s="8">
        <v>0</v>
      </c>
      <c r="L23" s="116">
        <v>4994.2619237976778</v>
      </c>
      <c r="M23" s="8">
        <v>0</v>
      </c>
      <c r="N23" s="116">
        <v>5479.197558791031</v>
      </c>
      <c r="O23" s="8">
        <v>0</v>
      </c>
      <c r="P23" s="116">
        <v>6150.1455655118507</v>
      </c>
      <c r="Q23" s="8">
        <v>0</v>
      </c>
      <c r="R23" s="116">
        <v>7382.6017261642355</v>
      </c>
      <c r="S23" s="8">
        <v>0</v>
      </c>
      <c r="T23" s="116"/>
      <c r="U23" s="8"/>
      <c r="V23" s="116"/>
      <c r="W23" s="8"/>
      <c r="X23" s="116"/>
      <c r="Y23" s="8"/>
      <c r="Z23" s="116"/>
      <c r="AA23" s="8"/>
      <c r="AB23" s="116"/>
      <c r="AC23" s="8"/>
      <c r="AD23" s="116"/>
      <c r="AE23" s="8"/>
      <c r="AF23" s="116"/>
      <c r="AG23" s="8"/>
      <c r="AH23" s="116"/>
      <c r="AI23" s="8"/>
      <c r="AJ23" s="116"/>
      <c r="AK23" s="8"/>
      <c r="AL23" s="116"/>
      <c r="AM23" s="8"/>
      <c r="AN23" s="116"/>
      <c r="AO23" s="8"/>
      <c r="AP23" s="116"/>
      <c r="AQ23" s="8"/>
      <c r="AR23" s="116"/>
      <c r="AS23" s="8"/>
      <c r="AT23" s="116"/>
      <c r="AU23" s="8"/>
      <c r="AV23" s="116"/>
      <c r="AW23" s="8"/>
    </row>
    <row r="24" spans="1:49" x14ac:dyDescent="0.2">
      <c r="A24" t="s">
        <v>8</v>
      </c>
      <c r="B24" s="97">
        <v>3196.3846373657216</v>
      </c>
      <c r="C24" s="8">
        <v>0</v>
      </c>
      <c r="D24" s="97">
        <v>3505.0699039294486</v>
      </c>
      <c r="E24" s="8">
        <v>0</v>
      </c>
      <c r="F24" s="97">
        <v>3814.4358732538194</v>
      </c>
      <c r="G24" s="8">
        <v>0</v>
      </c>
      <c r="H24" s="97">
        <v>4135.1878837319318</v>
      </c>
      <c r="I24" s="8">
        <v>0</v>
      </c>
      <c r="J24" s="97">
        <v>4480.0486913438117</v>
      </c>
      <c r="K24" s="8">
        <v>0</v>
      </c>
      <c r="L24" s="97">
        <v>4869.1698302871937</v>
      </c>
      <c r="M24" s="8">
        <v>0</v>
      </c>
      <c r="N24" s="97">
        <v>5341.9591982660613</v>
      </c>
      <c r="O24" s="8">
        <v>0</v>
      </c>
      <c r="P24" s="97">
        <v>5996.1018622798592</v>
      </c>
      <c r="Q24" s="8">
        <v>0</v>
      </c>
      <c r="R24" s="97">
        <v>7197.6884953807212</v>
      </c>
      <c r="S24" s="8">
        <v>0</v>
      </c>
      <c r="T24" s="97"/>
      <c r="U24" s="8"/>
      <c r="V24" s="97"/>
      <c r="W24" s="8"/>
      <c r="X24" s="97"/>
      <c r="Y24" s="8"/>
      <c r="Z24" s="97"/>
      <c r="AA24" s="8"/>
      <c r="AB24" s="97"/>
      <c r="AC24" s="8"/>
      <c r="AD24" s="97"/>
      <c r="AE24" s="8"/>
      <c r="AF24" s="97"/>
      <c r="AG24" s="8"/>
      <c r="AH24" s="97"/>
      <c r="AI24" s="8"/>
      <c r="AJ24" s="97"/>
      <c r="AK24" s="8"/>
      <c r="AL24" s="97"/>
      <c r="AM24" s="8"/>
      <c r="AN24" s="97"/>
      <c r="AO24" s="8"/>
      <c r="AP24" s="97"/>
      <c r="AQ24" s="8"/>
      <c r="AR24" s="97"/>
      <c r="AS24" s="8"/>
      <c r="AT24" s="97"/>
      <c r="AU24" s="8"/>
      <c r="AV24" s="97"/>
      <c r="AW24" s="8"/>
    </row>
    <row r="25" spans="1:49" x14ac:dyDescent="0.2">
      <c r="A25" t="s">
        <v>0</v>
      </c>
      <c r="B25" s="41">
        <v>3195.0476040000012</v>
      </c>
      <c r="C25" s="42">
        <v>91.012690000004397</v>
      </c>
      <c r="D25" s="41">
        <v>3533.952571983456</v>
      </c>
      <c r="E25" s="42">
        <v>67.971092901685836</v>
      </c>
      <c r="F25" s="41">
        <v>3876.2443202715285</v>
      </c>
      <c r="G25" s="42">
        <v>49.639232641361168</v>
      </c>
      <c r="H25" s="41">
        <v>4233.4294864502735</v>
      </c>
      <c r="I25" s="42">
        <v>35.044129026818446</v>
      </c>
      <c r="J25" s="41">
        <v>4618.6256909948415</v>
      </c>
      <c r="K25" s="42">
        <v>23.53532663412841</v>
      </c>
      <c r="L25" s="41">
        <v>5051.7428038087419</v>
      </c>
      <c r="M25" s="42">
        <v>14.644523995103395</v>
      </c>
      <c r="N25" s="41">
        <v>5570.4296989956356</v>
      </c>
      <c r="O25" s="42">
        <v>8.0280062525915508</v>
      </c>
      <c r="P25" s="41">
        <v>6265.4954051710647</v>
      </c>
      <c r="Q25" s="42">
        <v>3.4454107198895443</v>
      </c>
      <c r="R25" s="41">
        <v>7467.9975631322059</v>
      </c>
      <c r="S25" s="42">
        <v>0.77241237509837546</v>
      </c>
      <c r="T25" s="41"/>
      <c r="U25" s="42"/>
      <c r="V25" s="41"/>
      <c r="W25" s="42"/>
      <c r="X25" s="41"/>
      <c r="Y25" s="42"/>
      <c r="Z25" s="41"/>
      <c r="AA25" s="42"/>
      <c r="AB25" s="41"/>
      <c r="AC25" s="42"/>
      <c r="AD25" s="41"/>
      <c r="AE25" s="42"/>
      <c r="AF25" s="41"/>
      <c r="AG25" s="42"/>
      <c r="AH25" s="41"/>
      <c r="AI25" s="42"/>
      <c r="AJ25" s="41"/>
      <c r="AK25" s="42"/>
      <c r="AL25" s="41"/>
      <c r="AM25" s="42"/>
      <c r="AN25" s="41"/>
      <c r="AO25" s="42"/>
      <c r="AP25" s="41"/>
      <c r="AQ25" s="42"/>
      <c r="AR25" s="41"/>
      <c r="AS25" s="42"/>
      <c r="AT25" s="41"/>
      <c r="AU25" s="42"/>
      <c r="AV25" s="41"/>
      <c r="AW25" s="42"/>
    </row>
    <row r="26" spans="1:49" x14ac:dyDescent="0.2">
      <c r="A26" t="s">
        <v>27</v>
      </c>
      <c r="B26" s="33">
        <v>5036.2953101960647</v>
      </c>
      <c r="C26" s="34">
        <v>74.905331803938267</v>
      </c>
      <c r="D26" s="33">
        <v>5998.8642276095143</v>
      </c>
      <c r="E26" s="34">
        <v>69.874828880402504</v>
      </c>
      <c r="F26" s="33">
        <v>7114.4560693210469</v>
      </c>
      <c r="G26" s="34">
        <v>64.205674817800144</v>
      </c>
      <c r="H26" s="33">
        <v>8464.4146825596636</v>
      </c>
      <c r="I26" s="34">
        <v>57.845538099940349</v>
      </c>
      <c r="J26" s="33">
        <v>10186.608146817036</v>
      </c>
      <c r="K26" s="34">
        <v>50.740659656590907</v>
      </c>
      <c r="L26" s="33">
        <v>12557.545158679088</v>
      </c>
      <c r="M26" s="34">
        <v>42.836188091109484</v>
      </c>
      <c r="N26" s="33">
        <v>16254.110986424292</v>
      </c>
      <c r="O26" s="34">
        <v>34.071529294464959</v>
      </c>
      <c r="P26" s="33">
        <v>23572.136632719503</v>
      </c>
      <c r="Q26" s="34">
        <v>24.379870503071182</v>
      </c>
      <c r="R26" s="33">
        <v>51303.095826378187</v>
      </c>
      <c r="S26" s="34">
        <v>13.863324587841209</v>
      </c>
      <c r="T26" s="33"/>
      <c r="U26" s="34"/>
      <c r="V26" s="33"/>
      <c r="W26" s="34"/>
      <c r="X26" s="33"/>
      <c r="Y26" s="34"/>
      <c r="Z26" s="33"/>
      <c r="AA26" s="34"/>
      <c r="AB26" s="33"/>
      <c r="AC26" s="34"/>
      <c r="AD26" s="33"/>
      <c r="AE26" s="34"/>
      <c r="AF26" s="33"/>
      <c r="AG26" s="34"/>
      <c r="AH26" s="33"/>
      <c r="AI26" s="34"/>
      <c r="AJ26" s="33"/>
      <c r="AK26" s="34"/>
      <c r="AL26" s="33"/>
      <c r="AM26" s="34"/>
      <c r="AN26" s="33"/>
      <c r="AO26" s="34"/>
      <c r="AP26" s="33"/>
      <c r="AQ26" s="34"/>
      <c r="AR26" s="33"/>
      <c r="AS26" s="34"/>
      <c r="AT26" s="33"/>
      <c r="AU26" s="34"/>
      <c r="AV26" s="33"/>
      <c r="AW26" s="34"/>
    </row>
    <row r="27" spans="1:49" x14ac:dyDescent="0.2">
      <c r="A27" t="s">
        <v>2</v>
      </c>
      <c r="B27" s="35">
        <v>6425.1981590000305</v>
      </c>
      <c r="C27" s="36">
        <v>273.22915400000028</v>
      </c>
      <c r="D27" s="35">
        <v>6464.1840146852928</v>
      </c>
      <c r="E27" s="36">
        <v>234.24463515206133</v>
      </c>
      <c r="F27" s="35">
        <v>6500.2321656543854</v>
      </c>
      <c r="G27" s="36">
        <v>198.19542085663466</v>
      </c>
      <c r="H27" s="35">
        <v>6534.2951801672116</v>
      </c>
      <c r="I27" s="36">
        <v>164.13352613342045</v>
      </c>
      <c r="J27" s="35">
        <v>6566.8605875081766</v>
      </c>
      <c r="K27" s="36">
        <v>131.5669467329557</v>
      </c>
      <c r="L27" s="35">
        <v>6598.1517388561479</v>
      </c>
      <c r="M27" s="36">
        <v>100.27582241484136</v>
      </c>
      <c r="N27" s="35">
        <v>6628.1631184870876</v>
      </c>
      <c r="O27" s="36">
        <v>70.264056420021589</v>
      </c>
      <c r="P27" s="35">
        <v>6656.5885314206362</v>
      </c>
      <c r="Q27" s="36">
        <v>41.839293119044015</v>
      </c>
      <c r="R27" s="35">
        <v>6682.2702998632631</v>
      </c>
      <c r="S27" s="36">
        <v>16.157869961562227</v>
      </c>
      <c r="T27" s="35"/>
      <c r="U27" s="36"/>
      <c r="V27" s="35"/>
      <c r="W27" s="36"/>
      <c r="X27" s="35"/>
      <c r="Y27" s="36"/>
      <c r="Z27" s="35"/>
      <c r="AA27" s="36"/>
      <c r="AB27" s="35"/>
      <c r="AC27" s="36"/>
      <c r="AD27" s="35"/>
      <c r="AE27" s="36"/>
      <c r="AF27" s="35"/>
      <c r="AG27" s="36"/>
      <c r="AH27" s="35"/>
      <c r="AI27" s="36"/>
      <c r="AJ27" s="35"/>
      <c r="AK27" s="36"/>
      <c r="AL27" s="35"/>
      <c r="AM27" s="36"/>
      <c r="AN27" s="35"/>
      <c r="AO27" s="36"/>
      <c r="AP27" s="35"/>
      <c r="AQ27" s="36"/>
      <c r="AR27" s="35"/>
      <c r="AS27" s="36"/>
      <c r="AT27" s="35"/>
      <c r="AU27" s="36"/>
      <c r="AV27" s="35"/>
      <c r="AW27" s="36"/>
    </row>
    <row r="28" spans="1:49" x14ac:dyDescent="0.2">
      <c r="A28" t="s">
        <v>35</v>
      </c>
      <c r="B28" s="41">
        <v>13763.097676000029</v>
      </c>
      <c r="C28" s="42">
        <v>382.36647899999997</v>
      </c>
      <c r="D28" s="41">
        <v>15115.094536128841</v>
      </c>
      <c r="E28" s="42">
        <v>335.25274739517522</v>
      </c>
      <c r="F28" s="41">
        <v>16482.862732366437</v>
      </c>
      <c r="G28" s="42">
        <v>289.08496210397152</v>
      </c>
      <c r="H28" s="41">
        <v>17915.584020653216</v>
      </c>
      <c r="I28" s="42">
        <v>243.4117966558297</v>
      </c>
      <c r="J28" s="41">
        <v>19472.757159187444</v>
      </c>
      <c r="K28" s="42">
        <v>198.07211847623651</v>
      </c>
      <c r="L28" s="41">
        <v>21249.118816952428</v>
      </c>
      <c r="M28" s="42">
        <v>153.10967650503042</v>
      </c>
      <c r="N28" s="41">
        <v>23430.111615019097</v>
      </c>
      <c r="O28" s="42">
        <v>108.78205282469912</v>
      </c>
      <c r="P28" s="41">
        <v>26476.369921480211</v>
      </c>
      <c r="Q28" s="42">
        <v>65.721904905796393</v>
      </c>
      <c r="R28" s="41">
        <v>32129.824851500271</v>
      </c>
      <c r="S28" s="42">
        <v>25.808928922976296</v>
      </c>
      <c r="T28" s="41"/>
      <c r="U28" s="42"/>
      <c r="V28" s="41"/>
      <c r="W28" s="42"/>
      <c r="X28" s="41"/>
      <c r="Y28" s="42"/>
      <c r="Z28" s="41"/>
      <c r="AA28" s="42"/>
      <c r="AB28" s="41"/>
      <c r="AC28" s="42"/>
      <c r="AD28" s="41"/>
      <c r="AE28" s="42"/>
      <c r="AF28" s="41"/>
      <c r="AG28" s="42"/>
      <c r="AH28" s="41"/>
      <c r="AI28" s="42"/>
      <c r="AJ28" s="41"/>
      <c r="AK28" s="42"/>
      <c r="AL28" s="41"/>
      <c r="AM28" s="42"/>
      <c r="AN28" s="41"/>
      <c r="AO28" s="42"/>
      <c r="AP28" s="41"/>
      <c r="AQ28" s="42"/>
      <c r="AR28" s="41"/>
      <c r="AS28" s="42"/>
      <c r="AT28" s="41"/>
      <c r="AU28" s="42"/>
      <c r="AV28" s="41"/>
      <c r="AW28" s="42"/>
    </row>
    <row r="29" spans="1:49" x14ac:dyDescent="0.2">
      <c r="A29" t="s">
        <v>53</v>
      </c>
      <c r="B29" s="35">
        <v>14362.768558000025</v>
      </c>
      <c r="C29" s="36">
        <v>817.26650999999993</v>
      </c>
      <c r="D29" s="35">
        <v>15710.261816270076</v>
      </c>
      <c r="E29" s="36">
        <v>705.63463703467983</v>
      </c>
      <c r="F29" s="35">
        <v>17058.449744740807</v>
      </c>
      <c r="G29" s="36">
        <v>599.23895368887975</v>
      </c>
      <c r="H29" s="35">
        <v>18454.089699743115</v>
      </c>
      <c r="I29" s="36">
        <v>496.7824037151409</v>
      </c>
      <c r="J29" s="35">
        <v>19951.606113730741</v>
      </c>
      <c r="K29" s="36">
        <v>397.75981243549029</v>
      </c>
      <c r="L29" s="35">
        <v>21635.733154393085</v>
      </c>
      <c r="M29" s="36">
        <v>302.19662672149155</v>
      </c>
      <c r="N29" s="35">
        <v>23670.123449628689</v>
      </c>
      <c r="O29" s="36">
        <v>210.63422174529256</v>
      </c>
      <c r="P29" s="35">
        <v>26456.299059056531</v>
      </c>
      <c r="Q29" s="36">
        <v>124.43731206942705</v>
      </c>
      <c r="R29" s="35">
        <v>31481.434708664437</v>
      </c>
      <c r="S29" s="36">
        <v>47.453385575756187</v>
      </c>
      <c r="T29" s="35"/>
      <c r="U29" s="36"/>
      <c r="V29" s="35"/>
      <c r="W29" s="36"/>
      <c r="X29" s="35"/>
      <c r="Y29" s="36"/>
      <c r="Z29" s="35"/>
      <c r="AA29" s="36"/>
      <c r="AB29" s="35"/>
      <c r="AC29" s="36"/>
      <c r="AD29" s="35"/>
      <c r="AE29" s="36"/>
      <c r="AF29" s="35"/>
      <c r="AG29" s="36"/>
      <c r="AH29" s="35"/>
      <c r="AI29" s="36"/>
      <c r="AJ29" s="35"/>
      <c r="AK29" s="36"/>
      <c r="AL29" s="35"/>
      <c r="AM29" s="36"/>
      <c r="AN29" s="35"/>
      <c r="AO29" s="36"/>
      <c r="AP29" s="35"/>
      <c r="AQ29" s="36"/>
      <c r="AR29" s="35"/>
      <c r="AS29" s="36"/>
      <c r="AT29" s="35"/>
      <c r="AU29" s="36"/>
      <c r="AV29" s="35"/>
      <c r="AW29" s="36"/>
    </row>
    <row r="30" spans="1:49" x14ac:dyDescent="0.2">
      <c r="A30" t="s">
        <v>48</v>
      </c>
      <c r="B30" s="119">
        <v>2924829.9599999995</v>
      </c>
      <c r="D30" s="119">
        <v>3184117.4091177206</v>
      </c>
      <c r="F30" s="119">
        <v>3442123.1073911865</v>
      </c>
      <c r="H30" s="119">
        <v>3707926.5280415015</v>
      </c>
      <c r="J30" s="119">
        <v>3992379.0207625446</v>
      </c>
      <c r="L30" s="119">
        <v>4312796.9724541921</v>
      </c>
      <c r="N30" s="119">
        <v>4703254.0830154475</v>
      </c>
      <c r="P30" s="119">
        <v>5248580.0407366371</v>
      </c>
      <c r="R30" s="119">
        <v>6267636.611065425</v>
      </c>
      <c r="T30" s="119"/>
      <c r="V30" s="119"/>
      <c r="X30" s="119"/>
      <c r="Z30" s="119"/>
      <c r="AB30" s="119"/>
      <c r="AD30" s="119"/>
      <c r="AF30" s="119"/>
      <c r="AH30" s="119"/>
      <c r="AJ30" s="119"/>
      <c r="AL30" s="119"/>
      <c r="AN30" s="119"/>
      <c r="AP30" s="119"/>
      <c r="AR30" s="119"/>
      <c r="AT30" s="119"/>
      <c r="AV30" s="119"/>
    </row>
    <row r="31" spans="1:49" x14ac:dyDescent="0.2">
      <c r="A31" t="s">
        <v>47</v>
      </c>
      <c r="B31" s="80">
        <v>1</v>
      </c>
      <c r="D31" s="80">
        <v>1.0857076806079833</v>
      </c>
      <c r="F31" s="80">
        <v>1.1693860787829622</v>
      </c>
      <c r="H31" s="80">
        <v>1.253820185264279</v>
      </c>
      <c r="J31" s="80">
        <v>1.3420397873961951</v>
      </c>
      <c r="L31" s="80">
        <v>1.438600393272343</v>
      </c>
      <c r="N31" s="80">
        <v>1.5521696208281579</v>
      </c>
      <c r="P31" s="80">
        <v>1.703799056422501</v>
      </c>
      <c r="R31" s="80">
        <v>1.9699531939386277</v>
      </c>
      <c r="T31" s="80"/>
      <c r="V31" s="80"/>
      <c r="X31" s="80"/>
      <c r="Z31" s="80"/>
      <c r="AB31" s="80"/>
      <c r="AD31" s="80"/>
      <c r="AF31" s="80"/>
      <c r="AH31" s="80"/>
      <c r="AJ31" s="80"/>
      <c r="AL31" s="80"/>
      <c r="AN31" s="80"/>
      <c r="AP31" s="80"/>
      <c r="AR31" s="80"/>
      <c r="AT31" s="80"/>
      <c r="AV31" s="80"/>
    </row>
    <row r="32" spans="1:49" x14ac:dyDescent="0.2">
      <c r="A32" t="s">
        <v>64</v>
      </c>
      <c r="B32" s="86">
        <v>14734457.915000005</v>
      </c>
      <c r="D32" s="86">
        <v>16064656.533460332</v>
      </c>
      <c r="F32" s="86">
        <v>17391231.253090087</v>
      </c>
      <c r="H32" s="86">
        <v>18760957.335573111</v>
      </c>
      <c r="J32" s="86">
        <v>20230155.543257274</v>
      </c>
      <c r="L32" s="86">
        <v>21889179.958079714</v>
      </c>
      <c r="N32" s="86">
        <v>23916367.839782365</v>
      </c>
      <c r="P32" s="86">
        <v>26756934.245058969</v>
      </c>
      <c r="R32" s="86">
        <v>32090988.978351459</v>
      </c>
      <c r="T32" s="86"/>
      <c r="V32" s="86"/>
      <c r="X32" s="86"/>
      <c r="Z32" s="86"/>
      <c r="AB32" s="86"/>
      <c r="AD32" s="86"/>
      <c r="AF32" s="86"/>
      <c r="AH32" s="86"/>
      <c r="AJ32" s="86"/>
      <c r="AL32" s="86"/>
      <c r="AN32" s="86"/>
      <c r="AP32" s="86"/>
      <c r="AR32" s="86"/>
      <c r="AT32" s="86"/>
      <c r="AV32" s="86"/>
    </row>
    <row r="33" spans="1:49 16319:16321" x14ac:dyDescent="0.2">
      <c r="A33" t="s">
        <v>54</v>
      </c>
      <c r="B33" s="117">
        <v>7019665.6909999885</v>
      </c>
      <c r="D33" s="117">
        <v>7653387.6233817637</v>
      </c>
      <c r="F33" s="117">
        <v>8285383.1435048338</v>
      </c>
      <c r="H33" s="117">
        <v>8937936.3945504017</v>
      </c>
      <c r="J33" s="117">
        <v>9637879.3917179648</v>
      </c>
      <c r="L33" s="117">
        <v>10428257.78808878</v>
      </c>
      <c r="N33" s="117">
        <v>11394033.46516983</v>
      </c>
      <c r="P33" s="117">
        <v>12747312.017488224</v>
      </c>
      <c r="R33" s="117">
        <v>15288517.221254081</v>
      </c>
      <c r="T33" s="117"/>
      <c r="V33" s="117"/>
      <c r="X33" s="117"/>
      <c r="Z33" s="117"/>
      <c r="AB33" s="117"/>
      <c r="AD33" s="117"/>
      <c r="AF33" s="117"/>
      <c r="AH33" s="117"/>
      <c r="AJ33" s="117"/>
      <c r="AL33" s="117"/>
      <c r="AN33" s="117"/>
      <c r="AP33" s="117"/>
      <c r="AR33" s="117"/>
      <c r="AT33" s="117"/>
      <c r="AV33" s="117"/>
    </row>
    <row r="34" spans="1:49 16319:16321" x14ac:dyDescent="0.2">
      <c r="A34" t="s">
        <v>75</v>
      </c>
      <c r="B34" s="117">
        <v>1136879.4410000162</v>
      </c>
      <c r="D34" s="117">
        <v>1239514.7849595749</v>
      </c>
      <c r="F34" s="117">
        <v>1341870.4333905685</v>
      </c>
      <c r="H34" s="117">
        <v>1447555.6537470024</v>
      </c>
      <c r="J34" s="117">
        <v>1560915.8273075416</v>
      </c>
      <c r="L34" s="117">
        <v>1688922.5821051607</v>
      </c>
      <c r="N34" s="117">
        <v>1845336.1036285833</v>
      </c>
      <c r="P34" s="117">
        <v>2064508.2104512141</v>
      </c>
      <c r="R34" s="117">
        <v>2476072.5195623571</v>
      </c>
      <c r="T34" s="117"/>
      <c r="V34" s="117"/>
      <c r="X34" s="117"/>
      <c r="Z34" s="117"/>
      <c r="AB34" s="117"/>
      <c r="AD34" s="117"/>
      <c r="AF34" s="117"/>
      <c r="AH34" s="117"/>
      <c r="AJ34" s="117"/>
      <c r="AL34" s="117"/>
      <c r="AN34" s="117"/>
      <c r="AP34" s="117"/>
      <c r="AR34" s="117"/>
      <c r="AT34" s="117"/>
      <c r="AV34" s="117"/>
    </row>
    <row r="35" spans="1:49 16319:16321" x14ac:dyDescent="0.2">
      <c r="A35" t="s">
        <v>78</v>
      </c>
      <c r="B35" s="233">
        <v>1</v>
      </c>
      <c r="D35" s="233">
        <v>1.0042310948636015</v>
      </c>
      <c r="F35" s="233">
        <v>1.0095122896769895</v>
      </c>
      <c r="H35" s="233">
        <v>1.0161010000339949</v>
      </c>
      <c r="J35" s="233">
        <v>1.0245243759777016</v>
      </c>
      <c r="L35" s="233">
        <v>1.0357916703380983</v>
      </c>
      <c r="N35" s="233">
        <v>1.0519975291446548</v>
      </c>
      <c r="P35" s="233">
        <v>1.0784238693318744</v>
      </c>
      <c r="R35" s="233">
        <v>1.1351831876173497</v>
      </c>
      <c r="T35" s="233"/>
      <c r="V35" s="233"/>
      <c r="X35" s="233"/>
      <c r="Z35" s="233"/>
      <c r="AB35" s="233"/>
      <c r="AD35" s="233"/>
      <c r="AF35" s="233"/>
      <c r="AH35" s="233"/>
      <c r="AJ35" s="233"/>
      <c r="AL35" s="233"/>
      <c r="AN35" s="233"/>
      <c r="AP35" s="233"/>
      <c r="AR35" s="233"/>
      <c r="AT35" s="233"/>
      <c r="AV35" s="233"/>
    </row>
    <row r="36" spans="1:49 16319:16321" x14ac:dyDescent="0.2">
      <c r="A36" t="s">
        <v>21</v>
      </c>
      <c r="B36" s="37">
        <v>0.47195767671988198</v>
      </c>
      <c r="C36" s="38">
        <v>0.31738834428178964</v>
      </c>
      <c r="D36" s="37">
        <v>0.47204937846170902</v>
      </c>
      <c r="E36" s="38">
        <v>0.32700381335910866</v>
      </c>
      <c r="F36" s="37">
        <v>0.47213691226163645</v>
      </c>
      <c r="G36" s="38">
        <v>0.33714564382003037</v>
      </c>
      <c r="H36" s="37">
        <v>0.47222287731411933</v>
      </c>
      <c r="I36" s="38">
        <v>0.34813467182416524</v>
      </c>
      <c r="J36" s="37">
        <v>0.47230823758075507</v>
      </c>
      <c r="K36" s="38">
        <v>0.36040000601473837</v>
      </c>
      <c r="L36" s="37">
        <v>0.47239236887063352</v>
      </c>
      <c r="M36" s="38">
        <v>0.37464596483270257</v>
      </c>
      <c r="N36" s="37">
        <v>0.472472074057394</v>
      </c>
      <c r="O36" s="38">
        <v>0.39223421356634469</v>
      </c>
      <c r="P36" s="37">
        <v>0.47253779358400966</v>
      </c>
      <c r="Q36" s="38">
        <v>0.41642677963227209</v>
      </c>
      <c r="R36" s="37">
        <v>0.47255543549813256</v>
      </c>
      <c r="S36" s="38">
        <v>0.45885765755096369</v>
      </c>
      <c r="T36" s="37"/>
      <c r="U36" s="38"/>
      <c r="V36" s="37"/>
      <c r="W36" s="38"/>
      <c r="X36" s="37"/>
      <c r="Y36" s="38"/>
      <c r="Z36" s="37"/>
      <c r="AA36" s="38"/>
      <c r="AB36" s="37"/>
      <c r="AC36" s="38"/>
      <c r="AD36" s="37"/>
      <c r="AE36" s="38"/>
      <c r="AF36" s="37"/>
      <c r="AG36" s="38"/>
      <c r="AH36" s="37"/>
      <c r="AI36" s="38"/>
      <c r="AJ36" s="37"/>
      <c r="AK36" s="38"/>
      <c r="AL36" s="37"/>
      <c r="AM36" s="38"/>
      <c r="AN36" s="37"/>
      <c r="AO36" s="38"/>
      <c r="AP36" s="37"/>
      <c r="AQ36" s="38"/>
      <c r="AR36" s="37"/>
      <c r="AS36" s="38"/>
      <c r="AT36" s="37"/>
      <c r="AU36" s="38"/>
      <c r="AV36" s="37"/>
      <c r="AW36" s="38"/>
    </row>
    <row r="37" spans="1:49 16319:16321" x14ac:dyDescent="0.2">
      <c r="B37" s="39">
        <v>2.1403217525954466E-2</v>
      </c>
      <c r="C37" s="40">
        <v>0.3496246130199252</v>
      </c>
      <c r="D37" s="39">
        <v>1.9591719448202857E-2</v>
      </c>
      <c r="E37" s="40">
        <v>0.34033226327933325</v>
      </c>
      <c r="F37" s="39">
        <v>1.7975755457627432E-2</v>
      </c>
      <c r="G37" s="40">
        <v>0.33191747771627239</v>
      </c>
      <c r="H37" s="39">
        <v>1.6491079517257291E-2</v>
      </c>
      <c r="I37" s="40">
        <v>0.32408560775764805</v>
      </c>
      <c r="J37" s="39">
        <v>1.50896113668687E-2</v>
      </c>
      <c r="K37" s="40">
        <v>0.31661278170898333</v>
      </c>
      <c r="L37" s="39">
        <v>1.3724969845247322E-2</v>
      </c>
      <c r="M37" s="40">
        <v>0.30927931898429006</v>
      </c>
      <c r="N37" s="39">
        <v>1.2338174684723447E-2</v>
      </c>
      <c r="O37" s="40">
        <v>0.30180423055097783</v>
      </c>
      <c r="P37" s="39">
        <v>1.0825142665914039E-2</v>
      </c>
      <c r="Q37" s="40">
        <v>0.29369819000986697</v>
      </c>
      <c r="R37" s="39">
        <v>8.8998429993877651E-3</v>
      </c>
      <c r="S37" s="40">
        <v>0.28366442423108101</v>
      </c>
      <c r="T37" s="39"/>
      <c r="U37" s="40"/>
      <c r="V37" s="39"/>
      <c r="W37" s="40"/>
      <c r="X37" s="39"/>
      <c r="Y37" s="40"/>
      <c r="Z37" s="39"/>
      <c r="AA37" s="40"/>
      <c r="AB37" s="39"/>
      <c r="AC37" s="40"/>
      <c r="AD37" s="39"/>
      <c r="AE37" s="40"/>
      <c r="AF37" s="39"/>
      <c r="AG37" s="40"/>
      <c r="AH37" s="39"/>
      <c r="AI37" s="40"/>
      <c r="AJ37" s="39"/>
      <c r="AK37" s="40"/>
      <c r="AL37" s="39"/>
      <c r="AM37" s="40"/>
      <c r="AN37" s="39"/>
      <c r="AO37" s="40"/>
      <c r="AP37" s="39"/>
      <c r="AQ37" s="40"/>
      <c r="AR37" s="39"/>
      <c r="AS37" s="40"/>
      <c r="AT37" s="39"/>
      <c r="AU37" s="40"/>
      <c r="AV37" s="39"/>
      <c r="AW37" s="40"/>
    </row>
    <row r="38" spans="1:49 16319:16321" x14ac:dyDescent="0.2">
      <c r="A38" t="s">
        <v>22</v>
      </c>
      <c r="B38" s="37">
        <v>0.18079094942242827</v>
      </c>
      <c r="C38" s="38">
        <v>6.0565413429233668E-2</v>
      </c>
      <c r="D38" s="37">
        <v>0.19683884681529767</v>
      </c>
      <c r="E38" s="38">
        <v>6.4527298440055031E-2</v>
      </c>
      <c r="F38" s="37">
        <v>0.21495743825975272</v>
      </c>
      <c r="G38" s="38">
        <v>6.8904300965844836E-2</v>
      </c>
      <c r="H38" s="37">
        <v>0.23636389668600233</v>
      </c>
      <c r="I38" s="38">
        <v>7.3932379076170007E-2</v>
      </c>
      <c r="J38" s="37">
        <v>0.2630604847758552</v>
      </c>
      <c r="K38" s="38">
        <v>7.9978607869017185E-2</v>
      </c>
      <c r="L38" s="37">
        <v>0.29899582631663219</v>
      </c>
      <c r="M38" s="38">
        <v>8.7730396035867728E-2</v>
      </c>
      <c r="N38" s="37">
        <v>0.35369311896100003</v>
      </c>
      <c r="O38" s="38">
        <v>9.8742584517904922E-2</v>
      </c>
      <c r="P38" s="37">
        <v>0.45885730732404328</v>
      </c>
      <c r="Q38" s="38">
        <v>0.11771536052602936</v>
      </c>
      <c r="R38" s="37">
        <v>0.83923152209626106</v>
      </c>
      <c r="S38" s="38">
        <v>0.17179847676648158</v>
      </c>
      <c r="T38" s="37"/>
      <c r="U38" s="38"/>
      <c r="V38" s="37"/>
      <c r="W38" s="38"/>
      <c r="X38" s="37"/>
      <c r="Y38" s="38"/>
      <c r="Z38" s="37"/>
      <c r="AA38" s="38"/>
      <c r="AB38" s="37"/>
      <c r="AC38" s="38"/>
      <c r="AD38" s="37"/>
      <c r="AE38" s="38"/>
      <c r="AF38" s="37"/>
      <c r="AG38" s="38"/>
      <c r="AH38" s="37"/>
      <c r="AI38" s="38"/>
      <c r="AJ38" s="37"/>
      <c r="AK38" s="38"/>
      <c r="AL38" s="37"/>
      <c r="AM38" s="38"/>
      <c r="AN38" s="37"/>
      <c r="AO38" s="38"/>
      <c r="AP38" s="37"/>
      <c r="AQ38" s="38"/>
      <c r="AR38" s="37"/>
      <c r="AS38" s="38"/>
      <c r="AT38" s="37"/>
      <c r="AU38" s="38"/>
      <c r="AV38" s="37"/>
      <c r="AW38" s="38"/>
    </row>
    <row r="39" spans="1:49 16319:16321" x14ac:dyDescent="0.2">
      <c r="A39" t="s">
        <v>23</v>
      </c>
      <c r="B39" s="39">
        <v>0.23064923795098732</v>
      </c>
      <c r="C39" s="40">
        <v>0.22092201281804777</v>
      </c>
      <c r="D39" s="39">
        <v>0.21210723876635787</v>
      </c>
      <c r="E39" s="40">
        <v>0.21631786041737491</v>
      </c>
      <c r="F39" s="39">
        <v>0.1963991682298851</v>
      </c>
      <c r="G39" s="40">
        <v>0.21269953111639522</v>
      </c>
      <c r="H39" s="39">
        <v>0.18246642311407091</v>
      </c>
      <c r="I39" s="40">
        <v>0.2097790507582297</v>
      </c>
      <c r="J39" s="39">
        <v>0.16958358510581725</v>
      </c>
      <c r="K39" s="40">
        <v>0.20737888140388258</v>
      </c>
      <c r="L39" s="39">
        <v>0.15710234814153246</v>
      </c>
      <c r="M39" s="40">
        <v>0.20536929183720279</v>
      </c>
      <c r="N39" s="39">
        <v>0.14423032353587317</v>
      </c>
      <c r="O39" s="40">
        <v>0.20363202572042849</v>
      </c>
      <c r="P39" s="39">
        <v>0.12957774414272066</v>
      </c>
      <c r="Q39" s="40">
        <v>0.20201614578067828</v>
      </c>
      <c r="R39" s="39">
        <v>0.10931059392188706</v>
      </c>
      <c r="S39" s="40">
        <v>0.2002331713146118</v>
      </c>
      <c r="T39" s="39"/>
      <c r="U39" s="40"/>
      <c r="V39" s="39"/>
      <c r="W39" s="40"/>
      <c r="X39" s="39"/>
      <c r="Y39" s="40"/>
      <c r="Z39" s="39"/>
      <c r="AA39" s="40"/>
      <c r="AB39" s="39"/>
      <c r="AC39" s="40"/>
      <c r="AD39" s="39"/>
      <c r="AE39" s="40"/>
      <c r="AF39" s="39"/>
      <c r="AG39" s="40"/>
      <c r="AH39" s="39"/>
      <c r="AI39" s="40"/>
      <c r="AJ39" s="39"/>
      <c r="AK39" s="40"/>
      <c r="AL39" s="39"/>
      <c r="AM39" s="40"/>
      <c r="AN39" s="39"/>
      <c r="AO39" s="40"/>
      <c r="AP39" s="39"/>
      <c r="AQ39" s="40"/>
      <c r="AR39" s="39"/>
      <c r="AS39" s="40"/>
      <c r="AT39" s="39"/>
      <c r="AU39" s="40"/>
      <c r="AV39" s="39"/>
      <c r="AW39" s="40"/>
    </row>
    <row r="40" spans="1:49 16319:16321"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49 16319:16321" x14ac:dyDescent="0.2">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row>
    <row r="42" spans="1:49 16319:16321" x14ac:dyDescent="0.2">
      <c r="A42" t="s">
        <v>107</v>
      </c>
      <c r="B42" s="177">
        <f>10.8%+(1-10.8%)*(1-SUM(B26:C26)/SUM($B$26:$C$26))</f>
        <v>0.10800000000000001</v>
      </c>
      <c r="C42" s="135"/>
      <c r="D42" s="177">
        <f>10.8%+(1-10.8%)*(1-SUM(D26:E26)/SUM($B$26:$C$26))</f>
        <v>-5.9108342158680355E-2</v>
      </c>
      <c r="E42" s="135"/>
      <c r="F42" s="177">
        <f>10.8%+(1-10.8%)*(1-SUM(F26:G26)/SUM($B$26:$C$26))</f>
        <v>-0.25281058684212121</v>
      </c>
      <c r="G42" s="135"/>
      <c r="H42" s="177">
        <f>10.8%+(1-10.8%)*(1-SUM(H26:I26)/SUM($B$26:$C$26))</f>
        <v>-0.48729362223858519</v>
      </c>
      <c r="I42" s="135"/>
      <c r="J42" s="177">
        <f>10.8%+(1-10.8%)*(1-SUM(J26:K26)/SUM($B$26:$C$26))</f>
        <v>-0.78660862192278391</v>
      </c>
      <c r="K42" s="135"/>
      <c r="L42" s="177">
        <f>10.8%+(1-10.8%)*(1-SUM(L26:M26)/SUM($B$26:$C$26))</f>
        <v>-1.1990019466191417</v>
      </c>
      <c r="M42" s="135"/>
      <c r="N42" s="177">
        <f>10.8%+(1-10.8%)*(1-SUM(N26:O26)/SUM($B$26:$C$26))</f>
        <v>-1.8425921464777277</v>
      </c>
      <c r="O42" s="135"/>
      <c r="P42" s="177">
        <f>10.8%+(1-10.8%)*(1-SUM(P26:Q26)/SUM($B$26:$C$26))</f>
        <v>-3.1180329623370948</v>
      </c>
      <c r="Q42" s="135"/>
      <c r="R42" s="177">
        <f>10.8%+(1-10.8%)*(1-SUM(R26:S26)/SUM($B$26:$C$26))</f>
        <v>-7.955768080501362</v>
      </c>
      <c r="S42" s="135"/>
      <c r="T42" s="177">
        <f>10.8%+(1-10.8%)*(1-SUM(T26:U26)/SUM($B$26:$C$26))</f>
        <v>1</v>
      </c>
      <c r="U42" s="135"/>
      <c r="V42" s="177">
        <f>10.8%+(1-10.8%)*(1-SUM(V26:W26)/SUM($B$26:$C$26))</f>
        <v>1</v>
      </c>
      <c r="W42" s="135"/>
      <c r="X42" s="177">
        <f>10.8%+(1-10.8%)*(1-SUM(X26:Y26)/SUM($B$26:$C$26))</f>
        <v>1</v>
      </c>
      <c r="Y42" s="162"/>
      <c r="Z42" s="177">
        <f>10.8%+(1-10.8%)*(1-SUM(Z26:AA26)/SUM($B$26:$C$26))</f>
        <v>1</v>
      </c>
      <c r="AA42" s="135"/>
      <c r="AB42" s="177">
        <f>10.8%+(1-10.8%)*(1-SUM(AB26:AC26)/SUM($B$26:$C$26))</f>
        <v>1</v>
      </c>
      <c r="AC42" s="135"/>
      <c r="AD42" s="177">
        <f>10.8%+(1-10.8%)*(1-SUM(AD26:AE26)/SUM($B$26:$C$26))</f>
        <v>1</v>
      </c>
      <c r="AE42" s="135"/>
      <c r="AF42" s="177">
        <f>10.8%+(1-10.8%)*(1-SUM(AF26:AG26)/SUM($B$26:$C$26))</f>
        <v>1</v>
      </c>
      <c r="AG42" s="135"/>
      <c r="AH42" s="177">
        <f>10.8%+(1-10.8%)*(1-SUM(AH26:AI26)/SUM($B$26:$C$26))</f>
        <v>1</v>
      </c>
      <c r="AI42" s="135"/>
      <c r="AJ42" s="177">
        <f>10.8%+(1-10.8%)*(1-SUM(AJ26:AK26)/SUM($B$26:$C$26))</f>
        <v>1</v>
      </c>
      <c r="AK42" s="135"/>
      <c r="AL42" s="177">
        <f>10.8%+(1-10.8%)*(1-SUM(AL26:AM26)/SUM($B$26:$C$26))</f>
        <v>1</v>
      </c>
      <c r="AM42" s="135"/>
      <c r="AN42" s="177">
        <f>10.8%+(1-10.8%)*(1-SUM(AN26:AO26)/SUM($B$26:$C$26))</f>
        <v>1</v>
      </c>
      <c r="AO42" s="135"/>
      <c r="AP42" s="177">
        <f>10.8%+(1-10.8%)*(1-SUM(AP26:AQ26)/SUM($B$26:$C$26))</f>
        <v>1</v>
      </c>
      <c r="AQ42" s="135"/>
      <c r="AR42" s="177">
        <f>10.8%+(1-10.8%)*(1-SUM(AR26:AS26)/SUM($B$26:$C$26))</f>
        <v>1</v>
      </c>
      <c r="AS42" s="135"/>
      <c r="AT42" s="177">
        <f>10.8%+(1-10.8%)*(1-SUM(AT26:AU26)/SUM($B$26:$C$26))</f>
        <v>1</v>
      </c>
      <c r="AU42" s="135"/>
      <c r="AV42" s="177">
        <f>10.8%+(1-10.8%)*(1-SUM(AV26:AW26)/SUM($B$26:$C$26))</f>
        <v>1</v>
      </c>
    </row>
    <row r="43" spans="1:49 16319:16321" x14ac:dyDescent="0.2">
      <c r="A43" t="s">
        <v>108</v>
      </c>
      <c r="B43" s="162">
        <f>SUM(B15:C15*B27:C27)/SUM(B15:C15*B27:C27,B13:C13*B26:C26)</f>
        <v>0.56058995943839174</v>
      </c>
      <c r="C43" s="135"/>
      <c r="D43" s="162">
        <f t="array" ref="D43">SUM(D15:E15*D27:E27)/SUM(D15:E15*D27:E27,D13:E13*D26:E26)</f>
        <v>0.59390673288419493</v>
      </c>
      <c r="E43" s="135"/>
      <c r="F43" s="162">
        <f t="array" ref="F43">SUM(F15:G15*F27:G27)/SUM(F15:G15*F27:G27,F13:G13*F26:G26)</f>
        <v>0.61944014764663879</v>
      </c>
      <c r="G43" s="135"/>
      <c r="H43" s="162">
        <f t="array" ref="H43">SUM(H15:I15*H27:I27)/SUM(H15:I15*H27:I27,H13:I13*H26:I26)</f>
        <v>0.64484688671102564</v>
      </c>
      <c r="I43" s="135"/>
      <c r="J43" s="162">
        <f t="array" ref="J43">SUM(J15:K15*J27:K27)/SUM(J15:K15*J27:K27,J13:K13*J26:K26)</f>
        <v>0.67117149859786662</v>
      </c>
      <c r="K43" s="135"/>
      <c r="L43" s="162">
        <f t="array" ref="L43">SUM(L15:M15*L27:M27)/SUM(L15:M15*L27:M27,L13:M13*L26:M26)</f>
        <v>0.69985913461804994</v>
      </c>
      <c r="M43" s="135"/>
      <c r="N43" s="162">
        <f t="array" ref="N43">SUM(N15:O15*N27:O27)/SUM(N15:O15*N27:O27,N13:O13*N26:O26)</f>
        <v>0.73348783116829563</v>
      </c>
      <c r="O43" s="135"/>
      <c r="P43" s="162">
        <f t="array" ref="P43">SUM(P15:Q15*P27:Q27)/SUM(P15:Q15*P27:Q27,P13:Q13*P26:Q26)</f>
        <v>0.77801439157479135</v>
      </c>
      <c r="Q43" s="135"/>
      <c r="R43" s="162">
        <f t="array" ref="R43">SUM(R15:S15*R27:S27)/SUM(R15:S15*R27:S27,R13:S13*R26:S26)</f>
        <v>0.85407622695191587</v>
      </c>
      <c r="S43" s="135"/>
      <c r="T43" s="162" t="e">
        <f t="array" ref="T43">SUM(T15:U15*T27:U27)/SUM(T15:U15*T27:U27,T13:U13*T26:U26)</f>
        <v>#DIV/0!</v>
      </c>
      <c r="U43" s="135"/>
      <c r="V43" s="162" t="e">
        <f t="array" ref="V43">SUM(V15:W15*V27:W27)/SUM(V15:W15*V27:W27,V13:W13*V26:W26)</f>
        <v>#DIV/0!</v>
      </c>
      <c r="W43" s="135"/>
      <c r="X43" s="162" t="e">
        <f t="array" ref="X43">SUM(X15:Y15*X27:Y27)/SUM(X15:Y15*X27:Y27,X13:Y13*X26:Y26)</f>
        <v>#DIV/0!</v>
      </c>
      <c r="Y43" s="135"/>
      <c r="Z43" s="162" t="e">
        <f t="array" ref="Z43">SUM(Z15:AA15*Z27:AA27)/SUM(Z15:AA15*Z27:AA27,Z13:AA13*Z26:AA26)</f>
        <v>#DIV/0!</v>
      </c>
      <c r="AA43" s="135"/>
      <c r="AB43" s="162" t="e">
        <f t="array" ref="AB43">SUM(AB15:AC15*AB27:AC27)/SUM(AB15:AC15*AB27:AC27,AB13:AC13*AB26:AC26)</f>
        <v>#DIV/0!</v>
      </c>
      <c r="AC43" s="135"/>
      <c r="AD43" s="162" t="e">
        <f t="array" ref="AD43">SUM(AD15:AE15*AD27:AE27)/SUM(AD15:AE15*AD27:AE27,AD13:AE13*AD26:AE26)</f>
        <v>#DIV/0!</v>
      </c>
      <c r="AE43" s="135"/>
      <c r="AF43" s="162" t="e">
        <f t="array" ref="AF43">SUM(AF15:AG15*AF27:AG27)/SUM(AF15:AG15*AF27:AG27,AF13:AG13*AF26:AG26)</f>
        <v>#DIV/0!</v>
      </c>
      <c r="AG43" s="135"/>
      <c r="AH43" s="162" t="e">
        <f t="array" ref="AH43">SUM(AH15:AI15*AH27:AI27)/SUM(AH15:AI15*AH27:AI27,AH13:AI13*AH26:AI26)</f>
        <v>#DIV/0!</v>
      </c>
      <c r="AI43" s="135"/>
      <c r="AJ43" s="162" t="e">
        <f t="array" ref="AJ43">SUM(AJ15:AK15*AJ27:AK27)/SUM(AJ15:AK15*AJ27:AK27,AJ13:AK13*AJ26:AK26)</f>
        <v>#DIV/0!</v>
      </c>
      <c r="AK43" s="135"/>
      <c r="AL43" s="162" t="e">
        <f t="array" ref="AL43">SUM(AL15:AM15*AL27:AM27)/SUM(AL15:AM15*AL27:AM27,AL13:AM13*AL26:AM26)</f>
        <v>#DIV/0!</v>
      </c>
      <c r="AM43" s="135"/>
      <c r="AN43" s="162" t="e">
        <f t="array" ref="AN43">SUM(AN15:AO15*AN27:AO27)/SUM(AN15:AO15*AN27:AO27,AN13:AO13*AN26:AO26)</f>
        <v>#DIV/0!</v>
      </c>
      <c r="AO43" s="135"/>
      <c r="AP43" s="162" t="e">
        <f t="array" ref="AP43">SUM(AP15:AQ15*AP27:AQ27)/SUM(AP15:AQ15*AP27:AQ27,AP13:AQ13*AP26:AQ26)</f>
        <v>#DIV/0!</v>
      </c>
      <c r="AQ43" s="135"/>
      <c r="AR43" s="162" t="e">
        <f t="array" ref="AR43">SUM(AR15:AS15*AR27:AS27)/SUM(AR15:AS15*AR27:AS27,AR13:AS13*AR26:AS26)</f>
        <v>#DIV/0!</v>
      </c>
      <c r="AS43" s="135"/>
      <c r="AT43" s="162" t="e">
        <f t="array" ref="AT43">SUM(AT15:AU15*AT27:AU27)/SUM(AT15:AU15*AT27:AU27,AT13:AU13*AT26:AU26)</f>
        <v>#DIV/0!</v>
      </c>
      <c r="AU43" s="135"/>
      <c r="AV43" s="162" t="e">
        <f t="array" ref="AV43">SUM(AV15:AW15*AV27:AW27)/SUM(AV15:AW15*AV27:AW27,AV13:AW13*AV26:AW26)</f>
        <v>#DIV/0!</v>
      </c>
    </row>
    <row r="44" spans="1:49 16319:16321" x14ac:dyDescent="0.2">
      <c r="A44" t="s">
        <v>142</v>
      </c>
      <c r="B44" s="193">
        <f>(SUM(B11:C11*B24:C24)+B34)/B32</f>
        <v>0.29754226190682465</v>
      </c>
      <c r="D44" s="193">
        <f>(SUM(D11:E11*D24:E24)+D34)/D32</f>
        <v>0.29754226385748783</v>
      </c>
      <c r="F44" s="193">
        <f>(SUM(F11:G11*F24:G24)+F34)/F32</f>
        <v>0.29754226235147102</v>
      </c>
      <c r="H44" s="193">
        <f>(SUM(H11:I11*H24:I24)+H34)/H32</f>
        <v>0.29754226511334791</v>
      </c>
      <c r="J44" s="193">
        <f>(SUM(J11:K11*J24:K24)+J34)/J32</f>
        <v>0.29754226359590641</v>
      </c>
      <c r="L44" s="193">
        <f>(SUM(L11:M11*L24:M24)+L34)/L32</f>
        <v>0.29754226206337536</v>
      </c>
      <c r="N44" s="193">
        <f>(SUM(N11:O11*N24:O24)+N34)/N32</f>
        <v>0.29754226248461207</v>
      </c>
      <c r="P44" s="193">
        <f>(SUM(P11:Q11*P24:Q24)+P34)/P32</f>
        <v>0.29754226410170465</v>
      </c>
      <c r="R44" s="193">
        <f>(SUM(R11:S11*R24:S24)+R34)/R32</f>
        <v>0.29754226347662888</v>
      </c>
      <c r="T44" s="193" t="e">
        <f>(SUM(T11:U11*T24:U24)+T34)/T32</f>
        <v>#DIV/0!</v>
      </c>
      <c r="V44" s="193" t="e">
        <f>(SUM(V11:W11*V24:W24)+V34)/V32</f>
        <v>#DIV/0!</v>
      </c>
      <c r="X44" s="193" t="e">
        <f>(SUM(X11:Y11*X24:Y24)+X34)/X32</f>
        <v>#DIV/0!</v>
      </c>
      <c r="Z44" s="193" t="e">
        <f>(SUM(Z11:AA11*Z24:AA24)+Z34)/Z32</f>
        <v>#DIV/0!</v>
      </c>
      <c r="AB44" s="193" t="e">
        <f>(SUM(AB11:AC11*AB24:AC24)+AB34)/AB32</f>
        <v>#DIV/0!</v>
      </c>
      <c r="AD44" s="193" t="e">
        <f>(SUM(AD11:AE11*AD24:AE24)+AD34)/AD32</f>
        <v>#DIV/0!</v>
      </c>
      <c r="AF44" s="193" t="e">
        <f>(SUM(AF11:AG11*AF24:AG24)+AF34)/AF32</f>
        <v>#DIV/0!</v>
      </c>
      <c r="AH44" s="193" t="e">
        <f>(SUM(AH11:AI11*AH24:AI24)+AH34)/AH32</f>
        <v>#DIV/0!</v>
      </c>
      <c r="AJ44" s="193" t="e">
        <f>(SUM(AJ11:AK11*AJ24:AK24)+AJ34)/AJ32</f>
        <v>#DIV/0!</v>
      </c>
      <c r="AL44" s="193" t="e">
        <f>(SUM(AL11:AM11*AL24:AM24)+AL34)/AL32</f>
        <v>#DIV/0!</v>
      </c>
      <c r="AN44" s="193" t="e">
        <f>(SUM(AN11:AO11*AN24:AO24)+AN34)/AN32</f>
        <v>#DIV/0!</v>
      </c>
      <c r="AP44" s="193" t="e">
        <f>(SUM(AP11:AQ11*AP24:AQ24)+AP34)/AP32</f>
        <v>#DIV/0!</v>
      </c>
      <c r="AR44" s="193" t="e">
        <f>(SUM(AR11:AS11*AR24:AS24)+AR34)/AR32</f>
        <v>#DIV/0!</v>
      </c>
      <c r="AT44" s="193" t="e">
        <f>(SUM(AT11:AU11*AT24:AU24)+AT34)/AT32</f>
        <v>#DIV/0!</v>
      </c>
      <c r="AV44" s="193" t="e">
        <f>(SUM(AV11:AW11*AV24:AW24)+AV34)/AV32</f>
        <v>#DIV/0!</v>
      </c>
    </row>
    <row r="45" spans="1:49 16319:16321" x14ac:dyDescent="0.2">
      <c r="A45" t="s">
        <v>82</v>
      </c>
      <c r="B45" s="193">
        <f>SUM(B11:C11*B24:C24)/B32</f>
        <v>0.22038438833194082</v>
      </c>
      <c r="D45" s="193">
        <f>SUM(D11:E11*D24:E24)/D32</f>
        <v>0.22038438734902677</v>
      </c>
      <c r="F45" s="193">
        <f>SUM(F11:G11*F24:G24)/F32</f>
        <v>0.22038438814103264</v>
      </c>
      <c r="H45" s="193">
        <f>SUM(H11:I11*H24:I24)/H32</f>
        <v>0.22038438730067059</v>
      </c>
      <c r="J45" s="193">
        <f>SUM(J11:K11*J24:K24)/J32</f>
        <v>0.22038438787073453</v>
      </c>
      <c r="L45" s="193">
        <f>SUM(L11:M11*L24:M24)/L32</f>
        <v>0.22038438838607724</v>
      </c>
      <c r="N45" s="193">
        <f>SUM(N11:O11*N24:O24)/N32</f>
        <v>0.22038438817900532</v>
      </c>
      <c r="P45" s="193">
        <f>SUM(P11:Q11*P24:Q24)/P32</f>
        <v>0.22038438825752216</v>
      </c>
      <c r="R45" s="193">
        <f>SUM(R11:S11*R24:S24)/R32</f>
        <v>0.22038438837241464</v>
      </c>
      <c r="T45" s="193" t="e">
        <f>SUM(T11:U11*T24:U24)/T32</f>
        <v>#DIV/0!</v>
      </c>
      <c r="V45" s="193" t="e">
        <f>SUM(V11:W11*V24:W24)/V32</f>
        <v>#DIV/0!</v>
      </c>
      <c r="X45" s="193" t="e">
        <f>SUM(X11:Y11*X24:Y24)/X32</f>
        <v>#DIV/0!</v>
      </c>
      <c r="Z45" s="193" t="e">
        <f>SUM(Z11:AA11*Z24:AA24)/Z32</f>
        <v>#DIV/0!</v>
      </c>
      <c r="AB45" s="193" t="e">
        <f>SUM(AB11:AC11*AB24:AC24)/AB32</f>
        <v>#DIV/0!</v>
      </c>
      <c r="AD45" s="193" t="e">
        <f>SUM(AD11:AE11*AD24:AE24)/AD32</f>
        <v>#DIV/0!</v>
      </c>
      <c r="AF45" s="193" t="e">
        <f>SUM(AF11:AG11*AF24:AG24)/AF32</f>
        <v>#DIV/0!</v>
      </c>
      <c r="AH45" s="193" t="e">
        <f>SUM(AH11:AI11*AH24:AI24)/AH32</f>
        <v>#DIV/0!</v>
      </c>
      <c r="AJ45" s="193" t="e">
        <f>SUM(AJ11:AK11*AJ24:AK24)/AJ32</f>
        <v>#DIV/0!</v>
      </c>
      <c r="AL45" s="193" t="e">
        <f>SUM(AL11:AM11*AL24:AM24)/AL32</f>
        <v>#DIV/0!</v>
      </c>
      <c r="AN45" s="193" t="e">
        <f>SUM(AN11:AO11*AN24:AO24)/AN32</f>
        <v>#DIV/0!</v>
      </c>
      <c r="AP45" s="193" t="e">
        <f>SUM(AP11:AQ11*AP24:AQ24)/AP32</f>
        <v>#DIV/0!</v>
      </c>
      <c r="AR45" s="193" t="e">
        <f>SUM(AR11:AS11*AR24:AS24)/AR32</f>
        <v>#DIV/0!</v>
      </c>
      <c r="AT45" s="193" t="e">
        <f>SUM(AT11:AU11*AT24:AU24)/AT32</f>
        <v>#DIV/0!</v>
      </c>
      <c r="AV45" s="193" t="e">
        <f>SUM(AV11:AW11*AV24:AW24)/AV32</f>
        <v>#DIV/0!</v>
      </c>
      <c r="XCQ45" s="193"/>
    </row>
    <row r="46" spans="1:49 16319:16321" x14ac:dyDescent="0.2">
      <c r="A46" t="s">
        <v>139</v>
      </c>
      <c r="B46" s="193">
        <f>B34/B32</f>
        <v>7.7157873574883795E-2</v>
      </c>
      <c r="D46" s="193">
        <f>D34/D32</f>
        <v>7.7157876508461093E-2</v>
      </c>
      <c r="F46" s="193">
        <f>F34/F32</f>
        <v>7.7157874210438321E-2</v>
      </c>
      <c r="H46" s="193">
        <f>H34/H32</f>
        <v>7.7157877812677328E-2</v>
      </c>
      <c r="J46" s="193">
        <f>J34/J32</f>
        <v>7.7157875725171868E-2</v>
      </c>
      <c r="L46" s="193">
        <f>L34/L32</f>
        <v>7.7157873677298136E-2</v>
      </c>
      <c r="N46" s="193">
        <f>N34/N32</f>
        <v>7.715787430560675E-2</v>
      </c>
      <c r="P46" s="193">
        <f>P34/P32</f>
        <v>7.7157875844182475E-2</v>
      </c>
      <c r="R46" s="193">
        <f>R34/R32</f>
        <v>7.7157875104214221E-2</v>
      </c>
      <c r="T46" s="193" t="e">
        <f>T34/T32</f>
        <v>#DIV/0!</v>
      </c>
      <c r="V46" s="193" t="e">
        <f>V34/V32</f>
        <v>#DIV/0!</v>
      </c>
      <c r="X46" s="193" t="e">
        <f>X34/X32</f>
        <v>#DIV/0!</v>
      </c>
      <c r="Z46" s="193" t="e">
        <f>Z34/Z32</f>
        <v>#DIV/0!</v>
      </c>
      <c r="AB46" s="193" t="e">
        <f>AB34/AB32</f>
        <v>#DIV/0!</v>
      </c>
      <c r="AD46" s="193" t="e">
        <f>AD34/AD32</f>
        <v>#DIV/0!</v>
      </c>
      <c r="AF46" s="193" t="e">
        <f>AF34/AF32</f>
        <v>#DIV/0!</v>
      </c>
      <c r="AH46" s="193" t="e">
        <f>AH34/AH32</f>
        <v>#DIV/0!</v>
      </c>
      <c r="AJ46" s="193" t="e">
        <f>AJ34/AJ32</f>
        <v>#DIV/0!</v>
      </c>
      <c r="AL46" s="193" t="e">
        <f>AL34/AL32</f>
        <v>#DIV/0!</v>
      </c>
      <c r="AN46" s="193" t="e">
        <f>AN34/AN32</f>
        <v>#DIV/0!</v>
      </c>
      <c r="AP46" s="193" t="e">
        <f>AP34/AP32</f>
        <v>#DIV/0!</v>
      </c>
      <c r="AR46" s="193" t="e">
        <f>AR34/AR32</f>
        <v>#DIV/0!</v>
      </c>
      <c r="AT46" s="193" t="e">
        <f>AT34/AT32</f>
        <v>#DIV/0!</v>
      </c>
      <c r="AV46" s="193" t="e">
        <f>AV34/AV32</f>
        <v>#DIV/0!</v>
      </c>
      <c r="XCS46" s="193"/>
    </row>
    <row r="48" spans="1:49 16319:16321" x14ac:dyDescent="0.2">
      <c r="A48" t="s">
        <v>159</v>
      </c>
      <c r="B48" s="191">
        <f>B24/$B$24</f>
        <v>1</v>
      </c>
      <c r="C48" s="191"/>
      <c r="D48" s="191">
        <f>D24/$B$24</f>
        <v>1.0965732543434221</v>
      </c>
      <c r="E48" s="191"/>
      <c r="F48" s="191">
        <f>F24/$B$24</f>
        <v>1.193359468902172</v>
      </c>
      <c r="G48" s="191"/>
      <c r="H48" s="191">
        <f>H24/$B$24</f>
        <v>1.293707845855472</v>
      </c>
      <c r="I48" s="191"/>
      <c r="J48" s="191">
        <f>J24/$B$24</f>
        <v>1.4015987434591142</v>
      </c>
      <c r="K48" s="191"/>
      <c r="L48" s="191">
        <f>L24/$B$24</f>
        <v>1.5233366389534666</v>
      </c>
      <c r="M48" s="191"/>
      <c r="N48" s="191">
        <f>N24/$B$24</f>
        <v>1.671250429569265</v>
      </c>
      <c r="O48" s="191"/>
      <c r="P48" s="191">
        <f>P24/$B$24</f>
        <v>1.8759012267126605</v>
      </c>
      <c r="Q48" s="191"/>
      <c r="R48" s="191">
        <f>R24/$B$24</f>
        <v>2.2518217648901748</v>
      </c>
      <c r="S48" s="191"/>
      <c r="T48" s="191">
        <f>T24/$B$24</f>
        <v>0</v>
      </c>
      <c r="U48" s="191"/>
      <c r="V48" s="191">
        <f>V24/$B$24</f>
        <v>0</v>
      </c>
      <c r="W48" s="191"/>
      <c r="X48" s="191">
        <f>X24/$B$24</f>
        <v>0</v>
      </c>
      <c r="Y48" s="191"/>
      <c r="Z48" s="191">
        <f>Z24/$B$24</f>
        <v>0</v>
      </c>
      <c r="AA48" s="191"/>
      <c r="AB48" s="191">
        <f>AB24/$B$24</f>
        <v>0</v>
      </c>
      <c r="AC48" s="191"/>
      <c r="AD48" s="191">
        <f>AD24/$B$24</f>
        <v>0</v>
      </c>
      <c r="AE48" s="191"/>
      <c r="AF48" s="191">
        <f>AF24/$B$24</f>
        <v>0</v>
      </c>
      <c r="AG48" s="191"/>
      <c r="AH48" s="191">
        <f>AH24/$B$24</f>
        <v>0</v>
      </c>
      <c r="AI48" s="191"/>
      <c r="AJ48" s="191">
        <f>AJ24/$B$24</f>
        <v>0</v>
      </c>
      <c r="AK48" s="191"/>
      <c r="AL48" s="191">
        <f>AL24/$B$24</f>
        <v>0</v>
      </c>
      <c r="AM48" s="191"/>
      <c r="AN48" s="191">
        <f>AN24/$B$24</f>
        <v>0</v>
      </c>
      <c r="AO48" s="191"/>
      <c r="AP48" s="191">
        <f>AP24/$B$24</f>
        <v>0</v>
      </c>
      <c r="AQ48" s="191"/>
      <c r="AR48" s="191">
        <f>AR24/$B$24</f>
        <v>0</v>
      </c>
      <c r="AS48" s="191"/>
      <c r="AT48" s="191">
        <f>AT24/$B$24</f>
        <v>0</v>
      </c>
      <c r="AU48" s="191"/>
      <c r="AV48" s="191">
        <f>AV24/$B$24</f>
        <v>0</v>
      </c>
    </row>
    <row r="49" spans="1:48 16321:16384" x14ac:dyDescent="0.2">
      <c r="A49" t="s">
        <v>160</v>
      </c>
      <c r="B49" s="191">
        <f>B13/B35/$B$13*$B$35</f>
        <v>1</v>
      </c>
      <c r="C49" s="191"/>
      <c r="D49" s="191">
        <f>D13/D35/$B$13*$B$35</f>
        <v>0.8582774200658756</v>
      </c>
      <c r="E49" s="191"/>
      <c r="F49" s="191">
        <f>F13/F35/$B$13*$B$35</f>
        <v>0.73251126418149126</v>
      </c>
      <c r="G49" s="191"/>
      <c r="H49" s="191">
        <f>H13/H35/$B$13*$B$35</f>
        <v>0.61737335296274809</v>
      </c>
      <c r="I49" s="191"/>
      <c r="J49" s="191">
        <f>J13/J35/$B$13*$B$35</f>
        <v>0.50908018843202663</v>
      </c>
      <c r="K49" s="191"/>
      <c r="L49" s="191">
        <f>L13/L35/$B$13*$B$35</f>
        <v>0.40420207617847942</v>
      </c>
      <c r="M49" s="191"/>
      <c r="N49" s="191">
        <f>N13/N35/$B$13*$B$35</f>
        <v>0.29883223153703864</v>
      </c>
      <c r="O49" s="191"/>
      <c r="P49" s="191">
        <f>P13/P35/$B$13*$B$35</f>
        <v>0.18762668178656489</v>
      </c>
      <c r="Q49" s="191"/>
      <c r="R49" s="191">
        <f>R13/R35/$B$13*$B$35</f>
        <v>6.4686221370146471E-2</v>
      </c>
      <c r="S49" s="191"/>
      <c r="T49" s="191" t="e">
        <f>T13/T35/$B$13*$B$35</f>
        <v>#DIV/0!</v>
      </c>
      <c r="U49" s="191"/>
      <c r="V49" s="191" t="e">
        <f>V13/V35/$B$13*$B$35</f>
        <v>#DIV/0!</v>
      </c>
      <c r="W49" s="191"/>
      <c r="X49" s="191" t="e">
        <f>X13/X35/$B$13*$B$35</f>
        <v>#DIV/0!</v>
      </c>
      <c r="Y49" s="191"/>
      <c r="Z49" s="191" t="e">
        <f>Z13/Z35/$B$13*$B$35</f>
        <v>#DIV/0!</v>
      </c>
      <c r="AA49" s="191"/>
      <c r="AB49" s="191" t="e">
        <f>AB13/AB35/$B$13*$B$35</f>
        <v>#DIV/0!</v>
      </c>
      <c r="AC49" s="191"/>
      <c r="AD49" s="191" t="e">
        <f>AD13/AD35/$B$13*$B$35</f>
        <v>#DIV/0!</v>
      </c>
      <c r="AE49" s="191"/>
      <c r="AF49" s="191" t="e">
        <f>AF13/AF35/$B$13*$B$35</f>
        <v>#DIV/0!</v>
      </c>
      <c r="AG49" s="191"/>
      <c r="AH49" s="191" t="e">
        <f>AH13/AH35/$B$13*$B$35</f>
        <v>#DIV/0!</v>
      </c>
      <c r="AI49" s="191"/>
      <c r="AJ49" s="191" t="e">
        <f>AJ13/AJ35/$B$13*$B$35</f>
        <v>#DIV/0!</v>
      </c>
      <c r="AK49" s="191"/>
      <c r="AL49" s="191" t="e">
        <f>AL13/AL35/$B$13*$B$35</f>
        <v>#DIV/0!</v>
      </c>
      <c r="AM49" s="191"/>
      <c r="AN49" s="191" t="e">
        <f>AN13/AN35/$B$13*$B$35</f>
        <v>#DIV/0!</v>
      </c>
      <c r="AO49" s="191"/>
      <c r="AP49" s="191" t="e">
        <f>AP13/AP35/$B$13*$B$35</f>
        <v>#DIV/0!</v>
      </c>
      <c r="AQ49" s="191"/>
      <c r="AR49" s="191" t="e">
        <f>AR13/AR35/$B$13*$B$35</f>
        <v>#DIV/0!</v>
      </c>
      <c r="AS49" s="191"/>
      <c r="AT49" s="191" t="e">
        <f>AT13/AT35/$B$13*$B$35</f>
        <v>#DIV/0!</v>
      </c>
      <c r="AU49" s="191"/>
      <c r="AV49" s="191" t="e">
        <f>AV13/AV35/$B$13*$B$35</f>
        <v>#DIV/0!</v>
      </c>
    </row>
    <row r="51" spans="1:48 16321:16384" x14ac:dyDescent="0.2">
      <c r="A51" t="s">
        <v>166</v>
      </c>
      <c r="B51" s="29">
        <f>B30-B10*B23</f>
        <v>-405838.32800000021</v>
      </c>
      <c r="D51" s="29">
        <f>D30-D10*D23</f>
        <v>-447237.2279020776</v>
      </c>
      <c r="F51" s="29">
        <f>F30-F10*F23</f>
        <v>-489098.71007203404</v>
      </c>
      <c r="H51" s="29">
        <f>H30-H10*H23</f>
        <v>-532916.67165990453</v>
      </c>
      <c r="J51" s="29">
        <f>J30-J10*J23</f>
        <v>-580570.85753872199</v>
      </c>
      <c r="L51" s="29">
        <f>L30-L10*L23</f>
        <v>-635169.07809740305</v>
      </c>
      <c r="N51" s="29">
        <f>N30-N10*N23</f>
        <v>-702950.09413402807</v>
      </c>
      <c r="P51" s="29">
        <f>P30-P10*P23</f>
        <v>-799723.3911388265</v>
      </c>
      <c r="R51" s="29">
        <f>R30-R10*R23</f>
        <v>-986409.64820971154</v>
      </c>
      <c r="T51" s="29">
        <f>T30-T10*T23</f>
        <v>0</v>
      </c>
      <c r="V51" s="29">
        <f>V30-V10*V23</f>
        <v>0</v>
      </c>
      <c r="X51" s="29">
        <f>X30-X10*X23</f>
        <v>0</v>
      </c>
      <c r="Z51" s="29">
        <f>Z30-Z10*Z23</f>
        <v>0</v>
      </c>
      <c r="AB51" s="29">
        <f>AB30-AB10*AB23</f>
        <v>0</v>
      </c>
      <c r="AD51" s="29">
        <f>AD30-AD10*AD23</f>
        <v>0</v>
      </c>
      <c r="AF51" s="29">
        <f>AF30-AF10*AF23</f>
        <v>0</v>
      </c>
      <c r="AH51" s="29">
        <f>AH30-AH10*AH23</f>
        <v>0</v>
      </c>
      <c r="AJ51" s="29">
        <f>AJ30-AJ10*AJ23</f>
        <v>0</v>
      </c>
      <c r="AL51" s="29">
        <f>AL30-AL10*AL23</f>
        <v>0</v>
      </c>
      <c r="AN51" s="29">
        <f>AN30-AN10*AN23</f>
        <v>0</v>
      </c>
      <c r="AP51" s="29">
        <f>AP30-AP10*AP23</f>
        <v>0</v>
      </c>
      <c r="AQ51" s="29"/>
      <c r="AR51" s="29">
        <f>AR30-AR10*AR23</f>
        <v>0</v>
      </c>
      <c r="AT51" s="29">
        <f>AT30-AT10*AT23</f>
        <v>0</v>
      </c>
      <c r="AV51" s="29">
        <f>AV30-AV10*AV23</f>
        <v>0</v>
      </c>
      <c r="XFD51" s="29"/>
    </row>
    <row r="52" spans="1:48 16321:16384" x14ac:dyDescent="0.2">
      <c r="A52" t="s">
        <v>167</v>
      </c>
      <c r="B52" s="29">
        <f t="array" ref="B52">Calibration!sL*SUM(B13:C13*B26:C26)</f>
        <v>2049247.8195702801</v>
      </c>
      <c r="D52" s="29">
        <f t="array" ref="D52">Calibration!sL*SUM(D13:E13*D26:E26)</f>
        <v>2097159.0448384043</v>
      </c>
      <c r="F52" s="29">
        <f t="array" ref="F52">Calibration!sL*SUM(F13:G13*F26:G26)</f>
        <v>2128339.7675485425</v>
      </c>
      <c r="H52" s="29">
        <f t="array" ref="H52">Calibration!sL*SUM(H13:I13*H26:I26)</f>
        <v>2143438.8706290904</v>
      </c>
      <c r="J52" s="29">
        <f t="array" ref="J52">Calibration!sL*SUM(J13:K13*J26:K26)</f>
        <v>2140757.8478276036</v>
      </c>
      <c r="L52" s="29">
        <f t="array" ref="L52">Calibration!sL*SUM(L13:M13*L26:M26)</f>
        <v>2115077.0612976337</v>
      </c>
      <c r="N52" s="29">
        <f t="array" ref="N52">Calibration!sL*SUM(N13:O13*N26:O26)</f>
        <v>2052987.6500354907</v>
      </c>
      <c r="P52" s="29">
        <f t="array" ref="P52">Calibration!sL*SUM(P13:Q13*P26:Q26)</f>
        <v>1914271.5093874724</v>
      </c>
      <c r="R52" s="29">
        <f t="array" ref="R52">Calibration!sL*SUM(R13:S13*R26:S26)</f>
        <v>1510811.2113354641</v>
      </c>
      <c r="T52" s="29">
        <f t="array" ref="T52">Calibration!sL*SUM(T13:U13*T26:U26)</f>
        <v>0</v>
      </c>
      <c r="V52" s="29">
        <f t="array" ref="V52">Calibration!sL*SUM(V13:W13*V26:W26)</f>
        <v>0</v>
      </c>
      <c r="X52" s="29">
        <f t="array" ref="X52">Calibration!sL*SUM(X13:Y13*X26:Y26)</f>
        <v>0</v>
      </c>
      <c r="Z52" s="29">
        <f t="array" ref="Z52">Calibration!sL*SUM(Z13:AA13*Z26:AA26)</f>
        <v>0</v>
      </c>
      <c r="AB52" s="29">
        <f t="array" ref="AB52">Calibration!sL*SUM(AB13:AC13*AB26:AC26)</f>
        <v>0</v>
      </c>
      <c r="AD52" s="29">
        <f t="array" ref="AD52">Calibration!sL*SUM(AD13:AE13*AD26:AE26)</f>
        <v>0</v>
      </c>
      <c r="AF52" s="29">
        <f t="array" ref="AF52">Calibration!sL*SUM(AF13:AG13*AF26:AG26)</f>
        <v>0</v>
      </c>
      <c r="AH52" s="29">
        <f t="array" ref="AH52">Calibration!sL*SUM(AH13:AI13*AH26:AI26)</f>
        <v>0</v>
      </c>
      <c r="AJ52" s="29">
        <f t="array" ref="AJ52">Calibration!sL*SUM(AJ13:AK13*AJ26:AK26)</f>
        <v>0</v>
      </c>
      <c r="AL52" s="29">
        <f t="array" ref="AL52">Calibration!sL*SUM(AL13:AM13*AL26:AM26)</f>
        <v>0</v>
      </c>
      <c r="AN52" s="29">
        <f t="array" ref="AN52">Calibration!sL*SUM(AN13:AO13*AN26:AO26)</f>
        <v>0</v>
      </c>
      <c r="AP52" s="29">
        <f t="array" ref="AP52">Calibration!sL*SUM(AP13:AQ13*AP26:AQ26)</f>
        <v>0</v>
      </c>
      <c r="AQ52" s="29"/>
      <c r="AR52" s="29">
        <f t="array" ref="AR52">Calibration!sL*SUM(AR13:AS13*AR26:AS26)</f>
        <v>0</v>
      </c>
      <c r="AT52" s="29">
        <f t="array" ref="AT52">Calibration!sL*SUM(AT13:AU13*AT26:AU26)</f>
        <v>0</v>
      </c>
      <c r="AV52" s="29">
        <f t="array" ref="AV52">Calibration!sL*SUM(AV13:AW13*AV26:AW26)</f>
        <v>0</v>
      </c>
    </row>
    <row r="53" spans="1:48 16321:16384" x14ac:dyDescent="0.2">
      <c r="A53" t="s">
        <v>168</v>
      </c>
      <c r="B53" s="29">
        <f t="array" ref="B53">Calibration!sK*SUM(B15:C15*B27:C27)</f>
        <v>2740714.4444297408</v>
      </c>
      <c r="D53" s="29">
        <f t="array" ref="D53">Calibration!sK*SUM(D15:E15*D27:E27)</f>
        <v>3129991.9104457526</v>
      </c>
      <c r="F53" s="29">
        <f t="array" ref="F53">Calibration!sK*SUM(F15:G15*F27:G27)</f>
        <v>3535385.1003932725</v>
      </c>
      <c r="H53" s="29">
        <f t="array" ref="H53">Calibration!sK*SUM(H15:I15*H27:I27)</f>
        <v>3971654.5885013645</v>
      </c>
      <c r="J53" s="29">
        <f t="array" ref="J53">Calibration!sK*SUM(J15:K15*J27:K27)</f>
        <v>4459138.7397628967</v>
      </c>
      <c r="L53" s="29">
        <f t="array" ref="L53">Calibration!sK*SUM(L15:M15*L27:M27)</f>
        <v>5033048.1808316689</v>
      </c>
      <c r="N53" s="29">
        <f t="array" ref="N53">Calibration!sK*SUM(N15:O15*N27:O27)</f>
        <v>5766092.353926749</v>
      </c>
      <c r="P53" s="29">
        <f t="array" ref="P53">Calibration!sK*SUM(P15:Q15*P27:Q27)</f>
        <v>6846769.9246216537</v>
      </c>
      <c r="R53" s="29">
        <f t="array" ref="R53">Calibration!sK*SUM(R15:S15*R27:S27)</f>
        <v>9024022.5052679703</v>
      </c>
      <c r="T53" s="29">
        <f t="array" ref="T53">Calibration!sK*SUM(T15:U15*T27:U27)</f>
        <v>0</v>
      </c>
      <c r="V53" s="29">
        <f t="array" ref="V53">Calibration!sK*SUM(V15:W15*V27:W27)</f>
        <v>0</v>
      </c>
      <c r="X53" s="29">
        <f t="array" ref="X53">Calibration!sK*SUM(X15:Y15*X27:Y27)</f>
        <v>0</v>
      </c>
      <c r="Z53" s="29">
        <f t="array" ref="Z53">Calibration!sK*SUM(Z15:AA15*Z27:AA27)</f>
        <v>0</v>
      </c>
      <c r="AB53" s="29">
        <f t="array" ref="AB53">Calibration!sK*SUM(AB15:AC15*AB27:AC27)</f>
        <v>0</v>
      </c>
      <c r="AD53" s="29">
        <f t="array" ref="AD53">Calibration!sK*SUM(AD15:AE15*AD27:AE27)</f>
        <v>0</v>
      </c>
      <c r="AF53" s="29">
        <f t="array" ref="AF53">Calibration!sK*SUM(AF15:AG15*AF27:AG27)</f>
        <v>0</v>
      </c>
      <c r="AH53" s="29">
        <f t="array" ref="AH53">Calibration!sK*SUM(AH15:AI15*AH27:AI27)</f>
        <v>0</v>
      </c>
      <c r="AJ53" s="29">
        <f t="array" ref="AJ53">Calibration!sK*SUM(AJ15:AK15*AJ27:AK27)</f>
        <v>0</v>
      </c>
      <c r="AL53" s="29">
        <f t="array" ref="AL53">Calibration!sK*SUM(AL15:AM15*AL27:AM27)</f>
        <v>0</v>
      </c>
      <c r="AN53" s="29">
        <f t="array" ref="AN53">Calibration!sK*SUM(AN15:AO15*AN27:AO27)</f>
        <v>0</v>
      </c>
      <c r="AP53" s="29">
        <f t="array" ref="AP53">Calibration!sK*SUM(AP15:AQ15*AP27:AQ27)</f>
        <v>0</v>
      </c>
      <c r="AQ53" s="29"/>
      <c r="AR53" s="29">
        <f t="array" ref="AR53">Calibration!sK*SUM(AR15:AS15*AR27:AS27)</f>
        <v>0</v>
      </c>
      <c r="AT53" s="29">
        <f t="array" ref="AT53">Calibration!sK*SUM(AT15:AU15*AT27:AU27)</f>
        <v>0</v>
      </c>
      <c r="AV53" s="29">
        <f t="array" ref="AV53">Calibration!sK*SUM(AV15:AW15*AV27:AW27)</f>
        <v>0</v>
      </c>
      <c r="XFD53" s="29"/>
    </row>
    <row r="55" spans="1:48 16321:16384" x14ac:dyDescent="0.2">
      <c r="A55" t="s">
        <v>169</v>
      </c>
      <c r="B55" s="193">
        <f>B30/B32</f>
        <v>0.19850271905982084</v>
      </c>
      <c r="D55" s="193">
        <f>D30/D32</f>
        <v>0.19820637948191855</v>
      </c>
      <c r="F55" s="193">
        <f>F30/F32</f>
        <v>0.19792291053455963</v>
      </c>
      <c r="H55" s="193">
        <f>H30/H32</f>
        <v>0.19764058207257959</v>
      </c>
      <c r="J55" s="193">
        <f>J30/J32</f>
        <v>0.19734791520637654</v>
      </c>
      <c r="L55" s="193">
        <f>L30/L32</f>
        <v>0.19702871376240189</v>
      </c>
      <c r="N55" s="193">
        <f>N30/N32</f>
        <v>0.19665419575927739</v>
      </c>
      <c r="P55" s="193">
        <f>P30/P32</f>
        <v>0.19615775083447232</v>
      </c>
      <c r="R55" s="193">
        <f>R30/R32</f>
        <v>0.19530830337742364</v>
      </c>
      <c r="T55" s="193" t="e">
        <f>T30/T32</f>
        <v>#DIV/0!</v>
      </c>
      <c r="V55" s="193" t="e">
        <f>V30/V32</f>
        <v>#DIV/0!</v>
      </c>
      <c r="X55" s="193" t="e">
        <f>X30/X32</f>
        <v>#DIV/0!</v>
      </c>
      <c r="Z55" s="193" t="e">
        <f>Z30/Z32</f>
        <v>#DIV/0!</v>
      </c>
      <c r="AB55" s="193" t="e">
        <f>AB30/AB32</f>
        <v>#DIV/0!</v>
      </c>
      <c r="AD55" s="193" t="e">
        <f>AD30/AD32</f>
        <v>#DIV/0!</v>
      </c>
      <c r="AF55" s="193" t="e">
        <f>AF30/AF32</f>
        <v>#DIV/0!</v>
      </c>
      <c r="AH55" s="193" t="e">
        <f>AH30/AH32</f>
        <v>#DIV/0!</v>
      </c>
      <c r="AJ55" s="193" t="e">
        <f>AJ30/AJ32</f>
        <v>#DIV/0!</v>
      </c>
      <c r="AL55" s="193" t="e">
        <f>AL30/AL32</f>
        <v>#DIV/0!</v>
      </c>
      <c r="AN55" s="193" t="e">
        <f>AN30/AN32</f>
        <v>#DIV/0!</v>
      </c>
      <c r="AP55" s="193" t="e">
        <f>AP30/AP32</f>
        <v>#DIV/0!</v>
      </c>
      <c r="AR55" s="193" t="e">
        <f>AR30/AR32</f>
        <v>#DIV/0!</v>
      </c>
      <c r="AT55" s="193" t="e">
        <f>AT30/AT32</f>
        <v>#DIV/0!</v>
      </c>
      <c r="AV55" s="193" t="e">
        <f>AV30/AV32</f>
        <v>#DIV/0!</v>
      </c>
      <c r="XCS55" s="193"/>
      <c r="XFD55" s="193"/>
    </row>
    <row r="56" spans="1:48 16321:16384" x14ac:dyDescent="0.2">
      <c r="A56" t="s">
        <v>170</v>
      </c>
      <c r="B56" s="193">
        <f>(Model!$C$52*B5*B20+B2*C5*C20)/B32</f>
        <v>2.9221206744340551E-2</v>
      </c>
      <c r="D56" s="193">
        <f>(Model!$C$52*D5*D20+D2*E5*E20)/D32</f>
        <v>3.8854678713634287E-2</v>
      </c>
      <c r="F56" s="193">
        <f>(Model!$C$52*F5*F20+F2*G5*G20)/F32</f>
        <v>4.8062566853920116E-2</v>
      </c>
      <c r="H56" s="193">
        <f>(Model!$C$52*H5*H20+H2*I5*I20)/H32</f>
        <v>5.7222287310934344E-2</v>
      </c>
      <c r="J56" s="193">
        <f>(Model!$C$52*J5*J20+J2*K5*K20)/J32</f>
        <v>6.6709288379925069E-2</v>
      </c>
      <c r="L56" s="193">
        <f>(Model!$C$52*L5*L20+L2*M5*M20)/L32</f>
        <v>7.7040945697240321E-2</v>
      </c>
      <c r="N56" s="193">
        <f>(Model!$C$52*N5*N20+N2*O5*O20)/N32</f>
        <v>8.9138959339257501E-2</v>
      </c>
      <c r="P56" s="193">
        <f>(Model!$C$52*P5*P20+P2*Q5*Q20)/P32</f>
        <v>0.10513244095768504</v>
      </c>
      <c r="R56" s="193">
        <f>(Model!$C$52*R5*R20+R2*S5*S20)/R32</f>
        <v>0.13240360008673954</v>
      </c>
      <c r="T56" s="193" t="e">
        <f>(Model!$C$52*T5*T20+T2*U5*U20)/T32</f>
        <v>#DIV/0!</v>
      </c>
      <c r="V56" s="193" t="e">
        <f>(Model!$C$52*V5*V20+V2*W5*W20)/V32</f>
        <v>#DIV/0!</v>
      </c>
      <c r="X56" s="193" t="e">
        <f>(Model!$C$52*X5*X20+X2*Y5*Y20)/X32</f>
        <v>#DIV/0!</v>
      </c>
      <c r="Z56" s="193" t="e">
        <f>(Model!$C$52*Z5*Z20+Z2*AA5*AA20)/Z32</f>
        <v>#DIV/0!</v>
      </c>
      <c r="AB56" s="193" t="e">
        <f>(Model!$C$52*AB5*AB20+AB2*AC5*AC20)/AB32</f>
        <v>#DIV/0!</v>
      </c>
      <c r="AD56" s="193" t="e">
        <f>(Model!$C$52*AD5*AD20+AD2*AE5*AE20)/AD32</f>
        <v>#DIV/0!</v>
      </c>
      <c r="AF56" s="193" t="e">
        <f>(Model!$C$52*AF5*AF20+AF2*AG5*AG20)/AF32</f>
        <v>#DIV/0!</v>
      </c>
      <c r="AH56" s="193" t="e">
        <f>(Model!$C$52*AH5*AH20+AH2*AI5*AI20)/AH32</f>
        <v>#DIV/0!</v>
      </c>
      <c r="AJ56" s="193" t="e">
        <f>(Model!$C$52*AJ5*AJ20+AJ2*AK5*AK20)/AJ32</f>
        <v>#DIV/0!</v>
      </c>
      <c r="AL56" s="193" t="e">
        <f>(Model!$C$52*AL5*AL20+AL2*AM5*AM20)/AL32</f>
        <v>#DIV/0!</v>
      </c>
      <c r="AN56" s="193" t="e">
        <f>(Model!$C$52*AN5*AN20+AN2*AO5*AO20)/AN32</f>
        <v>#DIV/0!</v>
      </c>
      <c r="AP56" s="193" t="e">
        <f>(Model!$C$52*AP5*AP20+AP2*AQ5*AQ20)/AP32</f>
        <v>#DIV/0!</v>
      </c>
      <c r="AR56" s="193" t="e">
        <f>(Model!$C$52*AR5*AR20+AR2*AS5*AS20)/AR32</f>
        <v>#DIV/0!</v>
      </c>
      <c r="AT56" s="193" t="e">
        <f>(Model!$C$52*AT5*AT20+AT2*AU5*AU20)/AT32</f>
        <v>#DIV/0!</v>
      </c>
      <c r="AV56" s="193" t="e">
        <f>(Model!$C$52*AV5*AV20+AV2*AW5*AW20)/AV32</f>
        <v>#DIV/0!</v>
      </c>
      <c r="XFD56" s="193"/>
    </row>
    <row r="57" spans="1:48 16321:16384" x14ac:dyDescent="0.2">
      <c r="A57" t="s">
        <v>171</v>
      </c>
      <c r="B57" s="193">
        <f t="array" ref="B57">SUM(Model!tauL*B13:C13*B26:C26)/B32</f>
        <v>0.15852881819439493</v>
      </c>
      <c r="D57" s="193">
        <f t="array" ref="D57">SUM(Model!tauL*D13:E13*D26:E26)/D32</f>
        <v>0.14880167716168413</v>
      </c>
      <c r="F57" s="193">
        <f t="array" ref="F57">SUM(Model!tauL*F13:G13*F26:G26)/F32</f>
        <v>0.13949496519286139</v>
      </c>
      <c r="H57" s="193">
        <f t="array" ref="H57">SUM(Model!tauL*H13:I13*H26:I26)/H32</f>
        <v>0.1302278916348015</v>
      </c>
      <c r="J57" s="193">
        <f t="array" ref="J57">SUM(Model!tauL*J13:K13*J26:K26)/J32</f>
        <v>0.1206191395019478</v>
      </c>
      <c r="L57" s="193">
        <f t="array" ref="L57">SUM(Model!tauL*L13:M13*L26:M26)/L32</f>
        <v>0.11013988190805903</v>
      </c>
      <c r="N57" s="193">
        <f t="array" ref="N57">SUM(Model!tauL*N13:O13*N26:O26)/N32</f>
        <v>9.78450851479718E-2</v>
      </c>
      <c r="P57" s="193">
        <f t="array" ref="P57">SUM(Model!tauL*P13:Q13*P26:Q26)/P32</f>
        <v>8.154833293637094E-2</v>
      </c>
      <c r="R57" s="193">
        <f t="array" ref="R57">SUM(Model!tauL*R13:S13*R26:S26)/R32</f>
        <v>5.3663006502301006E-2</v>
      </c>
      <c r="T57" s="193" t="e">
        <f t="array" ref="T57">SUM(Model!tauL*T13:U13*T26:U26)/T32</f>
        <v>#DIV/0!</v>
      </c>
      <c r="V57" s="193" t="e">
        <f t="array" ref="V57">SUM(Model!tauL*V13:W13*V26:W26)/V32</f>
        <v>#DIV/0!</v>
      </c>
      <c r="X57" s="193" t="e">
        <f t="array" ref="X57">SUM(Model!tauL*X13:Y13*X26:Y26)/X32</f>
        <v>#DIV/0!</v>
      </c>
      <c r="Y57" s="193"/>
      <c r="Z57" s="193" t="e">
        <f t="array" ref="Z57">SUM(Model!tauL*Z13:AA13*Z26:AA26)/Z32</f>
        <v>#DIV/0!</v>
      </c>
      <c r="AB57" s="193" t="e">
        <f t="array" ref="AB57">SUM(Model!tauL*AB13:AC13*AB26:AC26)/AB32</f>
        <v>#DIV/0!</v>
      </c>
      <c r="AD57" s="193" t="e">
        <f t="array" ref="AD57">SUM(Model!tauL*AD13:AE13*AD26:AE26)/AD32</f>
        <v>#DIV/0!</v>
      </c>
      <c r="AF57" s="193" t="e">
        <f t="array" ref="AF57">SUM(Model!tauL*AF13:AG13*AF26:AG26)/AF32</f>
        <v>#DIV/0!</v>
      </c>
      <c r="AH57" s="193" t="e">
        <f t="array" ref="AH57">SUM(Model!tauL*AH13:AI13*AH26:AI26)/AH32</f>
        <v>#DIV/0!</v>
      </c>
      <c r="AJ57" s="193" t="e">
        <f t="array" ref="AJ57">SUM(Model!tauL*AJ13:AK13*AJ26:AK26)/AJ32</f>
        <v>#DIV/0!</v>
      </c>
      <c r="AL57" s="193" t="e">
        <f t="array" ref="AL57">SUM(Model!tauL*AL13:AM13*AL26:AM26)/AL32</f>
        <v>#DIV/0!</v>
      </c>
      <c r="AN57" s="193" t="e">
        <f t="array" ref="AN57">SUM(Model!tauL*AN13:AO13*AN26:AO26)/AN32</f>
        <v>#DIV/0!</v>
      </c>
      <c r="AP57" s="193" t="e">
        <f t="array" ref="AP57">SUM(Model!tauL*AP13:AQ13*AP26:AQ26)/AP32</f>
        <v>#DIV/0!</v>
      </c>
      <c r="AR57" s="193" t="e">
        <f t="array" ref="AR57">SUM(Model!tauL*AR13:AS13*AR26:AS26)/AR32</f>
        <v>#DIV/0!</v>
      </c>
      <c r="AT57" s="193" t="e">
        <f t="array" ref="AT57">SUM(Model!tauL*AT13:AU13*AT26:AU26)/AT32</f>
        <v>#DIV/0!</v>
      </c>
      <c r="AV57" s="193" t="e">
        <f t="array" ref="AV57">SUM(Model!tauL*AV13:AW13*AV26:AW26)/AV32</f>
        <v>#DIV/0!</v>
      </c>
      <c r="XFD57" s="193"/>
    </row>
    <row r="58" spans="1:48 16321:16384" x14ac:dyDescent="0.2">
      <c r="A58" t="s">
        <v>172</v>
      </c>
      <c r="B58" s="193">
        <f t="array" ref="B58">SUM(Model!tauY/(1+Model!tauY)*B3:C3*B18:C18)/B32</f>
        <v>1.075269412108535E-2</v>
      </c>
      <c r="D58" s="193">
        <f t="array" ref="D58">SUM(Model!tauY/(1+Model!tauY)*D3:E3*D18:E18)/D32</f>
        <v>1.0550023606600158E-2</v>
      </c>
      <c r="F58" s="193">
        <f t="array" ref="F58">SUM(Model!tauY/(1+Model!tauY)*F3:G3*F18:G18)/F32</f>
        <v>1.0365378487778127E-2</v>
      </c>
      <c r="H58" s="193">
        <f t="array" ref="H58">SUM(Model!tauY/(1+Model!tauY)*H3:I3*H18:I18)/H32</f>
        <v>1.0190403126843744E-2</v>
      </c>
      <c r="J58" s="193">
        <f t="array" ref="J58">SUM(Model!tauY/(1+Model!tauY)*J3:K3*J18:K18)/J32</f>
        <v>1.0019487324503652E-2</v>
      </c>
      <c r="L58" s="193">
        <f t="array" ref="L58">SUM(Model!tauY/(1+Model!tauY)*L3:M3*L18:M18)/L32</f>
        <v>9.8478861571025169E-3</v>
      </c>
      <c r="N58" s="193">
        <f t="array" ref="N58">SUM(Model!tauY/(1+Model!tauY)*N3:O3*N18:O18)/N32</f>
        <v>9.6701512720481237E-3</v>
      </c>
      <c r="P58" s="193">
        <f t="array" ref="P58">SUM(Model!tauY/(1+Model!tauY)*P3:Q3*P18:Q18)/P32</f>
        <v>9.4769769404163609E-3</v>
      </c>
      <c r="R58" s="193">
        <f t="array" ref="R58">SUM(Model!tauY/(1+Model!tauY)*R3:S3*R18:S18)/R32</f>
        <v>9.2416967883831216E-3</v>
      </c>
      <c r="T58" s="193" t="e">
        <f t="array" ref="T58">SUM(Model!tauY/(1+Model!tauY)*T3:U3*T18:U18)/T32</f>
        <v>#DIV/0!</v>
      </c>
      <c r="V58" s="193" t="e">
        <f t="array" ref="V58">SUM(Model!tauY/(1+Model!tauY)*V3:W3*V18:W18)/V32</f>
        <v>#DIV/0!</v>
      </c>
      <c r="X58" s="193" t="e">
        <f t="array" ref="X58">SUM(Model!tauY/(1+Model!tauY)*X3:Y3*X18:Y18)/X32</f>
        <v>#DIV/0!</v>
      </c>
      <c r="Y58" s="193"/>
      <c r="Z58" s="193" t="e">
        <f t="array" ref="Z58">SUM(Model!tauY/(1+Model!tauY)*Z3:AA3*Z18:AA18)/Z32</f>
        <v>#DIV/0!</v>
      </c>
      <c r="AB58" s="193" t="e">
        <f t="array" ref="AB58">SUM(Model!tauY/(1+Model!tauY)*AB3:AC3*AB18:AC18)/AB32</f>
        <v>#DIV/0!</v>
      </c>
      <c r="AD58" s="193" t="e">
        <f t="array" ref="AD58">SUM(Model!tauY/(1+Model!tauY)*AD3:AE3*AD18:AE18)/AD32</f>
        <v>#DIV/0!</v>
      </c>
      <c r="AF58" s="193" t="e">
        <f t="array" ref="AF58">SUM(Model!tauY/(1+Model!tauY)*AF3:AG3*AF18:AG18)/AF32</f>
        <v>#DIV/0!</v>
      </c>
      <c r="AH58" s="193" t="e">
        <f t="array" ref="AH58">SUM(Model!tauY/(1+Model!tauY)*AH3:AI3*AH18:AI18)/AH32</f>
        <v>#DIV/0!</v>
      </c>
      <c r="AJ58" s="193" t="e">
        <f t="array" ref="AJ58">SUM(Model!tauY/(1+Model!tauY)*AJ3:AK3*AJ18:AK18)/AJ32</f>
        <v>#DIV/0!</v>
      </c>
      <c r="AL58" s="193" t="e">
        <f t="array" ref="AL58">SUM(Model!tauY/(1+Model!tauY)*AL3:AM3*AL18:AM18)/AL32</f>
        <v>#DIV/0!</v>
      </c>
      <c r="AN58" s="193" t="e">
        <f t="array" ref="AN58">SUM(Model!tauY/(1+Model!tauY)*AN3:AO3*AN18:AO18)/AN32</f>
        <v>#DIV/0!</v>
      </c>
      <c r="AP58" s="193" t="e">
        <f t="array" ref="AP58">SUM(Model!tauY/(1+Model!tauY)*AP3:AQ3*AP18:AQ18)/AP32</f>
        <v>#DIV/0!</v>
      </c>
      <c r="AR58" s="193" t="e">
        <f t="array" ref="AR58">SUM(Model!tauY/(1+Model!tauY)*AR3:AS3*AR18:AS18)/AR32</f>
        <v>#DIV/0!</v>
      </c>
      <c r="AT58" s="193" t="e">
        <f t="array" ref="AT58">SUM(Model!tauY/(1+Model!tauY)*AT3:AU3*AT18:AU18)/AT32</f>
        <v>#DIV/0!</v>
      </c>
      <c r="AV58" s="193" t="e">
        <f t="array" ref="AV58">SUM(Model!tauY/(1+Model!tauY)*AV3:AW3*AV18:AW18)/AV32</f>
        <v>#DIV/0!</v>
      </c>
      <c r="XFD58" s="193"/>
    </row>
    <row r="59" spans="1:48 16321:16384" x14ac:dyDescent="0.2">
      <c r="A59" t="s">
        <v>173</v>
      </c>
      <c r="B59" s="193">
        <f>(B2*C5*C20)/B32</f>
        <v>5.5174232040962052E-4</v>
      </c>
      <c r="D59" s="193">
        <f>(D2*E5*E20)/D32</f>
        <v>1.0318098450869223E-2</v>
      </c>
      <c r="F59" s="193">
        <f>(F2*G5*G20)/F32</f>
        <v>1.9645484361237819E-2</v>
      </c>
      <c r="H59" s="193">
        <f>(H2*I5*I20)/H32</f>
        <v>2.8916854785606995E-2</v>
      </c>
      <c r="J59" s="193">
        <f>(J2*K5*K20)/J32</f>
        <v>3.8512266675017733E-2</v>
      </c>
      <c r="L59" s="193">
        <f>(L2*M5*M20)/L32</f>
        <v>4.895455301780708E-2</v>
      </c>
      <c r="N59" s="193">
        <f>(N2*O5*O20)/N32</f>
        <v>6.1174331219120012E-2</v>
      </c>
      <c r="P59" s="193">
        <f>(P2*Q5*Q20)/P32</f>
        <v>7.7320566582711067E-2</v>
      </c>
      <c r="R59" s="193">
        <f>(R2*S5*S20)/R32</f>
        <v>0.10484298199269845</v>
      </c>
      <c r="T59" s="193" t="e">
        <f>(T2*U5*U20)/T32</f>
        <v>#DIV/0!</v>
      </c>
      <c r="V59" s="193" t="e">
        <f>(V2*W5*W20)/V32</f>
        <v>#DIV/0!</v>
      </c>
      <c r="X59" s="193" t="e">
        <f>(X2*Y5*Y20)/X32</f>
        <v>#DIV/0!</v>
      </c>
      <c r="Z59" s="193" t="e">
        <f>(Z2*AA5*AA20)/Z32</f>
        <v>#DIV/0!</v>
      </c>
      <c r="AB59" s="193" t="e">
        <f>(AB2*AC5*AC20)/AB32</f>
        <v>#DIV/0!</v>
      </c>
      <c r="AD59" s="193" t="e">
        <f>(AD2*AE5*AE20)/AD32</f>
        <v>#DIV/0!</v>
      </c>
      <c r="AF59" s="193" t="e">
        <f>(AF2*AG5*AG20)/AF32</f>
        <v>#DIV/0!</v>
      </c>
      <c r="AH59" s="193" t="e">
        <f>(AH2*AI5*AI20)/AH32</f>
        <v>#DIV/0!</v>
      </c>
      <c r="AJ59" s="193" t="e">
        <f>(AJ2*AK5*AK20)/AJ32</f>
        <v>#DIV/0!</v>
      </c>
      <c r="AL59" s="193" t="e">
        <f>(AL2*AM5*AM20)/AL32</f>
        <v>#DIV/0!</v>
      </c>
      <c r="AN59" s="193" t="e">
        <f>(AN2*AO5*AO20)/AN32</f>
        <v>#DIV/0!</v>
      </c>
      <c r="AP59" s="193" t="e">
        <f>(AP2*AQ5*AQ20)/AP32</f>
        <v>#DIV/0!</v>
      </c>
      <c r="AR59" s="193" t="e">
        <f>(AR2*AS5*AS20)/AR32</f>
        <v>#DIV/0!</v>
      </c>
      <c r="AT59" s="193" t="e">
        <f>(AT2*AU5*AU20)/AT32</f>
        <v>#DIV/0!</v>
      </c>
      <c r="AV59" s="193" t="e">
        <f>(AV2*AW5*AW20)/AV32</f>
        <v>#DIV/0!</v>
      </c>
      <c r="XFD59" s="193"/>
    </row>
    <row r="60" spans="1:48 16321:16384" x14ac:dyDescent="0.2">
      <c r="A60" t="s">
        <v>174</v>
      </c>
      <c r="B60" s="193">
        <f>Model!$C$52*B5*B20/B32</f>
        <v>2.8669464423930927E-2</v>
      </c>
      <c r="D60" s="193">
        <f>Model!$C$52*D5*D20/D32</f>
        <v>2.8536580262765059E-2</v>
      </c>
      <c r="F60" s="193">
        <f>Model!$C$52*F5*F20/F32</f>
        <v>2.8417082492682294E-2</v>
      </c>
      <c r="H60" s="193">
        <f>Model!$C$52*H5*H20/H32</f>
        <v>2.8305432525327353E-2</v>
      </c>
      <c r="J60" s="193">
        <f>Model!$C$52*J5*J20/J32</f>
        <v>2.8197021704907347E-2</v>
      </c>
      <c r="L60" s="193">
        <f>Model!$C$52*L5*L20/L32</f>
        <v>2.8086392679433234E-2</v>
      </c>
      <c r="N60" s="193">
        <f>Model!$C$52*N5*N20/N32</f>
        <v>2.7964628120137489E-2</v>
      </c>
      <c r="P60" s="193">
        <f>Model!$C$52*P5*P20/P32</f>
        <v>2.7811874374973958E-2</v>
      </c>
      <c r="R60" s="193">
        <f>Model!$C$52*R5*R20/R32</f>
        <v>2.7560618094041076E-2</v>
      </c>
      <c r="T60" s="193" t="e">
        <f>Model!$C$52*T5*T20/T32</f>
        <v>#DIV/0!</v>
      </c>
      <c r="V60" s="193" t="e">
        <f>Model!$C$52*V5*V20/V32</f>
        <v>#DIV/0!</v>
      </c>
      <c r="X60" s="193" t="e">
        <f>Model!$C$52*X5*X20/X32</f>
        <v>#DIV/0!</v>
      </c>
      <c r="Z60" s="193" t="e">
        <f>Model!$C$52*Z5*Z20/Z32</f>
        <v>#DIV/0!</v>
      </c>
      <c r="AB60" s="193" t="e">
        <f>Model!$C$52*AB5*AB20/AB32</f>
        <v>#DIV/0!</v>
      </c>
      <c r="AD60" s="193" t="e">
        <f>Model!$C$52*AD5*AD20/AD32</f>
        <v>#DIV/0!</v>
      </c>
      <c r="AF60" s="193" t="e">
        <f>Model!$C$52*AF5*AF20/AF32</f>
        <v>#DIV/0!</v>
      </c>
      <c r="AH60" s="193" t="e">
        <f>Model!$C$52*AH5*AH20/AH32</f>
        <v>#DIV/0!</v>
      </c>
      <c r="AJ60" s="193" t="e">
        <f>Model!$C$52*AJ5*AJ20/AJ32</f>
        <v>#DIV/0!</v>
      </c>
      <c r="AL60" s="193" t="e">
        <f>Model!$C$52*AL5*AL20/AL32</f>
        <v>#DIV/0!</v>
      </c>
      <c r="AN60" s="193" t="e">
        <f>Model!$C$52*AN5*AN20/AN32</f>
        <v>#DIV/0!</v>
      </c>
      <c r="AP60" s="193" t="e">
        <f>Model!$C$52*AP5*AP20/AP32</f>
        <v>#DIV/0!</v>
      </c>
      <c r="AR60" s="193" t="e">
        <f>Model!$C$52*AR5*AR20/AR32</f>
        <v>#DIV/0!</v>
      </c>
      <c r="AT60" s="193" t="e">
        <f>Model!$C$52*AT5*AT20/AT32</f>
        <v>#DIV/0!</v>
      </c>
      <c r="AV60" s="193" t="e">
        <f>Model!$C$52*AV5*AV20/AV32</f>
        <v>#DIV/0!</v>
      </c>
      <c r="XFD60" s="193"/>
    </row>
    <row r="62" spans="1:48 16321:16384" x14ac:dyDescent="0.2">
      <c r="A62" t="s">
        <v>175</v>
      </c>
      <c r="B62">
        <f>B13/B15</f>
        <v>1</v>
      </c>
      <c r="D62">
        <f>D13/D15</f>
        <v>0.75471331483580428</v>
      </c>
      <c r="F62">
        <f>F13/F15</f>
        <v>0.57326179196410643</v>
      </c>
      <c r="H62">
        <f>H13/H15</f>
        <v>0.43288961488064565</v>
      </c>
      <c r="J62">
        <f>J13/J15</f>
        <v>0.32056884317822826</v>
      </c>
      <c r="L62">
        <f>L13/L15</f>
        <v>0.22798363351812451</v>
      </c>
      <c r="N62">
        <f>N13/N15</f>
        <v>0.14942537119083929</v>
      </c>
      <c r="P62">
        <f>P13/P15</f>
        <v>8.0995739954161816E-2</v>
      </c>
      <c r="R62">
        <f>R13/R15</f>
        <v>2.230187655732389E-2</v>
      </c>
      <c r="T62" t="e">
        <f>T13/T15</f>
        <v>#DIV/0!</v>
      </c>
      <c r="V62" t="e">
        <f>V13/V15</f>
        <v>#DIV/0!</v>
      </c>
      <c r="X62" t="e">
        <f>X13/X15</f>
        <v>#DIV/0!</v>
      </c>
      <c r="Z62" t="e">
        <f>Z13/Z15</f>
        <v>#DIV/0!</v>
      </c>
      <c r="AB62" t="e">
        <f>AB13/AB15</f>
        <v>#DIV/0!</v>
      </c>
      <c r="AD62" t="e">
        <f>AD13/AD15</f>
        <v>#DIV/0!</v>
      </c>
      <c r="AF62" t="e">
        <f>AF13/AF15</f>
        <v>#DIV/0!</v>
      </c>
      <c r="AH62" t="e">
        <f>AH13/AH15</f>
        <v>#DIV/0!</v>
      </c>
      <c r="AJ62" t="e">
        <f>AJ13/AJ15</f>
        <v>#DIV/0!</v>
      </c>
      <c r="AL62" t="e">
        <f>AL13/AL15</f>
        <v>#DIV/0!</v>
      </c>
      <c r="AN62" t="e">
        <f>AN13/AN15</f>
        <v>#DIV/0!</v>
      </c>
      <c r="AP62" t="e">
        <f>AP13/AP15</f>
        <v>#DIV/0!</v>
      </c>
      <c r="AR62" t="e">
        <f>AR13/AR15</f>
        <v>#DIV/0!</v>
      </c>
      <c r="AT62" t="e">
        <f>AT13/AT15</f>
        <v>#DIV/0!</v>
      </c>
      <c r="AV62" t="e">
        <f>AV13/AV15</f>
        <v>#DIV/0!</v>
      </c>
    </row>
    <row r="65" spans="1:48 16384:16384" x14ac:dyDescent="0.2">
      <c r="A65" t="s">
        <v>176</v>
      </c>
      <c r="B65" s="191">
        <f>SQRT((B9:C9*$B$22:$C$22+B10:C10*$B$23:$C$23+B11:C11*$B$24:$C$24+B4:C4*($B$25:$C$25-$B$19:$C$19))/($B$9:$C$9*$B$22:$C$22+$B$10:$C$10*$B$23:$C$23+$B$11:$C$11*$B$24:$C$24+$B$4:$C$4*($B$25:$C$25-$B$19:$C$19))*(B9:C9*B22:C22+B10:C10*B23:C23+B11:C11*B24:C24+B4:C4*(B25:C25-B19:C19))/($B$9:$C$9*B22:C22+$B$10:$C$10*B23:C23+$B$11:$C$11*B24:C24+$B$4:$C$4*(B25:C25-B19:C19)))</f>
        <v>1</v>
      </c>
      <c r="C65" s="191"/>
      <c r="D65" s="191">
        <f t="array" ref="D65">SQRT((D9:E9*$B$22:$C$22+D10:E10*$B$23:$C$23+D11:E11*$B$24:$C$24+D4:E4*($B$25:$C$25-$B$19:$C$19))/($B$9:$C$9*$B$22:$C$22+$B$10:$C$10*$B$23:$C$23+$B$11:$C$11*$B$24:$C$24+$B$4:$C$4*($B$25:$C$25-$B$19:$C$19))*(D9:E9*D22:E22+D10:E10*D23:E23+D11:E11*D24:E24+D4:E4*(D25:E25-D19:E19))/($B$9:$C$9*D22:E22+$B$10:$C$10*D23:E23+$B$11:$C$11*D24:E24+$B$4:$C$4*(D25:E25-D19:E19)))</f>
        <v>0.99478733275727027</v>
      </c>
      <c r="E65" s="191"/>
      <c r="F65" s="191">
        <f t="array" ref="F65">SQRT((F9:G9*$B$22:$C$22+F10:G10*$B$23:$C$23+F11:G11*$B$24:$C$24+F4:G4*($B$25:$C$25-$B$19:$C$19))/($B$9:$C$9*$B$22:$C$22+$B$10:$C$10*$B$23:$C$23+$B$11:$C$11*$B$24:$C$24+$B$4:$C$4*($B$25:$C$25-$B$19:$C$19))*(F9:G9*F22:G22+F10:G10*F23:G23+F11:G11*F24:G24+F4:G4*(F25:G25-F19:G19))/($B$9:$C$9*F22:G22+$B$10:$C$10*F23:G23+$B$11:$C$11*F24:G24+$B$4:$C$4*(F25:G25-F19:G19)))</f>
        <v>0.99008980120217482</v>
      </c>
      <c r="G65" s="191"/>
      <c r="H65" s="191">
        <f t="array" ref="H65">SQRT((H9:I9*$B$22:$C$22+H10:I10*$B$23:$C$23+H11:I11*$B$24:$C$24+H4:I4*($B$25:$C$25-$B$19:$C$19))/($B$9:$C$9*$B$22:$C$22+$B$10:$C$10*$B$23:$C$23+$B$11:$C$11*$B$24:$C$24+$B$4:$C$4*($B$25:$C$25-$B$19:$C$19))*(H9:I9*H22:I22+H10:I10*H23:I23+H11:I11*H24:I24+H4:I4*(H25:I25-H19:I19))/($B$9:$C$9*H22:I22+$B$10:$C$10*H23:I23+$B$11:$C$11*H24:I24+$B$4:$C$4*(H25:I25-H19:I19)))</f>
        <v>0.98570867976922438</v>
      </c>
      <c r="I65" s="191"/>
      <c r="J65" s="191">
        <f t="array" ref="J65">SQRT((J9:K9*$B$22:$C$22+J10:K10*$B$23:$C$23+J11:K11*$B$24:$C$24+J4:K4*($B$25:$C$25-$B$19:$C$19))/($B$9:$C$9*$B$22:$C$22+$B$10:$C$10*$B$23:$C$23+$B$11:$C$11*$B$24:$C$24+$B$4:$C$4*($B$25:$C$25-$B$19:$C$19))*(J9:K9*J22:K22+J10:K10*J23:K23+J11:K11*J24:K24+J4:K4*(J25:K25-J19:K19))/($B$9:$C$9*J22:K22+$B$10:$C$10*J23:K23+$B$11:$C$11*J24:K24+$B$4:$C$4*(J25:K25-J19:K19)))</f>
        <v>0.98156092634427083</v>
      </c>
      <c r="K65" s="191"/>
      <c r="L65" s="191">
        <f t="array" ref="L65">SQRT((L9:M9*$B$22:$C$22+L10:M10*$B$23:$C$23+L11:M11*$B$24:$C$24+L4:M4*($B$25:$C$25-$B$19:$C$19))/($B$9:$C$9*$B$22:$C$22+$B$10:$C$10*$B$23:$C$23+$B$11:$C$11*$B$24:$C$24+$B$4:$C$4*($B$25:$C$25-$B$19:$C$19))*(L9:M9*L22:M22+L10:M10*L23:M23+L11:M11*L24:M24+L4:M4*(L25:M25-L19:M19))/($B$9:$C$9*L22:M22+$B$10:$C$10*L23:M23+$B$11:$C$11*L24:M24+$B$4:$C$4*(L25:M25-L19:M19)))</f>
        <v>0.97765019646596174</v>
      </c>
      <c r="M65" s="191"/>
      <c r="N65" s="191">
        <f t="array" ref="N65">SQRT((N9:O9*$B$22:$C$22+N10:O10*$B$23:$C$23+N11:O11*$B$24:$C$24+N4:O4*($B$25:$C$25-$B$19:$C$19))/($B$9:$C$9*$B$22:$C$22+$B$10:$C$10*$B$23:$C$23+$B$11:$C$11*$B$24:$C$24+$B$4:$C$4*($B$25:$C$25-$B$19:$C$19))*(N9:O9*N22:O22+N10:O10*N23:O23+N11:O11*N24:O24+N4:O4*(N25:O25-N19:O19))/($B$9:$C$9*N22:O22+$B$10:$C$10*N23:O23+$B$11:$C$11*N24:O24+$B$4:$C$4*(N25:O25-N19:O19)))</f>
        <v>0.97409223212053475</v>
      </c>
      <c r="O65" s="191"/>
      <c r="P65" s="191">
        <f t="array" ref="P65">SQRT((P9:Q9*$B$22:$C$22+P10:Q10*$B$23:$C$23+P11:Q11*$B$24:$C$24+P4:Q4*($B$25:$C$25-$B$19:$C$19))/($B$9:$C$9*$B$22:$C$22+$B$10:$C$10*$B$23:$C$23+$B$11:$C$11*$B$24:$C$24+$B$4:$C$4*($B$25:$C$25-$B$19:$C$19))*(P9:Q9*P22:Q22+P10:Q10*P23:Q23+P11:Q11*P24:Q24+P4:Q4*(P25:Q25-P19:Q19))/($B$9:$C$9*P22:Q22+$B$10:$C$10*P23:Q23+$B$11:$C$11*P24:Q24+$B$4:$C$4*(P25:Q25-P19:Q19)))</f>
        <v>0.97125682026983451</v>
      </c>
      <c r="Q65" s="191"/>
      <c r="R65" s="191">
        <f t="array" ref="R65">SQRT((R9:S9*$B$22:$C$22+R10:S10*$B$23:$C$23+R11:S11*$B$24:$C$24+R4:S4*($B$25:$C$25-$B$19:$C$19))/($B$9:$C$9*$B$22:$C$22+$B$10:$C$10*$B$23:$C$23+$B$11:$C$11*$B$24:$C$24+$B$4:$C$4*($B$25:$C$25-$B$19:$C$19))*(R9:S9*R22:S22+R10:S10*R23:S23+R11:S11*R24:S24+R4:S4*(R25:S25-R19:S19))/($B$9:$C$9*R22:S22+$B$10:$C$10*R23:S23+$B$11:$C$11*R24:S24+$B$4:$C$4*(R25:S25-R19:S19)))</f>
        <v>0.97050740130357493</v>
      </c>
      <c r="S65" s="191"/>
      <c r="T65" s="191" t="e">
        <f t="array" ref="T65">SQRT((T9:U9*$B$22:$C$22+T10:U10*$B$23:$C$23+T11:U11*$B$24:$C$24+T4:U4*($B$25:$C$25-$B$19:$C$19))/($B$9:$C$9*$B$22:$C$22+$B$10:$C$10*$B$23:$C$23+$B$11:$C$11*$B$24:$C$24+$B$4:$C$4*($B$25:$C$25-$B$19:$C$19))*(T9:U9*T22:U22+T10:U10*T23:U23+T11:U11*T24:U24+T4:U4*(T25:U25-T19:U19))/($B$9:$C$9*T22:U22+$B$10:$C$10*T23:U23+$B$11:$C$11*T24:U24+$B$4:$C$4*(T25:U25-T19:U19)))</f>
        <v>#DIV/0!</v>
      </c>
      <c r="U65" s="191"/>
      <c r="V65" s="191" t="e">
        <f t="array" ref="V65">SQRT((V9:W9*$B$22:$C$22+V10:W10*$B$23:$C$23+V11:W11*$B$24:$C$24+V4:W4*($B$25:$C$25-$B$19:$C$19))/($B$9:$C$9*$B$22:$C$22+$B$10:$C$10*$B$23:$C$23+$B$11:$C$11*$B$24:$C$24+$B$4:$C$4*($B$25:$C$25-$B$19:$C$19))*(V9:W9*V22:W22+V10:W10*V23:W23+V11:W11*V24:W24+V4:W4*(V25:W25-V19:W19))/($B$9:$C$9*V22:W22+$B$10:$C$10*V23:W23+$B$11:$C$11*V24:W24+$B$4:$C$4*(V25:W25-V19:W19)))</f>
        <v>#DIV/0!</v>
      </c>
      <c r="W65" s="191"/>
      <c r="X65" s="191" t="e">
        <f t="array" ref="X65">SQRT((X9:Y9*$B$22:$C$22+X10:Y10*$B$23:$C$23+X11:Y11*$B$24:$C$24+X4:Y4*($B$25:$C$25-$B$19:$C$19))/($B$9:$C$9*$B$22:$C$22+$B$10:$C$10*$B$23:$C$23+$B$11:$C$11*$B$24:$C$24+$B$4:$C$4*($B$25:$C$25-$B$19:$C$19))*(X9:Y9*X22:Y22+X10:Y10*X23:Y23+X11:Y11*X24:Y24+X4:Y4*(X25:Y25-X19:Y19))/($B$9:$C$9*X22:Y22+$B$10:$C$10*X23:Y23+$B$11:$C$11*X24:Y24+$B$4:$C$4*(X25:Y25-X19:Y19)))</f>
        <v>#DIV/0!</v>
      </c>
      <c r="Y65" s="191"/>
      <c r="Z65" s="191" t="e">
        <f t="array" ref="Z65">SQRT((Z9:AA9*$B$22:$C$22+Z10:AA10*$B$23:$C$23+Z11:AA11*$B$24:$C$24+Z4:AA4*($B$25:$C$25-$B$19:$C$19))/($B$9:$C$9*$B$22:$C$22+$B$10:$C$10*$B$23:$C$23+$B$11:$C$11*$B$24:$C$24+$B$4:$C$4*($B$25:$C$25-$B$19:$C$19))*(Z9:AA9*Z22:AA22+Z10:AA10*Z23:AA23+Z11:AA11*Z24:AA24+Z4:AA4*(Z25:AA25-Z19:AA19))/($B$9:$C$9*Z22:AA22+$B$10:$C$10*Z23:AA23+$B$11:$C$11*Z24:AA24+$B$4:$C$4*(Z25:AA25-Z19:AA19)))</f>
        <v>#DIV/0!</v>
      </c>
      <c r="AA65" s="191"/>
      <c r="AB65" s="191" t="e">
        <f t="array" ref="AB65">SQRT((AB9:AC9*$B$22:$C$22+AB10:AC10*$B$23:$C$23+AB11:AC11*$B$24:$C$24+AB4:AC4*($B$25:$C$25-$B$19:$C$19))/($B$9:$C$9*$B$22:$C$22+$B$10:$C$10*$B$23:$C$23+$B$11:$C$11*$B$24:$C$24+$B$4:$C$4*($B$25:$C$25-$B$19:$C$19))*(AB9:AC9*AB22:AC22+AB10:AC10*AB23:AC23+AB11:AC11*AB24:AC24+AB4:AC4*(AB25:AC25-AB19:AC19))/($B$9:$C$9*AB22:AC22+$B$10:$C$10*AB23:AC23+$B$11:$C$11*AB24:AC24+$B$4:$C$4*(AB25:AC25-AB19:AC19)))</f>
        <v>#DIV/0!</v>
      </c>
      <c r="AC65" s="191"/>
      <c r="AD65" s="191" t="e">
        <f t="array" ref="AD65">SQRT((AD9:AE9*$B$22:$C$22+AD10:AE10*$B$23:$C$23+AD11:AE11*$B$24:$C$24+AD4:AE4*($B$25:$C$25-$B$19:$C$19))/($B$9:$C$9*$B$22:$C$22+$B$10:$C$10*$B$23:$C$23+$B$11:$C$11*$B$24:$C$24+$B$4:$C$4*($B$25:$C$25-$B$19:$C$19))*(AD9:AE9*AD22:AE22+AD10:AE10*AD23:AE23+AD11:AE11*AD24:AE24+AD4:AE4*(AD25:AE25-AD19:AE19))/($B$9:$C$9*AD22:AE22+$B$10:$C$10*AD23:AE23+$B$11:$C$11*AD24:AE24+$B$4:$C$4*(AD25:AE25-AD19:AE19)))</f>
        <v>#DIV/0!</v>
      </c>
      <c r="AE65" s="191"/>
      <c r="AF65" s="191" t="e">
        <f t="array" ref="AF65">SQRT((AF9:AG9*$B$22:$C$22+AF10:AG10*$B$23:$C$23+AF11:AG11*$B$24:$C$24+AF4:AG4*($B$25:$C$25-$B$19:$C$19))/($B$9:$C$9*$B$22:$C$22+$B$10:$C$10*$B$23:$C$23+$B$11:$C$11*$B$24:$C$24+$B$4:$C$4*($B$25:$C$25-$B$19:$C$19))*(AF9:AG9*AF22:AG22+AF10:AG10*AF23:AG23+AF11:AG11*AF24:AG24+AF4:AG4*(AF25:AG25-AF19:AG19))/($B$9:$C$9*AF22:AG22+$B$10:$C$10*AF23:AG23+$B$11:$C$11*AF24:AG24+$B$4:$C$4*(AF25:AG25-AF19:AG19)))</f>
        <v>#DIV/0!</v>
      </c>
      <c r="AG65" s="191"/>
      <c r="AH65" s="191" t="e">
        <f t="array" ref="AH65">SQRT((AH9:AI9*$B$22:$C$22+AH10:AI10*$B$23:$C$23+AH11:AI11*$B$24:$C$24+AH4:AI4*($B$25:$C$25-$B$19:$C$19))/($B$9:$C$9*$B$22:$C$22+$B$10:$C$10*$B$23:$C$23+$B$11:$C$11*$B$24:$C$24+$B$4:$C$4*($B$25:$C$25-$B$19:$C$19))*(AH9:AI9*AH22:AI22+AH10:AI10*AH23:AI23+AH11:AI11*AH24:AI24+AH4:AI4*(AH25:AI25-AH19:AI19))/($B$9:$C$9*AH22:AI22+$B$10:$C$10*AH23:AI23+$B$11:$C$11*AH24:AI24+$B$4:$C$4*(AH25:AI25-AH19:AI19)))</f>
        <v>#DIV/0!</v>
      </c>
      <c r="AI65" s="191"/>
      <c r="AJ65" s="191" t="e">
        <f t="array" ref="AJ65">SQRT((AJ9:AK9*$B$22:$C$22+AJ10:AK10*$B$23:$C$23+AJ11:AK11*$B$24:$C$24+AJ4:AK4*($B$25:$C$25-$B$19:$C$19))/($B$9:$C$9*$B$22:$C$22+$B$10:$C$10*$B$23:$C$23+$B$11:$C$11*$B$24:$C$24+$B$4:$C$4*($B$25:$C$25-$B$19:$C$19))*(AJ9:AK9*AJ22:AK22+AJ10:AK10*AJ23:AK23+AJ11:AK11*AJ24:AK24+AJ4:AK4*(AJ25:AK25-AJ19:AK19))/($B$9:$C$9*AJ22:AK22+$B$10:$C$10*AJ23:AK23+$B$11:$C$11*AJ24:AK24+$B$4:$C$4*(AJ25:AK25-AJ19:AK19)))</f>
        <v>#DIV/0!</v>
      </c>
      <c r="AK65" s="191"/>
      <c r="AL65" s="191" t="e">
        <f t="array" ref="AL65">SQRT((AL9:AM9*$B$22:$C$22+AL10:AM10*$B$23:$C$23+AL11:AM11*$B$24:$C$24+AL4:AM4*($B$25:$C$25-$B$19:$C$19))/($B$9:$C$9*$B$22:$C$22+$B$10:$C$10*$B$23:$C$23+$B$11:$C$11*$B$24:$C$24+$B$4:$C$4*($B$25:$C$25-$B$19:$C$19))*(AL9:AM9*AL22:AM22+AL10:AM10*AL23:AM23+AL11:AM11*AL24:AM24+AL4:AM4*(AL25:AM25-AL19:AM19))/($B$9:$C$9*AL22:AM22+$B$10:$C$10*AL23:AM23+$B$11:$C$11*AL24:AM24+$B$4:$C$4*(AL25:AM25-AL19:AM19)))</f>
        <v>#DIV/0!</v>
      </c>
      <c r="AM65" s="191"/>
      <c r="AN65" s="191" t="e">
        <f t="array" ref="AN65">SQRT((AN9:AO9*$B$22:$C$22+AN10:AO10*$B$23:$C$23+AN11:AO11*$B$24:$C$24+AN4:AO4*($B$25:$C$25-$B$19:$C$19))/($B$9:$C$9*$B$22:$C$22+$B$10:$C$10*$B$23:$C$23+$B$11:$C$11*$B$24:$C$24+$B$4:$C$4*($B$25:$C$25-$B$19:$C$19))*(AN9:AO9*AN22:AO22+AN10:AO10*AN23:AO23+AN11:AO11*AN24:AO24+AN4:AO4*(AN25:AO25-AN19:AO19))/($B$9:$C$9*AN22:AO22+$B$10:$C$10*AN23:AO23+$B$11:$C$11*AN24:AO24+$B$4:$C$4*(AN25:AO25-AN19:AO19)))</f>
        <v>#DIV/0!</v>
      </c>
      <c r="AO65" s="191"/>
      <c r="AP65" s="191" t="e">
        <f t="array" ref="AP65">SQRT((AP9:AQ9*$B$22:$C$22+AP10:AQ10*$B$23:$C$23+AP11:AQ11*$B$24:$C$24+AP4:AQ4*($B$25:$C$25-$B$19:$C$19))/($B$9:$C$9*$B$22:$C$22+$B$10:$C$10*$B$23:$C$23+$B$11:$C$11*$B$24:$C$24+$B$4:$C$4*($B$25:$C$25-$B$19:$C$19))*(AP9:AQ9*AP22:AQ22+AP10:AQ10*AP23:AQ23+AP11:AQ11*AP24:AQ24+AP4:AQ4*(AP25:AQ25-AP19:AQ19))/($B$9:$C$9*AP22:AQ22+$B$10:$C$10*AP23:AQ23+$B$11:$C$11*AP24:AQ24+$B$4:$C$4*(AP25:AQ25-AP19:AQ19)))</f>
        <v>#DIV/0!</v>
      </c>
      <c r="AQ65" s="191"/>
      <c r="AR65" s="191" t="e">
        <f t="array" ref="AR65">SQRT((AR9:AS9*$B$22:$C$22+AR10:AS10*$B$23:$C$23+AR11:AS11*$B$24:$C$24+AR4:AS4*($B$25:$C$25-$B$19:$C$19))/($B$9:$C$9*$B$22:$C$22+$B$10:$C$10*$B$23:$C$23+$B$11:$C$11*$B$24:$C$24+$B$4:$C$4*($B$25:$C$25-$B$19:$C$19))*(AR9:AS9*AR22:AS22+AR10:AS10*AR23:AS23+AR11:AS11*AR24:AS24+AR4:AS4*(AR25:AS25-AR19:AS19))/($B$9:$C$9*AR22:AS22+$B$10:$C$10*AR23:AS23+$B$11:$C$11*AR24:AS24+$B$4:$C$4*(AR25:AS25-AR19:AS19)))</f>
        <v>#DIV/0!</v>
      </c>
      <c r="AS65" s="191"/>
      <c r="AT65" s="191" t="e">
        <f t="array" ref="AT65">SQRT((AT9:AU9*$B$22:$C$22+AT10:AU10*$B$23:$C$23+AT11:AU11*$B$24:$C$24+AT4:AU4*($B$25:$C$25-$B$19:$C$19))/($B$9:$C$9*$B$22:$C$22+$B$10:$C$10*$B$23:$C$23+$B$11:$C$11*$B$24:$C$24+$B$4:$C$4*($B$25:$C$25-$B$19:$C$19))*(AT9:AU9*AT22:AU22+AT10:AU10*AT23:AU23+AT11:AU11*AT24:AU24+AT4:AU4*(AT25:AU25-AT19:AU19))/($B$9:$C$9*AT22:AU22+$B$10:$C$10*AT23:AU23+$B$11:$C$11*AT24:AU24+$B$4:$C$4*(AT25:AU25-AT19:AU19)))</f>
        <v>#DIV/0!</v>
      </c>
      <c r="AU65" s="191"/>
      <c r="AV65" s="191" t="e">
        <f t="array" ref="AV65">SQRT((AV9:AW9*$B$22:$C$22+AV10:AW10*$B$23:$C$23+AV11:AW11*$B$24:$C$24+AV4:AW4*($B$25:$C$25-$B$19:$C$19))/($B$9:$C$9*$B$22:$C$22+$B$10:$C$10*$B$23:$C$23+$B$11:$C$11*$B$24:$C$24+$B$4:$C$4*($B$25:$C$25-$B$19:$C$19))*(AV9:AW9*AV22:AW22+AV10:AW10*AV23:AW23+AV11:AW11*AV24:AW24+AV4:AW4*(AV25:AW25-AV19:AW19))/($B$9:$C$9*AV22:AW22+$B$10:$C$10*AV23:AW23+$B$11:$C$11*AV24:AW24+$B$4:$C$4*(AV25:AW25-AV19:AW19)))</f>
        <v>#DIV/0!</v>
      </c>
    </row>
    <row r="66" spans="1:48 16384:16384" x14ac:dyDescent="0.2">
      <c r="A66" t="s">
        <v>182</v>
      </c>
      <c r="B66" s="191">
        <f t="array" ref="B66">SQRT((B9:C9*$B$22:$C$22)/($B$9:$C$9*$B$22:$C$22)*(B9:C9*B22:C22)/($B$9:$C$9*B22:C22))</f>
        <v>1</v>
      </c>
      <c r="C66" s="191"/>
      <c r="D66" s="191">
        <f t="array" ref="D66">SQRT((D9:E9*$B$22:$C$22)/($B$9:$C$9*$B$22:$C$22)*(D9:E9*D22:E22)/($B$9:$C$9*D22:E22))</f>
        <v>0.99425922899374275</v>
      </c>
      <c r="E66" s="191"/>
      <c r="F66" s="191">
        <f t="array" ref="F66">SQRT((F9:G9*$B$22:$C$22)/($B$9:$C$9*$B$22:$C$22)*(F9:G9*F22:G22)/($B$9:$C$9*F22:G22))</f>
        <v>0.98906511327630675</v>
      </c>
      <c r="G66" s="191"/>
      <c r="H66" s="191">
        <f t="array" ref="H66">SQRT((H9:I9*$B$22:$C$22)/($B$9:$C$9*$B$22:$C$22)*(H9:I9*H22:I22)/($B$9:$C$9*H22:I22))</f>
        <v>0.98420285188669598</v>
      </c>
      <c r="I66" s="191"/>
      <c r="J66" s="191">
        <f t="array" ref="J66">SQRT((J9:K9*$B$22:$C$22)/($B$9:$C$9*$B$22:$C$22)*(J9:K9*J22:K22)/($B$9:$C$9*J22:K22))</f>
        <v>0.9795832689998546</v>
      </c>
      <c r="K66" s="191"/>
      <c r="L66" s="191">
        <f t="array" ref="L66">SQRT((L9:M9*$B$22:$C$22)/($B$9:$C$9*$B$22:$C$22)*(L9:M9*L22:M22)/($B$9:$C$9*L22:M22))</f>
        <v>0.97521290895344959</v>
      </c>
      <c r="M66" s="191"/>
      <c r="N66" s="191">
        <f t="array" ref="N66">SQRT((N9:O9*$B$22:$C$22)/($B$9:$C$9*$B$22:$C$22)*(N9:O9*N22:O22)/($B$9:$C$9*N22:O22))</f>
        <v>0.97122427673806322</v>
      </c>
      <c r="O66" s="191"/>
      <c r="P66" s="191">
        <f t="array" ref="P66">SQRT((P9:Q9*$B$22:$C$22)/($B$9:$C$9*$B$22:$C$22)*(P9:Q9*P22:Q22)/($B$9:$C$9*P22:Q22))</f>
        <v>0.9680375886195064</v>
      </c>
      <c r="Q66" s="191"/>
      <c r="R66" s="191">
        <f t="array" ref="R66">SQRT((R9:S9*$B$22:$C$22)/($B$9:$C$9*$B$22:$C$22)*(R9:S9*R22:S22)/($B$9:$C$9*R22:S22))</f>
        <v>0.96719696777484676</v>
      </c>
      <c r="S66" s="191"/>
      <c r="T66" s="191" t="e">
        <f t="array" ref="T66">SQRT((T9:U9*$B$22:$C$22)/($B$9:$C$9*$B$22:$C$22)*(T9:U9*T22:U22)/($B$9:$C$9*T22:U22))</f>
        <v>#DIV/0!</v>
      </c>
      <c r="U66" s="191"/>
      <c r="V66" s="191" t="e">
        <f t="array" ref="V66">SQRT((V9:W9*$B$22:$C$22)/($B$9:$C$9*$B$22:$C$22)*(V9:W9*V22:W22)/($B$9:$C$9*V22:W22))</f>
        <v>#DIV/0!</v>
      </c>
      <c r="W66" s="191"/>
      <c r="X66" s="191" t="e">
        <f t="array" ref="X66">SQRT((X9:Y9*$B$22:$C$22)/($B$9:$C$9*$B$22:$C$22)*(X9:Y9*X22:Y22)/($B$9:$C$9*X22:Y22))</f>
        <v>#DIV/0!</v>
      </c>
      <c r="Y66" s="191"/>
      <c r="Z66" s="191" t="e">
        <f t="array" ref="Z66">SQRT((Z9:AA9*$B$22:$C$22)/($B$9:$C$9*$B$22:$C$22)*(Z9:AA9*Z22:AA22)/($B$9:$C$9*Z22:AA22))</f>
        <v>#DIV/0!</v>
      </c>
      <c r="AA66" s="191"/>
      <c r="AB66" s="191" t="e">
        <f t="array" ref="AB66">SQRT((AB9:AC9*$B$22:$C$22)/($B$9:$C$9*$B$22:$C$22)*(AB9:AC9*AB22:AC22)/($B$9:$C$9*AB22:AC22))</f>
        <v>#DIV/0!</v>
      </c>
      <c r="AC66" s="191"/>
      <c r="AD66" s="191" t="e">
        <f t="array" ref="AD66">SQRT((AD9:AE9*$B$22:$C$22)/($B$9:$C$9*$B$22:$C$22)*(AD9:AE9*AD22:AE22)/($B$9:$C$9*AD22:AE22))</f>
        <v>#DIV/0!</v>
      </c>
      <c r="AE66" s="191"/>
      <c r="AF66" s="191" t="e">
        <f t="array" ref="AF66">SQRT((AF9:AG9*$B$22:$C$22)/($B$9:$C$9*$B$22:$C$22)*(AF9:AG9*AF22:AG22)/($B$9:$C$9*AF22:AG22))</f>
        <v>#DIV/0!</v>
      </c>
      <c r="AG66" s="191"/>
      <c r="AH66" s="191" t="e">
        <f t="array" ref="AH66">SQRT((AH9:AI9*$B$22:$C$22)/($B$9:$C$9*$B$22:$C$22)*(AH9:AI9*AH22:AI22)/($B$9:$C$9*AH22:AI22))</f>
        <v>#DIV/0!</v>
      </c>
      <c r="AI66" s="191"/>
      <c r="AJ66" s="191" t="e">
        <f t="array" ref="AJ66">SQRT((AJ9:AK9*$B$22:$C$22)/($B$9:$C$9*$B$22:$C$22)*(AJ9:AK9*AJ22:AK22)/($B$9:$C$9*AJ22:AK22))</f>
        <v>#DIV/0!</v>
      </c>
      <c r="AK66" s="191"/>
      <c r="AL66" s="191" t="e">
        <f t="array" ref="AL66">SQRT((AL9:AM9*$B$22:$C$22)/($B$9:$C$9*$B$22:$C$22)*(AL9:AM9*AL22:AM22)/($B$9:$C$9*AL22:AM22))</f>
        <v>#DIV/0!</v>
      </c>
      <c r="AM66" s="191"/>
      <c r="AN66" s="191" t="e">
        <f t="array" ref="AN66">SQRT((AN9:AO9*$B$22:$C$22)/($B$9:$C$9*$B$22:$C$22)*(AN9:AO9*AN22:AO22)/($B$9:$C$9*AN22:AO22))</f>
        <v>#DIV/0!</v>
      </c>
      <c r="AO66" s="191"/>
      <c r="AP66" s="191" t="e">
        <f t="array" ref="AP66">SQRT((AP9:AQ9*$B$22:$C$22)/($B$9:$C$9*$B$22:$C$22)*(AP9:AQ9*AP22:AQ22)/($B$9:$C$9*AP22:AQ22))</f>
        <v>#DIV/0!</v>
      </c>
      <c r="AQ66" s="191"/>
      <c r="AR66" s="191" t="e">
        <f t="array" ref="AR66">SQRT((AR9:AS9*$B$22:$C$22)/($B$9:$C$9*$B$22:$C$22)*(AR9:AS9*AR22:AS22)/($B$9:$C$9*AR22:AS22))</f>
        <v>#DIV/0!</v>
      </c>
      <c r="AS66" s="191"/>
      <c r="AT66" s="191" t="e">
        <f t="array" ref="AT66">SQRT((AT9:AU9*$B$22:$C$22)/($B$9:$C$9*$B$22:$C$22)*(AT9:AU9*AT22:AU22)/($B$9:$C$9*AT22:AU22))</f>
        <v>#DIV/0!</v>
      </c>
      <c r="AU66" s="191"/>
      <c r="AV66" s="191" t="e">
        <f t="array" ref="AV66">SQRT((AV9:AW9*$B$22:$C$22)/($B$9:$C$9*$B$22:$C$22)*(AV9:AW9*AV22:AW22)/($B$9:$C$9*AV22:AW22))</f>
        <v>#DIV/0!</v>
      </c>
      <c r="XFD66" s="191"/>
    </row>
    <row r="67" spans="1:48 16384:16384" x14ac:dyDescent="0.2">
      <c r="A67" t="s">
        <v>183</v>
      </c>
      <c r="B67" s="191">
        <f t="array" ref="B67">SQRT((B4:C4*$B$19:$C$19)/($B$4:$C$4*$B$19:$C$19)*(B4:C4*B19:C19)/($B$4:$C$4*B19:C19))</f>
        <v>1</v>
      </c>
      <c r="C67" s="191"/>
      <c r="D67" s="191">
        <f t="array" ref="D67">SQRT((D4:E4*$B$19:$C$19)/($B$4:$C$4*$B$19:$C$19)*(D4:E4*D19:E19)/($B$4:$C$4*D19:E19))</f>
        <v>1</v>
      </c>
      <c r="E67" s="191"/>
      <c r="F67" s="191">
        <f t="array" ref="F67">SQRT((F4:G4*$B$19:$C$19)/($B$4:$C$4*$B$19:$C$19)*(F4:G4*F19:G19)/($B$4:$C$4*F19:G19))</f>
        <v>1</v>
      </c>
      <c r="G67" s="191"/>
      <c r="H67" s="191">
        <f t="array" ref="H67">SQRT((H4:I4*$B$19:$C$19)/($B$4:$C$4*$B$19:$C$19)*(H4:I4*H19:I19)/($B$4:$C$4*H19:I19))</f>
        <v>1</v>
      </c>
      <c r="I67" s="191"/>
      <c r="J67" s="191">
        <f t="array" ref="J67">SQRT((J4:K4*$B$19:$C$19)/($B$4:$C$4*$B$19:$C$19)*(J4:K4*J19:K19)/($B$4:$C$4*J19:K19))</f>
        <v>1</v>
      </c>
      <c r="K67" s="191"/>
      <c r="L67" s="191">
        <f t="array" ref="L67">SQRT((L4:M4*$B$19:$C$19)/($B$4:$C$4*$B$19:$C$19)*(L4:M4*L19:M19)/($B$4:$C$4*L19:M19))</f>
        <v>1</v>
      </c>
      <c r="M67" s="191"/>
      <c r="N67" s="191">
        <f t="array" ref="N67">SQRT((N4:O4*$B$19:$C$19)/($B$4:$C$4*$B$19:$C$19)*(N4:O4*N19:O19)/($B$4:$C$4*N19:O19))</f>
        <v>1</v>
      </c>
      <c r="O67" s="191"/>
      <c r="P67" s="191">
        <f t="array" ref="P67">SQRT((P4:Q4*$B$19:$C$19)/($B$4:$C$4*$B$19:$C$19)*(P4:Q4*P19:Q19)/($B$4:$C$4*P19:Q19))</f>
        <v>1</v>
      </c>
      <c r="Q67" s="191"/>
      <c r="R67" s="191">
        <f t="array" ref="R67">SQRT((R4:S4*$B$19:$C$19)/($B$4:$C$4*$B$19:$C$19)*(R4:S4*R19:S19)/($B$4:$C$4*R19:S19))</f>
        <v>1</v>
      </c>
      <c r="S67" s="191"/>
      <c r="T67" s="191" t="e">
        <f t="array" ref="T67">SQRT((T4:U4*$B$19:$C$19)/($B$4:$C$4*$B$19:$C$19)*(T4:U4*T19:U19)/($B$4:$C$4*T19:U19))</f>
        <v>#DIV/0!</v>
      </c>
      <c r="U67" s="191"/>
      <c r="V67" s="191" t="e">
        <f t="array" ref="V67">SQRT((V4:W4*$B$19:$C$19)/($B$4:$C$4*$B$19:$C$19)*(V4:W4*V19:W19)/($B$4:$C$4*V19:W19))</f>
        <v>#DIV/0!</v>
      </c>
      <c r="W67" s="191"/>
      <c r="X67" s="191" t="e">
        <f t="array" ref="X67">SQRT((X4:Y4*$B$19:$C$19)/($B$4:$C$4*$B$19:$C$19)*(X4:Y4*X19:Y19)/($B$4:$C$4*X19:Y19))</f>
        <v>#DIV/0!</v>
      </c>
      <c r="Y67" s="191"/>
      <c r="Z67" s="191" t="e">
        <f t="array" ref="Z67">SQRT((Z4:AA4*$B$19:$C$19)/($B$4:$C$4*$B$19:$C$19)*(Z4:AA4*Z19:AA19)/($B$4:$C$4*Z19:AA19))</f>
        <v>#DIV/0!</v>
      </c>
      <c r="AA67" s="191"/>
      <c r="AB67" s="191" t="e">
        <f t="array" ref="AB67">SQRT((AB4:AC4*$B$19:$C$19)/($B$4:$C$4*$B$19:$C$19)*(AB4:AC4*AB19:AC19)/($B$4:$C$4*AB19:AC19))</f>
        <v>#DIV/0!</v>
      </c>
      <c r="AC67" s="191"/>
      <c r="AD67" s="191" t="e">
        <f t="array" ref="AD67">SQRT((AD4:AE4*$B$19:$C$19)/($B$4:$C$4*$B$19:$C$19)*(AD4:AE4*AD19:AE19)/($B$4:$C$4*AD19:AE19))</f>
        <v>#DIV/0!</v>
      </c>
      <c r="AE67" s="191"/>
      <c r="AF67" s="191" t="e">
        <f t="array" ref="AF67">SQRT((AF4:AG4*$B$19:$C$19)/($B$4:$C$4*$B$19:$C$19)*(AF4:AG4*AF19:AG19)/($B$4:$C$4*AF19:AG19))</f>
        <v>#DIV/0!</v>
      </c>
      <c r="AG67" s="191"/>
      <c r="AH67" s="191" t="e">
        <f t="array" ref="AH67">SQRT((AH4:AI4*$B$19:$C$19)/($B$4:$C$4*$B$19:$C$19)*(AH4:AI4*AH19:AI19)/($B$4:$C$4*AH19:AI19))</f>
        <v>#DIV/0!</v>
      </c>
      <c r="AI67" s="191"/>
      <c r="AJ67" s="191" t="e">
        <f t="array" ref="AJ67">SQRT((AJ4:AK4*$B$19:$C$19)/($B$4:$C$4*$B$19:$C$19)*(AJ4:AK4*AJ19:AK19)/($B$4:$C$4*AJ19:AK19))</f>
        <v>#DIV/0!</v>
      </c>
      <c r="AK67" s="191"/>
      <c r="AL67" s="191" t="e">
        <f t="array" ref="AL67">SQRT((AL4:AM4*$B$19:$C$19)/($B$4:$C$4*$B$19:$C$19)*(AL4:AM4*AL19:AM19)/($B$4:$C$4*AL19:AM19))</f>
        <v>#DIV/0!</v>
      </c>
      <c r="AM67" s="191"/>
      <c r="AN67" s="191" t="e">
        <f t="array" ref="AN67">SQRT((AN4:AO4*$B$19:$C$19)/($B$4:$C$4*$B$19:$C$19)*(AN4:AO4*AN19:AO19)/($B$4:$C$4*AN19:AO19))</f>
        <v>#DIV/0!</v>
      </c>
      <c r="AO67" s="191"/>
      <c r="AP67" s="191" t="e">
        <f t="array" ref="AP67">SQRT((AP4:AQ4*$B$19:$C$19)/($B$4:$C$4*$B$19:$C$19)*(AP4:AQ4*AP19:AQ19)/($B$4:$C$4*AP19:AQ19))</f>
        <v>#DIV/0!</v>
      </c>
      <c r="AQ67" s="191"/>
      <c r="AR67" s="191" t="e">
        <f t="array" ref="AR67">SQRT((AR4:AS4*$B$19:$C$19)/($B$4:$C$4*$B$19:$C$19)*(AR4:AS4*AR19:AS19)/($B$4:$C$4*AR19:AS19))</f>
        <v>#DIV/0!</v>
      </c>
      <c r="AS67" s="191"/>
      <c r="AT67" s="191" t="e">
        <f t="array" ref="AT67">SQRT((AT4:AU4*$B$19:$C$19)/($B$4:$C$4*$B$19:$C$19)*(AT4:AU4*AT19:AU19)/($B$4:$C$4*AT19:AU19))</f>
        <v>#DIV/0!</v>
      </c>
      <c r="AU67" s="191"/>
      <c r="AV67" s="191" t="e">
        <f t="array" ref="AV67">SQRT((AV4:AW4*$B$19:$C$19)/($B$4:$C$4*$B$19:$C$19)*(AV4:AW4*AV19:AW19)/($B$4:$C$4*AV19:AW19))</f>
        <v>#DIV/0!</v>
      </c>
      <c r="XFD67" s="191"/>
    </row>
    <row r="68" spans="1:48 16384:16384" x14ac:dyDescent="0.2">
      <c r="A68" t="s">
        <v>181</v>
      </c>
      <c r="B68" s="191">
        <f>B66/B67</f>
        <v>1</v>
      </c>
      <c r="C68" s="191"/>
      <c r="D68" s="191">
        <f>D66/D67</f>
        <v>0.99425922899374275</v>
      </c>
      <c r="E68" s="191"/>
      <c r="F68" s="191">
        <f>F66/F67</f>
        <v>0.98906511327630675</v>
      </c>
      <c r="G68" s="191"/>
      <c r="H68" s="191">
        <f>H66/H67</f>
        <v>0.98420285188669598</v>
      </c>
      <c r="I68" s="191"/>
      <c r="J68" s="191">
        <f>J66/J67</f>
        <v>0.9795832689998546</v>
      </c>
      <c r="K68" s="191"/>
      <c r="L68" s="191">
        <f>L66/L67</f>
        <v>0.97521290895344959</v>
      </c>
      <c r="M68" s="191"/>
      <c r="N68" s="191">
        <f>N66/N67</f>
        <v>0.97122427673806322</v>
      </c>
      <c r="O68" s="191"/>
      <c r="P68" s="191">
        <f>P66/P67</f>
        <v>0.9680375886195064</v>
      </c>
      <c r="Q68" s="191"/>
      <c r="R68" s="191">
        <f>R66/R67</f>
        <v>0.96719696777484676</v>
      </c>
      <c r="S68" s="191"/>
      <c r="T68" s="191" t="e">
        <f>T66/T67</f>
        <v>#DIV/0!</v>
      </c>
      <c r="U68" s="191"/>
      <c r="V68" s="191" t="e">
        <f>V66/V67</f>
        <v>#DIV/0!</v>
      </c>
      <c r="W68" s="191"/>
      <c r="X68" s="191" t="e">
        <f>X66/X67</f>
        <v>#DIV/0!</v>
      </c>
      <c r="Y68" s="191"/>
      <c r="Z68" s="191" t="e">
        <f>Z66/Z67</f>
        <v>#DIV/0!</v>
      </c>
      <c r="AA68" s="191"/>
      <c r="AB68" s="191" t="e">
        <f>AB66/AB67</f>
        <v>#DIV/0!</v>
      </c>
      <c r="AC68" s="191"/>
      <c r="AD68" s="191" t="e">
        <f>AD66/AD67</f>
        <v>#DIV/0!</v>
      </c>
      <c r="AE68" s="191"/>
      <c r="AF68" s="191" t="e">
        <f>AF66/AF67</f>
        <v>#DIV/0!</v>
      </c>
      <c r="AG68" s="191"/>
      <c r="AH68" s="191" t="e">
        <f>AH66/AH67</f>
        <v>#DIV/0!</v>
      </c>
      <c r="AI68" s="191"/>
      <c r="AJ68" s="191" t="e">
        <f>AJ66/AJ67</f>
        <v>#DIV/0!</v>
      </c>
      <c r="AK68" s="191"/>
      <c r="AL68" s="191" t="e">
        <f>AL66/AL67</f>
        <v>#DIV/0!</v>
      </c>
      <c r="AM68" s="191"/>
      <c r="AN68" s="191" t="e">
        <f>AN66/AN67</f>
        <v>#DIV/0!</v>
      </c>
      <c r="AO68" s="191"/>
      <c r="AP68" s="191" t="e">
        <f>AP66/AP67</f>
        <v>#DIV/0!</v>
      </c>
      <c r="AQ68" s="191"/>
      <c r="AR68" s="191" t="e">
        <f>AR66/AR67</f>
        <v>#DIV/0!</v>
      </c>
      <c r="AS68" s="191"/>
      <c r="AT68" s="191" t="e">
        <f>AT66/AT67</f>
        <v>#DIV/0!</v>
      </c>
      <c r="AU68" s="191"/>
      <c r="AV68" s="191" t="e">
        <f>AV66/AV67</f>
        <v>#DIV/0!</v>
      </c>
      <c r="XFD68" s="191"/>
    </row>
    <row r="69" spans="1:48 16384:16384" x14ac:dyDescent="0.2">
      <c r="A69" t="s">
        <v>177</v>
      </c>
      <c r="B69" s="191">
        <f>B32/B65/($B$32)</f>
        <v>1</v>
      </c>
      <c r="C69" s="191"/>
      <c r="D69" s="191">
        <f>D32/D65/($B$32)</f>
        <v>1.0959911202722548</v>
      </c>
      <c r="E69" s="191"/>
      <c r="F69" s="191">
        <f>F32/F65/($B$32)</f>
        <v>1.1921244091984209</v>
      </c>
      <c r="G69" s="191"/>
      <c r="H69" s="191">
        <f>H32/H65/($B$32)</f>
        <v>1.2917315059611876</v>
      </c>
      <c r="I69" s="191"/>
      <c r="J69" s="191">
        <f>J32/J65/($B$32)</f>
        <v>1.3987747932577135</v>
      </c>
      <c r="K69" s="191"/>
      <c r="L69" s="191">
        <f>L32/L65/($B$32)</f>
        <v>1.5195389516560875</v>
      </c>
      <c r="M69" s="191"/>
      <c r="N69" s="191">
        <f>N32/N65/($B$32)</f>
        <v>1.6663298785367229</v>
      </c>
      <c r="O69" s="191"/>
      <c r="P69" s="191">
        <f>P32/P65/($B$32)</f>
        <v>1.869683550952048</v>
      </c>
      <c r="Q69" s="191"/>
      <c r="R69" s="191">
        <f>R32/R65/($B$32)</f>
        <v>2.2441407243734481</v>
      </c>
      <c r="S69" s="191"/>
      <c r="T69" s="191" t="e">
        <f>T32/T65/($B$32)</f>
        <v>#DIV/0!</v>
      </c>
      <c r="U69" s="191"/>
      <c r="V69" s="191" t="e">
        <f>V32/V65/($B$32)</f>
        <v>#DIV/0!</v>
      </c>
      <c r="W69" s="191"/>
      <c r="X69" s="191" t="e">
        <f>X32/X65/($B$32)</f>
        <v>#DIV/0!</v>
      </c>
      <c r="Y69" s="191"/>
      <c r="Z69" s="191" t="e">
        <f>Z32/Z65/($B$32)</f>
        <v>#DIV/0!</v>
      </c>
      <c r="AA69" s="191"/>
      <c r="AB69" s="191" t="e">
        <f>AB32/AB65/($B$32)</f>
        <v>#DIV/0!</v>
      </c>
      <c r="AC69" s="191"/>
      <c r="AD69" s="191" t="e">
        <f>AD32/AD65/($B$32)</f>
        <v>#DIV/0!</v>
      </c>
      <c r="AE69" s="191"/>
      <c r="AF69" s="191" t="e">
        <f>AF32/AF65/($B$32)</f>
        <v>#DIV/0!</v>
      </c>
      <c r="AG69" s="191"/>
      <c r="AH69" s="191" t="e">
        <f>AH32/AH65/($B$32)</f>
        <v>#DIV/0!</v>
      </c>
      <c r="AI69" s="191"/>
      <c r="AJ69" s="191" t="e">
        <f>AJ32/AJ65/($B$32)</f>
        <v>#DIV/0!</v>
      </c>
      <c r="AK69" s="191"/>
      <c r="AL69" s="191" t="e">
        <f>AL32/AL65/($B$32)</f>
        <v>#DIV/0!</v>
      </c>
      <c r="AM69" s="191"/>
      <c r="AN69" s="191" t="e">
        <f>AN32/AN65/($B$32)</f>
        <v>#DIV/0!</v>
      </c>
      <c r="AO69" s="191"/>
      <c r="AP69" s="191" t="e">
        <f>AP32/AP65/($B$32)</f>
        <v>#DIV/0!</v>
      </c>
      <c r="AQ69" s="191"/>
      <c r="AR69" s="191" t="e">
        <f>AR32/AR65/($B$32)</f>
        <v>#DIV/0!</v>
      </c>
      <c r="AS69" s="191"/>
      <c r="AT69" s="191" t="e">
        <f>AT32/AT65/($B$32)</f>
        <v>#DIV/0!</v>
      </c>
      <c r="AU69" s="191"/>
      <c r="AV69" s="191" t="e">
        <f>AV32/AV65/($B$32)</f>
        <v>#DIV/0!</v>
      </c>
    </row>
    <row r="70" spans="1:48 16384:16384" x14ac:dyDescent="0.2">
      <c r="A70" t="s">
        <v>178</v>
      </c>
      <c r="B70" s="138">
        <f>B18/$B$18</f>
        <v>1</v>
      </c>
      <c r="C70" s="138"/>
      <c r="D70" s="138">
        <f>D18/$B$18</f>
        <v>1.0940161129048751</v>
      </c>
      <c r="E70" s="138"/>
      <c r="F70" s="138">
        <f>F18/$B$18</f>
        <v>1.1881047222920291</v>
      </c>
      <c r="G70" s="138"/>
      <c r="H70" s="138">
        <f>H18/$B$18</f>
        <v>1.285527254443416</v>
      </c>
      <c r="I70" s="138"/>
      <c r="J70" s="138">
        <f>J18/$B$18</f>
        <v>1.3900789983832917</v>
      </c>
      <c r="K70" s="138"/>
      <c r="L70" s="138">
        <f>L18/$B$18</f>
        <v>1.5076659284824654</v>
      </c>
      <c r="M70" s="138"/>
      <c r="N70" s="138">
        <f>N18/$B$18</f>
        <v>1.6496891115118373</v>
      </c>
      <c r="O70" s="138"/>
      <c r="P70" s="138">
        <f>P18/$B$18</f>
        <v>1.8441098829752911</v>
      </c>
      <c r="Q70" s="138"/>
      <c r="R70" s="138">
        <f>R18/$B$18</f>
        <v>2.1944580484800817</v>
      </c>
      <c r="S70" s="138"/>
      <c r="T70" s="138">
        <f>T18/$B$18</f>
        <v>0</v>
      </c>
      <c r="U70" s="138"/>
      <c r="V70" s="138">
        <f>V18/$B$18</f>
        <v>0</v>
      </c>
      <c r="W70" s="138"/>
      <c r="X70" s="138">
        <f>X18/$B$18</f>
        <v>0</v>
      </c>
      <c r="Y70" s="138"/>
      <c r="Z70" s="138">
        <f>Z18/$B$18</f>
        <v>0</v>
      </c>
      <c r="AA70" s="138"/>
      <c r="AB70" s="138">
        <f>AB18/$B$18</f>
        <v>0</v>
      </c>
      <c r="AC70" s="138"/>
      <c r="AD70" s="138">
        <f>AD18/$B$18</f>
        <v>0</v>
      </c>
      <c r="AE70" s="138"/>
      <c r="AF70" s="138">
        <f>AF18/$B$18</f>
        <v>0</v>
      </c>
      <c r="AG70" s="138"/>
      <c r="AH70" s="138">
        <f>AH18/$B$18</f>
        <v>0</v>
      </c>
      <c r="AI70" s="138"/>
      <c r="AJ70" s="138">
        <f>AJ18/$B$18</f>
        <v>0</v>
      </c>
      <c r="AK70" s="138"/>
      <c r="AL70" s="138">
        <f>AL18/$B$18</f>
        <v>0</v>
      </c>
      <c r="AM70" s="138"/>
      <c r="AN70" s="138">
        <f>AN18/$B$18</f>
        <v>0</v>
      </c>
      <c r="AO70" s="138"/>
      <c r="AP70" s="138">
        <f>AP18/$B$18</f>
        <v>0</v>
      </c>
      <c r="AQ70" s="138"/>
      <c r="AR70" s="138">
        <f>AR18/$B$18</f>
        <v>0</v>
      </c>
      <c r="AS70" s="138"/>
      <c r="AT70" s="138">
        <f>AT18/$B$18</f>
        <v>0</v>
      </c>
      <c r="AU70" s="138"/>
      <c r="AV70" s="138">
        <f>AV18/$B$18</f>
        <v>0</v>
      </c>
    </row>
    <row r="71" spans="1:48 16384:16384" x14ac:dyDescent="0.2">
      <c r="A71" t="s">
        <v>179</v>
      </c>
      <c r="B71" s="138">
        <f>C18/$C$18</f>
        <v>1</v>
      </c>
      <c r="D71" s="138">
        <f>E18/$C$18</f>
        <v>0.87556668493228984</v>
      </c>
      <c r="E71" s="138"/>
      <c r="F71" s="138">
        <f>G18/$C$18</f>
        <v>0.75342328416095394</v>
      </c>
      <c r="G71" s="138"/>
      <c r="H71" s="138">
        <f>I18/$C$18</f>
        <v>0.63262614707061782</v>
      </c>
      <c r="I71" s="138"/>
      <c r="J71" s="138">
        <f>K18/$C$18</f>
        <v>0.51297266417433296</v>
      </c>
      <c r="K71" s="138"/>
      <c r="L71" s="138">
        <f>M18/$C$18</f>
        <v>0.39479594287914854</v>
      </c>
      <c r="M71" s="138"/>
      <c r="N71" s="138">
        <f>O18/$C$18</f>
        <v>0.27899671569237161</v>
      </c>
      <c r="O71" s="138"/>
      <c r="P71" s="138">
        <f>Q18/$C$18</f>
        <v>0.16745966243024865</v>
      </c>
      <c r="Q71" s="138"/>
      <c r="R71" s="138">
        <f>S18/$C$18</f>
        <v>6.5246923200112675E-2</v>
      </c>
      <c r="S71" s="138"/>
      <c r="T71" s="138">
        <f>U18/$C$18</f>
        <v>0</v>
      </c>
      <c r="U71" s="138"/>
      <c r="V71" s="138">
        <f>W18/$C$18</f>
        <v>0</v>
      </c>
      <c r="W71" s="138"/>
      <c r="X71" s="138">
        <f>Y18/$C$18</f>
        <v>0</v>
      </c>
      <c r="Y71" s="138"/>
      <c r="Z71" s="138">
        <f>AA18/$C$18</f>
        <v>0</v>
      </c>
      <c r="AA71" s="138"/>
      <c r="AB71" s="138">
        <f>AC18/$C$18</f>
        <v>0</v>
      </c>
      <c r="AC71" s="138"/>
      <c r="AD71" s="138">
        <f>AE18/$C$18</f>
        <v>0</v>
      </c>
      <c r="AE71" s="138"/>
      <c r="AF71" s="138">
        <f>AG18/$C$18</f>
        <v>0</v>
      </c>
      <c r="AG71" s="138"/>
      <c r="AH71" s="138">
        <f>AI18/$C$18</f>
        <v>0</v>
      </c>
      <c r="AI71" s="138"/>
      <c r="AJ71" s="138">
        <f>AK18/$C$18</f>
        <v>0</v>
      </c>
      <c r="AK71" s="138"/>
      <c r="AL71" s="138">
        <f>AM18/$C$18</f>
        <v>0</v>
      </c>
      <c r="AM71" s="138"/>
      <c r="AN71" s="138">
        <f>AO18/$C$18</f>
        <v>0</v>
      </c>
      <c r="AO71" s="138"/>
      <c r="AP71" s="138">
        <f>AQ18/$C$18</f>
        <v>0</v>
      </c>
      <c r="AQ71" s="138"/>
      <c r="AR71" s="138">
        <f>AS18/$C$18</f>
        <v>0</v>
      </c>
      <c r="AS71" s="138"/>
      <c r="AT71" s="138">
        <f>AU18/$C$18</f>
        <v>0</v>
      </c>
      <c r="AU71" s="138"/>
      <c r="AV71" s="138">
        <f>AW18/$C$18</f>
        <v>0</v>
      </c>
      <c r="XFD71" s="138"/>
    </row>
    <row r="72" spans="1:48 16384:16384" x14ac:dyDescent="0.2">
      <c r="A72" t="s">
        <v>180</v>
      </c>
      <c r="B72" s="138">
        <f>C19/$C$19</f>
        <v>1</v>
      </c>
      <c r="D72" s="138">
        <f>E19/$C$19</f>
        <v>1.2443542916712438</v>
      </c>
      <c r="E72" s="138"/>
      <c r="F72" s="138">
        <f>G19/$C$19</f>
        <v>1.5267732496680313</v>
      </c>
      <c r="G72" s="138"/>
      <c r="H72" s="138">
        <f>I19/$C$19</f>
        <v>1.8531614641276895</v>
      </c>
      <c r="I72" s="138"/>
      <c r="J72" s="138">
        <f>K19/$C$19</f>
        <v>2.2297408561849514</v>
      </c>
      <c r="K72" s="138"/>
      <c r="L72" s="138">
        <f>M19/$C$19</f>
        <v>2.6642284594047982</v>
      </c>
      <c r="M72" s="138"/>
      <c r="N72" s="138">
        <f>O19/$C$19</f>
        <v>3.1676756234910366</v>
      </c>
      <c r="O72" s="138"/>
      <c r="P72" s="138">
        <f>Q19/$C$19</f>
        <v>3.7579222265632026</v>
      </c>
      <c r="Q72" s="138"/>
      <c r="R72" s="138">
        <f>S19/$C$19</f>
        <v>4.4624635482836839</v>
      </c>
      <c r="S72" s="138"/>
      <c r="T72" s="138">
        <f>U19/$C$19</f>
        <v>0</v>
      </c>
      <c r="U72" s="138"/>
      <c r="V72" s="138">
        <f>W19/$C$19</f>
        <v>0</v>
      </c>
      <c r="W72" s="138"/>
      <c r="X72" s="138">
        <f>Y19/$C$19</f>
        <v>0</v>
      </c>
      <c r="Y72" s="138"/>
      <c r="Z72" s="138">
        <f>AA19/$C$19</f>
        <v>0</v>
      </c>
      <c r="AA72" s="138"/>
      <c r="AB72" s="138">
        <f>AC19/$C$19</f>
        <v>0</v>
      </c>
      <c r="AC72" s="138"/>
      <c r="AD72" s="138">
        <f>AE19/$C$19</f>
        <v>0</v>
      </c>
      <c r="AE72" s="138"/>
      <c r="AF72" s="138">
        <f>AG19/$C$19</f>
        <v>0</v>
      </c>
      <c r="AG72" s="138"/>
      <c r="AH72" s="138">
        <f>AI19/$C$19</f>
        <v>0</v>
      </c>
      <c r="AI72" s="138"/>
      <c r="AJ72" s="138">
        <f>AK19/$C$19</f>
        <v>0</v>
      </c>
      <c r="AK72" s="138"/>
      <c r="AL72" s="138">
        <f>AM19/$C$19</f>
        <v>0</v>
      </c>
      <c r="AM72" s="138"/>
      <c r="AN72" s="138">
        <f>AO19/$C$19</f>
        <v>0</v>
      </c>
      <c r="AO72" s="138"/>
      <c r="AP72" s="138">
        <f>AQ19/$C$19</f>
        <v>0</v>
      </c>
      <c r="AQ72" s="138"/>
      <c r="AR72" s="138">
        <f>AS19/$C$19</f>
        <v>0</v>
      </c>
      <c r="AS72" s="138"/>
      <c r="AT72" s="138">
        <f>AU19/$C$19</f>
        <v>0</v>
      </c>
      <c r="AU72" s="138"/>
      <c r="AV72" s="138">
        <f>AW19/$C$19</f>
        <v>0</v>
      </c>
      <c r="XFD72" s="138"/>
    </row>
    <row r="73" spans="1:48 16384:16384" x14ac:dyDescent="0.2">
      <c r="A73" t="s">
        <v>184</v>
      </c>
      <c r="B73" s="193">
        <f t="array" ref="B73">SUM(B9:C9*B22:C22)/B32</f>
        <v>0.47641153352875065</v>
      </c>
      <c r="D73" s="193">
        <f t="array" ref="D73">SUM(D9:E9*D22:E22)/D32</f>
        <v>0.47641153157808741</v>
      </c>
      <c r="E73" s="138"/>
      <c r="F73" s="193">
        <f t="array" ref="F73">SUM(F9:G9*F22:G22)/F32</f>
        <v>0.47641153308410433</v>
      </c>
      <c r="G73" s="138"/>
      <c r="H73" s="193">
        <f t="array" ref="H73">SUM(H9:I9*H22:I22)/H32</f>
        <v>0.47641153032222727</v>
      </c>
      <c r="I73" s="138"/>
      <c r="J73" s="193">
        <f t="array" ref="J73">SUM(J9:K9*J22:K22)/J32</f>
        <v>0.47641153183966889</v>
      </c>
      <c r="K73" s="138"/>
      <c r="L73" s="193">
        <f t="array" ref="L73">SUM(L9:M9*L22:M22)/L32</f>
        <v>0.47641153337219994</v>
      </c>
      <c r="M73" s="138"/>
      <c r="N73" s="193">
        <f t="array" ref="N73">SUM(N9:O9*N22:O22)/N32</f>
        <v>0.47641153295096328</v>
      </c>
      <c r="O73" s="138"/>
      <c r="P73" s="193">
        <f t="array" ref="P73">SUM(P9:Q9*P22:Q22)/P32</f>
        <v>0.47641153133387065</v>
      </c>
      <c r="Q73" s="138"/>
      <c r="R73" s="193">
        <f t="array" ref="R73">SUM(R9:S9*R22:S22)/R32</f>
        <v>0.47641153195894659</v>
      </c>
      <c r="S73" s="138"/>
      <c r="T73" s="193" t="e">
        <f t="array" ref="T73">SUM(T9:U9*T22:U22)/T32</f>
        <v>#DIV/0!</v>
      </c>
      <c r="U73" s="138"/>
      <c r="V73" s="193" t="e">
        <f t="array" ref="V73">SUM(V9:W9*V22:W22)/V32</f>
        <v>#DIV/0!</v>
      </c>
      <c r="W73" s="138"/>
      <c r="X73" s="193" t="e">
        <f t="array" ref="X73">SUM(X9:Y9*X22:Y22)/X32</f>
        <v>#DIV/0!</v>
      </c>
      <c r="Y73" s="138"/>
      <c r="Z73" s="193" t="e">
        <f t="array" ref="Z73">SUM(Z9:AA9*Z22:AA22)/Z32</f>
        <v>#DIV/0!</v>
      </c>
      <c r="AA73" s="138"/>
      <c r="AB73" s="193" t="e">
        <f t="array" ref="AB73">SUM(AB9:AC9*AB22:AC22)/AB32</f>
        <v>#DIV/0!</v>
      </c>
      <c r="AC73" s="138"/>
      <c r="AD73" s="193" t="e">
        <f t="array" ref="AD73">SUM(AD9:AE9*AD22:AE22)/AD32</f>
        <v>#DIV/0!</v>
      </c>
      <c r="AE73" s="138"/>
      <c r="AF73" s="193" t="e">
        <f t="array" ref="AF73">SUM(AF9:AG9*AF22:AG22)/AF32</f>
        <v>#DIV/0!</v>
      </c>
      <c r="AG73" s="138"/>
      <c r="AH73" s="193" t="e">
        <f t="array" ref="AH73">SUM(AH9:AI9*AH22:AI22)/AH32</f>
        <v>#DIV/0!</v>
      </c>
      <c r="AI73" s="138"/>
      <c r="AJ73" s="193" t="e">
        <f t="array" ref="AJ73">SUM(AJ9:AK9*AJ22:AK22)/AJ32</f>
        <v>#DIV/0!</v>
      </c>
      <c r="AK73" s="138"/>
      <c r="AL73" s="193" t="e">
        <f t="array" ref="AL73">SUM(AL9:AM9*AL22:AM22)/AL32</f>
        <v>#DIV/0!</v>
      </c>
      <c r="AM73" s="138"/>
      <c r="AN73" s="193" t="e">
        <f t="array" ref="AN73">SUM(AN9:AO9*AN22:AO22)/AN32</f>
        <v>#DIV/0!</v>
      </c>
      <c r="AO73" s="138"/>
      <c r="AP73" s="193" t="e">
        <f t="array" ref="AP73">SUM(AP9:AQ9*AP22:AQ22)/AP32</f>
        <v>#DIV/0!</v>
      </c>
      <c r="AQ73" s="138"/>
      <c r="AR73" s="193" t="e">
        <f t="array" ref="AR73">SUM(AR9:AS9*AR22:AS22)/AR32</f>
        <v>#DIV/0!</v>
      </c>
      <c r="AS73" s="138"/>
      <c r="AT73" s="193" t="e">
        <f t="array" ref="AT73">SUM(AT9:AU9*AT22:AU22)/AT32</f>
        <v>#DIV/0!</v>
      </c>
      <c r="AU73" s="138"/>
      <c r="AV73" s="193" t="e">
        <f t="array" ref="AV73">SUM(AV9:AW9*AV22:AW22)/AV32</f>
        <v>#DIV/0!</v>
      </c>
      <c r="XFD73" s="193"/>
    </row>
    <row r="74" spans="1:48 16384:16384" x14ac:dyDescent="0.2">
      <c r="A74" t="s">
        <v>185</v>
      </c>
      <c r="B74" s="193">
        <f t="array" ref="B74">SUM(B10:C10*B23:C23)/B32</f>
        <v>0.22604620456442484</v>
      </c>
      <c r="D74" s="193">
        <f t="array" ref="D74">SUM(D10:E10*D23:E23)/D32</f>
        <v>0.22604620456442484</v>
      </c>
      <c r="E74" s="138"/>
      <c r="F74" s="193">
        <f t="array" ref="F74">SUM(F10:G10*F23:G23)/F32</f>
        <v>0.22604620456442484</v>
      </c>
      <c r="G74" s="138"/>
      <c r="H74" s="193">
        <f t="array" ref="H74">SUM(H10:I10*H23:I23)/H32</f>
        <v>0.22604620456442484</v>
      </c>
      <c r="I74" s="138"/>
      <c r="J74" s="193">
        <f t="array" ref="J74">SUM(J10:K10*J23:K23)/J32</f>
        <v>0.22604620456442484</v>
      </c>
      <c r="K74" s="138"/>
      <c r="L74" s="193">
        <f t="array" ref="L74">SUM(L10:M10*L23:M23)/L32</f>
        <v>0.22604620456442484</v>
      </c>
      <c r="M74" s="138"/>
      <c r="N74" s="193">
        <f t="array" ref="N74">SUM(N10:O10*N23:O23)/N32</f>
        <v>0.22604620456442484</v>
      </c>
      <c r="O74" s="138"/>
      <c r="P74" s="193">
        <f t="array" ref="P74">SUM(P10:Q10*P23:Q23)/P32</f>
        <v>0.22604620456442481</v>
      </c>
      <c r="Q74" s="138"/>
      <c r="R74" s="193">
        <f t="array" ref="R74">SUM(R10:S10*R23:S23)/R32</f>
        <v>0.22604620456442484</v>
      </c>
      <c r="S74" s="138"/>
      <c r="T74" s="193" t="e">
        <f t="array" ref="T74">SUM(T10:U10*T23:U23)/T32</f>
        <v>#DIV/0!</v>
      </c>
      <c r="U74" s="138"/>
      <c r="V74" s="193" t="e">
        <f t="array" ref="V74">SUM(V10:W10*V23:W23)/V32</f>
        <v>#DIV/0!</v>
      </c>
      <c r="W74" s="138"/>
      <c r="X74" s="193" t="e">
        <f t="array" ref="X74">SUM(X10:Y10*X23:Y23)/X32</f>
        <v>#DIV/0!</v>
      </c>
      <c r="Y74" s="138"/>
      <c r="Z74" s="193" t="e">
        <f t="array" ref="Z74">SUM(Z10:AA10*Z23:AA23)/Z32</f>
        <v>#DIV/0!</v>
      </c>
      <c r="AA74" s="138"/>
      <c r="AB74" s="193" t="e">
        <f t="array" ref="AB74">SUM(AB10:AC10*AB23:AC23)/AB32</f>
        <v>#DIV/0!</v>
      </c>
      <c r="AC74" s="138"/>
      <c r="AD74" s="193" t="e">
        <f t="array" ref="AD74">SUM(AD10:AE10*AD23:AE23)/AD32</f>
        <v>#DIV/0!</v>
      </c>
      <c r="AE74" s="138"/>
      <c r="AF74" s="193" t="e">
        <f t="array" ref="AF74">SUM(AF10:AG10*AF23:AG23)/AF32</f>
        <v>#DIV/0!</v>
      </c>
      <c r="AG74" s="138"/>
      <c r="AH74" s="193" t="e">
        <f t="array" ref="AH74">SUM(AH10:AI10*AH23:AI23)/AH32</f>
        <v>#DIV/0!</v>
      </c>
      <c r="AI74" s="138"/>
      <c r="AJ74" s="193" t="e">
        <f t="array" ref="AJ74">SUM(AJ10:AK10*AJ23:AK23)/AJ32</f>
        <v>#DIV/0!</v>
      </c>
      <c r="AK74" s="138"/>
      <c r="AL74" s="193" t="e">
        <f t="array" ref="AL74">SUM(AL10:AM10*AL23:AM23)/AL32</f>
        <v>#DIV/0!</v>
      </c>
      <c r="AM74" s="138"/>
      <c r="AN74" s="193" t="e">
        <f t="array" ref="AN74">SUM(AN10:AO10*AN23:AO23)/AN32</f>
        <v>#DIV/0!</v>
      </c>
      <c r="AO74" s="138"/>
      <c r="AP74" s="193" t="e">
        <f t="array" ref="AP74">SUM(AP10:AQ10*AP23:AQ23)/AP32</f>
        <v>#DIV/0!</v>
      </c>
      <c r="AQ74" s="138"/>
      <c r="AR74" s="193" t="e">
        <f t="array" ref="AR74">SUM(AR10:AS10*AR23:AS23)/AR32</f>
        <v>#DIV/0!</v>
      </c>
      <c r="AS74" s="138"/>
      <c r="AT74" s="193" t="e">
        <f t="array" ref="AT74">SUM(AT10:AU10*AT23:AU23)/AT32</f>
        <v>#DIV/0!</v>
      </c>
      <c r="AU74" s="138"/>
      <c r="AV74" s="193" t="e">
        <f t="array" ref="AV74">SUM(AV10:AW10*AV23:AW23)/AV32</f>
        <v>#DIV/0!</v>
      </c>
      <c r="XFD74" s="193"/>
    </row>
    <row r="75" spans="1:48 16384:16384" x14ac:dyDescent="0.2">
      <c r="A75" t="s">
        <v>186</v>
      </c>
      <c r="B75" s="193">
        <f t="array" ref="B75">SUM(B11:C11*B24:C24)/B32</f>
        <v>0.22038438833194082</v>
      </c>
      <c r="D75" s="193">
        <f t="array" ref="D75">SUM(D11:E11*D24:E24)/D32</f>
        <v>0.22038438734902677</v>
      </c>
      <c r="E75" s="138"/>
      <c r="F75" s="193">
        <f t="array" ref="F75">SUM(F11:G11*F24:G24)/F32</f>
        <v>0.22038438814103264</v>
      </c>
      <c r="G75" s="138"/>
      <c r="H75" s="193">
        <f t="array" ref="H75">SUM(H11:I11*H24:I24)/H32</f>
        <v>0.22038438730067059</v>
      </c>
      <c r="I75" s="138"/>
      <c r="J75" s="193">
        <f t="array" ref="J75">SUM(J11:K11*J24:K24)/J32</f>
        <v>0.22038438787073453</v>
      </c>
      <c r="K75" s="138"/>
      <c r="L75" s="193">
        <f t="array" ref="L75">SUM(L11:M11*L24:M24)/L32</f>
        <v>0.22038438838607724</v>
      </c>
      <c r="M75" s="138"/>
      <c r="N75" s="193">
        <f t="array" ref="N75">SUM(N11:O11*N24:O24)/N32</f>
        <v>0.22038438817900532</v>
      </c>
      <c r="O75" s="138"/>
      <c r="P75" s="193">
        <f t="array" ref="P75">SUM(P11:Q11*P24:Q24)/P32</f>
        <v>0.22038438825752216</v>
      </c>
      <c r="Q75" s="138"/>
      <c r="R75" s="193">
        <f t="array" ref="R75">SUM(R11:S11*R24:S24)/R32</f>
        <v>0.22038438837241464</v>
      </c>
      <c r="S75" s="138"/>
      <c r="T75" s="193" t="e">
        <f t="array" ref="T75">SUM(T11:U11*T24:U24)/T32</f>
        <v>#DIV/0!</v>
      </c>
      <c r="U75" s="138"/>
      <c r="V75" s="193" t="e">
        <f t="array" ref="V75">SUM(V11:W11*V24:W24)/V32</f>
        <v>#DIV/0!</v>
      </c>
      <c r="W75" s="138"/>
      <c r="X75" s="193" t="e">
        <f t="array" ref="X75">SUM(X11:Y11*X24:Y24)/X32</f>
        <v>#DIV/0!</v>
      </c>
      <c r="Y75" s="138"/>
      <c r="Z75" s="193" t="e">
        <f t="array" ref="Z75">SUM(Z11:AA11*Z24:AA24)/Z32</f>
        <v>#DIV/0!</v>
      </c>
      <c r="AA75" s="138"/>
      <c r="AB75" s="193" t="e">
        <f t="array" ref="AB75">SUM(AB11:AC11*AB24:AC24)/AB32</f>
        <v>#DIV/0!</v>
      </c>
      <c r="AC75" s="138"/>
      <c r="AD75" s="193" t="e">
        <f t="array" ref="AD75">SUM(AD11:AE11*AD24:AE24)/AD32</f>
        <v>#DIV/0!</v>
      </c>
      <c r="AE75" s="138"/>
      <c r="AF75" s="193" t="e">
        <f t="array" ref="AF75">SUM(AF11:AG11*AF24:AG24)/AF32</f>
        <v>#DIV/0!</v>
      </c>
      <c r="AG75" s="138"/>
      <c r="AH75" s="193" t="e">
        <f t="array" ref="AH75">SUM(AH11:AI11*AH24:AI24)/AH32</f>
        <v>#DIV/0!</v>
      </c>
      <c r="AI75" s="138"/>
      <c r="AJ75" s="193" t="e">
        <f t="array" ref="AJ75">SUM(AJ11:AK11*AJ24:AK24)/AJ32</f>
        <v>#DIV/0!</v>
      </c>
      <c r="AK75" s="138"/>
      <c r="AL75" s="193" t="e">
        <f t="array" ref="AL75">SUM(AL11:AM11*AL24:AM24)/AL32</f>
        <v>#DIV/0!</v>
      </c>
      <c r="AM75" s="138"/>
      <c r="AN75" s="193" t="e">
        <f t="array" ref="AN75">SUM(AN11:AO11*AN24:AO24)/AN32</f>
        <v>#DIV/0!</v>
      </c>
      <c r="AO75" s="138"/>
      <c r="AP75" s="193" t="e">
        <f t="array" ref="AP75">SUM(AP11:AQ11*AP24:AQ24)/AP32</f>
        <v>#DIV/0!</v>
      </c>
      <c r="AQ75" s="138"/>
      <c r="AR75" s="193" t="e">
        <f t="array" ref="AR75">SUM(AR11:AS11*AR24:AS24)/AR32</f>
        <v>#DIV/0!</v>
      </c>
      <c r="AS75" s="138"/>
      <c r="AT75" s="193" t="e">
        <f t="array" ref="AT75">SUM(AT11:AU11*AT24:AU24)/AT32</f>
        <v>#DIV/0!</v>
      </c>
      <c r="AU75" s="138"/>
      <c r="AV75" s="193" t="e">
        <f t="array" ref="AV75">SUM(AV11:AW11*AV24:AW24)/AV32</f>
        <v>#DIV/0!</v>
      </c>
      <c r="XFD75" s="193"/>
    </row>
    <row r="76" spans="1:48 16384:16384" x14ac:dyDescent="0.2">
      <c r="A76" t="s">
        <v>187</v>
      </c>
      <c r="B76" s="193">
        <f t="array" ref="B76">SUM(B12:C12*B25:C25)/B32</f>
        <v>0.22301874374724867</v>
      </c>
      <c r="D76" s="193">
        <f t="array" ref="D76">SUM(D12:E12*D25:E25)/D32</f>
        <v>0.22421417211023847</v>
      </c>
      <c r="E76" s="138"/>
      <c r="F76" s="193">
        <f t="array" ref="F76">SUM(F12:G12*F25:G25)/F32</f>
        <v>0.22573925306267983</v>
      </c>
      <c r="G76" s="138"/>
      <c r="H76" s="193">
        <f t="array" ref="H76">SUM(H12:I12*H25:I25)/H32</f>
        <v>0.22751896607021938</v>
      </c>
      <c r="I76" s="138"/>
      <c r="J76" s="193">
        <f t="array" ref="J76">SUM(J12:K12*J25:K25)/J32</f>
        <v>0.22946739127649499</v>
      </c>
      <c r="K76" s="138"/>
      <c r="L76" s="193">
        <f t="array" ref="L76">SUM(L12:M12*L25:M25)/L32</f>
        <v>0.23145624173708459</v>
      </c>
      <c r="M76" s="138"/>
      <c r="N76" s="193">
        <f t="array" ref="N76">SUM(N12:O12*N25:O25)/N32</f>
        <v>0.23324853266259976</v>
      </c>
      <c r="O76" s="138"/>
      <c r="P76" s="193">
        <f t="array" ref="P76">SUM(P12:Q12*P25:Q25)/P32</f>
        <v>0.23429219351049529</v>
      </c>
      <c r="Q76" s="138"/>
      <c r="R76" s="193">
        <f t="array" ref="R76">SUM(R12:S12*R25:S25)/R32</f>
        <v>0.2327372952122394</v>
      </c>
      <c r="S76" s="138"/>
      <c r="T76" s="193" t="e">
        <f t="array" ref="T76">SUM(T12:U12*T25:U25)/T32</f>
        <v>#DIV/0!</v>
      </c>
      <c r="U76" s="138"/>
      <c r="V76" s="193" t="e">
        <f t="array" ref="V76">SUM(V12:W12*V25:W25)/V32</f>
        <v>#DIV/0!</v>
      </c>
      <c r="W76" s="138"/>
      <c r="X76" s="193" t="e">
        <f t="array" ref="X76">SUM(X12:Y12*X25:Y25)/X32</f>
        <v>#DIV/0!</v>
      </c>
      <c r="Y76" s="138"/>
      <c r="Z76" s="193" t="e">
        <f t="array" ref="Z76">SUM(Z12:AA12*Z25:AA25)/Z32</f>
        <v>#DIV/0!</v>
      </c>
      <c r="AA76" s="138"/>
      <c r="AB76" s="193" t="e">
        <f t="array" ref="AB76">SUM(AB12:AC12*AB25:AC25)/AB32</f>
        <v>#DIV/0!</v>
      </c>
      <c r="AC76" s="138"/>
      <c r="AD76" s="193" t="e">
        <f t="array" ref="AD76">SUM(AD12:AE12*AD25:AE25)/AD32</f>
        <v>#DIV/0!</v>
      </c>
      <c r="AE76" s="138"/>
      <c r="AF76" s="193" t="e">
        <f t="array" ref="AF76">SUM(AF12:AG12*AF25:AG25)/AF32</f>
        <v>#DIV/0!</v>
      </c>
      <c r="AG76" s="138"/>
      <c r="AH76" s="193" t="e">
        <f t="array" ref="AH76">SUM(AH12:AI12*AH25:AI25)/AH32</f>
        <v>#DIV/0!</v>
      </c>
      <c r="AI76" s="138"/>
      <c r="AJ76" s="193" t="e">
        <f t="array" ref="AJ76">SUM(AJ12:AK12*AJ25:AK25)/AJ32</f>
        <v>#DIV/0!</v>
      </c>
      <c r="AK76" s="138"/>
      <c r="AL76" s="193" t="e">
        <f t="array" ref="AL76">SUM(AL12:AM12*AL25:AM25)/AL32</f>
        <v>#DIV/0!</v>
      </c>
      <c r="AM76" s="138"/>
      <c r="AN76" s="193" t="e">
        <f t="array" ref="AN76">SUM(AN12:AO12*AN25:AO25)/AN32</f>
        <v>#DIV/0!</v>
      </c>
      <c r="AO76" s="138"/>
      <c r="AP76" s="193" t="e">
        <f t="array" ref="AP76">SUM(AP12:AQ12*AP25:AQ25)/AP32</f>
        <v>#DIV/0!</v>
      </c>
      <c r="AQ76" s="138"/>
      <c r="AR76" s="193" t="e">
        <f t="array" ref="AR76">SUM(AR12:AS12*AR25:AS25)/AR32</f>
        <v>#DIV/0!</v>
      </c>
      <c r="AS76" s="138"/>
      <c r="AT76" s="193" t="e">
        <f t="array" ref="AT76">SUM(AT12:AU12*AT25:AU25)/AT32</f>
        <v>#DIV/0!</v>
      </c>
      <c r="AU76" s="138"/>
      <c r="AV76" s="193" t="e">
        <f t="array" ref="AV76">SUM(AV12:AW12*AV25:AW25)/AV32</f>
        <v>#DIV/0!</v>
      </c>
      <c r="XFD76" s="193"/>
    </row>
    <row r="77" spans="1:48 16384:16384" x14ac:dyDescent="0.2">
      <c r="A77" t="s">
        <v>188</v>
      </c>
      <c r="B77" s="193">
        <f t="array" ref="B77">SUM(B4:C4*B19:C19)/B32</f>
        <v>0.14586087017236485</v>
      </c>
      <c r="D77" s="193">
        <f t="array" ref="D77">SUM(D4:E4*D19:E19)/D32</f>
        <v>0.14705629560177741</v>
      </c>
      <c r="E77" s="138"/>
      <c r="F77" s="193">
        <f t="array" ref="F77">SUM(F4:G4*F19:G19)/F32</f>
        <v>0.14858137885224151</v>
      </c>
      <c r="G77" s="138"/>
      <c r="H77" s="193">
        <f t="array" ref="H77">SUM(H4:I4*H19:I19)/H32</f>
        <v>0.15036108825754205</v>
      </c>
      <c r="I77" s="138"/>
      <c r="J77" s="193">
        <f t="array" ref="J77">SUM(J4:K4*J19:K19)/J32</f>
        <v>0.15230951555132308</v>
      </c>
      <c r="K77" s="138"/>
      <c r="L77" s="193">
        <f t="array" ref="L77">SUM(L4:M4*L19:M19)/L32</f>
        <v>0.15429836805978644</v>
      </c>
      <c r="M77" s="138"/>
      <c r="N77" s="193">
        <f t="array" ref="N77">SUM(N4:O4*N19:O19)/N32</f>
        <v>0.15609065835699301</v>
      </c>
      <c r="O77" s="138"/>
      <c r="P77" s="193">
        <f t="array" ref="P77">SUM(P4:Q4*P19:Q19)/P32</f>
        <v>0.15713431766631283</v>
      </c>
      <c r="Q77" s="138"/>
      <c r="R77" s="193">
        <f t="array" ref="R77">SUM(R4:S4*R19:S19)/R32</f>
        <v>0.15557942010802517</v>
      </c>
      <c r="S77" s="138"/>
      <c r="T77" s="193" t="e">
        <f t="array" ref="T77">SUM(T4:U4*T19:U19)/T32</f>
        <v>#DIV/0!</v>
      </c>
      <c r="U77" s="138"/>
      <c r="V77" s="193" t="e">
        <f t="array" ref="V77">SUM(V4:W4*V19:W19)/V32</f>
        <v>#DIV/0!</v>
      </c>
      <c r="W77" s="138"/>
      <c r="X77" s="193" t="e">
        <f t="array" ref="X77">SUM(X4:Y4*X19:Y19)/X32</f>
        <v>#DIV/0!</v>
      </c>
      <c r="Y77" s="138"/>
      <c r="Z77" s="193" t="e">
        <f t="array" ref="Z77">SUM(Z4:AA4*Z19:AA19)/Z32</f>
        <v>#DIV/0!</v>
      </c>
      <c r="AA77" s="138"/>
      <c r="AB77" s="193" t="e">
        <f t="array" ref="AB77">SUM(AB4:AC4*AB19:AC19)/AB32</f>
        <v>#DIV/0!</v>
      </c>
      <c r="AC77" s="138"/>
      <c r="AD77" s="193" t="e">
        <f t="array" ref="AD77">SUM(AD4:AE4*AD19:AE19)/AD32</f>
        <v>#DIV/0!</v>
      </c>
      <c r="AE77" s="138"/>
      <c r="AF77" s="193" t="e">
        <f t="array" ref="AF77">SUM(AF4:AG4*AF19:AG19)/AF32</f>
        <v>#DIV/0!</v>
      </c>
      <c r="AG77" s="138"/>
      <c r="AH77" s="193" t="e">
        <f t="array" ref="AH77">SUM(AH4:AI4*AH19:AI19)/AH32</f>
        <v>#DIV/0!</v>
      </c>
      <c r="AI77" s="138"/>
      <c r="AJ77" s="193" t="e">
        <f t="array" ref="AJ77">SUM(AJ4:AK4*AJ19:AK19)/AJ32</f>
        <v>#DIV/0!</v>
      </c>
      <c r="AK77" s="138"/>
      <c r="AL77" s="193" t="e">
        <f t="array" ref="AL77">SUM(AL4:AM4*AL19:AM19)/AL32</f>
        <v>#DIV/0!</v>
      </c>
      <c r="AM77" s="138"/>
      <c r="AN77" s="193" t="e">
        <f t="array" ref="AN77">SUM(AN4:AO4*AN19:AO19)/AN32</f>
        <v>#DIV/0!</v>
      </c>
      <c r="AO77" s="138"/>
      <c r="AP77" s="193" t="e">
        <f t="array" ref="AP77">SUM(AP4:AQ4*AP19:AQ19)/AP32</f>
        <v>#DIV/0!</v>
      </c>
      <c r="AQ77" s="138"/>
      <c r="AR77" s="193" t="e">
        <f t="array" ref="AR77">SUM(AR4:AS4*AR19:AS19)/AR32</f>
        <v>#DIV/0!</v>
      </c>
      <c r="AS77" s="138"/>
      <c r="AT77" s="193" t="e">
        <f t="array" ref="AT77">SUM(AT4:AU4*AT19:AU19)/AT32</f>
        <v>#DIV/0!</v>
      </c>
      <c r="AU77" s="138"/>
      <c r="AV77" s="193" t="e">
        <f t="array" ref="AV77">SUM(AV4:AW4*AV19:AW19)/AV32</f>
        <v>#DIV/0!</v>
      </c>
      <c r="XFD77" s="193"/>
    </row>
    <row r="78" spans="1:48 16384:16384" x14ac:dyDescent="0.2">
      <c r="A78" t="s">
        <v>189</v>
      </c>
      <c r="B78" s="193">
        <f t="array" ref="B78">SUM(B13:C13*B26:C26)/B32</f>
        <v>0.346887593115773</v>
      </c>
      <c r="D78" s="193">
        <f t="array" ref="D78">SUM(D13:E13*D26:E26)/D32</f>
        <v>0.32560298014025019</v>
      </c>
      <c r="E78" s="138"/>
      <c r="F78" s="193">
        <f t="array" ref="F78">SUM(F13:G13*F26:G26)/F32</f>
        <v>0.30523833633947511</v>
      </c>
      <c r="G78" s="138"/>
      <c r="H78" s="193">
        <f t="array" ref="H78">SUM(H13:I13*H26:I26)/H32</f>
        <v>0.28496042801721472</v>
      </c>
      <c r="I78" s="138"/>
      <c r="J78" s="193">
        <f t="array" ref="J78">SUM(J13:K13*J26:K26)/J32</f>
        <v>0.26393486977376401</v>
      </c>
      <c r="K78" s="138"/>
      <c r="L78" s="193">
        <f t="array" ref="L78">SUM(L13:M13*L26:M26)/L32</f>
        <v>0.24100449985246225</v>
      </c>
      <c r="M78" s="138"/>
      <c r="N78" s="193">
        <f t="array" ref="N78">SUM(N13:O13*N26:O26)/N32</f>
        <v>0.21410142630072201</v>
      </c>
      <c r="O78" s="138"/>
      <c r="P78" s="193">
        <f t="array" ref="P78">SUM(P13:Q13*P26:Q26)/P32</f>
        <v>0.17844140426388172</v>
      </c>
      <c r="Q78" s="138"/>
      <c r="R78" s="193">
        <f t="array" ref="R78">SUM(R13:S13*R26:S26)/R32</f>
        <v>0.11742364181452934</v>
      </c>
      <c r="S78" s="138"/>
      <c r="T78" s="193" t="e">
        <f t="array" ref="T78">SUM(T13:U13*T26:U26)/T32</f>
        <v>#DIV/0!</v>
      </c>
      <c r="U78" s="138"/>
      <c r="V78" s="193" t="e">
        <f t="array" ref="V78">SUM(V13:W13*V26:W26)/V32</f>
        <v>#DIV/0!</v>
      </c>
      <c r="W78" s="138"/>
      <c r="X78" s="193" t="e">
        <f t="array" ref="X78">SUM(X13:Y13*X26:Y26)/X32</f>
        <v>#DIV/0!</v>
      </c>
      <c r="Y78" s="138"/>
      <c r="Z78" s="193" t="e">
        <f t="array" ref="Z78">SUM(Z13:AA13*Z26:AA26)/Z32</f>
        <v>#DIV/0!</v>
      </c>
      <c r="AA78" s="138"/>
      <c r="AB78" s="193" t="e">
        <f t="array" ref="AB78">SUM(AB13:AC13*AB26:AC26)/AB32</f>
        <v>#DIV/0!</v>
      </c>
      <c r="AC78" s="138"/>
      <c r="AD78" s="193" t="e">
        <f t="array" ref="AD78">SUM(AD13:AE13*AD26:AE26)/AD32</f>
        <v>#DIV/0!</v>
      </c>
      <c r="AE78" s="138"/>
      <c r="AF78" s="193" t="e">
        <f t="array" ref="AF78">SUM(AF13:AG13*AF26:AG26)/AF32</f>
        <v>#DIV/0!</v>
      </c>
      <c r="AG78" s="138"/>
      <c r="AH78" s="193" t="e">
        <f t="array" ref="AH78">SUM(AH13:AI13*AH26:AI26)/AH32</f>
        <v>#DIV/0!</v>
      </c>
      <c r="AI78" s="138"/>
      <c r="AJ78" s="193" t="e">
        <f t="array" ref="AJ78">SUM(AJ13:AK13*AJ26:AK26)/AJ32</f>
        <v>#DIV/0!</v>
      </c>
      <c r="AK78" s="138"/>
      <c r="AL78" s="193" t="e">
        <f t="array" ref="AL78">SUM(AL13:AM13*AL26:AM26)/AL32</f>
        <v>#DIV/0!</v>
      </c>
      <c r="AM78" s="138"/>
      <c r="AN78" s="193" t="e">
        <f t="array" ref="AN78">SUM(AN13:AO13*AN26:AO26)/AN32</f>
        <v>#DIV/0!</v>
      </c>
      <c r="AO78" s="138"/>
      <c r="AP78" s="193" t="e">
        <f t="array" ref="AP78">SUM(AP13:AQ13*AP26:AQ26)/AP32</f>
        <v>#DIV/0!</v>
      </c>
      <c r="AQ78" s="138"/>
      <c r="AR78" s="193" t="e">
        <f t="array" ref="AR78">SUM(AR13:AS13*AR26:AS26)/AR32</f>
        <v>#DIV/0!</v>
      </c>
      <c r="AS78" s="138"/>
      <c r="AT78" s="193" t="e">
        <f t="array" ref="AT78">SUM(AT13:AU13*AT26:AU26)/AT32</f>
        <v>#DIV/0!</v>
      </c>
      <c r="AU78" s="138"/>
      <c r="AV78" s="193" t="e">
        <f t="array" ref="AV78">SUM(AV13:AW13*AV26:AW26)/AV32</f>
        <v>#DIV/0!</v>
      </c>
      <c r="XFD78" s="193"/>
    </row>
    <row r="79" spans="1:48 16384:16384" x14ac:dyDescent="0.2">
      <c r="A79" t="s">
        <v>190</v>
      </c>
      <c r="B79" s="193">
        <f t="array" ref="B79">SUM(B15:C15*B27:C27)/B32</f>
        <v>0.45460968782440808</v>
      </c>
      <c r="D79" s="193">
        <f t="array" ref="D79">SUM(D15:E15*D27:E27)/D32</f>
        <v>0.47619061386040673</v>
      </c>
      <c r="F79" s="193">
        <f t="array" ref="F79">SUM(F15:G15*F27:G27)/F32</f>
        <v>0.49683874681025297</v>
      </c>
      <c r="H79" s="193">
        <f t="array" ref="H79">SUM(H15:I15*H27:I27)/H32</f>
        <v>0.51739894137779141</v>
      </c>
      <c r="J79" s="193">
        <f t="array" ref="J79">SUM(J15:K15*J27:K27)/J32</f>
        <v>0.5387171772609024</v>
      </c>
      <c r="L79" s="193">
        <f t="array" ref="L79">SUM(L15:M15*L27:M27)/L32</f>
        <v>0.56196679679442141</v>
      </c>
      <c r="N79" s="193">
        <f t="array" ref="N79">SUM(N15:O15*N27:O27)/N32</f>
        <v>0.5892443542663246</v>
      </c>
      <c r="P79" s="193">
        <f t="array" ref="P79">SUM(P15:Q15*P27:Q27)/P32</f>
        <v>0.62540081564292027</v>
      </c>
      <c r="R79" s="193">
        <f t="array" ref="R79">SUM(R15:S15*R27:S27)/R32</f>
        <v>0.68726800891352879</v>
      </c>
      <c r="T79" s="193" t="e">
        <f t="array" ref="T79">SUM(T15:U15*T27:U27)/T32</f>
        <v>#DIV/0!</v>
      </c>
      <c r="V79" s="193" t="e">
        <f t="array" ref="V79">SUM(V15:W15*V27:W27)/V32</f>
        <v>#DIV/0!</v>
      </c>
      <c r="X79" s="193" t="e">
        <f t="array" ref="X79">SUM(X15:Y15*X27:Y27)/X32</f>
        <v>#DIV/0!</v>
      </c>
      <c r="Z79" s="193" t="e">
        <f t="array" ref="Z79">SUM(Z15:AA15*Z27:AA27)/Z32</f>
        <v>#DIV/0!</v>
      </c>
      <c r="AB79" s="193" t="e">
        <f t="array" ref="AB79">SUM(AB15:AC15*AB27:AC27)/AB32</f>
        <v>#DIV/0!</v>
      </c>
      <c r="AD79" s="193" t="e">
        <f t="array" ref="AD79">SUM(AD15:AE15*AD27:AE27)/AD32</f>
        <v>#DIV/0!</v>
      </c>
      <c r="AF79" s="193" t="e">
        <f t="array" ref="AF79">SUM(AF15:AG15*AF27:AG27)/AF32</f>
        <v>#DIV/0!</v>
      </c>
      <c r="AH79" s="193" t="e">
        <f t="array" ref="AH79">SUM(AH15:AI15*AH27:AI27)/AH32</f>
        <v>#DIV/0!</v>
      </c>
      <c r="AJ79" s="193" t="e">
        <f t="array" ref="AJ79">SUM(AJ15:AK15*AJ27:AK27)/AJ32</f>
        <v>#DIV/0!</v>
      </c>
      <c r="AL79" s="193" t="e">
        <f t="array" ref="AL79">SUM(AL15:AM15*AL27:AM27)/AL32</f>
        <v>#DIV/0!</v>
      </c>
      <c r="AN79" s="193" t="e">
        <f t="array" ref="AN79">SUM(AN15:AO15*AN27:AO27)/AN32</f>
        <v>#DIV/0!</v>
      </c>
      <c r="AP79" s="193" t="e">
        <f t="array" ref="AP79">SUM(AP15:AQ15*AP27:AQ27)/AP32</f>
        <v>#DIV/0!</v>
      </c>
      <c r="AR79" s="193" t="e">
        <f t="array" ref="AR79">SUM(AR15:AS15*AR27:AS27)/AR32</f>
        <v>#DIV/0!</v>
      </c>
      <c r="AT79" s="193" t="e">
        <f t="array" ref="AT79">SUM(AT15:AU15*AT27:AU27)/AT32</f>
        <v>#DIV/0!</v>
      </c>
      <c r="AV79" s="193" t="e">
        <f t="array" ref="AV79">SUM(AV15:AW15*AV27:AW27)/AV32</f>
        <v>#DIV/0!</v>
      </c>
      <c r="XFD79" s="193"/>
    </row>
    <row r="80" spans="1:48 16384:16384" x14ac:dyDescent="0.2">
      <c r="A80" t="s">
        <v>169</v>
      </c>
      <c r="B80" s="236">
        <f>B55</f>
        <v>0.19850271905982084</v>
      </c>
      <c r="D80" s="236">
        <f>D55</f>
        <v>0.19820637948191855</v>
      </c>
      <c r="F80" s="236">
        <f>F55</f>
        <v>0.19792291053455963</v>
      </c>
      <c r="H80" s="236">
        <f>H55</f>
        <v>0.19764058207257959</v>
      </c>
      <c r="J80" s="236">
        <f>J55</f>
        <v>0.19734791520637654</v>
      </c>
      <c r="L80" s="236">
        <f>L55</f>
        <v>0.19702871376240189</v>
      </c>
      <c r="N80" s="236">
        <f>N55</f>
        <v>0.19665419575927739</v>
      </c>
      <c r="P80" s="236">
        <f>P55</f>
        <v>0.19615775083447232</v>
      </c>
      <c r="R80" s="236">
        <f>R55</f>
        <v>0.19530830337742364</v>
      </c>
      <c r="T80" s="236" t="e">
        <f>T55</f>
        <v>#DIV/0!</v>
      </c>
      <c r="V80" s="236" t="e">
        <f>V55</f>
        <v>#DIV/0!</v>
      </c>
      <c r="X80" s="236" t="e">
        <f>X55</f>
        <v>#DIV/0!</v>
      </c>
      <c r="Z80" s="236" t="e">
        <f>Z55</f>
        <v>#DIV/0!</v>
      </c>
      <c r="AB80" s="236" t="e">
        <f>AB55</f>
        <v>#DIV/0!</v>
      </c>
      <c r="AD80" s="236" t="e">
        <f>AD55</f>
        <v>#DIV/0!</v>
      </c>
      <c r="AF80" s="236" t="e">
        <f>AF55</f>
        <v>#DIV/0!</v>
      </c>
      <c r="AH80" s="236" t="e">
        <f>AH55</f>
        <v>#DIV/0!</v>
      </c>
      <c r="AJ80" s="236" t="e">
        <f>AJ55</f>
        <v>#DIV/0!</v>
      </c>
      <c r="AL80" s="236" t="e">
        <f>AL55</f>
        <v>#DIV/0!</v>
      </c>
      <c r="AN80" s="236" t="e">
        <f>AN55</f>
        <v>#DIV/0!</v>
      </c>
      <c r="AP80" s="236" t="e">
        <f>AP55</f>
        <v>#DIV/0!</v>
      </c>
      <c r="AR80" s="236" t="e">
        <f>AR55</f>
        <v>#DIV/0!</v>
      </c>
      <c r="AT80" s="236" t="e">
        <f>AT55</f>
        <v>#DIV/0!</v>
      </c>
      <c r="AV80" s="236" t="e">
        <f>AV55</f>
        <v>#DIV/0!</v>
      </c>
      <c r="XFD80" s="236"/>
    </row>
    <row r="81" spans="1:48 16384:16384" x14ac:dyDescent="0.2">
      <c r="A81" t="s">
        <v>191</v>
      </c>
      <c r="B81" s="236">
        <f>B51/B$32</f>
        <v>-2.7543485504603994E-2</v>
      </c>
      <c r="D81" s="236">
        <f>D51/D$32</f>
        <v>-2.7839825082506296E-2</v>
      </c>
      <c r="F81" s="236">
        <f>F51/F$32</f>
        <v>-2.8123294029865228E-2</v>
      </c>
      <c r="H81" s="236">
        <f>H51/H$32</f>
        <v>-2.840562249184524E-2</v>
      </c>
      <c r="J81" s="236">
        <f>J51/J$32</f>
        <v>-2.8698289358048298E-2</v>
      </c>
      <c r="L81" s="236">
        <f>L51/L$32</f>
        <v>-2.9017490802022941E-2</v>
      </c>
      <c r="N81" s="236">
        <f>N51/N$32</f>
        <v>-2.9392008805147429E-2</v>
      </c>
      <c r="P81" s="236">
        <f>P51/P$32</f>
        <v>-2.98884537299525E-2</v>
      </c>
      <c r="R81" s="236">
        <f>R51/R$32</f>
        <v>-3.0737901187001194E-2</v>
      </c>
      <c r="T81" s="236" t="e">
        <f>T51/T$32</f>
        <v>#DIV/0!</v>
      </c>
      <c r="V81" s="236" t="e">
        <f>V51/V$32</f>
        <v>#DIV/0!</v>
      </c>
      <c r="X81" s="236" t="e">
        <f>X51/X$32</f>
        <v>#DIV/0!</v>
      </c>
      <c r="Z81" s="236" t="e">
        <f>Z51/Z$32</f>
        <v>#DIV/0!</v>
      </c>
      <c r="AB81" s="236" t="e">
        <f>AB51/AB$32</f>
        <v>#DIV/0!</v>
      </c>
      <c r="AD81" s="236" t="e">
        <f>AD51/AD$32</f>
        <v>#DIV/0!</v>
      </c>
      <c r="AF81" s="236" t="e">
        <f>AF51/AF$32</f>
        <v>#DIV/0!</v>
      </c>
      <c r="AH81" s="236" t="e">
        <f>AH51/AH$32</f>
        <v>#DIV/0!</v>
      </c>
      <c r="AJ81" s="236" t="e">
        <f>AJ51/AJ$32</f>
        <v>#DIV/0!</v>
      </c>
      <c r="AL81" s="236" t="e">
        <f>AL51/AL$32</f>
        <v>#DIV/0!</v>
      </c>
      <c r="AN81" s="236" t="e">
        <f>AN51/AN$32</f>
        <v>#DIV/0!</v>
      </c>
      <c r="AP81" s="236" t="e">
        <f>AP51/AP$32</f>
        <v>#DIV/0!</v>
      </c>
      <c r="AR81" s="236" t="e">
        <f>AR51/AR$32</f>
        <v>#DIV/0!</v>
      </c>
      <c r="AT81" s="236" t="e">
        <f>AT51/AT$32</f>
        <v>#DIV/0!</v>
      </c>
      <c r="AV81" s="236" t="e">
        <f>AV51/AV$32</f>
        <v>#DIV/0!</v>
      </c>
      <c r="XFD81" s="236"/>
    </row>
    <row r="82" spans="1:48 16384:16384" x14ac:dyDescent="0.2">
      <c r="A82" t="s">
        <v>192</v>
      </c>
      <c r="B82" s="236">
        <f>B52/B$32</f>
        <v>0.13907860278212886</v>
      </c>
      <c r="D82" s="236">
        <f>D52/D$32</f>
        <v>0.13054490399283225</v>
      </c>
      <c r="F82" s="236">
        <f>F52/F$32</f>
        <v>0.12238005099094852</v>
      </c>
      <c r="H82" s="236">
        <f>H52/H$32</f>
        <v>0.11424997308452184</v>
      </c>
      <c r="J82" s="236">
        <f>J52/J$32</f>
        <v>0.10582013782593579</v>
      </c>
      <c r="L82" s="236">
        <f>L52/L$32</f>
        <v>9.6626601149437691E-2</v>
      </c>
      <c r="N82" s="236">
        <f>N52/N$32</f>
        <v>8.5840277411211308E-2</v>
      </c>
      <c r="P82" s="236">
        <f>P52/P$32</f>
        <v>7.1543006080413293E-2</v>
      </c>
      <c r="R82" s="236">
        <f>R52/R$32</f>
        <v>4.7078985703888888E-2</v>
      </c>
      <c r="T82" s="236" t="e">
        <f>T52/T$32</f>
        <v>#DIV/0!</v>
      </c>
      <c r="V82" s="236" t="e">
        <f>V52/V$32</f>
        <v>#DIV/0!</v>
      </c>
      <c r="X82" s="236" t="e">
        <f>X52/X$32</f>
        <v>#DIV/0!</v>
      </c>
      <c r="Z82" s="236" t="e">
        <f>Z52/Z$32</f>
        <v>#DIV/0!</v>
      </c>
      <c r="AB82" s="236" t="e">
        <f>AB52/AB$32</f>
        <v>#DIV/0!</v>
      </c>
      <c r="AD82" s="236" t="e">
        <f>AD52/AD$32</f>
        <v>#DIV/0!</v>
      </c>
      <c r="AF82" s="236" t="e">
        <f>AF52/AF$32</f>
        <v>#DIV/0!</v>
      </c>
      <c r="AH82" s="236" t="e">
        <f>AH52/AH$32</f>
        <v>#DIV/0!</v>
      </c>
      <c r="AJ82" s="236" t="e">
        <f>AJ52/AJ$32</f>
        <v>#DIV/0!</v>
      </c>
      <c r="AL82" s="236" t="e">
        <f>AL52/AL$32</f>
        <v>#DIV/0!</v>
      </c>
      <c r="AN82" s="236" t="e">
        <f>AN52/AN$32</f>
        <v>#DIV/0!</v>
      </c>
      <c r="AP82" s="236" t="e">
        <f>AP52/AP$32</f>
        <v>#DIV/0!</v>
      </c>
      <c r="AR82" s="236" t="e">
        <f>AR52/AR$32</f>
        <v>#DIV/0!</v>
      </c>
      <c r="AT82" s="236" t="e">
        <f>AT52/AT$32</f>
        <v>#DIV/0!</v>
      </c>
      <c r="AV82" s="236" t="e">
        <f>AV52/AV$32</f>
        <v>#DIV/0!</v>
      </c>
    </row>
    <row r="83" spans="1:48 16384:16384" x14ac:dyDescent="0.2">
      <c r="A83" t="s">
        <v>193</v>
      </c>
      <c r="B83" s="236">
        <f>B53/B$32</f>
        <v>0.18600714462930004</v>
      </c>
      <c r="D83" s="236">
        <f>D53/D$32</f>
        <v>0.19483715097963264</v>
      </c>
      <c r="F83" s="236">
        <f>F53/F$32</f>
        <v>0.2032854976708508</v>
      </c>
      <c r="H83" s="236">
        <f>H53/H$32</f>
        <v>0.21169786367834295</v>
      </c>
      <c r="J83" s="236">
        <f>J53/J$32</f>
        <v>0.22042038827769325</v>
      </c>
      <c r="L83" s="236">
        <f>L53/L$32</f>
        <v>0.22993315375315715</v>
      </c>
      <c r="N83" s="236">
        <f>N53/N$32</f>
        <v>0.24109398185185379</v>
      </c>
      <c r="P83" s="236">
        <f>P53/P$32</f>
        <v>0.25588768361554737</v>
      </c>
      <c r="R83" s="236">
        <f>R53/R$32</f>
        <v>0.28120113441675371</v>
      </c>
      <c r="T83" s="236" t="e">
        <f>T53/T$32</f>
        <v>#DIV/0!</v>
      </c>
      <c r="V83" s="236" t="e">
        <f>V53/V$32</f>
        <v>#DIV/0!</v>
      </c>
      <c r="X83" s="236" t="e">
        <f>X53/X$32</f>
        <v>#DIV/0!</v>
      </c>
      <c r="Z83" s="236" t="e">
        <f>Z53/Z$32</f>
        <v>#DIV/0!</v>
      </c>
      <c r="AB83" s="236" t="e">
        <f>AB53/AB$32</f>
        <v>#DIV/0!</v>
      </c>
      <c r="AD83" s="236" t="e">
        <f>AD53/AD$32</f>
        <v>#DIV/0!</v>
      </c>
      <c r="AF83" s="236" t="e">
        <f>AF53/AF$32</f>
        <v>#DIV/0!</v>
      </c>
      <c r="AH83" s="236" t="e">
        <f>AH53/AH$32</f>
        <v>#DIV/0!</v>
      </c>
      <c r="AJ83" s="236" t="e">
        <f>AJ53/AJ$32</f>
        <v>#DIV/0!</v>
      </c>
      <c r="AL83" s="236" t="e">
        <f>AL53/AL$32</f>
        <v>#DIV/0!</v>
      </c>
      <c r="AN83" s="236" t="e">
        <f>AN53/AN$32</f>
        <v>#DIV/0!</v>
      </c>
      <c r="AP83" s="236" t="e">
        <f>AP53/AP$32</f>
        <v>#DIV/0!</v>
      </c>
      <c r="AR83" s="236" t="e">
        <f>AR53/AR$32</f>
        <v>#DIV/0!</v>
      </c>
      <c r="AT83" s="236" t="e">
        <f>AT53/AT$32</f>
        <v>#DIV/0!</v>
      </c>
      <c r="AV83" s="236" t="e">
        <f>AV53/AV$32</f>
        <v>#DIV/0!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15"/>
  <dimension ref="A1:XFD83"/>
  <sheetViews>
    <sheetView showGridLines="0" workbookViewId="0">
      <pane ySplit="1" topLeftCell="A2" activePane="bottomLeft" state="frozen"/>
      <selection pane="bottomLeft" sqref="A1:XFD1048576"/>
    </sheetView>
  </sheetViews>
  <sheetFormatPr baseColWidth="10" defaultRowHeight="10" x14ac:dyDescent="0.2"/>
  <sheetData>
    <row r="1" spans="1:49" x14ac:dyDescent="0.2">
      <c r="B1" s="94">
        <v>0</v>
      </c>
      <c r="D1" s="94">
        <v>0.05</v>
      </c>
      <c r="F1" s="94">
        <v>0.1</v>
      </c>
      <c r="H1" s="94">
        <v>0.15000000000000002</v>
      </c>
      <c r="J1" s="94">
        <v>0.2</v>
      </c>
      <c r="L1" s="94">
        <v>0.25</v>
      </c>
      <c r="N1" s="94">
        <v>0.3</v>
      </c>
      <c r="P1" s="94">
        <v>0.35</v>
      </c>
      <c r="R1" s="94">
        <v>0.39999999999999997</v>
      </c>
      <c r="T1" s="94">
        <v>0.44999999999999996</v>
      </c>
      <c r="V1" s="94">
        <v>0.49999999999999994</v>
      </c>
      <c r="X1" s="94">
        <v>0.54999999999999993</v>
      </c>
      <c r="Z1" s="94">
        <v>0.6</v>
      </c>
      <c r="AB1" s="94">
        <v>0.65</v>
      </c>
      <c r="AD1" s="94">
        <v>0.70000000000000007</v>
      </c>
      <c r="AF1" s="94">
        <v>0.75000000000000011</v>
      </c>
      <c r="AH1" s="94">
        <v>0.80000000000000016</v>
      </c>
      <c r="AJ1" s="94"/>
      <c r="AL1" s="94"/>
      <c r="AN1" s="94"/>
      <c r="AP1" s="94"/>
      <c r="AR1" s="94"/>
      <c r="AT1" s="94"/>
      <c r="AV1" s="94"/>
    </row>
    <row r="2" spans="1:49" x14ac:dyDescent="0.2">
      <c r="A2" s="229" t="s">
        <v>155</v>
      </c>
      <c r="B2" s="226">
        <v>5.7716594496607888E-3</v>
      </c>
      <c r="C2" s="227"/>
      <c r="D2" s="226">
        <v>3.5002574579733145E-2</v>
      </c>
      <c r="E2" s="227"/>
      <c r="F2" s="226">
        <v>6.6145078643977478E-2</v>
      </c>
      <c r="G2" s="227"/>
      <c r="H2" s="226">
        <v>9.9394090617561423E-2</v>
      </c>
      <c r="I2" s="227"/>
      <c r="J2" s="226">
        <v>0.13497255816894616</v>
      </c>
      <c r="K2" s="227"/>
      <c r="L2" s="226">
        <v>0.17313677087985269</v>
      </c>
      <c r="M2" s="227"/>
      <c r="N2" s="226">
        <v>0.21418273054294254</v>
      </c>
      <c r="O2" s="227"/>
      <c r="P2" s="226">
        <v>0.25845410467157987</v>
      </c>
      <c r="Q2" s="227"/>
      <c r="R2" s="226">
        <v>0.30635199724664436</v>
      </c>
      <c r="S2" s="227"/>
      <c r="T2" s="226">
        <v>0.35834590922426068</v>
      </c>
      <c r="U2" s="227"/>
      <c r="V2" s="226">
        <v>0.41498653726245988</v>
      </c>
      <c r="W2" s="227"/>
      <c r="X2" s="226">
        <v>0.47691792417956969</v>
      </c>
      <c r="Y2" s="227"/>
      <c r="Z2" s="226">
        <v>0.54487971652297218</v>
      </c>
      <c r="AA2" s="227"/>
      <c r="AB2" s="226">
        <v>0.6196735176926027</v>
      </c>
      <c r="AC2" s="227"/>
      <c r="AD2" s="226">
        <v>0.7019916479474223</v>
      </c>
      <c r="AE2" s="227"/>
      <c r="AF2" s="226">
        <v>0.79163747460714406</v>
      </c>
      <c r="AG2" s="227"/>
      <c r="AH2" s="226">
        <v>0.88315794061831787</v>
      </c>
      <c r="AI2" s="227"/>
      <c r="AJ2" s="226"/>
      <c r="AK2" s="227"/>
      <c r="AL2" s="226"/>
      <c r="AM2" s="227"/>
      <c r="AN2" s="226"/>
      <c r="AO2" s="227"/>
      <c r="AP2" s="226"/>
      <c r="AQ2" s="227"/>
      <c r="AR2" s="226"/>
      <c r="AS2" s="227"/>
      <c r="AT2" s="226"/>
      <c r="AU2" s="227"/>
      <c r="AV2" s="226"/>
      <c r="AW2" s="227"/>
    </row>
    <row r="3" spans="1:49" x14ac:dyDescent="0.2">
      <c r="A3" t="s">
        <v>12</v>
      </c>
      <c r="B3" s="84">
        <v>1000</v>
      </c>
      <c r="C3" s="85">
        <v>1000</v>
      </c>
      <c r="D3" s="84">
        <v>999.16234015553505</v>
      </c>
      <c r="E3" s="85">
        <v>1012.5580535152359</v>
      </c>
      <c r="F3" s="84">
        <v>998.3164590397646</v>
      </c>
      <c r="G3" s="85">
        <v>1025.9198216745858</v>
      </c>
      <c r="H3" s="84">
        <v>997.46020953012294</v>
      </c>
      <c r="I3" s="85">
        <v>1040.180937845304</v>
      </c>
      <c r="J3" s="84">
        <v>996.59107768081333</v>
      </c>
      <c r="K3" s="85">
        <v>1055.4543188420259</v>
      </c>
      <c r="L3" s="84">
        <v>995.70604649827328</v>
      </c>
      <c r="M3" s="85">
        <v>1071.8755736516157</v>
      </c>
      <c r="N3" s="84">
        <v>994.80142526354234</v>
      </c>
      <c r="O3" s="85">
        <v>1089.6096861076589</v>
      </c>
      <c r="P3" s="84">
        <v>993.87259225286346</v>
      </c>
      <c r="Q3" s="85">
        <v>1108.8609748649842</v>
      </c>
      <c r="R3" s="84">
        <v>992.91358986593343</v>
      </c>
      <c r="S3" s="85">
        <v>1129.8880582042266</v>
      </c>
      <c r="T3" s="84">
        <v>991.91632751377358</v>
      </c>
      <c r="U3" s="85">
        <v>1153.0299005652696</v>
      </c>
      <c r="V3" s="84">
        <v>990.86931662903589</v>
      </c>
      <c r="W3" s="85">
        <v>1178.7472857305224</v>
      </c>
      <c r="X3" s="84">
        <v>989.75514087112879</v>
      </c>
      <c r="Y3" s="85">
        <v>1207.7017750016657</v>
      </c>
      <c r="Z3" s="84">
        <v>988.54500320642353</v>
      </c>
      <c r="AA3" s="85">
        <v>1240.9181505879351</v>
      </c>
      <c r="AB3" s="84">
        <v>987.18583865999778</v>
      </c>
      <c r="AC3" s="85">
        <v>1280.1618183579158</v>
      </c>
      <c r="AD3" s="84">
        <v>985.56445546610837</v>
      </c>
      <c r="AE3" s="85">
        <v>1328.9849605638124</v>
      </c>
      <c r="AF3" s="84">
        <v>983.38094856047849</v>
      </c>
      <c r="AG3" s="85">
        <v>1396.4835967177962</v>
      </c>
      <c r="AH3" s="84">
        <v>979.49812523376886</v>
      </c>
      <c r="AI3" s="85">
        <v>1518.0307749017759</v>
      </c>
      <c r="AJ3" s="84"/>
      <c r="AK3" s="85"/>
      <c r="AL3" s="84"/>
      <c r="AM3" s="85"/>
      <c r="AN3" s="84"/>
      <c r="AO3" s="85"/>
      <c r="AP3" s="84"/>
      <c r="AQ3" s="85"/>
      <c r="AR3" s="84"/>
      <c r="AS3" s="85"/>
      <c r="AT3" s="84"/>
      <c r="AU3" s="85"/>
      <c r="AV3" s="84"/>
      <c r="AW3" s="85"/>
    </row>
    <row r="4" spans="1:49"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v>1000</v>
      </c>
      <c r="U4" s="102">
        <v>1000</v>
      </c>
      <c r="V4" s="101">
        <v>1000</v>
      </c>
      <c r="W4" s="102">
        <v>1000</v>
      </c>
      <c r="X4" s="101">
        <v>1000</v>
      </c>
      <c r="Y4" s="102">
        <v>1000</v>
      </c>
      <c r="Z4" s="101">
        <v>1000</v>
      </c>
      <c r="AA4" s="102">
        <v>1000</v>
      </c>
      <c r="AB4" s="101">
        <v>1000</v>
      </c>
      <c r="AC4" s="102">
        <v>1000</v>
      </c>
      <c r="AD4" s="101">
        <v>1000</v>
      </c>
      <c r="AE4" s="102">
        <v>1000</v>
      </c>
      <c r="AF4" s="101">
        <v>1000</v>
      </c>
      <c r="AG4" s="102">
        <v>1000</v>
      </c>
      <c r="AH4" s="101">
        <v>1000</v>
      </c>
      <c r="AI4" s="102">
        <v>1000</v>
      </c>
      <c r="AJ4" s="101"/>
      <c r="AK4" s="102"/>
      <c r="AL4" s="101"/>
      <c r="AM4" s="102"/>
      <c r="AN4" s="101"/>
      <c r="AO4" s="102"/>
      <c r="AP4" s="101"/>
      <c r="AQ4" s="102"/>
      <c r="AR4" s="101"/>
      <c r="AS4" s="102"/>
      <c r="AT4" s="101"/>
      <c r="AU4" s="102"/>
      <c r="AV4" s="101"/>
      <c r="AW4" s="102"/>
    </row>
    <row r="5" spans="1:49" x14ac:dyDescent="0.2">
      <c r="A5" t="s">
        <v>128</v>
      </c>
      <c r="B5" s="41">
        <v>1000</v>
      </c>
      <c r="C5" s="42">
        <v>1000</v>
      </c>
      <c r="D5" s="41">
        <v>999.12089457216712</v>
      </c>
      <c r="E5" s="42">
        <v>1010.9599421945643</v>
      </c>
      <c r="F5" s="41">
        <v>998.23284673995988</v>
      </c>
      <c r="G5" s="42">
        <v>1022.4755786645258</v>
      </c>
      <c r="H5" s="41">
        <v>997.33359100475172</v>
      </c>
      <c r="I5" s="42">
        <v>1034.6015548201956</v>
      </c>
      <c r="J5" s="41">
        <v>996.42047301813386</v>
      </c>
      <c r="K5" s="42">
        <v>1047.4007451038767</v>
      </c>
      <c r="L5" s="41">
        <v>995.49030540123738</v>
      </c>
      <c r="M5" s="42">
        <v>1060.9469162288328</v>
      </c>
      <c r="N5" s="41">
        <v>994.53918715038947</v>
      </c>
      <c r="O5" s="42">
        <v>1075.327644079844</v>
      </c>
      <c r="P5" s="41">
        <v>993.56223127170563</v>
      </c>
      <c r="Q5" s="42">
        <v>1090.6487184958737</v>
      </c>
      <c r="R5" s="41">
        <v>992.55313623147765</v>
      </c>
      <c r="S5" s="42">
        <v>1107.0407466282286</v>
      </c>
      <c r="T5" s="41">
        <v>991.50334307779781</v>
      </c>
      <c r="U5" s="42">
        <v>1124.6718734133642</v>
      </c>
      <c r="V5" s="41">
        <v>990.40069695995351</v>
      </c>
      <c r="W5" s="42">
        <v>1143.7667892662053</v>
      </c>
      <c r="X5" s="41">
        <v>989.22677060979663</v>
      </c>
      <c r="Y5" s="42">
        <v>1164.644313132266</v>
      </c>
      <c r="Z5" s="41">
        <v>987.95109545926766</v>
      </c>
      <c r="AA5" s="42">
        <v>1187.795950203131</v>
      </c>
      <c r="AB5" s="41">
        <v>986.51752394122764</v>
      </c>
      <c r="AC5" s="42">
        <v>1214.0672939731719</v>
      </c>
      <c r="AD5" s="41">
        <v>984.80626820972032</v>
      </c>
      <c r="AE5" s="42">
        <v>1245.1531974730556</v>
      </c>
      <c r="AF5" s="41">
        <v>982.4998102741456</v>
      </c>
      <c r="AG5" s="42">
        <v>1285.3051577184146</v>
      </c>
      <c r="AH5" s="41">
        <v>978.39285719985048</v>
      </c>
      <c r="AI5" s="42">
        <v>1349.8089869202827</v>
      </c>
      <c r="AJ5" s="41"/>
      <c r="AK5" s="42"/>
      <c r="AL5" s="41"/>
      <c r="AM5" s="42"/>
      <c r="AN5" s="41"/>
      <c r="AO5" s="42"/>
      <c r="AP5" s="41"/>
      <c r="AQ5" s="42"/>
      <c r="AR5" s="41"/>
      <c r="AS5" s="42"/>
      <c r="AT5" s="41"/>
      <c r="AU5" s="42"/>
      <c r="AV5" s="41"/>
      <c r="AW5" s="42"/>
    </row>
    <row r="6" spans="1:49" x14ac:dyDescent="0.2">
      <c r="A6" t="s">
        <v>77</v>
      </c>
      <c r="B6" s="41">
        <v>999.99999999999943</v>
      </c>
      <c r="C6" s="42">
        <v>999.99999999999909</v>
      </c>
      <c r="D6" s="41">
        <v>999.05371543873935</v>
      </c>
      <c r="E6" s="42">
        <v>1013.5423209872741</v>
      </c>
      <c r="F6" s="41">
        <v>998.0979342887274</v>
      </c>
      <c r="G6" s="42">
        <v>1027.9232593530166</v>
      </c>
      <c r="H6" s="41">
        <v>997.13022268323209</v>
      </c>
      <c r="I6" s="42">
        <v>1043.2419755912802</v>
      </c>
      <c r="J6" s="41">
        <v>996.14772972091509</v>
      </c>
      <c r="K6" s="42">
        <v>1059.6155006937863</v>
      </c>
      <c r="L6" s="41">
        <v>995.14703283943209</v>
      </c>
      <c r="M6" s="42">
        <v>1077.1843593345136</v>
      </c>
      <c r="N6" s="41">
        <v>994.12394394672071</v>
      </c>
      <c r="O6" s="42">
        <v>1096.1194875215667</v>
      </c>
      <c r="P6" s="41">
        <v>993.07321720715538</v>
      </c>
      <c r="Q6" s="42">
        <v>1116.6325588680802</v>
      </c>
      <c r="R6" s="41">
        <v>991.98808922966941</v>
      </c>
      <c r="S6" s="42">
        <v>1138.9915056789798</v>
      </c>
      <c r="T6" s="41">
        <v>990.85937431141747</v>
      </c>
      <c r="U6" s="42">
        <v>1163.5476002496694</v>
      </c>
      <c r="V6" s="41">
        <v>989.67402802672734</v>
      </c>
      <c r="W6" s="42">
        <v>1190.7785184202048</v>
      </c>
      <c r="X6" s="41">
        <v>988.41227497418367</v>
      </c>
      <c r="Y6" s="42">
        <v>1221.3704155735261</v>
      </c>
      <c r="Z6" s="41">
        <v>987.04141754724378</v>
      </c>
      <c r="AA6" s="42">
        <v>1256.3868238248799</v>
      </c>
      <c r="AB6" s="41">
        <v>985.50120146302277</v>
      </c>
      <c r="AC6" s="42">
        <v>1297.6610017015068</v>
      </c>
      <c r="AD6" s="41">
        <v>983.66308578489384</v>
      </c>
      <c r="AE6" s="42">
        <v>1348.883094559922</v>
      </c>
      <c r="AF6" s="41">
        <v>981.18640430077357</v>
      </c>
      <c r="AG6" s="42">
        <v>1419.5011234990291</v>
      </c>
      <c r="AH6" s="41">
        <v>976.7785055211308</v>
      </c>
      <c r="AI6" s="42">
        <v>1546.2090499485191</v>
      </c>
      <c r="AJ6" s="41"/>
      <c r="AK6" s="42"/>
      <c r="AL6" s="41"/>
      <c r="AM6" s="42"/>
      <c r="AN6" s="41"/>
      <c r="AO6" s="42"/>
      <c r="AP6" s="41"/>
      <c r="AQ6" s="42"/>
      <c r="AR6" s="41"/>
      <c r="AS6" s="42"/>
      <c r="AT6" s="41"/>
      <c r="AU6" s="42"/>
      <c r="AV6" s="41"/>
      <c r="AW6" s="42"/>
    </row>
    <row r="7" spans="1:49" x14ac:dyDescent="0.2">
      <c r="A7" t="s">
        <v>13</v>
      </c>
      <c r="B7" s="33">
        <v>1015.9116825427475</v>
      </c>
      <c r="C7" s="34">
        <v>1015.9116825427475</v>
      </c>
      <c r="D7" s="33">
        <v>1015.0185890684253</v>
      </c>
      <c r="E7" s="34">
        <v>1015.0185890684253</v>
      </c>
      <c r="F7" s="33">
        <v>1014.1164109010292</v>
      </c>
      <c r="G7" s="34">
        <v>1014.1164109010292</v>
      </c>
      <c r="H7" s="33">
        <v>1013.2028464940377</v>
      </c>
      <c r="I7" s="34">
        <v>1013.2028464940377</v>
      </c>
      <c r="J7" s="33">
        <v>1012.2751992638927</v>
      </c>
      <c r="K7" s="34">
        <v>1012.2751992638927</v>
      </c>
      <c r="L7" s="33">
        <v>1011.3302311151646</v>
      </c>
      <c r="M7" s="34">
        <v>1011.3302311151646</v>
      </c>
      <c r="N7" s="33">
        <v>1010.3639789726485</v>
      </c>
      <c r="O7" s="34">
        <v>1010.3639789726485</v>
      </c>
      <c r="P7" s="33">
        <v>1009.3714780821648</v>
      </c>
      <c r="Q7" s="34">
        <v>1009.3714780821648</v>
      </c>
      <c r="R7" s="33">
        <v>1008.3463266420013</v>
      </c>
      <c r="S7" s="34">
        <v>1008.3463266420013</v>
      </c>
      <c r="T7" s="33">
        <v>1007.2798295129245</v>
      </c>
      <c r="U7" s="34">
        <v>1007.2798295129245</v>
      </c>
      <c r="V7" s="33">
        <v>1006.159638440096</v>
      </c>
      <c r="W7" s="34">
        <v>1006.159638440096</v>
      </c>
      <c r="X7" s="33">
        <v>1004.967032946527</v>
      </c>
      <c r="Y7" s="34">
        <v>1004.967032946527</v>
      </c>
      <c r="Z7" s="33">
        <v>1003.6710596579751</v>
      </c>
      <c r="AA7" s="34">
        <v>1003.6710596579751</v>
      </c>
      <c r="AB7" s="33">
        <v>1002.2146776050377</v>
      </c>
      <c r="AC7" s="34">
        <v>1002.2146776050377</v>
      </c>
      <c r="AD7" s="33">
        <v>1000.4761929155811</v>
      </c>
      <c r="AE7" s="34">
        <v>1000.4761929155811</v>
      </c>
      <c r="AF7" s="33">
        <v>998.13303535353737</v>
      </c>
      <c r="AG7" s="34">
        <v>998.13303535353737</v>
      </c>
      <c r="AH7" s="33">
        <v>993.96073374570608</v>
      </c>
      <c r="AI7" s="34">
        <v>993.96073374570608</v>
      </c>
      <c r="AJ7" s="33"/>
      <c r="AK7" s="34"/>
      <c r="AL7" s="33"/>
      <c r="AM7" s="34"/>
      <c r="AN7" s="33"/>
      <c r="AO7" s="34"/>
      <c r="AP7" s="33"/>
      <c r="AQ7" s="34"/>
      <c r="AR7" s="33"/>
      <c r="AS7" s="34"/>
      <c r="AT7" s="33"/>
      <c r="AU7" s="34"/>
      <c r="AV7" s="33"/>
      <c r="AW7" s="34"/>
    </row>
    <row r="8" spans="1:49" x14ac:dyDescent="0.2">
      <c r="B8" s="35">
        <v>1005.7716594496609</v>
      </c>
      <c r="C8" s="36">
        <v>1005.7716594496609</v>
      </c>
      <c r="D8" s="35">
        <v>1046.3461429683523</v>
      </c>
      <c r="E8" s="36">
        <v>1046.3461429683523</v>
      </c>
      <c r="F8" s="35">
        <v>1090.1073062268372</v>
      </c>
      <c r="G8" s="36">
        <v>1090.1073062268372</v>
      </c>
      <c r="H8" s="35">
        <v>1137.4348355130642</v>
      </c>
      <c r="I8" s="36">
        <v>1137.4348355130642</v>
      </c>
      <c r="J8" s="35">
        <v>1188.7711030986072</v>
      </c>
      <c r="K8" s="36">
        <v>1188.7711030986072</v>
      </c>
      <c r="L8" s="35">
        <v>1244.6358393796306</v>
      </c>
      <c r="M8" s="36">
        <v>1244.6358393796306</v>
      </c>
      <c r="N8" s="35">
        <v>1305.6442551171745</v>
      </c>
      <c r="O8" s="36">
        <v>1305.6442551171745</v>
      </c>
      <c r="P8" s="35">
        <v>1372.5313565459307</v>
      </c>
      <c r="Q8" s="36">
        <v>1372.5313565459307</v>
      </c>
      <c r="R8" s="35">
        <v>1446.1848903912028</v>
      </c>
      <c r="S8" s="36">
        <v>1446.1848903912028</v>
      </c>
      <c r="T8" s="35">
        <v>1527.6934384706287</v>
      </c>
      <c r="U8" s="36">
        <v>1527.6934384706287</v>
      </c>
      <c r="V8" s="35">
        <v>1618.4146085795894</v>
      </c>
      <c r="W8" s="36">
        <v>1618.4146085795894</v>
      </c>
      <c r="X8" s="35">
        <v>1720.0840613588468</v>
      </c>
      <c r="Y8" s="36">
        <v>1720.0840613588468</v>
      </c>
      <c r="Z8" s="35">
        <v>1835.0018708369475</v>
      </c>
      <c r="AA8" s="36">
        <v>1835.0018708369475</v>
      </c>
      <c r="AB8" s="35">
        <v>1966.3926447450665</v>
      </c>
      <c r="AC8" s="36">
        <v>1966.3926447450665</v>
      </c>
      <c r="AD8" s="35">
        <v>2119.2403425141683</v>
      </c>
      <c r="AE8" s="36">
        <v>2119.2403425141683</v>
      </c>
      <c r="AF8" s="35">
        <v>2302.8008868741572</v>
      </c>
      <c r="AG8" s="36">
        <v>2302.8008868741572</v>
      </c>
      <c r="AH8" s="35">
        <v>2541.9035120368976</v>
      </c>
      <c r="AI8" s="36">
        <v>2541.9035120368976</v>
      </c>
      <c r="AJ8" s="35"/>
      <c r="AK8" s="36"/>
      <c r="AL8" s="35"/>
      <c r="AM8" s="36"/>
      <c r="AN8" s="35"/>
      <c r="AO8" s="36"/>
      <c r="AP8" s="35"/>
      <c r="AQ8" s="36"/>
      <c r="AR8" s="35"/>
      <c r="AS8" s="36"/>
      <c r="AT8" s="35"/>
      <c r="AU8" s="36"/>
      <c r="AV8" s="35"/>
      <c r="AW8" s="36"/>
    </row>
    <row r="9" spans="1:49" x14ac:dyDescent="0.2">
      <c r="A9" t="s">
        <v>14</v>
      </c>
      <c r="B9" s="41">
        <v>1015.9116825427475</v>
      </c>
      <c r="C9" s="42">
        <v>1005.7716594496609</v>
      </c>
      <c r="D9" s="41">
        <v>1015.0185890684253</v>
      </c>
      <c r="E9" s="42">
        <v>1046.3461429683523</v>
      </c>
      <c r="F9" s="41">
        <v>1014.1164109010292</v>
      </c>
      <c r="G9" s="42">
        <v>1090.1073062268372</v>
      </c>
      <c r="H9" s="41">
        <v>1013.2028464940377</v>
      </c>
      <c r="I9" s="42">
        <v>1137.4348355130642</v>
      </c>
      <c r="J9" s="41">
        <v>1012.2751992638927</v>
      </c>
      <c r="K9" s="42">
        <v>1188.7711030986072</v>
      </c>
      <c r="L9" s="41">
        <v>1011.3302311151646</v>
      </c>
      <c r="M9" s="42">
        <v>1244.6358393796306</v>
      </c>
      <c r="N9" s="41">
        <v>1010.3639789726485</v>
      </c>
      <c r="O9" s="42">
        <v>1305.6442551171745</v>
      </c>
      <c r="P9" s="41">
        <v>1009.3714780821648</v>
      </c>
      <c r="Q9" s="42">
        <v>1372.5313565459307</v>
      </c>
      <c r="R9" s="41">
        <v>1008.3463266420013</v>
      </c>
      <c r="S9" s="42">
        <v>1446.1848903912028</v>
      </c>
      <c r="T9" s="41">
        <v>1007.2798295129245</v>
      </c>
      <c r="U9" s="42">
        <v>1527.6934384706287</v>
      </c>
      <c r="V9" s="41">
        <v>1006.159638440096</v>
      </c>
      <c r="W9" s="42">
        <v>1618.4146085795894</v>
      </c>
      <c r="X9" s="41">
        <v>1004.967032946527</v>
      </c>
      <c r="Y9" s="42">
        <v>1720.0840613588468</v>
      </c>
      <c r="Z9" s="41">
        <v>1003.6710596579751</v>
      </c>
      <c r="AA9" s="42">
        <v>1835.0018708369475</v>
      </c>
      <c r="AB9" s="41">
        <v>1002.2146776050377</v>
      </c>
      <c r="AC9" s="42">
        <v>1966.3926447450665</v>
      </c>
      <c r="AD9" s="41">
        <v>1000.4761929155811</v>
      </c>
      <c r="AE9" s="42">
        <v>2119.2403425141683</v>
      </c>
      <c r="AF9" s="41">
        <v>998.13303535353737</v>
      </c>
      <c r="AG9" s="42">
        <v>2302.8008868741572</v>
      </c>
      <c r="AH9" s="41">
        <v>993.96073374570608</v>
      </c>
      <c r="AI9" s="42">
        <v>2541.9035120368976</v>
      </c>
      <c r="AJ9" s="41"/>
      <c r="AK9" s="42"/>
      <c r="AL9" s="41"/>
      <c r="AM9" s="42"/>
      <c r="AN9" s="41"/>
      <c r="AO9" s="42"/>
      <c r="AP9" s="41"/>
      <c r="AQ9" s="42"/>
      <c r="AR9" s="41"/>
      <c r="AS9" s="42"/>
      <c r="AT9" s="41"/>
      <c r="AU9" s="42"/>
      <c r="AV9" s="41"/>
      <c r="AW9" s="42"/>
    </row>
    <row r="10" spans="1:49" x14ac:dyDescent="0.2">
      <c r="A10" t="s">
        <v>15</v>
      </c>
      <c r="B10" s="41">
        <v>1015.9116825427475</v>
      </c>
      <c r="C10" s="42">
        <v>1005.7716594496609</v>
      </c>
      <c r="D10" s="41">
        <v>1015.0185890684253</v>
      </c>
      <c r="E10" s="42">
        <v>1046.3461429683523</v>
      </c>
      <c r="F10" s="41">
        <v>1014.1164109010292</v>
      </c>
      <c r="G10" s="42">
        <v>1090.1073062268372</v>
      </c>
      <c r="H10" s="41">
        <v>1013.2028464940377</v>
      </c>
      <c r="I10" s="42">
        <v>1137.4348355130642</v>
      </c>
      <c r="J10" s="41">
        <v>1012.2751992638927</v>
      </c>
      <c r="K10" s="42">
        <v>1188.7711030986072</v>
      </c>
      <c r="L10" s="41">
        <v>1011.3302311151646</v>
      </c>
      <c r="M10" s="42">
        <v>1244.6358393796306</v>
      </c>
      <c r="N10" s="41">
        <v>1010.3639789726485</v>
      </c>
      <c r="O10" s="42">
        <v>1305.6442551171745</v>
      </c>
      <c r="P10" s="41">
        <v>1009.3714780821648</v>
      </c>
      <c r="Q10" s="42">
        <v>1372.5313565459307</v>
      </c>
      <c r="R10" s="41">
        <v>1008.3463266420013</v>
      </c>
      <c r="S10" s="42">
        <v>1446.1848903912028</v>
      </c>
      <c r="T10" s="41">
        <v>1007.2798295129245</v>
      </c>
      <c r="U10" s="42">
        <v>1527.6934384706287</v>
      </c>
      <c r="V10" s="41">
        <v>1006.159638440096</v>
      </c>
      <c r="W10" s="42">
        <v>1618.4146085795894</v>
      </c>
      <c r="X10" s="41">
        <v>1004.967032946527</v>
      </c>
      <c r="Y10" s="42">
        <v>1720.0840613588468</v>
      </c>
      <c r="Z10" s="41">
        <v>1003.6710596579751</v>
      </c>
      <c r="AA10" s="42">
        <v>1835.0018708369475</v>
      </c>
      <c r="AB10" s="41">
        <v>1002.2146776050377</v>
      </c>
      <c r="AC10" s="42">
        <v>1966.3926447450665</v>
      </c>
      <c r="AD10" s="41">
        <v>1000.4761929155811</v>
      </c>
      <c r="AE10" s="42">
        <v>2119.2403425141683</v>
      </c>
      <c r="AF10" s="41">
        <v>998.13303535353737</v>
      </c>
      <c r="AG10" s="42">
        <v>2302.8008868741572</v>
      </c>
      <c r="AH10" s="41">
        <v>993.96073374570608</v>
      </c>
      <c r="AI10" s="42">
        <v>2541.9035120368976</v>
      </c>
      <c r="AJ10" s="41"/>
      <c r="AK10" s="42"/>
      <c r="AL10" s="41"/>
      <c r="AM10" s="42"/>
      <c r="AN10" s="41"/>
      <c r="AO10" s="42"/>
      <c r="AP10" s="41"/>
      <c r="AQ10" s="42"/>
      <c r="AR10" s="41"/>
      <c r="AS10" s="42"/>
      <c r="AT10" s="41"/>
      <c r="AU10" s="42"/>
      <c r="AV10" s="41"/>
      <c r="AW10" s="42"/>
    </row>
    <row r="11" spans="1:49" x14ac:dyDescent="0.2">
      <c r="A11" t="s">
        <v>29</v>
      </c>
      <c r="B11" s="41">
        <v>1015.9116825427475</v>
      </c>
      <c r="C11" s="42">
        <v>1005.7716594496609</v>
      </c>
      <c r="D11" s="41">
        <v>1015.0185890684253</v>
      </c>
      <c r="E11" s="42">
        <v>1046.3461429683523</v>
      </c>
      <c r="F11" s="41">
        <v>1014.1164109010292</v>
      </c>
      <c r="G11" s="42">
        <v>1090.1073062268372</v>
      </c>
      <c r="H11" s="41">
        <v>1013.2028464940377</v>
      </c>
      <c r="I11" s="42">
        <v>1137.4348355130642</v>
      </c>
      <c r="J11" s="41">
        <v>1012.2751992638927</v>
      </c>
      <c r="K11" s="42">
        <v>1188.7711030986072</v>
      </c>
      <c r="L11" s="41">
        <v>1011.3302311151646</v>
      </c>
      <c r="M11" s="42">
        <v>1244.6358393796306</v>
      </c>
      <c r="N11" s="41">
        <v>1010.3639789726485</v>
      </c>
      <c r="O11" s="42">
        <v>1305.6442551171745</v>
      </c>
      <c r="P11" s="41">
        <v>1009.3714780821648</v>
      </c>
      <c r="Q11" s="42">
        <v>1372.5313565459307</v>
      </c>
      <c r="R11" s="41">
        <v>1008.3463266420013</v>
      </c>
      <c r="S11" s="42">
        <v>1446.1848903912028</v>
      </c>
      <c r="T11" s="41">
        <v>1007.2798295129245</v>
      </c>
      <c r="U11" s="42">
        <v>1527.6934384706287</v>
      </c>
      <c r="V11" s="41">
        <v>1006.159638440096</v>
      </c>
      <c r="W11" s="42">
        <v>1618.4146085795894</v>
      </c>
      <c r="X11" s="41">
        <v>1004.967032946527</v>
      </c>
      <c r="Y11" s="42">
        <v>1720.0840613588468</v>
      </c>
      <c r="Z11" s="41">
        <v>1003.6710596579751</v>
      </c>
      <c r="AA11" s="42">
        <v>1835.0018708369475</v>
      </c>
      <c r="AB11" s="41">
        <v>1002.2146776050377</v>
      </c>
      <c r="AC11" s="42">
        <v>1966.3926447450665</v>
      </c>
      <c r="AD11" s="41">
        <v>1000.4761929155811</v>
      </c>
      <c r="AE11" s="42">
        <v>2119.2403425141683</v>
      </c>
      <c r="AF11" s="41">
        <v>998.13303535353737</v>
      </c>
      <c r="AG11" s="42">
        <v>2302.8008868741572</v>
      </c>
      <c r="AH11" s="41">
        <v>993.96073374570608</v>
      </c>
      <c r="AI11" s="42">
        <v>2541.9035120368976</v>
      </c>
      <c r="AJ11" s="41"/>
      <c r="AK11" s="42"/>
      <c r="AL11" s="41"/>
      <c r="AM11" s="42"/>
      <c r="AN11" s="41"/>
      <c r="AO11" s="42"/>
      <c r="AP11" s="41"/>
      <c r="AQ11" s="42"/>
      <c r="AR11" s="41"/>
      <c r="AS11" s="42"/>
      <c r="AT11" s="41"/>
      <c r="AU11" s="42"/>
      <c r="AV11" s="41"/>
      <c r="AW11" s="42"/>
    </row>
    <row r="12" spans="1:49"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v>1000</v>
      </c>
      <c r="AA12" s="42">
        <v>1000</v>
      </c>
      <c r="AB12" s="41">
        <v>1000</v>
      </c>
      <c r="AC12" s="42">
        <v>1000</v>
      </c>
      <c r="AD12" s="41">
        <v>1000</v>
      </c>
      <c r="AE12" s="42">
        <v>1000</v>
      </c>
      <c r="AF12" s="41">
        <v>1000</v>
      </c>
      <c r="AG12" s="42">
        <v>1000</v>
      </c>
      <c r="AH12" s="41">
        <v>1000</v>
      </c>
      <c r="AI12" s="42">
        <v>1000</v>
      </c>
      <c r="AJ12" s="41"/>
      <c r="AK12" s="42"/>
      <c r="AL12" s="41"/>
      <c r="AM12" s="42"/>
      <c r="AN12" s="41"/>
      <c r="AO12" s="42"/>
      <c r="AP12" s="41"/>
      <c r="AQ12" s="42"/>
      <c r="AR12" s="41"/>
      <c r="AS12" s="42"/>
      <c r="AT12" s="41"/>
      <c r="AU12" s="42"/>
      <c r="AV12" s="41"/>
      <c r="AW12" s="42"/>
    </row>
    <row r="13" spans="1:49" x14ac:dyDescent="0.2">
      <c r="A13" t="s">
        <v>17</v>
      </c>
      <c r="B13" s="97">
        <v>1000</v>
      </c>
      <c r="C13" s="98">
        <v>1000</v>
      </c>
      <c r="D13" s="97">
        <v>1001.3387816586725</v>
      </c>
      <c r="E13" s="98">
        <v>1001.3387816586725</v>
      </c>
      <c r="F13" s="97">
        <v>1002.7851577954325</v>
      </c>
      <c r="G13" s="98">
        <v>1002.7851577954325</v>
      </c>
      <c r="H13" s="97">
        <v>1004.3496434641202</v>
      </c>
      <c r="I13" s="98">
        <v>1004.3496434641202</v>
      </c>
      <c r="J13" s="97">
        <v>1006.0443826313575</v>
      </c>
      <c r="K13" s="98">
        <v>1006.0443826313575</v>
      </c>
      <c r="L13" s="97">
        <v>1007.883473994298</v>
      </c>
      <c r="M13" s="98">
        <v>1007.883473994298</v>
      </c>
      <c r="N13" s="97">
        <v>1009.8833636706905</v>
      </c>
      <c r="O13" s="98">
        <v>1009.8833636706905</v>
      </c>
      <c r="P13" s="97">
        <v>1012.0633458003937</v>
      </c>
      <c r="Q13" s="98">
        <v>1012.0633458003937</v>
      </c>
      <c r="R13" s="97">
        <v>1014.4461873686281</v>
      </c>
      <c r="S13" s="98">
        <v>1014.4461873686281</v>
      </c>
      <c r="T13" s="97">
        <v>1017.0588429341034</v>
      </c>
      <c r="U13" s="98">
        <v>1017.0588429341034</v>
      </c>
      <c r="V13" s="97">
        <v>1019.9333364014777</v>
      </c>
      <c r="W13" s="98">
        <v>1019.9333364014777</v>
      </c>
      <c r="X13" s="97">
        <v>1023.1077042845012</v>
      </c>
      <c r="Y13" s="98">
        <v>1023.1077042845012</v>
      </c>
      <c r="Z13" s="97">
        <v>1026.6265328180175</v>
      </c>
      <c r="AA13" s="98">
        <v>1026.6265328180175</v>
      </c>
      <c r="AB13" s="97">
        <v>1030.539782153829</v>
      </c>
      <c r="AC13" s="98">
        <v>1030.539782153829</v>
      </c>
      <c r="AD13" s="97">
        <v>1034.8943895631519</v>
      </c>
      <c r="AE13" s="98">
        <v>1034.8943895631519</v>
      </c>
      <c r="AF13" s="97">
        <v>1039.6907547797096</v>
      </c>
      <c r="AG13" s="98">
        <v>1039.6907547797096</v>
      </c>
      <c r="AH13" s="97">
        <v>1044.6033585322552</v>
      </c>
      <c r="AI13" s="98">
        <v>1044.6033585322552</v>
      </c>
      <c r="AJ13" s="97"/>
      <c r="AK13" s="98"/>
      <c r="AL13" s="97"/>
      <c r="AM13" s="98"/>
      <c r="AN13" s="97"/>
      <c r="AO13" s="98"/>
      <c r="AP13" s="97"/>
      <c r="AQ13" s="98"/>
      <c r="AR13" s="97"/>
      <c r="AS13" s="98"/>
      <c r="AT13" s="97"/>
      <c r="AU13" s="98"/>
      <c r="AV13" s="97"/>
      <c r="AW13" s="98"/>
    </row>
    <row r="14" spans="1:49" x14ac:dyDescent="0.2">
      <c r="A14" t="s">
        <v>36</v>
      </c>
      <c r="B14" s="41">
        <v>1457.0034251455234</v>
      </c>
      <c r="C14" s="42">
        <v>1457.0034251455236</v>
      </c>
      <c r="D14" s="41">
        <v>1458.954034607731</v>
      </c>
      <c r="E14" s="42">
        <v>1458.9540346077313</v>
      </c>
      <c r="F14" s="41">
        <v>1461.0614095930391</v>
      </c>
      <c r="G14" s="42">
        <v>1461.0614095930393</v>
      </c>
      <c r="H14" s="41">
        <v>1463.3408705709082</v>
      </c>
      <c r="I14" s="42">
        <v>1463.3408705709085</v>
      </c>
      <c r="J14" s="41">
        <v>1465.8101113423013</v>
      </c>
      <c r="K14" s="42">
        <v>1465.8101113423015</v>
      </c>
      <c r="L14" s="41">
        <v>1468.4896737572612</v>
      </c>
      <c r="M14" s="42">
        <v>1468.4896737572615</v>
      </c>
      <c r="N14" s="41">
        <v>1471.4035198656782</v>
      </c>
      <c r="O14" s="42">
        <v>1471.4035198656784</v>
      </c>
      <c r="P14" s="41">
        <v>1474.5797612954118</v>
      </c>
      <c r="Q14" s="42">
        <v>1474.579761295412</v>
      </c>
      <c r="R14" s="41">
        <v>1478.0515696219084</v>
      </c>
      <c r="S14" s="42">
        <v>1478.0515696219086</v>
      </c>
      <c r="T14" s="41">
        <v>1481.8582177295314</v>
      </c>
      <c r="U14" s="42">
        <v>1481.8582177295316</v>
      </c>
      <c r="V14" s="41">
        <v>1486.0463645570542</v>
      </c>
      <c r="W14" s="42">
        <v>1486.0463645570544</v>
      </c>
      <c r="X14" s="41">
        <v>1490.6714294352914</v>
      </c>
      <c r="Y14" s="42">
        <v>1490.6714294352917</v>
      </c>
      <c r="Z14" s="41">
        <v>1495.7983746611244</v>
      </c>
      <c r="AA14" s="42">
        <v>1495.7983746611246</v>
      </c>
      <c r="AB14" s="41">
        <v>1501.4999923468504</v>
      </c>
      <c r="AC14" s="42">
        <v>1501.4999923468506</v>
      </c>
      <c r="AD14" s="41">
        <v>1507.8446702573979</v>
      </c>
      <c r="AE14" s="42">
        <v>1507.8446702573981</v>
      </c>
      <c r="AF14" s="41">
        <v>1514.8329908061712</v>
      </c>
      <c r="AG14" s="42">
        <v>1514.8329908061714</v>
      </c>
      <c r="AH14" s="41">
        <v>1521.990671300013</v>
      </c>
      <c r="AI14" s="42">
        <v>1521.9906713000132</v>
      </c>
      <c r="AJ14" s="41"/>
      <c r="AK14" s="42"/>
      <c r="AL14" s="41"/>
      <c r="AM14" s="42"/>
      <c r="AN14" s="41"/>
      <c r="AO14" s="42"/>
      <c r="AP14" s="41"/>
      <c r="AQ14" s="42"/>
      <c r="AR14" s="41"/>
      <c r="AS14" s="42"/>
      <c r="AT14" s="41"/>
      <c r="AU14" s="42"/>
      <c r="AV14" s="41"/>
      <c r="AW14" s="42"/>
    </row>
    <row r="15" spans="1:49" x14ac:dyDescent="0.2">
      <c r="A15" t="s">
        <v>18</v>
      </c>
      <c r="B15" s="154">
        <v>1000</v>
      </c>
      <c r="C15" s="155">
        <v>1000</v>
      </c>
      <c r="D15" s="154">
        <v>992.40571143016814</v>
      </c>
      <c r="E15" s="155">
        <v>992.40571143016814</v>
      </c>
      <c r="F15" s="154">
        <v>983.27512076008293</v>
      </c>
      <c r="G15" s="155">
        <v>983.27512076008293</v>
      </c>
      <c r="H15" s="154">
        <v>972.43474117071082</v>
      </c>
      <c r="I15" s="155">
        <v>972.43474117071082</v>
      </c>
      <c r="J15" s="154">
        <v>959.68535301566988</v>
      </c>
      <c r="K15" s="155">
        <v>959.68535301566988</v>
      </c>
      <c r="L15" s="154">
        <v>944.79618016040911</v>
      </c>
      <c r="M15" s="155">
        <v>944.79618016040911</v>
      </c>
      <c r="N15" s="154">
        <v>927.49904240278022</v>
      </c>
      <c r="O15" s="155">
        <v>927.49904240278022</v>
      </c>
      <c r="P15" s="154">
        <v>907.4808169475632</v>
      </c>
      <c r="Q15" s="155">
        <v>907.4808169475632</v>
      </c>
      <c r="R15" s="154">
        <v>884.37463613112675</v>
      </c>
      <c r="S15" s="155">
        <v>884.37463613112675</v>
      </c>
      <c r="T15" s="154">
        <v>857.7463934858456</v>
      </c>
      <c r="U15" s="155">
        <v>857.7463934858456</v>
      </c>
      <c r="V15" s="154">
        <v>827.08235415943011</v>
      </c>
      <c r="W15" s="155">
        <v>827.08235415943011</v>
      </c>
      <c r="X15" s="154">
        <v>791.77274591940784</v>
      </c>
      <c r="Y15" s="155">
        <v>791.77274591940784</v>
      </c>
      <c r="Z15" s="154">
        <v>751.09501756145869</v>
      </c>
      <c r="AA15" s="155">
        <v>751.09501756145869</v>
      </c>
      <c r="AB15" s="154">
        <v>704.2058970591188</v>
      </c>
      <c r="AC15" s="155">
        <v>704.2058970591188</v>
      </c>
      <c r="AD15" s="154">
        <v>650.1782713829291</v>
      </c>
      <c r="AE15" s="155">
        <v>650.1782713829291</v>
      </c>
      <c r="AF15" s="154">
        <v>588.23871118920363</v>
      </c>
      <c r="AG15" s="155">
        <v>588.23871118920363</v>
      </c>
      <c r="AH15" s="154">
        <v>519.21173512553298</v>
      </c>
      <c r="AI15" s="155">
        <v>519.21173512553298</v>
      </c>
      <c r="AJ15" s="154"/>
      <c r="AK15" s="155"/>
      <c r="AL15" s="154"/>
      <c r="AM15" s="155"/>
      <c r="AN15" s="154"/>
      <c r="AO15" s="155"/>
      <c r="AP15" s="154"/>
      <c r="AQ15" s="155"/>
      <c r="AR15" s="154"/>
      <c r="AS15" s="155"/>
      <c r="AT15" s="154"/>
      <c r="AU15" s="155"/>
      <c r="AV15" s="154"/>
      <c r="AW15" s="155"/>
    </row>
    <row r="16" spans="1:49" s="29" customFormat="1" x14ac:dyDescent="0.2">
      <c r="A16" t="s">
        <v>61</v>
      </c>
      <c r="B16" s="41">
        <v>1000</v>
      </c>
      <c r="C16" s="42">
        <v>1000</v>
      </c>
      <c r="D16" s="41">
        <v>997.42721156790094</v>
      </c>
      <c r="E16" s="42">
        <v>995.15339715429172</v>
      </c>
      <c r="F16" s="41">
        <v>994.75052783282661</v>
      </c>
      <c r="G16" s="42">
        <v>989.67836963999275</v>
      </c>
      <c r="H16" s="41">
        <v>991.9587355413812</v>
      </c>
      <c r="I16" s="42">
        <v>983.530476529824</v>
      </c>
      <c r="J16" s="41">
        <v>989.03899041856209</v>
      </c>
      <c r="K16" s="42">
        <v>976.66546593685462</v>
      </c>
      <c r="L16" s="41">
        <v>985.97640473652348</v>
      </c>
      <c r="M16" s="42">
        <v>969.04360468356344</v>
      </c>
      <c r="N16" s="41">
        <v>982.75355129293132</v>
      </c>
      <c r="O16" s="42">
        <v>960.63518496049176</v>
      </c>
      <c r="P16" s="41">
        <v>979.34976733795122</v>
      </c>
      <c r="Q16" s="42">
        <v>951.43057236682762</v>
      </c>
      <c r="R16" s="41">
        <v>975.74015534743069</v>
      </c>
      <c r="S16" s="42">
        <v>941.45789955849455</v>
      </c>
      <c r="T16" s="41">
        <v>971.89389827122977</v>
      </c>
      <c r="U16" s="42">
        <v>930.82111749758303</v>
      </c>
      <c r="V16" s="41">
        <v>967.77174325383817</v>
      </c>
      <c r="W16" s="42">
        <v>919.76581983244535</v>
      </c>
      <c r="X16" s="41">
        <v>963.32140210088471</v>
      </c>
      <c r="Y16" s="42">
        <v>908.81930398783766</v>
      </c>
      <c r="Z16" s="41">
        <v>958.46846191319514</v>
      </c>
      <c r="AA16" s="42">
        <v>899.10693459315769</v>
      </c>
      <c r="AB16" s="41">
        <v>953.09623395642961</v>
      </c>
      <c r="AC16" s="42">
        <v>893.14075717702269</v>
      </c>
      <c r="AD16" s="41">
        <v>946.99249125867448</v>
      </c>
      <c r="AE16" s="42">
        <v>897.13988586652965</v>
      </c>
      <c r="AF16" s="41">
        <v>939.66951609205125</v>
      </c>
      <c r="AG16" s="42">
        <v>929.85858659813914</v>
      </c>
      <c r="AH16" s="41">
        <v>929.47545144989135</v>
      </c>
      <c r="AI16" s="42">
        <v>1074.9672043121464</v>
      </c>
      <c r="AJ16" s="41"/>
      <c r="AK16" s="42"/>
      <c r="AL16" s="41"/>
      <c r="AM16" s="42"/>
      <c r="AN16" s="41"/>
      <c r="AO16" s="42"/>
      <c r="AP16" s="41"/>
      <c r="AQ16" s="42"/>
      <c r="AR16" s="41"/>
      <c r="AS16" s="42"/>
      <c r="AT16" s="41"/>
      <c r="AU16" s="42"/>
      <c r="AV16" s="41"/>
      <c r="AW16" s="42"/>
    </row>
    <row r="17" spans="1:49" x14ac:dyDescent="0.2">
      <c r="A17" t="s">
        <v>62</v>
      </c>
      <c r="B17" s="35">
        <v>1000.0000000000002</v>
      </c>
      <c r="C17" s="36">
        <v>999.99999999999977</v>
      </c>
      <c r="D17" s="35">
        <v>999.20088373667591</v>
      </c>
      <c r="E17" s="36">
        <v>1019.1374302583087</v>
      </c>
      <c r="F17" s="35">
        <v>998.39421851054976</v>
      </c>
      <c r="G17" s="36">
        <v>1039.5255348289877</v>
      </c>
      <c r="H17" s="35">
        <v>997.57796846339602</v>
      </c>
      <c r="I17" s="36">
        <v>1061.316154346569</v>
      </c>
      <c r="J17" s="35">
        <v>996.74974889513919</v>
      </c>
      <c r="K17" s="36">
        <v>1084.688874672039</v>
      </c>
      <c r="L17" s="35">
        <v>995.90670223781603</v>
      </c>
      <c r="M17" s="36">
        <v>1109.8596716285872</v>
      </c>
      <c r="N17" s="35">
        <v>995.04533450706253</v>
      </c>
      <c r="O17" s="36">
        <v>1137.0917172566262</v>
      </c>
      <c r="P17" s="35">
        <v>994.16127139716104</v>
      </c>
      <c r="Q17" s="36">
        <v>1166.7113846891152</v>
      </c>
      <c r="R17" s="35">
        <v>993.24887253431132</v>
      </c>
      <c r="S17" s="36">
        <v>1199.1322824897779</v>
      </c>
      <c r="T17" s="35">
        <v>992.30048623031848</v>
      </c>
      <c r="U17" s="36">
        <v>1234.8971514995735</v>
      </c>
      <c r="V17" s="35">
        <v>991.30524468166868</v>
      </c>
      <c r="W17" s="36">
        <v>1274.7444962180682</v>
      </c>
      <c r="X17" s="35">
        <v>990.24667168362794</v>
      </c>
      <c r="Y17" s="36">
        <v>1319.7352467922649</v>
      </c>
      <c r="Z17" s="35">
        <v>989.0975263944606</v>
      </c>
      <c r="AA17" s="36">
        <v>1371.5137031744309</v>
      </c>
      <c r="AB17" s="35">
        <v>987.80761632012627</v>
      </c>
      <c r="AC17" s="36">
        <v>1432.9138071827942</v>
      </c>
      <c r="AD17" s="35">
        <v>986.26989129589913</v>
      </c>
      <c r="AE17" s="36">
        <v>1509.6415066760926</v>
      </c>
      <c r="AF17" s="35">
        <v>984.20085130142513</v>
      </c>
      <c r="AG17" s="36">
        <v>1616.3315772844694</v>
      </c>
      <c r="AH17" s="35">
        <v>980.52674321476729</v>
      </c>
      <c r="AI17" s="36">
        <v>1810.1400429810894</v>
      </c>
      <c r="AJ17" s="35"/>
      <c r="AK17" s="36"/>
      <c r="AL17" s="35"/>
      <c r="AM17" s="36"/>
      <c r="AN17" s="35"/>
      <c r="AO17" s="36"/>
      <c r="AP17" s="35"/>
      <c r="AQ17" s="36"/>
      <c r="AR17" s="35"/>
      <c r="AS17" s="36"/>
      <c r="AT17" s="35"/>
      <c r="AU17" s="36"/>
      <c r="AV17" s="35"/>
      <c r="AW17" s="36"/>
    </row>
    <row r="18" spans="1:49" x14ac:dyDescent="0.2">
      <c r="A18" t="s">
        <v>19</v>
      </c>
      <c r="B18" s="33">
        <v>27857.010133999996</v>
      </c>
      <c r="C18" s="34">
        <v>1236.7674480000003</v>
      </c>
      <c r="D18" s="33">
        <v>27283.766092351249</v>
      </c>
      <c r="E18" s="34">
        <v>1160.7429458923409</v>
      </c>
      <c r="F18" s="33">
        <v>26674.956269767274</v>
      </c>
      <c r="G18" s="34">
        <v>1085.4381651956148</v>
      </c>
      <c r="H18" s="33">
        <v>26027.327469110809</v>
      </c>
      <c r="I18" s="34">
        <v>1010.8973975694252</v>
      </c>
      <c r="J18" s="33">
        <v>25337.183850691279</v>
      </c>
      <c r="K18" s="34">
        <v>937.17066080132884</v>
      </c>
      <c r="L18" s="33">
        <v>24600.306780163046</v>
      </c>
      <c r="M18" s="34">
        <v>864.31578185830153</v>
      </c>
      <c r="N18" s="33">
        <v>23811.86393262499</v>
      </c>
      <c r="O18" s="34">
        <v>792.39886552399184</v>
      </c>
      <c r="P18" s="33">
        <v>22966.296980427156</v>
      </c>
      <c r="Q18" s="34">
        <v>721.49535693524103</v>
      </c>
      <c r="R18" s="33">
        <v>22057.190651846049</v>
      </c>
      <c r="S18" s="34">
        <v>651.69089094693732</v>
      </c>
      <c r="T18" s="33">
        <v>21077.120298225807</v>
      </c>
      <c r="U18" s="34">
        <v>583.08289572652063</v>
      </c>
      <c r="V18" s="33">
        <v>20017.495586277615</v>
      </c>
      <c r="W18" s="34">
        <v>515.77872851566644</v>
      </c>
      <c r="X18" s="33">
        <v>18868.415535491509</v>
      </c>
      <c r="Y18" s="34">
        <v>449.89253581606903</v>
      </c>
      <c r="Z18" s="33">
        <v>17618.661367227251</v>
      </c>
      <c r="AA18" s="34">
        <v>385.53291414165642</v>
      </c>
      <c r="AB18" s="33">
        <v>16256.13683308805</v>
      </c>
      <c r="AC18" s="34">
        <v>322.76716123877702</v>
      </c>
      <c r="AD18" s="33">
        <v>14769.926463743104</v>
      </c>
      <c r="AE18" s="34">
        <v>261.51388165247664</v>
      </c>
      <c r="AF18" s="33">
        <v>13159.195543173917</v>
      </c>
      <c r="AG18" s="34">
        <v>201.14551031862484</v>
      </c>
      <c r="AH18" s="33">
        <v>11481.814012003935</v>
      </c>
      <c r="AI18" s="34">
        <v>138.4711110128149</v>
      </c>
      <c r="AJ18" s="33"/>
      <c r="AK18" s="34"/>
      <c r="AL18" s="33"/>
      <c r="AM18" s="34"/>
      <c r="AN18" s="33"/>
      <c r="AO18" s="34"/>
      <c r="AP18" s="33"/>
      <c r="AQ18" s="34"/>
      <c r="AR18" s="33"/>
      <c r="AS18" s="34"/>
      <c r="AT18" s="33"/>
      <c r="AU18" s="34"/>
      <c r="AV18" s="33"/>
      <c r="AW18" s="34"/>
    </row>
    <row r="19" spans="1:49" x14ac:dyDescent="0.2">
      <c r="A19" t="s">
        <v>3</v>
      </c>
      <c r="B19" s="41">
        <v>1886.3937399999918</v>
      </c>
      <c r="C19" s="42">
        <v>262.78711299999759</v>
      </c>
      <c r="D19" s="41">
        <v>1843.6794115084717</v>
      </c>
      <c r="E19" s="42">
        <v>260.77349849977418</v>
      </c>
      <c r="F19" s="41">
        <v>1798.6958174016322</v>
      </c>
      <c r="G19" s="42">
        <v>258.49868674665396</v>
      </c>
      <c r="H19" s="41">
        <v>1751.2323839352241</v>
      </c>
      <c r="I19" s="42">
        <v>255.92662979534597</v>
      </c>
      <c r="J19" s="41">
        <v>1701.0504557019906</v>
      </c>
      <c r="K19" s="42">
        <v>253.01458196428561</v>
      </c>
      <c r="L19" s="41">
        <v>1647.8781239467046</v>
      </c>
      <c r="M19" s="42">
        <v>249.71231454097347</v>
      </c>
      <c r="N19" s="41">
        <v>1591.4044770266671</v>
      </c>
      <c r="O19" s="42">
        <v>245.96049807966503</v>
      </c>
      <c r="P19" s="41">
        <v>1531.272450179541</v>
      </c>
      <c r="Q19" s="42">
        <v>241.68904544634515</v>
      </c>
      <c r="R19" s="41">
        <v>1467.0704255439186</v>
      </c>
      <c r="S19" s="42">
        <v>236.81529729864917</v>
      </c>
      <c r="T19" s="41">
        <v>1398.3218083735708</v>
      </c>
      <c r="U19" s="42">
        <v>231.24381941725414</v>
      </c>
      <c r="V19" s="41">
        <v>1324.4742464331052</v>
      </c>
      <c r="W19" s="42">
        <v>224.86610079632086</v>
      </c>
      <c r="X19" s="41">
        <v>1244.8879533570282</v>
      </c>
      <c r="Y19" s="42">
        <v>217.56538786435732</v>
      </c>
      <c r="Z19" s="41">
        <v>1158.8290376003363</v>
      </c>
      <c r="AA19" s="42">
        <v>209.23359258972889</v>
      </c>
      <c r="AB19" s="41">
        <v>1065.4816862135965</v>
      </c>
      <c r="AC19" s="42">
        <v>199.82192520601347</v>
      </c>
      <c r="AD19" s="41">
        <v>964.03235156301434</v>
      </c>
      <c r="AE19" s="42">
        <v>189.50316755563506</v>
      </c>
      <c r="AF19" s="41">
        <v>854.0625759817583</v>
      </c>
      <c r="AG19" s="42">
        <v>179.29535894052728</v>
      </c>
      <c r="AH19" s="41">
        <v>737.70972827563469</v>
      </c>
      <c r="AI19" s="42">
        <v>174.47101813157869</v>
      </c>
      <c r="AJ19" s="41"/>
      <c r="AK19" s="42"/>
      <c r="AL19" s="41"/>
      <c r="AM19" s="42"/>
      <c r="AN19" s="41"/>
      <c r="AO19" s="42"/>
      <c r="AP19" s="41"/>
      <c r="AQ19" s="42"/>
      <c r="AR19" s="41"/>
      <c r="AS19" s="42"/>
      <c r="AT19" s="41"/>
      <c r="AU19" s="42"/>
      <c r="AV19" s="41"/>
      <c r="AW19" s="42"/>
    </row>
    <row r="20" spans="1:49" x14ac:dyDescent="0.2">
      <c r="A20" t="s">
        <v>127</v>
      </c>
      <c r="B20" s="82">
        <v>26548.356269999993</v>
      </c>
      <c r="C20" s="83">
        <v>1408.5418709999938</v>
      </c>
      <c r="D20" s="82">
        <v>25992.892673042752</v>
      </c>
      <c r="E20" s="83">
        <v>1338.1147774499941</v>
      </c>
      <c r="F20" s="82">
        <v>25403.836149782474</v>
      </c>
      <c r="G20" s="83">
        <v>1267.6876838999945</v>
      </c>
      <c r="H20" s="82">
        <v>24778.110011163168</v>
      </c>
      <c r="I20" s="83">
        <v>1197.2605903499946</v>
      </c>
      <c r="J20" s="82">
        <v>24112.220235532892</v>
      </c>
      <c r="K20" s="83">
        <v>1126.8334967999951</v>
      </c>
      <c r="L20" s="82">
        <v>23402.179649801132</v>
      </c>
      <c r="M20" s="83">
        <v>1056.4064032499953</v>
      </c>
      <c r="N20" s="82">
        <v>22643.422289882259</v>
      </c>
      <c r="O20" s="83">
        <v>985.97930969999561</v>
      </c>
      <c r="P20" s="82">
        <v>21830.69747460882</v>
      </c>
      <c r="Q20" s="83">
        <v>915.55221614999596</v>
      </c>
      <c r="R20" s="82">
        <v>20957.946187470763</v>
      </c>
      <c r="S20" s="83">
        <v>845.12512259999642</v>
      </c>
      <c r="T20" s="82">
        <v>20018.155375655395</v>
      </c>
      <c r="U20" s="83">
        <v>774.69802904999653</v>
      </c>
      <c r="V20" s="82">
        <v>19003.208531152297</v>
      </c>
      <c r="W20" s="83">
        <v>704.27093549999688</v>
      </c>
      <c r="X20" s="82">
        <v>17903.742925267637</v>
      </c>
      <c r="Y20" s="83">
        <v>633.84384194999734</v>
      </c>
      <c r="Z20" s="82">
        <v>16709.127209546063</v>
      </c>
      <c r="AA20" s="83">
        <v>563.41674839999757</v>
      </c>
      <c r="AB20" s="82">
        <v>15407.836860516963</v>
      </c>
      <c r="AC20" s="83">
        <v>492.98965484999775</v>
      </c>
      <c r="AD20" s="82">
        <v>13989.277675292717</v>
      </c>
      <c r="AE20" s="83">
        <v>422.56256129999798</v>
      </c>
      <c r="AF20" s="82">
        <v>12451.739667743068</v>
      </c>
      <c r="AG20" s="83">
        <v>352.13546774999827</v>
      </c>
      <c r="AH20" s="82">
        <v>10845.866494104943</v>
      </c>
      <c r="AI20" s="83">
        <v>281.70837419999856</v>
      </c>
      <c r="AJ20" s="82"/>
      <c r="AK20" s="83"/>
      <c r="AL20" s="82"/>
      <c r="AM20" s="83"/>
      <c r="AN20" s="82"/>
      <c r="AO20" s="83"/>
      <c r="AP20" s="82"/>
      <c r="AQ20" s="83"/>
      <c r="AR20" s="82"/>
      <c r="AS20" s="83"/>
      <c r="AT20" s="82"/>
      <c r="AU20" s="83"/>
      <c r="AV20" s="82"/>
      <c r="AW20" s="83"/>
    </row>
    <row r="21" spans="1:49" x14ac:dyDescent="0.2">
      <c r="A21" t="s">
        <v>76</v>
      </c>
      <c r="B21" s="82">
        <v>24661.962529999968</v>
      </c>
      <c r="C21" s="83">
        <v>1145.7547579999991</v>
      </c>
      <c r="D21" s="82">
        <v>24149.214798064924</v>
      </c>
      <c r="E21" s="83">
        <v>1077.4162184971838</v>
      </c>
      <c r="F21" s="82">
        <v>23605.146400476802</v>
      </c>
      <c r="G21" s="83">
        <v>1009.4926797925963</v>
      </c>
      <c r="H21" s="82">
        <v>23026.891102154692</v>
      </c>
      <c r="I21" s="83">
        <v>942.02596149012186</v>
      </c>
      <c r="J21" s="82">
        <v>22411.193411434491</v>
      </c>
      <c r="K21" s="83">
        <v>875.06425923803101</v>
      </c>
      <c r="L21" s="82">
        <v>21754.337930372392</v>
      </c>
      <c r="M21" s="83">
        <v>808.66269785873158</v>
      </c>
      <c r="N21" s="82">
        <v>21052.069461789742</v>
      </c>
      <c r="O21" s="83">
        <v>742.88463088899232</v>
      </c>
      <c r="P21" s="82">
        <v>20299.494230320477</v>
      </c>
      <c r="Q21" s="83">
        <v>677.80290299267369</v>
      </c>
      <c r="R21" s="82">
        <v>19490.964661617796</v>
      </c>
      <c r="S21" s="83">
        <v>613.50120117672259</v>
      </c>
      <c r="T21" s="82">
        <v>18619.944108674568</v>
      </c>
      <c r="U21" s="83">
        <v>550.07400320868703</v>
      </c>
      <c r="V21" s="82">
        <v>17678.868224952774</v>
      </c>
      <c r="W21" s="83">
        <v>487.6268706084025</v>
      </c>
      <c r="X21" s="82">
        <v>16659.013914528645</v>
      </c>
      <c r="Y21" s="83">
        <v>426.27300085491845</v>
      </c>
      <c r="Z21" s="82">
        <v>15550.483718803971</v>
      </c>
      <c r="AA21" s="83">
        <v>366.12174628295139</v>
      </c>
      <c r="AB21" s="82">
        <v>14342.569406973262</v>
      </c>
      <c r="AC21" s="83">
        <v>307.2456425243264</v>
      </c>
      <c r="AD21" s="82">
        <v>13025.492341907955</v>
      </c>
      <c r="AE21" s="83">
        <v>249.57830586129126</v>
      </c>
      <c r="AF21" s="82">
        <v>11597.96878090035</v>
      </c>
      <c r="AG21" s="83">
        <v>192.53677420797914</v>
      </c>
      <c r="AH21" s="82">
        <v>10108.544080236101</v>
      </c>
      <c r="AI21" s="83">
        <v>133.08774226633713</v>
      </c>
      <c r="AJ21" s="82"/>
      <c r="AK21" s="83"/>
      <c r="AL21" s="82"/>
      <c r="AM21" s="83"/>
      <c r="AN21" s="82"/>
      <c r="AO21" s="83"/>
      <c r="AP21" s="82"/>
      <c r="AQ21" s="83"/>
      <c r="AR21" s="82"/>
      <c r="AS21" s="83"/>
      <c r="AT21" s="82"/>
      <c r="AU21" s="83"/>
      <c r="AV21" s="82"/>
      <c r="AW21" s="83"/>
    </row>
    <row r="22" spans="1:49" x14ac:dyDescent="0.2">
      <c r="A22" t="s">
        <v>28</v>
      </c>
      <c r="B22" s="41">
        <v>6533.6044688320644</v>
      </c>
      <c r="C22" s="42">
        <v>379.90788307663382</v>
      </c>
      <c r="D22" s="41">
        <v>6398.8120610708911</v>
      </c>
      <c r="E22" s="42">
        <v>363.00656178461213</v>
      </c>
      <c r="F22" s="41">
        <v>6255.5205918134106</v>
      </c>
      <c r="G22" s="42">
        <v>345.93041149408975</v>
      </c>
      <c r="H22" s="41">
        <v>6102.9617628496389</v>
      </c>
      <c r="I22" s="42">
        <v>328.67618478260931</v>
      </c>
      <c r="J22" s="41">
        <v>5940.264433681521</v>
      </c>
      <c r="K22" s="42">
        <v>311.24039638137293</v>
      </c>
      <c r="L22" s="41">
        <v>5766.4359991306565</v>
      </c>
      <c r="M22" s="42">
        <v>293.61913780016556</v>
      </c>
      <c r="N22" s="41">
        <v>5580.3415272670582</v>
      </c>
      <c r="O22" s="42">
        <v>275.80813295265602</v>
      </c>
      <c r="P22" s="41">
        <v>5380.678093298623</v>
      </c>
      <c r="Q22" s="42">
        <v>257.80273113049532</v>
      </c>
      <c r="R22" s="41">
        <v>5165.9449403121907</v>
      </c>
      <c r="S22" s="42">
        <v>239.59797111253363</v>
      </c>
      <c r="T22" s="41">
        <v>4934.4076621290178</v>
      </c>
      <c r="U22" s="42">
        <v>221.18846960074677</v>
      </c>
      <c r="V22" s="41">
        <v>4684.0623362819333</v>
      </c>
      <c r="W22" s="42">
        <v>202.56884969247506</v>
      </c>
      <c r="X22" s="41">
        <v>4412.6011703111126</v>
      </c>
      <c r="Y22" s="42">
        <v>183.73417648837867</v>
      </c>
      <c r="Z22" s="41">
        <v>4117.4063260078638</v>
      </c>
      <c r="AA22" s="42">
        <v>164.68125733990848</v>
      </c>
      <c r="AB22" s="41">
        <v>3795.6390117041556</v>
      </c>
      <c r="AC22" s="42">
        <v>145.41194419842819</v>
      </c>
      <c r="AD22" s="41">
        <v>3444.6742411515238</v>
      </c>
      <c r="AE22" s="42">
        <v>125.94250122566416</v>
      </c>
      <c r="AF22" s="41">
        <v>3063.991834796409</v>
      </c>
      <c r="AG22" s="42">
        <v>106.33692873453002</v>
      </c>
      <c r="AH22" s="41">
        <v>2665.4764258496043</v>
      </c>
      <c r="AI22" s="42">
        <v>86.87423859888203</v>
      </c>
      <c r="AJ22" s="41"/>
      <c r="AK22" s="42"/>
      <c r="AL22" s="41"/>
      <c r="AM22" s="42"/>
      <c r="AN22" s="41"/>
      <c r="AO22" s="42"/>
      <c r="AP22" s="41"/>
      <c r="AQ22" s="42"/>
      <c r="AR22" s="41"/>
      <c r="AS22" s="42"/>
      <c r="AT22" s="41"/>
      <c r="AU22" s="42"/>
      <c r="AV22" s="41"/>
      <c r="AW22" s="42"/>
    </row>
    <row r="23" spans="1:49" x14ac:dyDescent="0.2">
      <c r="A23" t="s">
        <v>7</v>
      </c>
      <c r="B23" s="116">
        <v>3278.5018080150408</v>
      </c>
      <c r="C23" s="8">
        <v>0</v>
      </c>
      <c r="D23" s="116">
        <v>3213.6417967813018</v>
      </c>
      <c r="E23" s="8">
        <v>0</v>
      </c>
      <c r="F23" s="116">
        <v>3144.5343412177704</v>
      </c>
      <c r="G23" s="8">
        <v>0</v>
      </c>
      <c r="H23" s="116">
        <v>3070.7841922127368</v>
      </c>
      <c r="I23" s="8">
        <v>0</v>
      </c>
      <c r="J23" s="116">
        <v>2991.9420023454277</v>
      </c>
      <c r="K23" s="8">
        <v>0</v>
      </c>
      <c r="L23" s="116">
        <v>2907.4943068156063</v>
      </c>
      <c r="M23" s="8">
        <v>0</v>
      </c>
      <c r="N23" s="116">
        <v>2816.8523047871636</v>
      </c>
      <c r="O23" s="8">
        <v>0</v>
      </c>
      <c r="P23" s="116">
        <v>2719.3379407836742</v>
      </c>
      <c r="Q23" s="8">
        <v>0</v>
      </c>
      <c r="R23" s="116">
        <v>2614.1676194075917</v>
      </c>
      <c r="S23" s="8">
        <v>0</v>
      </c>
      <c r="T23" s="116">
        <v>2500.432626453945</v>
      </c>
      <c r="U23" s="8">
        <v>0</v>
      </c>
      <c r="V23" s="116">
        <v>2377.0791270126701</v>
      </c>
      <c r="W23" s="8">
        <v>0</v>
      </c>
      <c r="X23" s="116">
        <v>2242.8884120198263</v>
      </c>
      <c r="Y23" s="8">
        <v>0</v>
      </c>
      <c r="Z23" s="116">
        <v>2096.4715320757464</v>
      </c>
      <c r="AA23" s="8">
        <v>0</v>
      </c>
      <c r="AB23" s="116">
        <v>1936.3131828754706</v>
      </c>
      <c r="AC23" s="8">
        <v>0</v>
      </c>
      <c r="AD23" s="116">
        <v>1760.9966208689461</v>
      </c>
      <c r="AE23" s="8">
        <v>0</v>
      </c>
      <c r="AF23" s="116">
        <v>1570.1966987422059</v>
      </c>
      <c r="AG23" s="8">
        <v>0</v>
      </c>
      <c r="AH23" s="116">
        <v>1370.1200338526608</v>
      </c>
      <c r="AI23" s="8">
        <v>0</v>
      </c>
      <c r="AJ23" s="116"/>
      <c r="AK23" s="8"/>
      <c r="AL23" s="116"/>
      <c r="AM23" s="8"/>
      <c r="AN23" s="116"/>
      <c r="AO23" s="8"/>
      <c r="AP23" s="116"/>
      <c r="AQ23" s="8"/>
      <c r="AR23" s="116"/>
      <c r="AS23" s="8"/>
      <c r="AT23" s="116"/>
      <c r="AU23" s="8"/>
      <c r="AV23" s="116"/>
      <c r="AW23" s="8"/>
    </row>
    <row r="24" spans="1:49" x14ac:dyDescent="0.2">
      <c r="A24" t="s">
        <v>8</v>
      </c>
      <c r="B24" s="97">
        <v>3196.3846373657216</v>
      </c>
      <c r="C24" s="8">
        <v>0</v>
      </c>
      <c r="D24" s="97">
        <v>3133.1491878012052</v>
      </c>
      <c r="E24" s="8">
        <v>0</v>
      </c>
      <c r="F24" s="97">
        <v>3065.7726780933031</v>
      </c>
      <c r="G24" s="8">
        <v>0</v>
      </c>
      <c r="H24" s="97">
        <v>2993.8697635199896</v>
      </c>
      <c r="I24" s="8">
        <v>0</v>
      </c>
      <c r="J24" s="97">
        <v>2917.0023449346322</v>
      </c>
      <c r="K24" s="8">
        <v>0</v>
      </c>
      <c r="L24" s="97">
        <v>2834.6698202508724</v>
      </c>
      <c r="M24" s="8">
        <v>0</v>
      </c>
      <c r="N24" s="97">
        <v>2746.2981427137115</v>
      </c>
      <c r="O24" s="8">
        <v>0</v>
      </c>
      <c r="P24" s="97">
        <v>2651.2262437980312</v>
      </c>
      <c r="Q24" s="8">
        <v>0</v>
      </c>
      <c r="R24" s="97">
        <v>2548.6901338347102</v>
      </c>
      <c r="S24" s="8">
        <v>0</v>
      </c>
      <c r="T24" s="97">
        <v>2437.8038749409052</v>
      </c>
      <c r="U24" s="8">
        <v>0</v>
      </c>
      <c r="V24" s="97">
        <v>2317.5400405126547</v>
      </c>
      <c r="W24" s="8">
        <v>0</v>
      </c>
      <c r="X24" s="97">
        <v>2186.7104267466052</v>
      </c>
      <c r="Y24" s="8">
        <v>0</v>
      </c>
      <c r="Z24" s="97">
        <v>2043.960863795179</v>
      </c>
      <c r="AA24" s="8">
        <v>0</v>
      </c>
      <c r="AB24" s="97">
        <v>1887.8140316781657</v>
      </c>
      <c r="AC24" s="8">
        <v>0</v>
      </c>
      <c r="AD24" s="97">
        <v>1716.8886480804103</v>
      </c>
      <c r="AE24" s="8">
        <v>0</v>
      </c>
      <c r="AF24" s="97">
        <v>1530.8677217272752</v>
      </c>
      <c r="AG24" s="8">
        <v>0</v>
      </c>
      <c r="AH24" s="97">
        <v>1335.8024134230182</v>
      </c>
      <c r="AI24" s="8">
        <v>0</v>
      </c>
      <c r="AJ24" s="97"/>
      <c r="AK24" s="8"/>
      <c r="AL24" s="97"/>
      <c r="AM24" s="8"/>
      <c r="AN24" s="97"/>
      <c r="AO24" s="8"/>
      <c r="AP24" s="97"/>
      <c r="AQ24" s="8"/>
      <c r="AR24" s="97"/>
      <c r="AS24" s="8"/>
      <c r="AT24" s="97"/>
      <c r="AU24" s="8"/>
      <c r="AV24" s="97"/>
      <c r="AW24" s="8"/>
    </row>
    <row r="25" spans="1:49" x14ac:dyDescent="0.2">
      <c r="A25" t="s">
        <v>0</v>
      </c>
      <c r="B25" s="41">
        <v>3195.0476040000012</v>
      </c>
      <c r="C25" s="42">
        <v>91.012690000004397</v>
      </c>
      <c r="D25" s="41">
        <v>3134.5488010375961</v>
      </c>
      <c r="E25" s="42">
        <v>83.312485904859713</v>
      </c>
      <c r="F25" s="41">
        <v>3069.8000199724406</v>
      </c>
      <c r="G25" s="42">
        <v>75.891327704225205</v>
      </c>
      <c r="H25" s="41">
        <v>3000.4144440501859</v>
      </c>
      <c r="I25" s="42">
        <v>68.754828289212426</v>
      </c>
      <c r="J25" s="41">
        <v>2925.9519133875174</v>
      </c>
      <c r="K25" s="42">
        <v>61.908988177878186</v>
      </c>
      <c r="L25" s="41">
        <v>2845.9093679996563</v>
      </c>
      <c r="M25" s="42">
        <v>55.360193497881937</v>
      </c>
      <c r="N25" s="41">
        <v>2759.7098624216273</v>
      </c>
      <c r="O25" s="42">
        <v>49.11519122695519</v>
      </c>
      <c r="P25" s="41">
        <v>2666.6890572599686</v>
      </c>
      <c r="Q25" s="42">
        <v>43.181054805207744</v>
      </c>
      <c r="R25" s="41">
        <v>2566.079566106343</v>
      </c>
      <c r="S25" s="42">
        <v>37.565114606382522</v>
      </c>
      <c r="T25" s="41">
        <v>2456.9936112415357</v>
      </c>
      <c r="U25" s="42">
        <v>32.274763409916424</v>
      </c>
      <c r="V25" s="41">
        <v>2338.405436622968</v>
      </c>
      <c r="W25" s="42">
        <v>27.317183532525572</v>
      </c>
      <c r="X25" s="41">
        <v>2209.1374129189935</v>
      </c>
      <c r="Y25" s="42">
        <v>22.69882012508619</v>
      </c>
      <c r="Z25" s="41">
        <v>2067.8681735184705</v>
      </c>
      <c r="AA25" s="42">
        <v>18.424219197769546</v>
      </c>
      <c r="AB25" s="41">
        <v>1913.2086857133991</v>
      </c>
      <c r="AC25" s="42">
        <v>14.49350776133455</v>
      </c>
      <c r="AD25" s="41">
        <v>1744.0185490587617</v>
      </c>
      <c r="AE25" s="42">
        <v>10.896035740790152</v>
      </c>
      <c r="AF25" s="41">
        <v>1560.7329204174425</v>
      </c>
      <c r="AG25" s="42">
        <v>7.5901886547259956</v>
      </c>
      <c r="AH25" s="41">
        <v>1372.606719273223</v>
      </c>
      <c r="AI25" s="42">
        <v>4.4219306719997498</v>
      </c>
      <c r="AJ25" s="41"/>
      <c r="AK25" s="42"/>
      <c r="AL25" s="41"/>
      <c r="AM25" s="42"/>
      <c r="AN25" s="41"/>
      <c r="AO25" s="42"/>
      <c r="AP25" s="41"/>
      <c r="AQ25" s="42"/>
      <c r="AR25" s="41"/>
      <c r="AS25" s="42"/>
      <c r="AT25" s="41"/>
      <c r="AU25" s="42"/>
      <c r="AV25" s="41"/>
      <c r="AW25" s="42"/>
    </row>
    <row r="26" spans="1:49" x14ac:dyDescent="0.2">
      <c r="A26" t="s">
        <v>27</v>
      </c>
      <c r="B26" s="33">
        <v>5036.2953101960647</v>
      </c>
      <c r="C26" s="34">
        <v>74.905331803938267</v>
      </c>
      <c r="D26" s="33">
        <v>4843.6539013108086</v>
      </c>
      <c r="E26" s="34">
        <v>69.227740547934246</v>
      </c>
      <c r="F26" s="33">
        <v>4646.1919726713877</v>
      </c>
      <c r="G26" s="34">
        <v>63.710222523993636</v>
      </c>
      <c r="H26" s="33">
        <v>4443.7042373395843</v>
      </c>
      <c r="I26" s="34">
        <v>58.356195256176704</v>
      </c>
      <c r="J26" s="33">
        <v>4235.9748044077351</v>
      </c>
      <c r="K26" s="34">
        <v>53.169280097809228</v>
      </c>
      <c r="L26" s="33">
        <v>4022.7785341035847</v>
      </c>
      <c r="M26" s="34">
        <v>48.153635239319058</v>
      </c>
      <c r="N26" s="33">
        <v>3803.8837951596702</v>
      </c>
      <c r="O26" s="34">
        <v>43.313841133967436</v>
      </c>
      <c r="P26" s="33">
        <v>3579.0561469191125</v>
      </c>
      <c r="Q26" s="34">
        <v>38.654893622488764</v>
      </c>
      <c r="R26" s="33">
        <v>3348.0642231619972</v>
      </c>
      <c r="S26" s="34">
        <v>34.182146995453635</v>
      </c>
      <c r="T26" s="33">
        <v>3110.6953073923437</v>
      </c>
      <c r="U26" s="34">
        <v>29.901603106095632</v>
      </c>
      <c r="V26" s="33">
        <v>2866.7751706362465</v>
      </c>
      <c r="W26" s="34">
        <v>25.819477574058492</v>
      </c>
      <c r="X26" s="33">
        <v>2616.2052557047841</v>
      </c>
      <c r="Y26" s="34">
        <v>21.941984416020489</v>
      </c>
      <c r="Z26" s="33">
        <v>2359.0426024158423</v>
      </c>
      <c r="AA26" s="34">
        <v>18.274638629342562</v>
      </c>
      <c r="AB26" s="33">
        <v>2095.6692283887242</v>
      </c>
      <c r="AC26" s="34">
        <v>14.820302749304231</v>
      </c>
      <c r="AD26" s="33">
        <v>1827.2178627762162</v>
      </c>
      <c r="AE26" s="34">
        <v>11.573834196043661</v>
      </c>
      <c r="AF26" s="33">
        <v>1556.9976905788026</v>
      </c>
      <c r="AG26" s="34">
        <v>8.5039629680885884</v>
      </c>
      <c r="AH26" s="33">
        <v>1297.3900841218772</v>
      </c>
      <c r="AI26" s="34">
        <v>5.4702069832191951</v>
      </c>
      <c r="AJ26" s="33"/>
      <c r="AK26" s="34"/>
      <c r="AL26" s="33"/>
      <c r="AM26" s="34"/>
      <c r="AN26" s="33"/>
      <c r="AO26" s="34"/>
      <c r="AP26" s="33"/>
      <c r="AQ26" s="34"/>
      <c r="AR26" s="33"/>
      <c r="AS26" s="34"/>
      <c r="AT26" s="33"/>
      <c r="AU26" s="34"/>
      <c r="AV26" s="33"/>
      <c r="AW26" s="34"/>
    </row>
    <row r="27" spans="1:49" x14ac:dyDescent="0.2">
      <c r="A27" t="s">
        <v>2</v>
      </c>
      <c r="B27" s="35">
        <v>6425.1981590000305</v>
      </c>
      <c r="C27" s="36">
        <v>273.22915400000028</v>
      </c>
      <c r="D27" s="35">
        <v>6439.0151859157177</v>
      </c>
      <c r="E27" s="36">
        <v>259.41201498303997</v>
      </c>
      <c r="F27" s="35">
        <v>6452.7272049858138</v>
      </c>
      <c r="G27" s="36">
        <v>245.69992865044571</v>
      </c>
      <c r="H27" s="35">
        <v>6466.3289423568267</v>
      </c>
      <c r="I27" s="36">
        <v>232.09791193059453</v>
      </c>
      <c r="J27" s="35">
        <v>6479.8145969403622</v>
      </c>
      <c r="K27" s="36">
        <v>218.61240483721863</v>
      </c>
      <c r="L27" s="35">
        <v>6493.1759914904751</v>
      </c>
      <c r="M27" s="36">
        <v>205.25143851160234</v>
      </c>
      <c r="N27" s="35">
        <v>6506.4022567490792</v>
      </c>
      <c r="O27" s="36">
        <v>192.02524693654897</v>
      </c>
      <c r="P27" s="35">
        <v>6519.479241392296</v>
      </c>
      <c r="Q27" s="36">
        <v>178.94717652664892</v>
      </c>
      <c r="R27" s="35">
        <v>6532.3923176640146</v>
      </c>
      <c r="S27" s="36">
        <v>166.03522797371511</v>
      </c>
      <c r="T27" s="35">
        <v>6545.1149814182872</v>
      </c>
      <c r="U27" s="36">
        <v>153.31327964735749</v>
      </c>
      <c r="V27" s="35">
        <v>6557.6117632182322</v>
      </c>
      <c r="W27" s="36">
        <v>140.81506171245655</v>
      </c>
      <c r="X27" s="35">
        <v>6569.8353833626161</v>
      </c>
      <c r="Y27" s="36">
        <v>128.5905029489077</v>
      </c>
      <c r="Z27" s="35">
        <v>6581.7107654542588</v>
      </c>
      <c r="AA27" s="36">
        <v>116.71746144387001</v>
      </c>
      <c r="AB27" s="35">
        <v>6593.0987274073659</v>
      </c>
      <c r="AC27" s="36">
        <v>105.32823160159197</v>
      </c>
      <c r="AD27" s="35">
        <v>6603.750166773777</v>
      </c>
      <c r="AE27" s="36">
        <v>94.67774654413715</v>
      </c>
      <c r="AF27" s="35">
        <v>6613.0844107263465</v>
      </c>
      <c r="AG27" s="36">
        <v>85.343965977863064</v>
      </c>
      <c r="AH27" s="35">
        <v>6619.5267185159346</v>
      </c>
      <c r="AI27" s="36">
        <v>78.900583869684439</v>
      </c>
      <c r="AJ27" s="35"/>
      <c r="AK27" s="36"/>
      <c r="AL27" s="35"/>
      <c r="AM27" s="36"/>
      <c r="AN27" s="35"/>
      <c r="AO27" s="36"/>
      <c r="AP27" s="35"/>
      <c r="AQ27" s="36"/>
      <c r="AR27" s="35"/>
      <c r="AS27" s="36"/>
      <c r="AT27" s="35"/>
      <c r="AU27" s="36"/>
      <c r="AV27" s="35"/>
      <c r="AW27" s="36"/>
    </row>
    <row r="28" spans="1:49" x14ac:dyDescent="0.2">
      <c r="A28" t="s">
        <v>35</v>
      </c>
      <c r="B28" s="41">
        <v>13763.097676000029</v>
      </c>
      <c r="C28" s="42">
        <v>382.36647899999997</v>
      </c>
      <c r="D28" s="41">
        <v>13491.495071140194</v>
      </c>
      <c r="E28" s="42">
        <v>360.18781133785262</v>
      </c>
      <c r="F28" s="41">
        <v>13202.484533017412</v>
      </c>
      <c r="G28" s="42">
        <v>338.16566874986768</v>
      </c>
      <c r="H28" s="41">
        <v>12894.425559161597</v>
      </c>
      <c r="I28" s="42">
        <v>316.30461116156999</v>
      </c>
      <c r="J28" s="41">
        <v>12565.448529487137</v>
      </c>
      <c r="K28" s="42">
        <v>294.60986024122667</v>
      </c>
      <c r="L28" s="41">
        <v>12213.412404505943</v>
      </c>
      <c r="M28" s="42">
        <v>273.08767651290174</v>
      </c>
      <c r="N28" s="41">
        <v>11835.856109993694</v>
      </c>
      <c r="O28" s="42">
        <v>251.74524297650314</v>
      </c>
      <c r="P28" s="41">
        <v>11429.938302086821</v>
      </c>
      <c r="Q28" s="42">
        <v>230.59063894730684</v>
      </c>
      <c r="R28" s="41">
        <v>10992.366503506813</v>
      </c>
      <c r="S28" s="42">
        <v>209.63262719728436</v>
      </c>
      <c r="T28" s="41">
        <v>10519.314094046089</v>
      </c>
      <c r="U28" s="42">
        <v>188.88028519047143</v>
      </c>
      <c r="V28" s="41">
        <v>10006.332914187773</v>
      </c>
      <c r="W28" s="42">
        <v>168.34135147550788</v>
      </c>
      <c r="X28" s="41">
        <v>9448.2695658111115</v>
      </c>
      <c r="Y28" s="42">
        <v>148.01931296284945</v>
      </c>
      <c r="Z28" s="41">
        <v>8839.2491052600872</v>
      </c>
      <c r="AA28" s="42">
        <v>127.90586899493364</v>
      </c>
      <c r="AB28" s="41">
        <v>8172.8857328210306</v>
      </c>
      <c r="AC28" s="42">
        <v>107.96222577407596</v>
      </c>
      <c r="AD28" s="41">
        <v>7443.3274087502787</v>
      </c>
      <c r="AE28" s="42">
        <v>88.067589954328412</v>
      </c>
      <c r="AF28" s="41">
        <v>6649.8518093454459</v>
      </c>
      <c r="AG28" s="42">
        <v>67.843364985418091</v>
      </c>
      <c r="AH28" s="41">
        <v>5822.1564747281645</v>
      </c>
      <c r="AI28" s="42">
        <v>45.854200198871197</v>
      </c>
      <c r="AJ28" s="41"/>
      <c r="AK28" s="42"/>
      <c r="AL28" s="41"/>
      <c r="AM28" s="42"/>
      <c r="AN28" s="41"/>
      <c r="AO28" s="42"/>
      <c r="AP28" s="41"/>
      <c r="AQ28" s="42"/>
      <c r="AR28" s="41"/>
      <c r="AS28" s="42"/>
      <c r="AT28" s="41"/>
      <c r="AU28" s="42"/>
      <c r="AV28" s="41"/>
      <c r="AW28" s="42"/>
    </row>
    <row r="29" spans="1:49" x14ac:dyDescent="0.2">
      <c r="A29" t="s">
        <v>53</v>
      </c>
      <c r="B29" s="35">
        <v>14362.768558000025</v>
      </c>
      <c r="C29" s="36">
        <v>817.26650999999993</v>
      </c>
      <c r="D29" s="35">
        <v>14066.830380937499</v>
      </c>
      <c r="E29" s="36">
        <v>765.29208651843726</v>
      </c>
      <c r="F29" s="35">
        <v>13752.564739170637</v>
      </c>
      <c r="G29" s="36">
        <v>713.96699374932416</v>
      </c>
      <c r="H29" s="35">
        <v>13418.295387379168</v>
      </c>
      <c r="I29" s="36">
        <v>663.32318267960511</v>
      </c>
      <c r="J29" s="35">
        <v>13062.11806133517</v>
      </c>
      <c r="K29" s="36">
        <v>613.39655198416961</v>
      </c>
      <c r="L29" s="35">
        <v>12681.859157443247</v>
      </c>
      <c r="M29" s="36">
        <v>564.22822225698724</v>
      </c>
      <c r="N29" s="35">
        <v>12275.028921532523</v>
      </c>
      <c r="O29" s="36">
        <v>515.86482036196469</v>
      </c>
      <c r="P29" s="35">
        <v>11838.76359219911</v>
      </c>
      <c r="Q29" s="36">
        <v>468.35911883750015</v>
      </c>
      <c r="R29" s="35">
        <v>11369.757947306045</v>
      </c>
      <c r="S29" s="36">
        <v>421.77051910535579</v>
      </c>
      <c r="T29" s="35">
        <v>10864.186661165424</v>
      </c>
      <c r="U29" s="36">
        <v>376.16586256110872</v>
      </c>
      <c r="V29" s="35">
        <v>10317.623713379962</v>
      </c>
      <c r="W29" s="36">
        <v>331.61810290904737</v>
      </c>
      <c r="X29" s="35">
        <v>9724.9674104461501</v>
      </c>
      <c r="Y29" s="36">
        <v>288.20396859222438</v>
      </c>
      <c r="Z29" s="35">
        <v>9080.43594497913</v>
      </c>
      <c r="AA29" s="36">
        <v>245.9954999559821</v>
      </c>
      <c r="AB29" s="35">
        <v>8377.7922909523531</v>
      </c>
      <c r="AC29" s="36">
        <v>205.03626429931711</v>
      </c>
      <c r="AD29" s="35">
        <v>7611.3987227802227</v>
      </c>
      <c r="AE29" s="36">
        <v>165.27097411534939</v>
      </c>
      <c r="AF29" s="35">
        <v>6780.7797546839774</v>
      </c>
      <c r="AG29" s="36">
        <v>126.28823203544641</v>
      </c>
      <c r="AH29" s="35">
        <v>5915.5493785454009</v>
      </c>
      <c r="AI29" s="36">
        <v>86.036705748827117</v>
      </c>
      <c r="AJ29" s="35"/>
      <c r="AK29" s="36"/>
      <c r="AL29" s="35"/>
      <c r="AM29" s="36"/>
      <c r="AN29" s="35"/>
      <c r="AO29" s="36"/>
      <c r="AP29" s="35"/>
      <c r="AQ29" s="36"/>
      <c r="AR29" s="35"/>
      <c r="AS29" s="36"/>
      <c r="AT29" s="35"/>
      <c r="AU29" s="36"/>
      <c r="AV29" s="35"/>
      <c r="AW29" s="36"/>
    </row>
    <row r="30" spans="1:49" x14ac:dyDescent="0.2">
      <c r="A30" t="s">
        <v>48</v>
      </c>
      <c r="B30" s="119">
        <v>2924829.9599999995</v>
      </c>
      <c r="D30" s="119">
        <v>2863246.2186819389</v>
      </c>
      <c r="F30" s="119">
        <v>2797981.2512444914</v>
      </c>
      <c r="H30" s="119">
        <v>2728694.1260111476</v>
      </c>
      <c r="J30" s="119">
        <v>2654997.4447492044</v>
      </c>
      <c r="L30" s="119">
        <v>2576449.4954018467</v>
      </c>
      <c r="N30" s="119">
        <v>2492544.5252444679</v>
      </c>
      <c r="P30" s="119">
        <v>2402700.8018747414</v>
      </c>
      <c r="R30" s="119">
        <v>2306246.0780090452</v>
      </c>
      <c r="T30" s="119">
        <v>2202402.701893534</v>
      </c>
      <c r="V30" s="119">
        <v>2090268.65509677</v>
      </c>
      <c r="X30" s="119">
        <v>1968799.5357629482</v>
      </c>
      <c r="Z30" s="119">
        <v>1836801.665633369</v>
      </c>
      <c r="AB30" s="119">
        <v>1692961.6447037091</v>
      </c>
      <c r="AD30" s="119">
        <v>1536010.4064453363</v>
      </c>
      <c r="AF30" s="119">
        <v>1365472.4488807069</v>
      </c>
      <c r="AH30" s="119">
        <v>1185759.0960001508</v>
      </c>
      <c r="AJ30" s="119"/>
      <c r="AL30" s="119"/>
      <c r="AN30" s="119"/>
      <c r="AP30" s="119"/>
      <c r="AR30" s="119"/>
      <c r="AT30" s="119"/>
      <c r="AV30" s="119"/>
    </row>
    <row r="31" spans="1:49" x14ac:dyDescent="0.2">
      <c r="A31" t="s">
        <v>47</v>
      </c>
      <c r="B31" s="80">
        <v>1</v>
      </c>
      <c r="D31" s="80">
        <v>0.97804571325299594</v>
      </c>
      <c r="F31" s="80">
        <v>0.95478545441819773</v>
      </c>
      <c r="H31" s="80">
        <v>0.93010651634955155</v>
      </c>
      <c r="J31" s="80">
        <v>0.90388166300851625</v>
      </c>
      <c r="L31" s="80">
        <v>0.87596655409340685</v>
      </c>
      <c r="N31" s="80">
        <v>0.84619692916094658</v>
      </c>
      <c r="P31" s="80">
        <v>0.81438515047467286</v>
      </c>
      <c r="R31" s="80">
        <v>0.78031623615223711</v>
      </c>
      <c r="T31" s="80">
        <v>0.74374309978950648</v>
      </c>
      <c r="V31" s="80">
        <v>0.70438200458992628</v>
      </c>
      <c r="X31" s="80">
        <v>0.66190837457886331</v>
      </c>
      <c r="Z31" s="80">
        <v>0.61595689996820657</v>
      </c>
      <c r="AB31" s="80">
        <v>0.56613551422586694</v>
      </c>
      <c r="AD31" s="80">
        <v>0.51208871183369942</v>
      </c>
      <c r="AF31" s="80">
        <v>0.45376689951647786</v>
      </c>
      <c r="AH31" s="80">
        <v>0.39287974893122263</v>
      </c>
      <c r="AJ31" s="80"/>
      <c r="AL31" s="80"/>
      <c r="AN31" s="80"/>
      <c r="AP31" s="80"/>
      <c r="AR31" s="80"/>
      <c r="AT31" s="80"/>
      <c r="AV31" s="80"/>
    </row>
    <row r="32" spans="1:49" x14ac:dyDescent="0.2">
      <c r="A32" t="s">
        <v>64</v>
      </c>
      <c r="B32" s="86">
        <v>14734457.915000005</v>
      </c>
      <c r="D32" s="86">
        <v>14430262.912955076</v>
      </c>
      <c r="F32" s="86">
        <v>14107398.468448652</v>
      </c>
      <c r="H32" s="86">
        <v>13764120.881897345</v>
      </c>
      <c r="J32" s="86">
        <v>13398449.633101603</v>
      </c>
      <c r="L32" s="86">
        <v>13008123.25048265</v>
      </c>
      <c r="N32" s="86">
        <v>12590550.274122784</v>
      </c>
      <c r="P32" s="86">
        <v>12142748.257962601</v>
      </c>
      <c r="R32" s="86">
        <v>11661272.178117171</v>
      </c>
      <c r="T32" s="86">
        <v>11142126.250411136</v>
      </c>
      <c r="V32" s="86">
        <v>10580673.449427057</v>
      </c>
      <c r="X32" s="86">
        <v>9971540.6281696595</v>
      </c>
      <c r="Z32" s="86">
        <v>9308573.9183094297</v>
      </c>
      <c r="AB32" s="86">
        <v>8584977.1114596985</v>
      </c>
      <c r="AD32" s="86">
        <v>7794137.4790127482</v>
      </c>
      <c r="AF32" s="86">
        <v>6933384.2611410869</v>
      </c>
      <c r="AH32" s="86">
        <v>6024633.4009105042</v>
      </c>
      <c r="AJ32" s="86"/>
      <c r="AL32" s="86"/>
      <c r="AN32" s="86"/>
      <c r="AP32" s="86"/>
      <c r="AR32" s="86"/>
      <c r="AT32" s="86"/>
      <c r="AV32" s="86"/>
    </row>
    <row r="33" spans="1:49 16319:16321" x14ac:dyDescent="0.2">
      <c r="A33" t="s">
        <v>54</v>
      </c>
      <c r="B33" s="117">
        <v>7019665.6909999885</v>
      </c>
      <c r="D33" s="117">
        <v>6874743.7057377277</v>
      </c>
      <c r="F33" s="117">
        <v>6720927.3599030571</v>
      </c>
      <c r="H33" s="117">
        <v>6557385.9723387929</v>
      </c>
      <c r="J33" s="117">
        <v>6383175.9526203088</v>
      </c>
      <c r="L33" s="117">
        <v>6197219.9537454424</v>
      </c>
      <c r="N33" s="117">
        <v>5998283.3738200795</v>
      </c>
      <c r="P33" s="117">
        <v>5784945.3323969385</v>
      </c>
      <c r="R33" s="117">
        <v>5555564.5697899628</v>
      </c>
      <c r="T33" s="117">
        <v>5308237.482331004</v>
      </c>
      <c r="V33" s="117">
        <v>5040754.8522897651</v>
      </c>
      <c r="X33" s="117">
        <v>4750556.9342084844</v>
      </c>
      <c r="Z33" s="117">
        <v>4434711.9855772741</v>
      </c>
      <c r="AB33" s="117">
        <v>4089982.1059500519</v>
      </c>
      <c r="AD33" s="117">
        <v>3713217.0000562118</v>
      </c>
      <c r="AF33" s="117">
        <v>3303144.2441611425</v>
      </c>
      <c r="AH33" s="117">
        <v>2870204.8362193839</v>
      </c>
      <c r="AJ33" s="117"/>
      <c r="AL33" s="117"/>
      <c r="AN33" s="117"/>
      <c r="AP33" s="117"/>
      <c r="AR33" s="117"/>
      <c r="AT33" s="117"/>
      <c r="AV33" s="117"/>
    </row>
    <row r="34" spans="1:49 16319:16321" x14ac:dyDescent="0.2">
      <c r="A34" t="s">
        <v>75</v>
      </c>
      <c r="B34" s="117">
        <v>1136879.4410000162</v>
      </c>
      <c r="D34" s="117">
        <v>1113408.3769342098</v>
      </c>
      <c r="F34" s="117">
        <v>1088496.8435283799</v>
      </c>
      <c r="H34" s="117">
        <v>1062010.2586088283</v>
      </c>
      <c r="J34" s="117">
        <v>1033795.8638991194</v>
      </c>
      <c r="L34" s="117">
        <v>1003679.1230098599</v>
      </c>
      <c r="N34" s="117">
        <v>971460.07854225009</v>
      </c>
      <c r="P34" s="117">
        <v>936908.61643929011</v>
      </c>
      <c r="R34" s="117">
        <v>899758.95787015778</v>
      </c>
      <c r="T34" s="117">
        <v>859702.74686062732</v>
      </c>
      <c r="V34" s="117">
        <v>816382.27292606735</v>
      </c>
      <c r="X34" s="117">
        <v>769382.89182269387</v>
      </c>
      <c r="Z34" s="117">
        <v>718229.76252617477</v>
      </c>
      <c r="AB34" s="117">
        <v>662398.58205512352</v>
      </c>
      <c r="AD34" s="117">
        <v>601379.06568090245</v>
      </c>
      <c r="AF34" s="117">
        <v>534965.17414988286</v>
      </c>
      <c r="AH34" s="117">
        <v>464847.90353800944</v>
      </c>
      <c r="AJ34" s="117"/>
      <c r="AL34" s="117"/>
      <c r="AN34" s="117"/>
      <c r="AP34" s="117"/>
      <c r="AR34" s="117"/>
      <c r="AT34" s="117"/>
      <c r="AV34" s="117"/>
    </row>
    <row r="35" spans="1:49 16319:16321" x14ac:dyDescent="0.2">
      <c r="A35" t="s">
        <v>78</v>
      </c>
      <c r="B35" s="233">
        <v>1</v>
      </c>
      <c r="D35" s="233">
        <v>1.0013387825707232</v>
      </c>
      <c r="F35" s="233">
        <v>1.0027851586945165</v>
      </c>
      <c r="H35" s="233">
        <v>1.0043496451033023</v>
      </c>
      <c r="J35" s="233">
        <v>1.0060443835222519</v>
      </c>
      <c r="L35" s="233">
        <v>1.0078834738644378</v>
      </c>
      <c r="N35" s="233">
        <v>1.0098833634797542</v>
      </c>
      <c r="P35" s="233">
        <v>1.0120633470257048</v>
      </c>
      <c r="R35" s="233">
        <v>1.0144461871719326</v>
      </c>
      <c r="T35" s="233">
        <v>1.0170588422287501</v>
      </c>
      <c r="V35" s="233">
        <v>1.0199333366757093</v>
      </c>
      <c r="X35" s="233">
        <v>1.0231077049256267</v>
      </c>
      <c r="Z35" s="233">
        <v>1.0266265326587745</v>
      </c>
      <c r="AB35" s="233">
        <v>1.030539782388723</v>
      </c>
      <c r="AD35" s="233">
        <v>1.0348943893773452</v>
      </c>
      <c r="AF35" s="233">
        <v>1.039690754652886</v>
      </c>
      <c r="AH35" s="233">
        <v>1.0446033585323737</v>
      </c>
      <c r="AJ35" s="233"/>
      <c r="AL35" s="233"/>
      <c r="AN35" s="233"/>
      <c r="AP35" s="233"/>
      <c r="AR35" s="233"/>
      <c r="AT35" s="233"/>
      <c r="AV35" s="233"/>
    </row>
    <row r="36" spans="1:49 16319:16321" x14ac:dyDescent="0.2">
      <c r="A36" t="s">
        <v>21</v>
      </c>
      <c r="B36" s="37">
        <v>0.47195767671988198</v>
      </c>
      <c r="C36" s="38">
        <v>0.31738834428178964</v>
      </c>
      <c r="D36" s="37">
        <v>0.47197138117073967</v>
      </c>
      <c r="E36" s="38">
        <v>0.31887585445235611</v>
      </c>
      <c r="F36" s="37">
        <v>0.47198534839797363</v>
      </c>
      <c r="G36" s="38">
        <v>0.32044206463180408</v>
      </c>
      <c r="H36" s="37">
        <v>0.47199961895466852</v>
      </c>
      <c r="I36" s="38">
        <v>0.32209570160481399</v>
      </c>
      <c r="J36" s="37">
        <v>0.47201424057537011</v>
      </c>
      <c r="K36" s="38">
        <v>0.32384698160803554</v>
      </c>
      <c r="L36" s="37">
        <v>0.47202927172482384</v>
      </c>
      <c r="M36" s="38">
        <v>0.32570808717111033</v>
      </c>
      <c r="N36" s="37">
        <v>0.47204478465420707</v>
      </c>
      <c r="O36" s="38">
        <v>0.32769373809341551</v>
      </c>
      <c r="P36" s="37">
        <v>0.47206087047794637</v>
      </c>
      <c r="Q36" s="38">
        <v>0.32982204735059745</v>
      </c>
      <c r="R36" s="37">
        <v>0.47207764681526404</v>
      </c>
      <c r="S36" s="38">
        <v>0.33211581114543759</v>
      </c>
      <c r="T36" s="37">
        <v>0.47209527506984311</v>
      </c>
      <c r="U36" s="38">
        <v>0.33460483140864794</v>
      </c>
      <c r="V36" s="37">
        <v>0.47211398426581924</v>
      </c>
      <c r="W36" s="38">
        <v>0.33732955482936133</v>
      </c>
      <c r="X36" s="37">
        <v>0.47213412157637596</v>
      </c>
      <c r="Y36" s="38">
        <v>0.34034809194312665</v>
      </c>
      <c r="Z36" s="37">
        <v>0.47215626125752935</v>
      </c>
      <c r="AA36" s="38">
        <v>0.34375075833097407</v>
      </c>
      <c r="AB36" s="37">
        <v>0.4721814628878428</v>
      </c>
      <c r="AC36" s="38">
        <v>0.34769384048109381</v>
      </c>
      <c r="AD36" s="37">
        <v>0.47221199443043899</v>
      </c>
      <c r="AE36" s="38">
        <v>0.35249277132090001</v>
      </c>
      <c r="AF36" s="37">
        <v>0.47225392393473675</v>
      </c>
      <c r="AG36" s="38">
        <v>0.3589526392874694</v>
      </c>
      <c r="AH36" s="37">
        <v>0.47233082536330034</v>
      </c>
      <c r="AI36" s="38">
        <v>0.37013446773115394</v>
      </c>
      <c r="AJ36" s="37"/>
      <c r="AK36" s="38"/>
      <c r="AL36" s="37"/>
      <c r="AM36" s="38"/>
      <c r="AN36" s="37"/>
      <c r="AO36" s="38"/>
      <c r="AP36" s="37"/>
      <c r="AQ36" s="38"/>
      <c r="AR36" s="37"/>
      <c r="AS36" s="38"/>
      <c r="AT36" s="37"/>
      <c r="AU36" s="38"/>
      <c r="AV36" s="37"/>
      <c r="AW36" s="38"/>
    </row>
    <row r="37" spans="1:49 16319:16321" x14ac:dyDescent="0.2">
      <c r="B37" s="39">
        <v>2.1403217525954466E-2</v>
      </c>
      <c r="C37" s="40">
        <v>0.3496246130199252</v>
      </c>
      <c r="D37" s="39">
        <v>2.097518264363505E-2</v>
      </c>
      <c r="E37" s="40">
        <v>0.34704173316620596</v>
      </c>
      <c r="F37" s="39">
        <v>2.0540995508100051E-2</v>
      </c>
      <c r="G37" s="40">
        <v>0.34440204024617377</v>
      </c>
      <c r="H37" s="39">
        <v>2.0100322989870332E-2</v>
      </c>
      <c r="I37" s="40">
        <v>0.34170304600522194</v>
      </c>
      <c r="J37" s="39">
        <v>1.965279445178128E-2</v>
      </c>
      <c r="K37" s="40">
        <v>0.33894214480067852</v>
      </c>
      <c r="L37" s="39">
        <v>1.9197986466894561E-2</v>
      </c>
      <c r="M37" s="40">
        <v>0.33611662571387396</v>
      </c>
      <c r="N37" s="39">
        <v>1.8735411524074194E-2</v>
      </c>
      <c r="O37" s="40">
        <v>0.33322372567194508</v>
      </c>
      <c r="P37" s="39">
        <v>1.8264498703098743E-2</v>
      </c>
      <c r="Q37" s="40">
        <v>0.33026071762459203</v>
      </c>
      <c r="R37" s="39">
        <v>1.7784565311708828E-2</v>
      </c>
      <c r="S37" s="40">
        <v>0.3272250771381684</v>
      </c>
      <c r="T37" s="39">
        <v>1.7294760096678397E-2</v>
      </c>
      <c r="U37" s="40">
        <v>0.32411483740475366</v>
      </c>
      <c r="V37" s="39">
        <v>1.6793988549915286E-2</v>
      </c>
      <c r="W37" s="40">
        <v>0.32092927322520509</v>
      </c>
      <c r="X37" s="39">
        <v>1.6280760388881144E-2</v>
      </c>
      <c r="Y37" s="40">
        <v>0.31767032359977065</v>
      </c>
      <c r="Z37" s="39">
        <v>1.5752888357305869E-2</v>
      </c>
      <c r="AA37" s="40">
        <v>0.31434590118146932</v>
      </c>
      <c r="AB37" s="39">
        <v>1.520682014358149E-2</v>
      </c>
      <c r="AC37" s="40">
        <v>0.31097822828426336</v>
      </c>
      <c r="AD37" s="39">
        <v>1.4635886180507852E-2</v>
      </c>
      <c r="AE37" s="40">
        <v>0.30762840525425722</v>
      </c>
      <c r="AF37" s="39">
        <v>1.402455449152764E-2</v>
      </c>
      <c r="AG37" s="40">
        <v>0.3044894487234715</v>
      </c>
      <c r="AH37" s="39">
        <v>1.3321706753530603E-2</v>
      </c>
      <c r="AI37" s="40">
        <v>0.30242247666320815</v>
      </c>
      <c r="AJ37" s="39"/>
      <c r="AK37" s="40"/>
      <c r="AL37" s="39"/>
      <c r="AM37" s="40"/>
      <c r="AN37" s="39"/>
      <c r="AO37" s="40"/>
      <c r="AP37" s="39"/>
      <c r="AQ37" s="40"/>
      <c r="AR37" s="39"/>
      <c r="AS37" s="40"/>
      <c r="AT37" s="39"/>
      <c r="AU37" s="40"/>
      <c r="AV37" s="39"/>
      <c r="AW37" s="40"/>
    </row>
    <row r="38" spans="1:49 16319:16321" x14ac:dyDescent="0.2">
      <c r="A38" t="s">
        <v>22</v>
      </c>
      <c r="B38" s="37">
        <v>0.18079094942242827</v>
      </c>
      <c r="C38" s="38">
        <v>6.0565413429233668E-2</v>
      </c>
      <c r="D38" s="37">
        <v>0.17752878707858011</v>
      </c>
      <c r="E38" s="38">
        <v>5.9640888443835631E-2</v>
      </c>
      <c r="F38" s="37">
        <v>0.1741780539650693</v>
      </c>
      <c r="G38" s="38">
        <v>5.8695395617042768E-2</v>
      </c>
      <c r="H38" s="37">
        <v>0.17073225219198418</v>
      </c>
      <c r="I38" s="38">
        <v>5.7727119880303171E-2</v>
      </c>
      <c r="J38" s="37">
        <v>0.1671841207519266</v>
      </c>
      <c r="K38" s="38">
        <v>5.6733829089727128E-2</v>
      </c>
      <c r="L38" s="37">
        <v>0.1635255434028747</v>
      </c>
      <c r="M38" s="38">
        <v>5.5713011667781288E-2</v>
      </c>
      <c r="N38" s="37">
        <v>0.15974741859447267</v>
      </c>
      <c r="O38" s="38">
        <v>5.4661664747999314E-2</v>
      </c>
      <c r="P38" s="37">
        <v>0.15583949602190264</v>
      </c>
      <c r="Q38" s="38">
        <v>5.3576080914347859E-2</v>
      </c>
      <c r="R38" s="37">
        <v>0.15179014753094974</v>
      </c>
      <c r="S38" s="38">
        <v>5.245147273086076E-2</v>
      </c>
      <c r="T38" s="37">
        <v>0.14758635256516472</v>
      </c>
      <c r="U38" s="38">
        <v>5.1281907470186149E-2</v>
      </c>
      <c r="V38" s="37">
        <v>0.14321347834348852</v>
      </c>
      <c r="W38" s="38">
        <v>5.0059213663896263E-2</v>
      </c>
      <c r="X38" s="37">
        <v>0.13865527027342064</v>
      </c>
      <c r="Y38" s="38">
        <v>4.8771612483455601E-2</v>
      </c>
      <c r="Z38" s="37">
        <v>0.13389454245394231</v>
      </c>
      <c r="AA38" s="38">
        <v>4.7400981755419999E-2</v>
      </c>
      <c r="AB38" s="37">
        <v>0.12891557507827808</v>
      </c>
      <c r="AC38" s="38">
        <v>4.5916389673670836E-2</v>
      </c>
      <c r="AD38" s="37">
        <v>0.12371204875404296</v>
      </c>
      <c r="AE38" s="38">
        <v>4.4257054818313706E-2</v>
      </c>
      <c r="AF38" s="37">
        <v>0.11832012720461971</v>
      </c>
      <c r="AG38" s="38">
        <v>4.2277667319632804E-2</v>
      </c>
      <c r="AH38" s="37">
        <v>0.11299521859224421</v>
      </c>
      <c r="AI38" s="38">
        <v>3.950431929958987E-2</v>
      </c>
      <c r="AJ38" s="37"/>
      <c r="AK38" s="38"/>
      <c r="AL38" s="37"/>
      <c r="AM38" s="38"/>
      <c r="AN38" s="37"/>
      <c r="AO38" s="38"/>
      <c r="AP38" s="37"/>
      <c r="AQ38" s="38"/>
      <c r="AR38" s="37"/>
      <c r="AS38" s="38"/>
      <c r="AT38" s="37"/>
      <c r="AU38" s="38"/>
      <c r="AV38" s="37"/>
      <c r="AW38" s="38"/>
    </row>
    <row r="39" spans="1:49 16319:16321" x14ac:dyDescent="0.2">
      <c r="A39" t="s">
        <v>23</v>
      </c>
      <c r="B39" s="39">
        <v>0.23064923795098732</v>
      </c>
      <c r="C39" s="40">
        <v>0.22092201281804777</v>
      </c>
      <c r="D39" s="39">
        <v>0.23600170020959224</v>
      </c>
      <c r="E39" s="40">
        <v>0.2234879099640899</v>
      </c>
      <c r="F39" s="39">
        <v>0.24190207248059009</v>
      </c>
      <c r="G39" s="40">
        <v>0.22636013411797282</v>
      </c>
      <c r="H39" s="39">
        <v>0.24844383081709237</v>
      </c>
      <c r="I39" s="40">
        <v>0.22959591397568596</v>
      </c>
      <c r="J39" s="39">
        <v>0.25574328367055571</v>
      </c>
      <c r="K39" s="40">
        <v>0.23326851125524337</v>
      </c>
      <c r="L39" s="39">
        <v>0.26394695194315132</v>
      </c>
      <c r="M39" s="40">
        <v>0.2374727418146946</v>
      </c>
      <c r="N39" s="39">
        <v>0.27324203914312478</v>
      </c>
      <c r="O39" s="40">
        <v>0.24233407604586599</v>
      </c>
      <c r="P39" s="39">
        <v>0.28387159004990969</v>
      </c>
      <c r="Q39" s="40">
        <v>0.24802263078556527</v>
      </c>
      <c r="R39" s="39">
        <v>0.29615704106530422</v>
      </c>
      <c r="S39" s="40">
        <v>0.25477604533102827</v>
      </c>
      <c r="T39" s="39">
        <v>0.31053174669071043</v>
      </c>
      <c r="U39" s="40">
        <v>0.26293564906638073</v>
      </c>
      <c r="V39" s="39">
        <v>0.32759401569263258</v>
      </c>
      <c r="W39" s="40">
        <v>0.27301448068186351</v>
      </c>
      <c r="X39" s="39">
        <v>0.34819221417955043</v>
      </c>
      <c r="Y39" s="40">
        <v>0.28582493087077965</v>
      </c>
      <c r="Z39" s="39">
        <v>0.37356474639424098</v>
      </c>
      <c r="AA39" s="40">
        <v>0.30274318265076711</v>
      </c>
      <c r="AB39" s="39">
        <v>0.4055759861708132</v>
      </c>
      <c r="AC39" s="40">
        <v>0.32632883468486479</v>
      </c>
      <c r="AD39" s="39">
        <v>0.44710785683222731</v>
      </c>
      <c r="AE39" s="40">
        <v>0.36203717349870368</v>
      </c>
      <c r="AF39" s="39">
        <v>0.5025447329990288</v>
      </c>
      <c r="AG39" s="40">
        <v>0.4242896888062469</v>
      </c>
      <c r="AH39" s="39">
        <v>0.57652272642592828</v>
      </c>
      <c r="AI39" s="40">
        <v>0.56979815712161452</v>
      </c>
      <c r="AJ39" s="39"/>
      <c r="AK39" s="40"/>
      <c r="AL39" s="39"/>
      <c r="AM39" s="40"/>
      <c r="AN39" s="39"/>
      <c r="AO39" s="40"/>
      <c r="AP39" s="39"/>
      <c r="AQ39" s="40"/>
      <c r="AR39" s="39"/>
      <c r="AS39" s="40"/>
      <c r="AT39" s="39"/>
      <c r="AU39" s="40"/>
      <c r="AV39" s="39"/>
      <c r="AW39" s="40"/>
    </row>
    <row r="40" spans="1:49 16319:16321"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49 16319:16321" x14ac:dyDescent="0.2">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row>
    <row r="42" spans="1:49 16319:16321" x14ac:dyDescent="0.2">
      <c r="A42" t="s">
        <v>107</v>
      </c>
      <c r="B42" s="177">
        <f>10.8%+(1-10.8%)*(1-SUM(B26:C26)/SUM($B$26:$C$26))</f>
        <v>0.10800000000000001</v>
      </c>
      <c r="C42" s="135"/>
      <c r="D42" s="177">
        <f>10.8%+(1-10.8%)*(1-SUM(D26:E26)/SUM($B$26:$C$26))</f>
        <v>0.14261037054041054</v>
      </c>
      <c r="E42" s="135"/>
      <c r="F42" s="177">
        <f>10.8%+(1-10.8%)*(1-SUM(F26:G26)/SUM($B$26:$C$26))</f>
        <v>0.17803407606586441</v>
      </c>
      <c r="G42" s="135"/>
      <c r="H42" s="177">
        <f>10.8%+(1-10.8%)*(1-SUM(H26:I26)/SUM($B$26:$C$26))</f>
        <v>0.21430634656047687</v>
      </c>
      <c r="I42" s="135"/>
      <c r="J42" s="177">
        <f>10.8%+(1-10.8%)*(1-SUM(J26:K26)/SUM($B$26:$C$26))</f>
        <v>0.25146422702712157</v>
      </c>
      <c r="K42" s="135"/>
      <c r="L42" s="177">
        <f>10.8%+(1-10.8%)*(1-SUM(L26:M26)/SUM($B$26:$C$26))</f>
        <v>0.28954628288022743</v>
      </c>
      <c r="M42" s="135"/>
      <c r="N42" s="177">
        <f>10.8%+(1-10.8%)*(1-SUM(N26:O26)/SUM($B$26:$C$26))</f>
        <v>0.32859213872865956</v>
      </c>
      <c r="O42" s="135"/>
      <c r="P42" s="177">
        <f>10.8%+(1-10.8%)*(1-SUM(P26:Q26)/SUM($B$26:$C$26))</f>
        <v>0.36864183697934627</v>
      </c>
      <c r="Q42" s="135"/>
      <c r="R42" s="177">
        <f>10.8%+(1-10.8%)*(1-SUM(R26:S26)/SUM($B$26:$C$26))</f>
        <v>0.40973482093633606</v>
      </c>
      <c r="S42" s="135"/>
      <c r="T42" s="177">
        <f>10.8%+(1-10.8%)*(1-SUM(T26:U26)/SUM($B$26:$C$26))</f>
        <v>0.45190716616665239</v>
      </c>
      <c r="U42" s="135"/>
      <c r="V42" s="177">
        <f>10.8%+(1-10.8%)*(1-SUM(V26:W26)/SUM($B$26:$C$26))</f>
        <v>0.49518819413945625</v>
      </c>
      <c r="W42" s="135"/>
      <c r="X42" s="177">
        <f>10.8%+(1-10.8%)*(1-SUM(X26:Y26)/SUM($B$26:$C$26))</f>
        <v>0.53959402046346905</v>
      </c>
      <c r="Y42" s="162"/>
      <c r="Z42" s="177">
        <f>10.8%+(1-10.8%)*(1-SUM(Z26:AA26)/SUM($B$26:$C$26))</f>
        <v>0.58511372815477447</v>
      </c>
      <c r="AA42" s="135"/>
      <c r="AB42" s="177">
        <f>10.8%+(1-10.8%)*(1-SUM(AB26:AC26)/SUM($B$26:$C$26))</f>
        <v>0.63168014843602771</v>
      </c>
      <c r="AC42" s="135"/>
      <c r="AD42" s="177">
        <f>10.8%+(1-10.8%)*(1-SUM(AD26:AE26)/SUM($B$26:$C$26))</f>
        <v>0.67909649638456626</v>
      </c>
      <c r="AE42" s="135"/>
      <c r="AF42" s="177">
        <f>10.8%+(1-10.8%)*(1-SUM(AF26:AG26)/SUM($B$26:$C$26))</f>
        <v>0.72679071459472044</v>
      </c>
      <c r="AG42" s="135"/>
      <c r="AH42" s="177">
        <f>10.8%+(1-10.8%)*(1-SUM(AH26:AI26)/SUM($B$26:$C$26))</f>
        <v>0.77262653903349832</v>
      </c>
      <c r="AI42" s="135"/>
      <c r="AJ42" s="177">
        <f>10.8%+(1-10.8%)*(1-SUM(AJ26:AK26)/SUM($B$26:$C$26))</f>
        <v>1</v>
      </c>
      <c r="AK42" s="135"/>
      <c r="AL42" s="177">
        <f>10.8%+(1-10.8%)*(1-SUM(AL26:AM26)/SUM($B$26:$C$26))</f>
        <v>1</v>
      </c>
      <c r="AM42" s="135"/>
      <c r="AN42" s="177">
        <f>10.8%+(1-10.8%)*(1-SUM(AN26:AO26)/SUM($B$26:$C$26))</f>
        <v>1</v>
      </c>
      <c r="AO42" s="135"/>
      <c r="AP42" s="177">
        <f>10.8%+(1-10.8%)*(1-SUM(AP26:AQ26)/SUM($B$26:$C$26))</f>
        <v>1</v>
      </c>
      <c r="AQ42" s="135"/>
      <c r="AR42" s="177">
        <f>10.8%+(1-10.8%)*(1-SUM(AR26:AS26)/SUM($B$26:$C$26))</f>
        <v>1</v>
      </c>
      <c r="AS42" s="135"/>
      <c r="AT42" s="177">
        <f>10.8%+(1-10.8%)*(1-SUM(AT26:AU26)/SUM($B$26:$C$26))</f>
        <v>1</v>
      </c>
      <c r="AU42" s="135"/>
      <c r="AV42" s="177">
        <f>10.8%+(1-10.8%)*(1-SUM(AV26:AW26)/SUM($B$26:$C$26))</f>
        <v>1</v>
      </c>
    </row>
    <row r="43" spans="1:49 16319:16321" x14ac:dyDescent="0.2">
      <c r="A43" t="s">
        <v>108</v>
      </c>
      <c r="B43" s="162">
        <f>SUM(B15:C15*B27:C27)/SUM(B15:C15*B27:C27,B13:C13*B26:C26)</f>
        <v>0.56058995943839174</v>
      </c>
      <c r="C43" s="135"/>
      <c r="D43" s="162">
        <f t="array" ref="D43">SUM(D15:E15*D27:E27)/SUM(D15:E15*D27:E27,D13:E13*D26:E26)</f>
        <v>0.57469940583023382</v>
      </c>
      <c r="E43" s="135"/>
      <c r="F43" s="162">
        <f t="array" ref="F43">SUM(F15:G15*F27:G27)/SUM(F15:G15*F27:G27,F13:G13*F26:G26)</f>
        <v>0.58238164582140506</v>
      </c>
      <c r="G43" s="135"/>
      <c r="H43" s="162">
        <f t="array" ref="H43">SUM(H15:I15*H27:I27)/SUM(H15:I15*H27:I27,H13:I13*H26:I26)</f>
        <v>0.59026113874772501</v>
      </c>
      <c r="I43" s="135"/>
      <c r="J43" s="162">
        <f t="array" ref="J43">SUM(J15:K15*J27:K27)/SUM(J15:K15*J27:K27,J13:K13*J26:K26)</f>
        <v>0.59835353893370491</v>
      </c>
      <c r="K43" s="135"/>
      <c r="L43" s="162">
        <f t="array" ref="L43">SUM(L15:M15*L27:M27)/SUM(L15:M15*L27:M27,L13:M13*L26:M26)</f>
        <v>0.60667623488482769</v>
      </c>
      <c r="M43" s="135"/>
      <c r="N43" s="162">
        <f t="array" ref="N43">SUM(N15:O15*N27:O27)/SUM(N15:O15*N27:O27,N13:O13*N26:O26)</f>
        <v>0.61524870400665466</v>
      </c>
      <c r="O43" s="135"/>
      <c r="P43" s="162">
        <f t="array" ref="P43">SUM(P15:Q15*P27:Q27)/SUM(P15:Q15*P27:Q27,P13:Q13*P26:Q26)</f>
        <v>0.62409287821153059</v>
      </c>
      <c r="Q43" s="135"/>
      <c r="R43" s="162">
        <f t="array" ref="R43">SUM(R15:S15*R27:S27)/SUM(R15:S15*R27:S27,R13:S13*R26:S26)</f>
        <v>0.63323385701486223</v>
      </c>
      <c r="S43" s="135"/>
      <c r="T43" s="162">
        <f t="array" ref="T43">SUM(T15:U15*T27:U27)/SUM(T15:U15*T27:U27,T13:U13*T26:U26)</f>
        <v>0.64269907371332791</v>
      </c>
      <c r="U43" s="135"/>
      <c r="V43" s="162">
        <f t="array" ref="V43">SUM(V15:W15*V27:W27)/SUM(V15:W15*V27:W27,V13:W13*V26:W26)</f>
        <v>0.65251905645710373</v>
      </c>
      <c r="W43" s="135"/>
      <c r="X43" s="162">
        <f t="array" ref="X43">SUM(X15:Y15*X27:Y27)/SUM(X15:Y15*X27:Y27,X13:Y13*X26:Y26)</f>
        <v>0.66272691280113061</v>
      </c>
      <c r="Y43" s="135"/>
      <c r="Z43" s="162">
        <f t="array" ref="Z43">SUM(Z15:AA15*Z27:AA27)/SUM(Z15:AA15*Z27:AA27,Z13:AA13*Z26:AA26)</f>
        <v>0.6733550458542793</v>
      </c>
      <c r="AA43" s="135"/>
      <c r="AB43" s="162">
        <f t="array" ref="AB43">SUM(AB15:AC15*AB27:AC27)/SUM(AB15:AC15*AB27:AC27,AB13:AC13*AB26:AC26)</f>
        <v>0.68442561970947746</v>
      </c>
      <c r="AC43" s="135"/>
      <c r="AD43" s="162">
        <f t="array" ref="AD43">SUM(AD15:AE15*AD27:AE27)/SUM(AD15:AE15*AD27:AE27,AD13:AE13*AD26:AE26)</f>
        <v>0.69592258817483188</v>
      </c>
      <c r="AE43" s="135"/>
      <c r="AF43" s="162">
        <f t="array" ref="AF43">SUM(AF15:AG15*AF27:AG27)/SUM(AF15:AG15*AF27:AG27,AF13:AG13*AF26:AG26)</f>
        <v>0.7076754341531154</v>
      </c>
      <c r="AG43" s="135"/>
      <c r="AH43" s="162">
        <f t="array" ref="AH43">SUM(AH15:AI15*AH27:AI27)/SUM(AH15:AI15*AH27:AI27,AH13:AI13*AH26:AI26)</f>
        <v>0.71874197345251112</v>
      </c>
      <c r="AI43" s="135"/>
      <c r="AJ43" s="162" t="e">
        <f t="array" ref="AJ43">SUM(AJ15:AK15*AJ27:AK27)/SUM(AJ15:AK15*AJ27:AK27,AJ13:AK13*AJ26:AK26)</f>
        <v>#DIV/0!</v>
      </c>
      <c r="AK43" s="135"/>
      <c r="AL43" s="162" t="e">
        <f t="array" ref="AL43">SUM(AL15:AM15*AL27:AM27)/SUM(AL15:AM15*AL27:AM27,AL13:AM13*AL26:AM26)</f>
        <v>#DIV/0!</v>
      </c>
      <c r="AM43" s="135"/>
      <c r="AN43" s="162" t="e">
        <f t="array" ref="AN43">SUM(AN15:AO15*AN27:AO27)/SUM(AN15:AO15*AN27:AO27,AN13:AO13*AN26:AO26)</f>
        <v>#DIV/0!</v>
      </c>
      <c r="AO43" s="135"/>
      <c r="AP43" s="162" t="e">
        <f t="array" ref="AP43">SUM(AP15:AQ15*AP27:AQ27)/SUM(AP15:AQ15*AP27:AQ27,AP13:AQ13*AP26:AQ26)</f>
        <v>#DIV/0!</v>
      </c>
      <c r="AQ43" s="135"/>
      <c r="AR43" s="162" t="e">
        <f t="array" ref="AR43">SUM(AR15:AS15*AR27:AS27)/SUM(AR15:AS15*AR27:AS27,AR13:AS13*AR26:AS26)</f>
        <v>#DIV/0!</v>
      </c>
      <c r="AS43" s="135"/>
      <c r="AT43" s="162" t="e">
        <f t="array" ref="AT43">SUM(AT15:AU15*AT27:AU27)/SUM(AT15:AU15*AT27:AU27,AT13:AU13*AT26:AU26)</f>
        <v>#DIV/0!</v>
      </c>
      <c r="AU43" s="135"/>
      <c r="AV43" s="162" t="e">
        <f t="array" ref="AV43">SUM(AV15:AW15*AV27:AW27)/SUM(AV15:AW15*AV27:AW27,AV13:AW13*AV26:AW26)</f>
        <v>#DIV/0!</v>
      </c>
    </row>
    <row r="44" spans="1:49 16319:16321" x14ac:dyDescent="0.2">
      <c r="A44" t="s">
        <v>142</v>
      </c>
      <c r="B44" s="193">
        <f>(SUM(B11:C11*B24:C24)+B34)/B32</f>
        <v>0.29754226190682465</v>
      </c>
      <c r="D44" s="193">
        <f>(SUM(D11:E11*D24:E24)+D34)/D32</f>
        <v>0.29754226037159653</v>
      </c>
      <c r="F44" s="193">
        <f>(SUM(F11:G11*F24:G24)+F34)/F32</f>
        <v>0.29754226038646714</v>
      </c>
      <c r="H44" s="193">
        <f>(SUM(H11:I11*H24:I24)+H34)/H32</f>
        <v>0.29754225934080669</v>
      </c>
      <c r="J44" s="193">
        <f>(SUM(J11:K11*J24:K24)+J34)/J32</f>
        <v>0.29754226071216039</v>
      </c>
      <c r="L44" s="193">
        <f>(SUM(L11:M11*L24:M24)+L34)/L32</f>
        <v>0.29754226131857631</v>
      </c>
      <c r="N44" s="193">
        <f>(SUM(N11:O11*N24:O24)+N34)/N32</f>
        <v>0.29754226113208376</v>
      </c>
      <c r="P44" s="193">
        <f>(SUM(P11:Q11*P24:Q24)+P34)/P32</f>
        <v>0.29754226078949836</v>
      </c>
      <c r="R44" s="193">
        <f>(SUM(R11:S11*R24:S24)+R34)/R32</f>
        <v>0.29754226117645766</v>
      </c>
      <c r="T44" s="193">
        <f>(SUM(T11:U11*T24:U24)+T34)/T32</f>
        <v>0.29754225933983819</v>
      </c>
      <c r="V44" s="193">
        <f>(SUM(V11:W11*V24:W24)+V34)/V32</f>
        <v>0.2975422629954807</v>
      </c>
      <c r="X44" s="193">
        <f>(SUM(X11:Y11*X24:Y24)+X34)/X32</f>
        <v>0.29754226472505152</v>
      </c>
      <c r="Z44" s="193">
        <f>(SUM(Z11:AA11*Z24:AA24)+Z34)/Z32</f>
        <v>0.2975422608121619</v>
      </c>
      <c r="AB44" s="193">
        <f>(SUM(AB11:AC11*AB24:AC24)+AB34)/AB32</f>
        <v>0.29754226249269533</v>
      </c>
      <c r="AD44" s="193">
        <f>(SUM(AD11:AE11*AD24:AE24)+AD34)/AD32</f>
        <v>0.29754226047679616</v>
      </c>
      <c r="AF44" s="193">
        <f>(SUM(AF11:AG11*AF24:AG24)+AF34)/AF32</f>
        <v>0.29754225963278158</v>
      </c>
      <c r="AH44" s="193">
        <f>(SUM(AH11:AI11*AH24:AI24)+AH34)/AH32</f>
        <v>0.29754226211545487</v>
      </c>
      <c r="AJ44" s="193" t="e">
        <f>(SUM(AJ11:AK11*AJ24:AK24)+AJ34)/AJ32</f>
        <v>#DIV/0!</v>
      </c>
      <c r="AL44" s="193" t="e">
        <f>(SUM(AL11:AM11*AL24:AM24)+AL34)/AL32</f>
        <v>#DIV/0!</v>
      </c>
      <c r="AN44" s="193" t="e">
        <f>(SUM(AN11:AO11*AN24:AO24)+AN34)/AN32</f>
        <v>#DIV/0!</v>
      </c>
      <c r="AP44" s="193" t="e">
        <f>(SUM(AP11:AQ11*AP24:AQ24)+AP34)/AP32</f>
        <v>#DIV/0!</v>
      </c>
      <c r="AR44" s="193" t="e">
        <f>(SUM(AR11:AS11*AR24:AS24)+AR34)/AR32</f>
        <v>#DIV/0!</v>
      </c>
      <c r="AT44" s="193" t="e">
        <f>(SUM(AT11:AU11*AT24:AU24)+AT34)/AT32</f>
        <v>#DIV/0!</v>
      </c>
      <c r="AV44" s="193" t="e">
        <f>(SUM(AV11:AW11*AV24:AW24)+AV34)/AV32</f>
        <v>#DIV/0!</v>
      </c>
    </row>
    <row r="45" spans="1:49 16319:16321" x14ac:dyDescent="0.2">
      <c r="A45" t="s">
        <v>82</v>
      </c>
      <c r="B45" s="193">
        <f>SUM(B11:C11*B24:C24)/B32</f>
        <v>0.22038438833194082</v>
      </c>
      <c r="D45" s="193">
        <f>SUM(D11:E11*D24:E24)/D32</f>
        <v>0.22038438849840813</v>
      </c>
      <c r="F45" s="193">
        <f>SUM(F11:G11*F24:G24)/F32</f>
        <v>0.22038438851074077</v>
      </c>
      <c r="H45" s="193">
        <f>SUM(H11:I11*H24:I24)/H32</f>
        <v>0.22038438869135676</v>
      </c>
      <c r="J45" s="193">
        <f>SUM(J11:K11*J24:K24)/J32</f>
        <v>0.22038438855469297</v>
      </c>
      <c r="L45" s="193">
        <f>SUM(L11:M11*L24:M24)/L32</f>
        <v>0.22038438822011686</v>
      </c>
      <c r="N45" s="193">
        <f>SUM(N11:O11*N24:O24)/N32</f>
        <v>0.2203843881724816</v>
      </c>
      <c r="P45" s="193">
        <f>SUM(P11:Q11*P24:Q24)/P32</f>
        <v>0.22038438873817645</v>
      </c>
      <c r="R45" s="193">
        <f>SUM(R11:S11*R24:S24)/R32</f>
        <v>0.22038438816509012</v>
      </c>
      <c r="T45" s="193">
        <f>SUM(T11:U11*T24:U24)/T32</f>
        <v>0.22038438771467106</v>
      </c>
      <c r="V45" s="193">
        <f>SUM(V11:W11*V24:W24)/V32</f>
        <v>0.22038438860986925</v>
      </c>
      <c r="X45" s="193">
        <f>SUM(X11:Y11*X24:Y24)/X32</f>
        <v>0.2203843890755072</v>
      </c>
      <c r="Z45" s="193">
        <f>SUM(Z11:AA11*Z24:AA24)/Z32</f>
        <v>0.22038438799198068</v>
      </c>
      <c r="AB45" s="193">
        <f>SUM(AB11:AC11*AB24:AC24)/AB32</f>
        <v>0.22038438851643072</v>
      </c>
      <c r="AD45" s="193">
        <f>SUM(AD11:AE11*AD24:AE24)/AD32</f>
        <v>0.22038438799889412</v>
      </c>
      <c r="AF45" s="193">
        <f>SUM(AF11:AG11*AF24:AG24)/AF32</f>
        <v>0.22038438780557679</v>
      </c>
      <c r="AH45" s="193">
        <f>SUM(AH11:AI11*AH24:AI24)/AH32</f>
        <v>0.22038438833217092</v>
      </c>
      <c r="AJ45" s="193" t="e">
        <f>SUM(AJ11:AK11*AJ24:AK24)/AJ32</f>
        <v>#DIV/0!</v>
      </c>
      <c r="AL45" s="193" t="e">
        <f>SUM(AL11:AM11*AL24:AM24)/AL32</f>
        <v>#DIV/0!</v>
      </c>
      <c r="AN45" s="193" t="e">
        <f>SUM(AN11:AO11*AN24:AO24)/AN32</f>
        <v>#DIV/0!</v>
      </c>
      <c r="AP45" s="193" t="e">
        <f>SUM(AP11:AQ11*AP24:AQ24)/AP32</f>
        <v>#DIV/0!</v>
      </c>
      <c r="AR45" s="193" t="e">
        <f>SUM(AR11:AS11*AR24:AS24)/AR32</f>
        <v>#DIV/0!</v>
      </c>
      <c r="AT45" s="193" t="e">
        <f>SUM(AT11:AU11*AT24:AU24)/AT32</f>
        <v>#DIV/0!</v>
      </c>
      <c r="AV45" s="193" t="e">
        <f>SUM(AV11:AW11*AV24:AW24)/AV32</f>
        <v>#DIV/0!</v>
      </c>
      <c r="XCQ45" s="193"/>
    </row>
    <row r="46" spans="1:49 16319:16321" x14ac:dyDescent="0.2">
      <c r="A46" t="s">
        <v>139</v>
      </c>
      <c r="B46" s="193">
        <f>B34/B32</f>
        <v>7.7157873574883795E-2</v>
      </c>
      <c r="D46" s="193">
        <f>D34/D32</f>
        <v>7.7157871873188386E-2</v>
      </c>
      <c r="F46" s="193">
        <f>F34/F32</f>
        <v>7.7157871875726397E-2</v>
      </c>
      <c r="H46" s="193">
        <f>H34/H32</f>
        <v>7.7157870649449942E-2</v>
      </c>
      <c r="J46" s="193">
        <f>J34/J32</f>
        <v>7.7157872157467403E-2</v>
      </c>
      <c r="L46" s="193">
        <f>L34/L32</f>
        <v>7.7157873098459423E-2</v>
      </c>
      <c r="N46" s="193">
        <f>N34/N32</f>
        <v>7.7157872959602178E-2</v>
      </c>
      <c r="P46" s="193">
        <f>P34/P32</f>
        <v>7.715787205132188E-2</v>
      </c>
      <c r="R46" s="193">
        <f>R34/R32</f>
        <v>7.715787301136752E-2</v>
      </c>
      <c r="T46" s="193">
        <f>T34/T32</f>
        <v>7.7157871625167143E-2</v>
      </c>
      <c r="V46" s="193">
        <f>V34/V32</f>
        <v>7.7157874385611475E-2</v>
      </c>
      <c r="X46" s="193">
        <f>X34/X32</f>
        <v>7.7157875649544336E-2</v>
      </c>
      <c r="Z46" s="193">
        <f>Z34/Z32</f>
        <v>7.7157872820181203E-2</v>
      </c>
      <c r="AB46" s="193">
        <f>AB34/AB32</f>
        <v>7.7157873976264599E-2</v>
      </c>
      <c r="AD46" s="193">
        <f>AD34/AD32</f>
        <v>7.7157872477902026E-2</v>
      </c>
      <c r="AF46" s="193">
        <f>AF34/AF32</f>
        <v>7.715787182720478E-2</v>
      </c>
      <c r="AH46" s="193">
        <f>AH34/AH32</f>
        <v>7.7157873783283953E-2</v>
      </c>
      <c r="AJ46" s="193" t="e">
        <f>AJ34/AJ32</f>
        <v>#DIV/0!</v>
      </c>
      <c r="AL46" s="193" t="e">
        <f>AL34/AL32</f>
        <v>#DIV/0!</v>
      </c>
      <c r="AN46" s="193" t="e">
        <f>AN34/AN32</f>
        <v>#DIV/0!</v>
      </c>
      <c r="AP46" s="193" t="e">
        <f>AP34/AP32</f>
        <v>#DIV/0!</v>
      </c>
      <c r="AR46" s="193" t="e">
        <f>AR34/AR32</f>
        <v>#DIV/0!</v>
      </c>
      <c r="AT46" s="193" t="e">
        <f>AT34/AT32</f>
        <v>#DIV/0!</v>
      </c>
      <c r="AV46" s="193" t="e">
        <f>AV34/AV32</f>
        <v>#DIV/0!</v>
      </c>
      <c r="XCS46" s="193"/>
    </row>
    <row r="48" spans="1:49 16319:16321" x14ac:dyDescent="0.2">
      <c r="A48" t="s">
        <v>159</v>
      </c>
      <c r="B48" s="191">
        <f>B24/$B$24</f>
        <v>1</v>
      </c>
      <c r="C48" s="191"/>
      <c r="D48" s="191">
        <f>D24/$B$24</f>
        <v>0.98021657067635282</v>
      </c>
      <c r="E48" s="191"/>
      <c r="F48" s="191">
        <f>F24/$B$24</f>
        <v>0.95913759635008711</v>
      </c>
      <c r="G48" s="191"/>
      <c r="H48" s="191">
        <f>H24/$B$24</f>
        <v>0.93664252059081565</v>
      </c>
      <c r="I48" s="191"/>
      <c r="J48" s="191">
        <f>J24/$B$24</f>
        <v>0.91259428256377173</v>
      </c>
      <c r="K48" s="191"/>
      <c r="L48" s="191">
        <f>L24/$B$24</f>
        <v>0.88683626717310404</v>
      </c>
      <c r="M48" s="191"/>
      <c r="N48" s="191">
        <f>N24/$B$24</f>
        <v>0.8591888819041047</v>
      </c>
      <c r="O48" s="191"/>
      <c r="P48" s="191">
        <f>P24/$B$24</f>
        <v>0.8294453091800057</v>
      </c>
      <c r="Q48" s="191"/>
      <c r="R48" s="191">
        <f>R24/$B$24</f>
        <v>0.79736653218781439</v>
      </c>
      <c r="S48" s="191"/>
      <c r="T48" s="191">
        <f>T24/$B$24</f>
        <v>0.76267538219367881</v>
      </c>
      <c r="U48" s="191"/>
      <c r="V48" s="191">
        <f>V24/$B$24</f>
        <v>0.72505042522749685</v>
      </c>
      <c r="W48" s="191"/>
      <c r="X48" s="191">
        <f>X24/$B$24</f>
        <v>0.68411992761571006</v>
      </c>
      <c r="Y48" s="191"/>
      <c r="Z48" s="191">
        <f>Z24/$B$24</f>
        <v>0.63946023263323382</v>
      </c>
      <c r="AA48" s="191"/>
      <c r="AB48" s="191">
        <f>AB24/$B$24</f>
        <v>0.59060915560963112</v>
      </c>
      <c r="AC48" s="191"/>
      <c r="AD48" s="191">
        <f>AD24/$B$24</f>
        <v>0.53713455759046957</v>
      </c>
      <c r="AE48" s="191"/>
      <c r="AF48" s="191">
        <f>AF24/$B$24</f>
        <v>0.47893726675802362</v>
      </c>
      <c r="AG48" s="191"/>
      <c r="AH48" s="191">
        <f>AH24/$B$24</f>
        <v>0.41791040971962329</v>
      </c>
      <c r="AI48" s="191"/>
      <c r="AJ48" s="191">
        <f>AJ24/$B$24</f>
        <v>0</v>
      </c>
      <c r="AK48" s="191"/>
      <c r="AL48" s="191">
        <f>AL24/$B$24</f>
        <v>0</v>
      </c>
      <c r="AM48" s="191"/>
      <c r="AN48" s="191">
        <f>AN24/$B$24</f>
        <v>0</v>
      </c>
      <c r="AO48" s="191"/>
      <c r="AP48" s="191">
        <f>AP24/$B$24</f>
        <v>0</v>
      </c>
      <c r="AQ48" s="191"/>
      <c r="AR48" s="191">
        <f>AR24/$B$24</f>
        <v>0</v>
      </c>
      <c r="AS48" s="191"/>
      <c r="AT48" s="191">
        <f>AT24/$B$24</f>
        <v>0</v>
      </c>
      <c r="AU48" s="191"/>
      <c r="AV48" s="191">
        <f>AV24/$B$24</f>
        <v>0</v>
      </c>
    </row>
    <row r="49" spans="1:48 16321:16384" x14ac:dyDescent="0.2">
      <c r="A49" t="s">
        <v>160</v>
      </c>
      <c r="B49" s="191">
        <f>B13/B35/$B$13*$B$35</f>
        <v>1</v>
      </c>
      <c r="C49" s="191"/>
      <c r="D49" s="191">
        <f>D13/D35/$B$13*$B$35</f>
        <v>0.9999999990891687</v>
      </c>
      <c r="E49" s="191"/>
      <c r="F49" s="191">
        <f>F13/F35/$B$13*$B$35</f>
        <v>0.9999999991034132</v>
      </c>
      <c r="G49" s="191"/>
      <c r="H49" s="191">
        <f>H13/H35/$B$13*$B$35</f>
        <v>0.99999999836791686</v>
      </c>
      <c r="I49" s="191"/>
      <c r="J49" s="191">
        <f>J13/J35/$B$13*$B$35</f>
        <v>0.99999999911445825</v>
      </c>
      <c r="K49" s="191"/>
      <c r="L49" s="191">
        <f>L13/L35/$B$13*$B$35</f>
        <v>1.0000000001288445</v>
      </c>
      <c r="M49" s="191"/>
      <c r="N49" s="191">
        <f>N13/N35/$B$13*$B$35</f>
        <v>1.0000000001890677</v>
      </c>
      <c r="O49" s="191"/>
      <c r="P49" s="191">
        <f>P13/P35/$B$13*$B$35</f>
        <v>0.99999999878929402</v>
      </c>
      <c r="Q49" s="191"/>
      <c r="R49" s="191">
        <f>R13/R35/$B$13*$B$35</f>
        <v>1.0000000001938945</v>
      </c>
      <c r="S49" s="191"/>
      <c r="T49" s="191">
        <f>T13/T35/$B$13*$B$35</f>
        <v>1.0000000006935226</v>
      </c>
      <c r="U49" s="191"/>
      <c r="V49" s="191">
        <f>V13/V35/$B$13*$B$35</f>
        <v>0.99999999973112796</v>
      </c>
      <c r="W49" s="191"/>
      <c r="X49" s="191">
        <f>X13/X35/$B$13*$B$35</f>
        <v>0.99999999937335471</v>
      </c>
      <c r="Y49" s="191"/>
      <c r="Z49" s="191">
        <f>Z13/Z35/$B$13*$B$35</f>
        <v>1.000000000155113</v>
      </c>
      <c r="AA49" s="191"/>
      <c r="AB49" s="191">
        <f>AB13/AB35/$B$13*$B$35</f>
        <v>0.99999999977206711</v>
      </c>
      <c r="AC49" s="191"/>
      <c r="AD49" s="191">
        <f>AD13/AD35/$B$13*$B$35</f>
        <v>1.0000000001795417</v>
      </c>
      <c r="AE49" s="191"/>
      <c r="AF49" s="191">
        <f>AF13/AF35/$B$13*$B$35</f>
        <v>1.000000000121982</v>
      </c>
      <c r="AG49" s="191"/>
      <c r="AH49" s="191">
        <f>AH13/AH35/$B$13*$B$35</f>
        <v>0.99999999999988654</v>
      </c>
      <c r="AI49" s="191"/>
      <c r="AJ49" s="191" t="e">
        <f>AJ13/AJ35/$B$13*$B$35</f>
        <v>#DIV/0!</v>
      </c>
      <c r="AK49" s="191"/>
      <c r="AL49" s="191" t="e">
        <f>AL13/AL35/$B$13*$B$35</f>
        <v>#DIV/0!</v>
      </c>
      <c r="AM49" s="191"/>
      <c r="AN49" s="191" t="e">
        <f>AN13/AN35/$B$13*$B$35</f>
        <v>#DIV/0!</v>
      </c>
      <c r="AO49" s="191"/>
      <c r="AP49" s="191" t="e">
        <f>AP13/AP35/$B$13*$B$35</f>
        <v>#DIV/0!</v>
      </c>
      <c r="AQ49" s="191"/>
      <c r="AR49" s="191" t="e">
        <f>AR13/AR35/$B$13*$B$35</f>
        <v>#DIV/0!</v>
      </c>
      <c r="AS49" s="191"/>
      <c r="AT49" s="191" t="e">
        <f>AT13/AT35/$B$13*$B$35</f>
        <v>#DIV/0!</v>
      </c>
      <c r="AU49" s="191"/>
      <c r="AV49" s="191" t="e">
        <f>AV13/AV35/$B$13*$B$35</f>
        <v>#DIV/0!</v>
      </c>
    </row>
    <row r="51" spans="1:48 16321:16384" x14ac:dyDescent="0.2">
      <c r="A51" t="s">
        <v>166</v>
      </c>
      <c r="B51" s="29">
        <f>B30-B10*B23</f>
        <v>-405838.32800000021</v>
      </c>
      <c r="D51" s="29">
        <f>D30-D10*D23</f>
        <v>-398659.943658337</v>
      </c>
      <c r="F51" s="29">
        <f>F30-F10*F23</f>
        <v>-390942.6288263062</v>
      </c>
      <c r="H51" s="29">
        <f>H30-H10*H23</f>
        <v>-382633.15850769123</v>
      </c>
      <c r="J51" s="29">
        <f>J30-J10*J23</f>
        <v>-373671.24186102347</v>
      </c>
      <c r="L51" s="29">
        <f>L30-L10*L23</f>
        <v>-363987.39387600543</v>
      </c>
      <c r="N51" s="29">
        <f>N30-N10*N23</f>
        <v>-353501.57759856619</v>
      </c>
      <c r="P51" s="29">
        <f>P30-P10*P23</f>
        <v>-342121.35481898626</v>
      </c>
      <c r="R51" s="29">
        <f>R30-R10*R23</f>
        <v>-329740.23824706487</v>
      </c>
      <c r="T51" s="29">
        <f>T30-T10*T23</f>
        <v>-316232.64778954955</v>
      </c>
      <c r="V51" s="29">
        <f>V30-V10*V23</f>
        <v>-301452.41988179716</v>
      </c>
      <c r="X51" s="29">
        <f>X30-X10*X23</f>
        <v>-285229.3768947639</v>
      </c>
      <c r="Z51" s="29">
        <f>Z30-Z10*Z23</f>
        <v>-267366.13850787398</v>
      </c>
      <c r="AB51" s="29">
        <f>AB30-AB10*AB23</f>
        <v>-247639.84761421499</v>
      </c>
      <c r="AD51" s="29">
        <f>AD30-AD10*AD23</f>
        <v>-225824.78853882989</v>
      </c>
      <c r="AF51" s="29">
        <f>AF30-AF10*AF23</f>
        <v>-201792.74813695485</v>
      </c>
      <c r="AH51" s="29">
        <f>AH30-AH10*AH23</f>
        <v>-176086.41816773149</v>
      </c>
      <c r="AJ51" s="29">
        <f>AJ30-AJ10*AJ23</f>
        <v>0</v>
      </c>
      <c r="AL51" s="29">
        <f>AL30-AL10*AL23</f>
        <v>0</v>
      </c>
      <c r="AN51" s="29">
        <f>AN30-AN10*AN23</f>
        <v>0</v>
      </c>
      <c r="AP51" s="29">
        <f>AP30-AP10*AP23</f>
        <v>0</v>
      </c>
      <c r="AQ51" s="29"/>
      <c r="AR51" s="29">
        <f>AR30-AR10*AR23</f>
        <v>0</v>
      </c>
      <c r="AT51" s="29">
        <f>AT30-AT10*AT23</f>
        <v>0</v>
      </c>
      <c r="AV51" s="29">
        <f>AV30-AV10*AV23</f>
        <v>0</v>
      </c>
      <c r="XFD51" s="29"/>
    </row>
    <row r="52" spans="1:48 16321:16384" x14ac:dyDescent="0.2">
      <c r="A52" t="s">
        <v>167</v>
      </c>
      <c r="B52" s="29">
        <f t="array" ref="B52">Calibration!sL*SUM(B13:C13*B26:C26)</f>
        <v>2049247.8195702801</v>
      </c>
      <c r="D52" s="29">
        <f t="array" ref="D52">Calibration!sL*SUM(D13:E13*D26:E26)</f>
        <v>1972372.2793635705</v>
      </c>
      <c r="F52" s="29">
        <f t="array" ref="F52">Calibration!sL*SUM(F13:G13*F26:G26)</f>
        <v>1893613.4868319631</v>
      </c>
      <c r="H52" s="29">
        <f t="array" ref="H52">Calibration!sL*SUM(H13:I13*H26:I26)</f>
        <v>1812874.7583927168</v>
      </c>
      <c r="J52" s="29">
        <f t="array" ref="J52">Calibration!sL*SUM(J13:K13*J26:K26)</f>
        <v>1730052.6822015808</v>
      </c>
      <c r="L52" s="29">
        <f t="array" ref="L52">Calibration!sL*SUM(L13:M13*L26:M26)</f>
        <v>1645037.2722475138</v>
      </c>
      <c r="N52" s="29">
        <f t="array" ref="N52">Calibration!sL*SUM(N13:O13*N26:O26)</f>
        <v>1557712.3643381069</v>
      </c>
      <c r="P52" s="29">
        <f t="array" ref="P52">Calibration!sL*SUM(P13:Q13*P26:Q26)</f>
        <v>1467956.2874365023</v>
      </c>
      <c r="R52" s="29">
        <f t="array" ref="R52">Calibration!sL*SUM(R13:S13*R26:S26)</f>
        <v>1375643.1996382286</v>
      </c>
      <c r="T52" s="29">
        <f t="array" ref="T52">Calibration!sL*SUM(T13:U13*T26:U26)</f>
        <v>1280648.1642442693</v>
      </c>
      <c r="V52" s="29">
        <f t="array" ref="V52">Calibration!sL*SUM(V13:W13*V26:W26)</f>
        <v>1182853.3854744772</v>
      </c>
      <c r="X52" s="29">
        <f t="array" ref="X52">Calibration!sL*SUM(X13:Y13*X26:Y26)</f>
        <v>1082161.1479867678</v>
      </c>
      <c r="Z52" s="29">
        <f t="array" ref="Z52">Calibration!sL*SUM(Z13:AA13*Z26:AA26)</f>
        <v>978523.31125203671</v>
      </c>
      <c r="AB52" s="29">
        <f t="array" ref="AB52">Calibration!sL*SUM(AB13:AC13*AB26:AC26)</f>
        <v>872006.08559462742</v>
      </c>
      <c r="AD52" s="29">
        <f t="array" ref="AD52">Calibration!sL*SUM(AD13:AE13*AD26:AE26)</f>
        <v>762957.09942787536</v>
      </c>
      <c r="AF52" s="29">
        <f t="array" ref="AF52">Calibration!sL*SUM(AF13:AG13*AF26:AG26)</f>
        <v>652573.24605984939</v>
      </c>
      <c r="AH52" s="29">
        <f t="array" ref="AH52">Calibration!sL*SUM(AH13:AI13*AH26:AI26)</f>
        <v>545658.36523104215</v>
      </c>
      <c r="AJ52" s="29">
        <f t="array" ref="AJ52">Calibration!sL*SUM(AJ13:AK13*AJ26:AK26)</f>
        <v>0</v>
      </c>
      <c r="AL52" s="29">
        <f t="array" ref="AL52">Calibration!sL*SUM(AL13:AM13*AL26:AM26)</f>
        <v>0</v>
      </c>
      <c r="AN52" s="29">
        <f t="array" ref="AN52">Calibration!sL*SUM(AN13:AO13*AN26:AO26)</f>
        <v>0</v>
      </c>
      <c r="AP52" s="29">
        <f t="array" ref="AP52">Calibration!sL*SUM(AP13:AQ13*AP26:AQ26)</f>
        <v>0</v>
      </c>
      <c r="AQ52" s="29"/>
      <c r="AR52" s="29">
        <f t="array" ref="AR52">Calibration!sL*SUM(AR13:AS13*AR26:AS26)</f>
        <v>0</v>
      </c>
      <c r="AT52" s="29">
        <f t="array" ref="AT52">Calibration!sL*SUM(AT13:AU13*AT26:AU26)</f>
        <v>0</v>
      </c>
      <c r="AV52" s="29">
        <f t="array" ref="AV52">Calibration!sL*SUM(AV13:AW13*AV26:AW26)</f>
        <v>0</v>
      </c>
    </row>
    <row r="53" spans="1:48 16321:16384" x14ac:dyDescent="0.2">
      <c r="A53" t="s">
        <v>168</v>
      </c>
      <c r="B53" s="29">
        <f t="array" ref="B53">Calibration!sK*SUM(B15:C15*B27:C27)</f>
        <v>2740714.4444297408</v>
      </c>
      <c r="D53" s="29">
        <f t="array" ref="D53">Calibration!sK*SUM(D15:E15*D27:E27)</f>
        <v>2719900.6225324417</v>
      </c>
      <c r="F53" s="29">
        <f t="array" ref="F53">Calibration!sK*SUM(F15:G15*F27:G27)</f>
        <v>2694876.25415486</v>
      </c>
      <c r="H53" s="29">
        <f t="array" ref="H53">Calibration!sK*SUM(H15:I15*H27:I27)</f>
        <v>2665165.7588795861</v>
      </c>
      <c r="J53" s="29">
        <f t="array" ref="J53">Calibration!sK*SUM(J15:K15*J27:K27)</f>
        <v>2630223.3869122094</v>
      </c>
      <c r="L53" s="29">
        <f t="array" ref="L53">Calibration!sK*SUM(L15:M15*L27:M27)</f>
        <v>2589416.5832372541</v>
      </c>
      <c r="N53" s="29">
        <f t="array" ref="N53">Calibration!sK*SUM(N15:O15*N27:O27)</f>
        <v>2542010.0950720082</v>
      </c>
      <c r="P53" s="29">
        <f t="array" ref="P53">Calibration!sK*SUM(P15:Q15*P27:Q27)</f>
        <v>2487145.4507048456</v>
      </c>
      <c r="R53" s="29">
        <f t="array" ref="R53">Calibration!sK*SUM(R15:S15*R27:S27)</f>
        <v>2423818.423711563</v>
      </c>
      <c r="T53" s="29">
        <f t="array" ref="T53">Calibration!sK*SUM(T15:U15*T27:U27)</f>
        <v>2350838.2630113196</v>
      </c>
      <c r="V53" s="29">
        <f t="array" ref="V53">Calibration!sK*SUM(V15:W15*V27:W27)</f>
        <v>2266796.3896114868</v>
      </c>
      <c r="X53" s="29">
        <f t="array" ref="X53">Calibration!sK*SUM(X15:Y15*X27:Y27)</f>
        <v>2170022.5392570077</v>
      </c>
      <c r="Z53" s="29">
        <f t="array" ref="Z53">Calibration!sK*SUM(Z15:AA15*Z27:AA27)</f>
        <v>2058537.2446258273</v>
      </c>
      <c r="AB53" s="29">
        <f t="array" ref="AB53">Calibration!sK*SUM(AB15:AC15*AB27:AC27)</f>
        <v>1930027.1719265846</v>
      </c>
      <c r="AD53" s="29">
        <f t="array" ref="AD53">Calibration!sK*SUM(AD15:AE15*AD27:AE27)</f>
        <v>1781953.1395334639</v>
      </c>
      <c r="AF53" s="29">
        <f t="array" ref="AF53">Calibration!sK*SUM(AF15:AG15*AF27:AG27)</f>
        <v>1612194.5885439818</v>
      </c>
      <c r="AH53" s="29">
        <f t="array" ref="AH53">Calibration!sK*SUM(AH15:AI15*AH27:AI27)</f>
        <v>1423011.0999210556</v>
      </c>
      <c r="AJ53" s="29">
        <f t="array" ref="AJ53">Calibration!sK*SUM(AJ15:AK15*AJ27:AK27)</f>
        <v>0</v>
      </c>
      <c r="AL53" s="29">
        <f t="array" ref="AL53">Calibration!sK*SUM(AL15:AM15*AL27:AM27)</f>
        <v>0</v>
      </c>
      <c r="AN53" s="29">
        <f t="array" ref="AN53">Calibration!sK*SUM(AN15:AO15*AN27:AO27)</f>
        <v>0</v>
      </c>
      <c r="AP53" s="29">
        <f t="array" ref="AP53">Calibration!sK*SUM(AP15:AQ15*AP27:AQ27)</f>
        <v>0</v>
      </c>
      <c r="AQ53" s="29"/>
      <c r="AR53" s="29">
        <f t="array" ref="AR53">Calibration!sK*SUM(AR15:AS15*AR27:AS27)</f>
        <v>0</v>
      </c>
      <c r="AT53" s="29">
        <f t="array" ref="AT53">Calibration!sK*SUM(AT15:AU15*AT27:AU27)</f>
        <v>0</v>
      </c>
      <c r="AV53" s="29">
        <f t="array" ref="AV53">Calibration!sK*SUM(AV15:AW15*AV27:AW27)</f>
        <v>0</v>
      </c>
      <c r="XFD53" s="29"/>
    </row>
    <row r="55" spans="1:48 16321:16384" x14ac:dyDescent="0.2">
      <c r="A55" t="s">
        <v>169</v>
      </c>
      <c r="B55" s="193">
        <f>B30/B32</f>
        <v>0.19850271905982084</v>
      </c>
      <c r="D55" s="193">
        <f>D30/D32</f>
        <v>0.19841954619630656</v>
      </c>
      <c r="F55" s="193">
        <f>F30/F32</f>
        <v>0.19833431780510111</v>
      </c>
      <c r="H55" s="193">
        <f>H30/H32</f>
        <v>0.19824688764539569</v>
      </c>
      <c r="J55" s="193">
        <f>J30/J32</f>
        <v>0.19815706424643997</v>
      </c>
      <c r="L55" s="193">
        <f>L30/L32</f>
        <v>0.19806465896656159</v>
      </c>
      <c r="N55" s="193">
        <f>N30/N32</f>
        <v>0.19796946686018693</v>
      </c>
      <c r="P55" s="193">
        <f>P30/P32</f>
        <v>0.19787125211124851</v>
      </c>
      <c r="R55" s="193">
        <f>R30/R32</f>
        <v>0.19776968093899783</v>
      </c>
      <c r="T55" s="193">
        <f>T30/T32</f>
        <v>0.19766448991836427</v>
      </c>
      <c r="V55" s="193">
        <f>V30/V32</f>
        <v>0.19755535080897502</v>
      </c>
      <c r="X55" s="193">
        <f>X30/X32</f>
        <v>0.19744186070917449</v>
      </c>
      <c r="Z55" s="193">
        <f>Z30/Z32</f>
        <v>0.19732363751449464</v>
      </c>
      <c r="AB55" s="193">
        <f>AB30/AB32</f>
        <v>0.19720048437215412</v>
      </c>
      <c r="AD55" s="193">
        <f>AD30/AD32</f>
        <v>0.19707253183323326</v>
      </c>
      <c r="AF55" s="193">
        <f>AF30/AF32</f>
        <v>0.19694169505845033</v>
      </c>
      <c r="AH55" s="193">
        <f>AH30/AH32</f>
        <v>0.19681846464233771</v>
      </c>
      <c r="AJ55" s="193" t="e">
        <f>AJ30/AJ32</f>
        <v>#DIV/0!</v>
      </c>
      <c r="AL55" s="193" t="e">
        <f>AL30/AL32</f>
        <v>#DIV/0!</v>
      </c>
      <c r="AN55" s="193" t="e">
        <f>AN30/AN32</f>
        <v>#DIV/0!</v>
      </c>
      <c r="AP55" s="193" t="e">
        <f>AP30/AP32</f>
        <v>#DIV/0!</v>
      </c>
      <c r="AR55" s="193" t="e">
        <f>AR30/AR32</f>
        <v>#DIV/0!</v>
      </c>
      <c r="AT55" s="193" t="e">
        <f>AT30/AT32</f>
        <v>#DIV/0!</v>
      </c>
      <c r="AV55" s="193" t="e">
        <f>AV30/AV32</f>
        <v>#DIV/0!</v>
      </c>
      <c r="XCS55" s="193"/>
      <c r="XFD55" s="193"/>
    </row>
    <row r="56" spans="1:48 16321:16384" x14ac:dyDescent="0.2">
      <c r="A56" t="s">
        <v>170</v>
      </c>
      <c r="B56" s="193">
        <f>(Model!$C$52*B5*B20+B2*C5*C20)/B32</f>
        <v>2.9221206744340551E-2</v>
      </c>
      <c r="D56" s="193">
        <f>(Model!$C$52*D5*D20+D2*E5*E20)/D32</f>
        <v>3.1917496426886779E-2</v>
      </c>
      <c r="F56" s="193">
        <f>(Model!$C$52*F5*F20+F2*G5*G20)/F32</f>
        <v>3.4679630733347074E-2</v>
      </c>
      <c r="H56" s="193">
        <f>(Model!$C$52*H5*H20+H2*I5*I20)/H32</f>
        <v>3.7512631361573678E-2</v>
      </c>
      <c r="J56" s="193">
        <f>(Model!$C$52*J5*J20+J2*K5*K20)/J32</f>
        <v>4.0422102607816202E-2</v>
      </c>
      <c r="L56" s="193">
        <f>(Model!$C$52*L5*L20+L2*M5*M20)/L32</f>
        <v>4.3414328950063953E-2</v>
      </c>
      <c r="N56" s="193">
        <f>(Model!$C$52*N5*N20+N2*O5*O20)/N32</f>
        <v>4.6496367855113949E-2</v>
      </c>
      <c r="P56" s="193">
        <f>(Model!$C$52*P5*P20+P2*Q5*Q20)/P32</f>
        <v>4.9676164371269559E-2</v>
      </c>
      <c r="R56" s="193">
        <f>(Model!$C$52*R5*R20+R2*S5*S20)/R32</f>
        <v>5.2962666628085582E-2</v>
      </c>
      <c r="T56" s="193">
        <f>(Model!$C$52*T5*T20+T2*U5*U20)/T32</f>
        <v>5.6365917486496032E-2</v>
      </c>
      <c r="V56" s="193">
        <f>(Model!$C$52*V5*V20+V2*W5*W20)/V32</f>
        <v>5.9897048892720982E-2</v>
      </c>
      <c r="X56" s="193">
        <f>(Model!$C$52*X5*X20+X2*Y5*Y20)/X32</f>
        <v>6.3568078201484496E-2</v>
      </c>
      <c r="Z56" s="193">
        <f>(Model!$C$52*Z5*Z20+Z2*AA5*AA20)/Z32</f>
        <v>6.7390938975148001E-2</v>
      </c>
      <c r="AB56" s="193">
        <f>(Model!$C$52*AB5*AB20+AB2*AC5*AC20)/AB32</f>
        <v>7.1374424169455608E-2</v>
      </c>
      <c r="AD56" s="193">
        <f>(Model!$C$52*AD5*AD20+AD2*AE5*AE20)/AD32</f>
        <v>7.5514119715494765E-2</v>
      </c>
      <c r="AF56" s="193">
        <f>(Model!$C$52*AF5*AF20+AF2*AG5*AG20)/AF32</f>
        <v>7.9752854096780929E-2</v>
      </c>
      <c r="AH56" s="193">
        <f>(Model!$C$52*AH5*AH20+AH2*AI5*AI20)/AH32</f>
        <v>8.3767772674783594E-2</v>
      </c>
      <c r="AJ56" s="193" t="e">
        <f>(Model!$C$52*AJ5*AJ20+AJ2*AK5*AK20)/AJ32</f>
        <v>#DIV/0!</v>
      </c>
      <c r="AL56" s="193" t="e">
        <f>(Model!$C$52*AL5*AL20+AL2*AM5*AM20)/AL32</f>
        <v>#DIV/0!</v>
      </c>
      <c r="AN56" s="193" t="e">
        <f>(Model!$C$52*AN5*AN20+AN2*AO5*AO20)/AN32</f>
        <v>#DIV/0!</v>
      </c>
      <c r="AP56" s="193" t="e">
        <f>(Model!$C$52*AP5*AP20+AP2*AQ5*AQ20)/AP32</f>
        <v>#DIV/0!</v>
      </c>
      <c r="AR56" s="193" t="e">
        <f>(Model!$C$52*AR5*AR20+AR2*AS5*AS20)/AR32</f>
        <v>#DIV/0!</v>
      </c>
      <c r="AT56" s="193" t="e">
        <f>(Model!$C$52*AT5*AT20+AT2*AU5*AU20)/AT32</f>
        <v>#DIV/0!</v>
      </c>
      <c r="AV56" s="193" t="e">
        <f>(Model!$C$52*AV5*AV20+AV2*AW5*AW20)/AV32</f>
        <v>#DIV/0!</v>
      </c>
      <c r="XFD56" s="193"/>
    </row>
    <row r="57" spans="1:48 16321:16384" x14ac:dyDescent="0.2">
      <c r="A57" t="s">
        <v>171</v>
      </c>
      <c r="B57" s="193">
        <f t="array" ref="B57">SUM(Model!tauL*B13:C13*B26:C26)/B32</f>
        <v>0.15852881819439493</v>
      </c>
      <c r="D57" s="193">
        <f t="array" ref="D57">SUM(Model!tauL*D13:E13*D26:E26)/D32</f>
        <v>0.15579824073957776</v>
      </c>
      <c r="F57" s="193">
        <f t="array" ref="F57">SUM(Model!tauL*F13:G13*F26:G26)/F32</f>
        <v>0.1530003089637558</v>
      </c>
      <c r="H57" s="193">
        <f t="array" ref="H57">SUM(Model!tauL*H13:I13*H26:I26)/H32</f>
        <v>0.15012991096175241</v>
      </c>
      <c r="J57" s="193">
        <f t="array" ref="J57">SUM(Model!tauL*J13:K13*J26:K26)/J32</f>
        <v>0.14718131646268895</v>
      </c>
      <c r="L57" s="193">
        <f t="array" ref="L57">SUM(Model!tauL*L13:M13*L26:M26)/L32</f>
        <v>0.14414812651350434</v>
      </c>
      <c r="N57" s="193">
        <f t="array" ref="N57">SUM(Model!tauL*N13:O13*N26:O26)/N32</f>
        <v>0.14102316541831489</v>
      </c>
      <c r="P57" s="193">
        <f t="array" ref="P57">SUM(Model!tauL*P13:Q13*P26:Q26)/P32</f>
        <v>0.13779835562932141</v>
      </c>
      <c r="R57" s="193">
        <f t="array" ref="R57">SUM(Model!tauL*R13:S13*R26:S26)/R32</f>
        <v>0.13446454189227136</v>
      </c>
      <c r="T57" s="193">
        <f t="array" ref="T57">SUM(Model!tauL*T13:U13*T26:U26)/T32</f>
        <v>0.13101157244832548</v>
      </c>
      <c r="V57" s="193">
        <f t="array" ref="V57">SUM(Model!tauL*V13:W13*V26:W26)/V32</f>
        <v>0.12742818849370399</v>
      </c>
      <c r="X57" s="193">
        <f t="array" ref="X57">SUM(Model!tauL*X13:Y13*X26:Y26)/X32</f>
        <v>0.12370224392432497</v>
      </c>
      <c r="Y57" s="193"/>
      <c r="Z57" s="193">
        <f t="array" ref="Z57">SUM(Model!tauL*Z13:AA13*Z26:AA26)/Z32</f>
        <v>0.11982182431109815</v>
      </c>
      <c r="AB57" s="193">
        <f t="array" ref="AB57">SUM(Model!tauL*AB13:AC13*AB26:AC26)/AB32</f>
        <v>0.11577859559673713</v>
      </c>
      <c r="AD57" s="193">
        <f t="array" ref="AD57">SUM(Model!tauL*AD13:AE13*AD26:AE26)/AD32</f>
        <v>0.11157835636887369</v>
      </c>
      <c r="AF57" s="193">
        <f t="array" ref="AF57">SUM(Model!tauL*AF13:AG13*AF26:AG26)/AF32</f>
        <v>0.10728324410610027</v>
      </c>
      <c r="AH57" s="193">
        <f t="array" ref="AH57">SUM(Model!tauL*AH13:AI13*AH26:AI26)/AH32</f>
        <v>0.10323764649123419</v>
      </c>
      <c r="AJ57" s="193" t="e">
        <f t="array" ref="AJ57">SUM(Model!tauL*AJ13:AK13*AJ26:AK26)/AJ32</f>
        <v>#DIV/0!</v>
      </c>
      <c r="AL57" s="193" t="e">
        <f t="array" ref="AL57">SUM(Model!tauL*AL13:AM13*AL26:AM26)/AL32</f>
        <v>#DIV/0!</v>
      </c>
      <c r="AN57" s="193" t="e">
        <f t="array" ref="AN57">SUM(Model!tauL*AN13:AO13*AN26:AO26)/AN32</f>
        <v>#DIV/0!</v>
      </c>
      <c r="AP57" s="193" t="e">
        <f t="array" ref="AP57">SUM(Model!tauL*AP13:AQ13*AP26:AQ26)/AP32</f>
        <v>#DIV/0!</v>
      </c>
      <c r="AR57" s="193" t="e">
        <f t="array" ref="AR57">SUM(Model!tauL*AR13:AS13*AR26:AS26)/AR32</f>
        <v>#DIV/0!</v>
      </c>
      <c r="AT57" s="193" t="e">
        <f t="array" ref="AT57">SUM(Model!tauL*AT13:AU13*AT26:AU26)/AT32</f>
        <v>#DIV/0!</v>
      </c>
      <c r="AV57" s="193" t="e">
        <f t="array" ref="AV57">SUM(Model!tauL*AV13:AW13*AV26:AW26)/AV32</f>
        <v>#DIV/0!</v>
      </c>
      <c r="XFD57" s="193"/>
    </row>
    <row r="58" spans="1:48 16321:16384" x14ac:dyDescent="0.2">
      <c r="A58" t="s">
        <v>172</v>
      </c>
      <c r="B58" s="193">
        <f t="array" ref="B58">SUM(Model!tauY/(1+Model!tauY)*B3:C3*B18:C18)/B32</f>
        <v>1.075269412108535E-2</v>
      </c>
      <c r="D58" s="193">
        <f t="array" ref="D58">SUM(Model!tauY/(1+Model!tauY)*D3:E3*D18:E18)/D32</f>
        <v>1.0703809029842011E-2</v>
      </c>
      <c r="F58" s="193">
        <f t="array" ref="F58">SUM(Model!tauY/(1+Model!tauY)*F3:G3*F18:G18)/F32</f>
        <v>1.0654378107998226E-2</v>
      </c>
      <c r="H58" s="193">
        <f t="array" ref="H58">SUM(Model!tauY/(1+Model!tauY)*H3:I3*H18:I18)/H32</f>
        <v>1.0604345322069606E-2</v>
      </c>
      <c r="J58" s="193">
        <f t="array" ref="J58">SUM(Model!tauY/(1+Model!tauY)*J3:K3*J18:K18)/J32</f>
        <v>1.0553645175934817E-2</v>
      </c>
      <c r="L58" s="193">
        <f t="array" ref="L58">SUM(Model!tauY/(1+Model!tauY)*L3:M3*L18:M18)/L32</f>
        <v>1.0502203502993268E-2</v>
      </c>
      <c r="N58" s="193">
        <f t="array" ref="N58">SUM(Model!tauY/(1+Model!tauY)*N3:O3*N18:O18)/N32</f>
        <v>1.0449933586758086E-2</v>
      </c>
      <c r="P58" s="193">
        <f t="array" ref="P58">SUM(Model!tauY/(1+Model!tauY)*P3:Q3*P18:Q18)/P32</f>
        <v>1.039673211065756E-2</v>
      </c>
      <c r="R58" s="193">
        <f t="array" ref="R58">SUM(Model!tauY/(1+Model!tauY)*R3:S3*R18:S18)/R32</f>
        <v>1.0342472418640888E-2</v>
      </c>
      <c r="T58" s="193">
        <f t="array" ref="T58">SUM(Model!tauY/(1+Model!tauY)*T3:U3*T18:U18)/T32</f>
        <v>1.028699998354278E-2</v>
      </c>
      <c r="V58" s="193">
        <f t="array" ref="V58">SUM(Model!tauY/(1+Model!tauY)*V3:W3*V18:W18)/V32</f>
        <v>1.0230113422550053E-2</v>
      </c>
      <c r="X58" s="193">
        <f t="array" ref="X58">SUM(Model!tauY/(1+Model!tauY)*X3:Y3*X18:Y18)/X32</f>
        <v>1.0171538583365038E-2</v>
      </c>
      <c r="Y58" s="193"/>
      <c r="Z58" s="193">
        <f t="array" ref="Z58">SUM(Model!tauY/(1+Model!tauY)*Z3:AA3*Z18:AA18)/Z32</f>
        <v>1.0110874228248471E-2</v>
      </c>
      <c r="AB58" s="193">
        <f t="array" ref="AB58">SUM(Model!tauY/(1+Model!tauY)*AB3:AC3*AB18:AC18)/AB32</f>
        <v>1.0047464605961412E-2</v>
      </c>
      <c r="AD58" s="193">
        <f t="array" ref="AD58">SUM(Model!tauY/(1+Model!tauY)*AD3:AE3*AD18:AE18)/AD32</f>
        <v>9.9800557488648398E-3</v>
      </c>
      <c r="AF58" s="193">
        <f t="array" ref="AF58">SUM(Model!tauY/(1+Model!tauY)*AF3:AG3*AF18:AG18)/AF32</f>
        <v>9.9055968555691407E-3</v>
      </c>
      <c r="AH58" s="193">
        <f t="array" ref="AH58">SUM(Model!tauY/(1+Model!tauY)*AH3:AI3*AH18:AI18)/AH32</f>
        <v>9.8130454763198927E-3</v>
      </c>
      <c r="AJ58" s="193" t="e">
        <f t="array" ref="AJ58">SUM(Model!tauY/(1+Model!tauY)*AJ3:AK3*AJ18:AK18)/AJ32</f>
        <v>#DIV/0!</v>
      </c>
      <c r="AL58" s="193" t="e">
        <f t="array" ref="AL58">SUM(Model!tauY/(1+Model!tauY)*AL3:AM3*AL18:AM18)/AL32</f>
        <v>#DIV/0!</v>
      </c>
      <c r="AN58" s="193" t="e">
        <f t="array" ref="AN58">SUM(Model!tauY/(1+Model!tauY)*AN3:AO3*AN18:AO18)/AN32</f>
        <v>#DIV/0!</v>
      </c>
      <c r="AP58" s="193" t="e">
        <f t="array" ref="AP58">SUM(Model!tauY/(1+Model!tauY)*AP3:AQ3*AP18:AQ18)/AP32</f>
        <v>#DIV/0!</v>
      </c>
      <c r="AR58" s="193" t="e">
        <f t="array" ref="AR58">SUM(Model!tauY/(1+Model!tauY)*AR3:AS3*AR18:AS18)/AR32</f>
        <v>#DIV/0!</v>
      </c>
      <c r="AT58" s="193" t="e">
        <f t="array" ref="AT58">SUM(Model!tauY/(1+Model!tauY)*AT3:AU3*AT18:AU18)/AT32</f>
        <v>#DIV/0!</v>
      </c>
      <c r="AV58" s="193" t="e">
        <f t="array" ref="AV58">SUM(Model!tauY/(1+Model!tauY)*AV3:AW3*AV18:AW18)/AV32</f>
        <v>#DIV/0!</v>
      </c>
      <c r="XFD58" s="193"/>
    </row>
    <row r="59" spans="1:48 16321:16384" x14ac:dyDescent="0.2">
      <c r="A59" t="s">
        <v>173</v>
      </c>
      <c r="B59" s="193">
        <f>(B2*C5*C20)/B32</f>
        <v>5.5174232040962052E-4</v>
      </c>
      <c r="D59" s="193">
        <f>(D2*E5*E20)/D32</f>
        <v>3.2813538089252613E-3</v>
      </c>
      <c r="F59" s="193">
        <f>(F2*G5*G20)/F32</f>
        <v>6.0773719735336944E-3</v>
      </c>
      <c r="H59" s="193">
        <f>(H2*I5*I20)/H32</f>
        <v>8.9448672680502422E-3</v>
      </c>
      <c r="J59" s="193">
        <f>(J2*K5*K20)/J32</f>
        <v>1.1889499099172481E-2</v>
      </c>
      <c r="L59" s="193">
        <f>(L2*M5*M20)/L32</f>
        <v>1.4917613470136747E-2</v>
      </c>
      <c r="N59" s="193">
        <f>(N2*O5*O20)/N32</f>
        <v>1.8036337429171757E-2</v>
      </c>
      <c r="P59" s="193">
        <f>(P2*Q5*Q20)/P32</f>
        <v>2.1253695496133023E-2</v>
      </c>
      <c r="R59" s="193">
        <f>(R2*S5*S20)/R32</f>
        <v>2.4578727920835812E-2</v>
      </c>
      <c r="T59" s="193">
        <f>(T2*U5*U20)/T32</f>
        <v>2.8021582694145758E-2</v>
      </c>
      <c r="V59" s="193">
        <f>(V2*W5*W20)/V32</f>
        <v>3.1593514849375851E-2</v>
      </c>
      <c r="X59" s="193">
        <f>(X2*Y5*Y20)/X32</f>
        <v>3.5306687012145142E-2</v>
      </c>
      <c r="Z59" s="193">
        <f>(Z2*AA5*AA20)/Z32</f>
        <v>3.9173202957704698E-2</v>
      </c>
      <c r="AB59" s="193">
        <f>(AB2*AC5*AC20)/AB32</f>
        <v>4.3202050535097791E-2</v>
      </c>
      <c r="AD59" s="193">
        <f>(AD2*AE5*AE20)/AD32</f>
        <v>4.7389015629059721E-2</v>
      </c>
      <c r="AF59" s="193">
        <f>(AF2*AG5*AG20)/AF32</f>
        <v>5.1676976354533555E-2</v>
      </c>
      <c r="AH59" s="193">
        <f>(AH2*AI5*AI20)/AH32</f>
        <v>5.5741650689080581E-2</v>
      </c>
      <c r="AJ59" s="193" t="e">
        <f>(AJ2*AK5*AK20)/AJ32</f>
        <v>#DIV/0!</v>
      </c>
      <c r="AL59" s="193" t="e">
        <f>(AL2*AM5*AM20)/AL32</f>
        <v>#DIV/0!</v>
      </c>
      <c r="AN59" s="193" t="e">
        <f>(AN2*AO5*AO20)/AN32</f>
        <v>#DIV/0!</v>
      </c>
      <c r="AP59" s="193" t="e">
        <f>(AP2*AQ5*AQ20)/AP32</f>
        <v>#DIV/0!</v>
      </c>
      <c r="AR59" s="193" t="e">
        <f>(AR2*AS5*AS20)/AR32</f>
        <v>#DIV/0!</v>
      </c>
      <c r="AT59" s="193" t="e">
        <f>(AT2*AU5*AU20)/AT32</f>
        <v>#DIV/0!</v>
      </c>
      <c r="AV59" s="193" t="e">
        <f>(AV2*AW5*AW20)/AV32</f>
        <v>#DIV/0!</v>
      </c>
      <c r="XFD59" s="193"/>
    </row>
    <row r="60" spans="1:48 16321:16384" x14ac:dyDescent="0.2">
      <c r="A60" t="s">
        <v>174</v>
      </c>
      <c r="B60" s="193">
        <f>Model!$C$52*B5*B20/B32</f>
        <v>2.8669464423930927E-2</v>
      </c>
      <c r="D60" s="193">
        <f>Model!$C$52*D5*D20/D32</f>
        <v>2.8636142617961519E-2</v>
      </c>
      <c r="F60" s="193">
        <f>Model!$C$52*F5*F20/F32</f>
        <v>2.8602258759813374E-2</v>
      </c>
      <c r="H60" s="193">
        <f>Model!$C$52*H5*H20/H32</f>
        <v>2.8567764093523438E-2</v>
      </c>
      <c r="J60" s="193">
        <f>Model!$C$52*J5*J20/J32</f>
        <v>2.8532603508643718E-2</v>
      </c>
      <c r="L60" s="193">
        <f>Model!$C$52*L5*L20/L32</f>
        <v>2.8496715479927204E-2</v>
      </c>
      <c r="N60" s="193">
        <f>Model!$C$52*N5*N20/N32</f>
        <v>2.8460030425942192E-2</v>
      </c>
      <c r="P60" s="193">
        <f>Model!$C$52*P5*P20/P32</f>
        <v>2.8422468875136532E-2</v>
      </c>
      <c r="R60" s="193">
        <f>Model!$C$52*R5*R20/R32</f>
        <v>2.8383938707249767E-2</v>
      </c>
      <c r="T60" s="193">
        <f>Model!$C$52*T5*T20/T32</f>
        <v>2.8344334792350274E-2</v>
      </c>
      <c r="V60" s="193">
        <f>Model!$C$52*V5*V20/V32</f>
        <v>2.8303534043345131E-2</v>
      </c>
      <c r="X60" s="193">
        <f>Model!$C$52*X5*X20/X32</f>
        <v>2.8261391189339347E-2</v>
      </c>
      <c r="Z60" s="193">
        <f>Model!$C$52*Z5*Z20/Z32</f>
        <v>2.8217736017443321E-2</v>
      </c>
      <c r="AB60" s="193">
        <f>Model!$C$52*AB5*AB20/AB32</f>
        <v>2.8172373634357813E-2</v>
      </c>
      <c r="AD60" s="193">
        <f>Model!$C$52*AD5*AD20/AD32</f>
        <v>2.8125104086435045E-2</v>
      </c>
      <c r="AF60" s="193">
        <f>Model!$C$52*AF5*AF20/AF32</f>
        <v>2.8075877742247381E-2</v>
      </c>
      <c r="AH60" s="193">
        <f>Model!$C$52*AH5*AH20/AH32</f>
        <v>2.802612198570302E-2</v>
      </c>
      <c r="AJ60" s="193" t="e">
        <f>Model!$C$52*AJ5*AJ20/AJ32</f>
        <v>#DIV/0!</v>
      </c>
      <c r="AL60" s="193" t="e">
        <f>Model!$C$52*AL5*AL20/AL32</f>
        <v>#DIV/0!</v>
      </c>
      <c r="AN60" s="193" t="e">
        <f>Model!$C$52*AN5*AN20/AN32</f>
        <v>#DIV/0!</v>
      </c>
      <c r="AP60" s="193" t="e">
        <f>Model!$C$52*AP5*AP20/AP32</f>
        <v>#DIV/0!</v>
      </c>
      <c r="AR60" s="193" t="e">
        <f>Model!$C$52*AR5*AR20/AR32</f>
        <v>#DIV/0!</v>
      </c>
      <c r="AT60" s="193" t="e">
        <f>Model!$C$52*AT5*AT20/AT32</f>
        <v>#DIV/0!</v>
      </c>
      <c r="AV60" s="193" t="e">
        <f>Model!$C$52*AV5*AV20/AV32</f>
        <v>#DIV/0!</v>
      </c>
      <c r="XFD60" s="193"/>
    </row>
    <row r="62" spans="1:48 16321:16384" x14ac:dyDescent="0.2">
      <c r="A62" t="s">
        <v>175</v>
      </c>
      <c r="B62">
        <f>B13/B15</f>
        <v>1</v>
      </c>
      <c r="D62">
        <f>D13/D15</f>
        <v>1.0090014296830585</v>
      </c>
      <c r="F62">
        <f>F13/F15</f>
        <v>1.019841890253735</v>
      </c>
      <c r="H62">
        <f>H13/H15</f>
        <v>1.0328195825819499</v>
      </c>
      <c r="J62">
        <f>J13/J15</f>
        <v>1.0483064886527769</v>
      </c>
      <c r="L62">
        <f>L13/L15</f>
        <v>1.0667734429484863</v>
      </c>
      <c r="N62">
        <f>N13/N15</f>
        <v>1.0888241577635329</v>
      </c>
      <c r="P62">
        <f>P13/P15</f>
        <v>1.1152448921230182</v>
      </c>
      <c r="R62">
        <f>R13/R15</f>
        <v>1.1470774329378388</v>
      </c>
      <c r="T62">
        <f>T13/T15</f>
        <v>1.1857337444472587</v>
      </c>
      <c r="V62">
        <f>V13/V15</f>
        <v>1.2331702293879108</v>
      </c>
      <c r="X62">
        <f>X13/X15</f>
        <v>1.2921734292539544</v>
      </c>
      <c r="Z62">
        <f>Z13/Z15</f>
        <v>1.3668397590375618</v>
      </c>
      <c r="AB62">
        <f>AB13/AB15</f>
        <v>1.463406918995616</v>
      </c>
      <c r="AD62">
        <f>AD13/AD15</f>
        <v>1.5917086668582936</v>
      </c>
      <c r="AF62">
        <f>AF13/AF15</f>
        <v>1.7674640158887791</v>
      </c>
      <c r="AH62">
        <f>AH13/AH15</f>
        <v>2.0119024433831316</v>
      </c>
      <c r="AJ62" t="e">
        <f>AJ13/AJ15</f>
        <v>#DIV/0!</v>
      </c>
      <c r="AL62" t="e">
        <f>AL13/AL15</f>
        <v>#DIV/0!</v>
      </c>
      <c r="AN62" t="e">
        <f>AN13/AN15</f>
        <v>#DIV/0!</v>
      </c>
      <c r="AP62" t="e">
        <f>AP13/AP15</f>
        <v>#DIV/0!</v>
      </c>
      <c r="AR62" t="e">
        <f>AR13/AR15</f>
        <v>#DIV/0!</v>
      </c>
      <c r="AT62" t="e">
        <f>AT13/AT15</f>
        <v>#DIV/0!</v>
      </c>
      <c r="AV62" t="e">
        <f>AV13/AV15</f>
        <v>#DIV/0!</v>
      </c>
    </row>
    <row r="65" spans="1:48 16384:16384" x14ac:dyDescent="0.2">
      <c r="A65" t="s">
        <v>176</v>
      </c>
      <c r="B65" s="191">
        <f>SQRT((B9:C9*$B$22:$C$22+B10:C10*$B$23:$C$23+B11:C11*$B$24:$C$24+B4:C4*($B$25:$C$25-$B$19:$C$19))/($B$9:$C$9*$B$22:$C$22+$B$10:$C$10*$B$23:$C$23+$B$11:$C$11*$B$24:$C$24+$B$4:$C$4*($B$25:$C$25-$B$19:$C$19))*(B9:C9*B22:C22+B10:C10*B23:C23+B11:C11*B24:C24+B4:C4*(B25:C25-B19:C19))/($B$9:$C$9*B22:C22+$B$10:$C$10*B23:C23+$B$11:$C$11*B24:C24+$B$4:$C$4*(B25:C25-B19:C19)))</f>
        <v>1</v>
      </c>
      <c r="C65" s="191"/>
      <c r="D65" s="191">
        <f t="array" ref="D65">SQRT((D9:E9*$B$22:$C$22+D10:E10*$B$23:$C$23+D11:E11*$B$24:$C$24+D4:E4*($B$25:$C$25-$B$19:$C$19))/($B$9:$C$9*$B$22:$C$22+$B$10:$C$10*$B$23:$C$23+$B$11:$C$11*$B$24:$C$24+$B$4:$C$4*($B$25:$C$25-$B$19:$C$19))*(D9:E9*D22:E22+D10:E10*D23:E23+D11:E11*D24:E24+D4:E4*(D25:E25-D19:E19))/($B$9:$C$9*D22:E22+$B$10:$C$10*D23:E23+$B$11:$C$11*D24:E24+$B$4:$C$4*(D25:E25-D19:E19)))</f>
        <v>0.99920034705884919</v>
      </c>
      <c r="E65" s="191"/>
      <c r="F65" s="191">
        <f t="array" ref="F65">SQRT((F9:G9*$B$22:$C$22+F10:G10*$B$23:$C$23+F11:G11*$B$24:$C$24+F4:G4*($B$25:$C$25-$B$19:$C$19))/($B$9:$C$9*$B$22:$C$22+$B$10:$C$10*$B$23:$C$23+$B$11:$C$11*$B$24:$C$24+$B$4:$C$4*($B$25:$C$25-$B$19:$C$19))*(F9:G9*F22:G22+F10:G10*F23:G23+F11:G11*F24:G24+F4:G4*(F25:G25-F19:G19))/($B$9:$C$9*F22:G22+$B$10:$C$10*F23:G23+$B$11:$C$11*F24:G24+$B$4:$C$4*(F25:G25-F19:G19)))</f>
        <v>0.9983930540628797</v>
      </c>
      <c r="G65" s="191"/>
      <c r="H65" s="191">
        <f t="array" ref="H65">SQRT((H9:I9*$B$22:$C$22+H10:I10*$B$23:$C$23+H11:I11*$B$24:$C$24+H4:I4*($B$25:$C$25-$B$19:$C$19))/($B$9:$C$9*$B$22:$C$22+$B$10:$C$10*$B$23:$C$23+$B$11:$C$11*$B$24:$C$24+$B$4:$C$4*($B$25:$C$25-$B$19:$C$19))*(H9:I9*H22:I22+H10:I10*H23:I23+H11:I11*H24:I24+H4:I4*(H25:I25-H19:I19))/($B$9:$C$9*H22:I22+$B$10:$C$10*H23:I23+$B$11:$C$11*H24:I24+$B$4:$C$4*(H25:I25-H19:I19)))</f>
        <v>0.99757607882238342</v>
      </c>
      <c r="I65" s="191"/>
      <c r="J65" s="191">
        <f t="array" ref="J65">SQRT((J9:K9*$B$22:$C$22+J10:K10*$B$23:$C$23+J11:K11*$B$24:$C$24+J4:K4*($B$25:$C$25-$B$19:$C$19))/($B$9:$C$9*$B$22:$C$22+$B$10:$C$10*$B$23:$C$23+$B$11:$C$11*$B$24:$C$24+$B$4:$C$4*($B$25:$C$25-$B$19:$C$19))*(J9:K9*J22:K22+J10:K10*J23:K23+J11:K11*J24:K24+J4:K4*(J25:K25-J19:K19))/($B$9:$C$9*J22:K22+$B$10:$C$10*J23:K23+$B$11:$C$11*J24:K24+$B$4:$C$4*(J25:K25-J19:K19)))</f>
        <v>0.99674703191052338</v>
      </c>
      <c r="K65" s="191"/>
      <c r="L65" s="191">
        <f t="array" ref="L65">SQRT((L9:M9*$B$22:$C$22+L10:M10*$B$23:$C$23+L11:M11*$B$24:$C$24+L4:M4*($B$25:$C$25-$B$19:$C$19))/($B$9:$C$9*$B$22:$C$22+$B$10:$C$10*$B$23:$C$23+$B$11:$C$11*$B$24:$C$24+$B$4:$C$4*($B$25:$C$25-$B$19:$C$19))*(L9:M9*L22:M22+L10:M10*L23:M23+L11:M11*L24:M24+L4:M4*(L25:M25-L19:M19))/($B$9:$C$9*L22:M22+$B$10:$C$10*L23:M23+$B$11:$C$11*L24:M24+$B$4:$C$4*(L25:M25-L19:M19)))</f>
        <v>0.99590304730784485</v>
      </c>
      <c r="M65" s="191"/>
      <c r="N65" s="191">
        <f t="array" ref="N65">SQRT((N9:O9*$B$22:$C$22+N10:O10*$B$23:$C$23+N11:O11*$B$24:$C$24+N4:O4*($B$25:$C$25-$B$19:$C$19))/($B$9:$C$9*$B$22:$C$22+$B$10:$C$10*$B$23:$C$23+$B$11:$C$11*$B$24:$C$24+$B$4:$C$4*($B$25:$C$25-$B$19:$C$19))*(N9:O9*N22:O22+N10:O10*N23:O23+N11:O11*N24:O24+N4:O4*(N25:O25-N19:O19))/($B$9:$C$9*N22:O22+$B$10:$C$10*N23:O23+$B$11:$C$11*N24:O24+$B$4:$C$4*(N25:O25-N19:O19)))</f>
        <v>0.99504062071004074</v>
      </c>
      <c r="O65" s="191"/>
      <c r="P65" s="191">
        <f t="array" ref="P65">SQRT((P9:Q9*$B$22:$C$22+P10:Q10*$B$23:$C$23+P11:Q11*$B$24:$C$24+P4:Q4*($B$25:$C$25-$B$19:$C$19))/($B$9:$C$9*$B$22:$C$22+$B$10:$C$10*$B$23:$C$23+$B$11:$C$11*$B$24:$C$24+$B$4:$C$4*($B$25:$C$25-$B$19:$C$19))*(P9:Q9*P22:Q22+P10:Q10*P23:Q23+P11:Q11*P24:Q24+P4:Q4*(P25:Q25-P19:Q19))/($B$9:$C$9*P22:Q22+$B$10:$C$10*P23:Q23+$B$11:$C$11*P24:Q24+$B$4:$C$4*(P25:Q25-P19:Q19)))</f>
        <v>0.99415536561385243</v>
      </c>
      <c r="Q65" s="191"/>
      <c r="R65" s="191">
        <f t="array" ref="R65">SQRT((R9:S9*$B$22:$C$22+R10:S10*$B$23:$C$23+R11:S11*$B$24:$C$24+R4:S4*($B$25:$C$25-$B$19:$C$19))/($B$9:$C$9*$B$22:$C$22+$B$10:$C$10*$B$23:$C$23+$B$11:$C$11*$B$24:$C$24+$B$4:$C$4*($B$25:$C$25-$B$19:$C$19))*(R9:S9*R22:S22+R10:S10*R23:S23+R11:S11*R24:S24+R4:S4*(R25:S25-R19:S19))/($B$9:$C$9*R22:S22+$B$10:$C$10*R23:S23+$B$11:$C$11*R24:S24+$B$4:$C$4*(R25:S25-R19:S19)))</f>
        <v>0.99324162945102723</v>
      </c>
      <c r="S65" s="191"/>
      <c r="T65" s="191">
        <f t="array" ref="T65">SQRT((T9:U9*$B$22:$C$22+T10:U10*$B$23:$C$23+T11:U11*$B$24:$C$24+T4:U4*($B$25:$C$25-$B$19:$C$19))/($B$9:$C$9*$B$22:$C$22+$B$10:$C$10*$B$23:$C$23+$B$11:$C$11*$B$24:$C$24+$B$4:$C$4*($B$25:$C$25-$B$19:$C$19))*(T9:U9*T22:U22+T10:U10*T23:U23+T11:U11*T24:U24+T4:U4*(T25:U25-T19:U19))/($B$9:$C$9*T22:U22+$B$10:$C$10*T23:U23+$B$11:$C$11*T24:U24+$B$4:$C$4*(T25:U25-T19:U19)))</f>
        <v>0.99229173740339294</v>
      </c>
      <c r="U65" s="191"/>
      <c r="V65" s="191">
        <f t="array" ref="V65">SQRT((V9:W9*$B$22:$C$22+V10:W10*$B$23:$C$23+V11:W11*$B$24:$C$24+V4:W4*($B$25:$C$25-$B$19:$C$19))/($B$9:$C$9*$B$22:$C$22+$B$10:$C$10*$B$23:$C$23+$B$11:$C$11*$B$24:$C$24+$B$4:$C$4*($B$25:$C$25-$B$19:$C$19))*(V9:W9*V22:W22+V10:W10*V23:W23+V11:W11*V24:W24+V4:W4*(V25:W25-V19:W19))/($B$9:$C$9*V22:W22+$B$10:$C$10*V23:W23+$B$11:$C$11*V24:W24+$B$4:$C$4*(V25:W25-V19:W19)))</f>
        <v>0.99129479299918266</v>
      </c>
      <c r="W65" s="191"/>
      <c r="X65" s="191">
        <f t="array" ref="X65">SQRT((X9:Y9*$B$22:$C$22+X10:Y10*$B$23:$C$23+X11:Y11*$B$24:$C$24+X4:Y4*($B$25:$C$25-$B$19:$C$19))/($B$9:$C$9*$B$22:$C$22+$B$10:$C$10*$B$23:$C$23+$B$11:$C$11*$B$24:$C$24+$B$4:$C$4*($B$25:$C$25-$B$19:$C$19))*(X9:Y9*X22:Y22+X10:Y10*X23:Y23+X11:Y11*X24:Y24+X4:Y4*(X25:Y25-X19:Y19))/($B$9:$C$9*X22:Y22+$B$10:$C$10*X23:Y23+$B$11:$C$11*X24:Y24+$B$4:$C$4*(X25:Y25-X19:Y19)))</f>
        <v>0.99023427887851623</v>
      </c>
      <c r="Y65" s="191"/>
      <c r="Z65" s="191">
        <f t="array" ref="Z65">SQRT((Z9:AA9*$B$22:$C$22+Z10:AA10*$B$23:$C$23+Z11:AA11*$B$24:$C$24+Z4:AA4*($B$25:$C$25-$B$19:$C$19))/($B$9:$C$9*$B$22:$C$22+$B$10:$C$10*$B$23:$C$23+$B$11:$C$11*$B$24:$C$24+$B$4:$C$4*($B$25:$C$25-$B$19:$C$19))*(Z9:AA9*Z22:AA22+Z10:AA10*Z23:AA23+Z11:AA11*Z24:AA24+Z4:AA4*(Z25:AA25-Z19:AA19))/($B$9:$C$9*Z22:AA22+$B$10:$C$10*Z23:AA23+$B$11:$C$11*Z24:AA24+$B$4:$C$4*(Z25:AA25-Z19:AA19)))</f>
        <v>0.98908288609451966</v>
      </c>
      <c r="AA65" s="191"/>
      <c r="AB65" s="191">
        <f t="array" ref="AB65">SQRT((AB9:AC9*$B$22:$C$22+AB10:AC10*$B$23:$C$23+AB11:AC11*$B$24:$C$24+AB4:AC4*($B$25:$C$25-$B$19:$C$19))/($B$9:$C$9*$B$22:$C$22+$B$10:$C$10*$B$23:$C$23+$B$11:$C$11*$B$24:$C$24+$B$4:$C$4*($B$25:$C$25-$B$19:$C$19))*(AB9:AC9*AB22:AC22+AB10:AC10*AB23:AC23+AB11:AC11*AB24:AC24+AB4:AC4*(AB25:AC25-AB19:AC19))/($B$9:$C$9*AB22:AC22+$B$10:$C$10*AB23:AC23+$B$11:$C$11*AB24:AC24+$B$4:$C$4*(AB25:AC25-AB19:AC19)))</f>
        <v>0.98779029639588789</v>
      </c>
      <c r="AC65" s="191"/>
      <c r="AD65" s="191">
        <f t="array" ref="AD65">SQRT((AD9:AE9*$B$22:$C$22+AD10:AE10*$B$23:$C$23+AD11:AE11*$B$24:$C$24+AD4:AE4*($B$25:$C$25-$B$19:$C$19))/($B$9:$C$9*$B$22:$C$22+$B$10:$C$10*$B$23:$C$23+$B$11:$C$11*$B$24:$C$24+$B$4:$C$4*($B$25:$C$25-$B$19:$C$19))*(AD9:AE9*AD22:AE22+AD10:AE10*AD23:AE23+AD11:AE11*AD24:AE24+AD4:AE4*(AD25:AE25-AD19:AE19))/($B$9:$C$9*AD22:AE22+$B$10:$C$10*AD23:AE23+$B$11:$C$11*AD24:AE24+$B$4:$C$4*(AD25:AE25-AD19:AE19)))</f>
        <v>0.98624919724524029</v>
      </c>
      <c r="AE65" s="191"/>
      <c r="AF65" s="191">
        <f t="array" ref="AF65">SQRT((AF9:AG9*$B$22:$C$22+AF10:AG10*$B$23:$C$23+AF11:AG11*$B$24:$C$24+AF4:AG4*($B$25:$C$25-$B$19:$C$19))/($B$9:$C$9*$B$22:$C$22+$B$10:$C$10*$B$23:$C$23+$B$11:$C$11*$B$24:$C$24+$B$4:$C$4*($B$25:$C$25-$B$19:$C$19))*(AF9:AG9*AF22:AG22+AF10:AG10*AF23:AG23+AF11:AG11*AF24:AG24+AF4:AG4*(AF25:AG25-AF19:AG19))/($B$9:$C$9*AF22:AG22+$B$10:$C$10*AF23:AG23+$B$11:$C$11*AF24:AG24+$B$4:$C$4*(AF25:AG25-AF19:AG19)))</f>
        <v>0.98417537879720385</v>
      </c>
      <c r="AG65" s="191"/>
      <c r="AH65" s="191">
        <f t="array" ref="AH65">SQRT((AH9:AI9*$B$22:$C$22+AH10:AI10*$B$23:$C$23+AH11:AI11*$B$24:$C$24+AH4:AI4*($B$25:$C$25-$B$19:$C$19))/($B$9:$C$9*$B$22:$C$22+$B$10:$C$10*$B$23:$C$23+$B$11:$C$11*$B$24:$C$24+$B$4:$C$4*($B$25:$C$25-$B$19:$C$19))*(AH9:AI9*AH22:AI22+AH10:AI10*AH23:AI23+AH11:AI11*AH24:AI24+AH4:AI4*(AH25:AI25-AH19:AI19))/($B$9:$C$9*AH22:AI22+$B$10:$C$10*AH23:AI23+$B$11:$C$11*AH24:AI24+$B$4:$C$4*(AH25:AI25-AH19:AI19)))</f>
        <v>0.98049224103619337</v>
      </c>
      <c r="AI65" s="191"/>
      <c r="AJ65" s="191" t="e">
        <f t="array" ref="AJ65">SQRT((AJ9:AK9*$B$22:$C$22+AJ10:AK10*$B$23:$C$23+AJ11:AK11*$B$24:$C$24+AJ4:AK4*($B$25:$C$25-$B$19:$C$19))/($B$9:$C$9*$B$22:$C$22+$B$10:$C$10*$B$23:$C$23+$B$11:$C$11*$B$24:$C$24+$B$4:$C$4*($B$25:$C$25-$B$19:$C$19))*(AJ9:AK9*AJ22:AK22+AJ10:AK10*AJ23:AK23+AJ11:AK11*AJ24:AK24+AJ4:AK4*(AJ25:AK25-AJ19:AK19))/($B$9:$C$9*AJ22:AK22+$B$10:$C$10*AJ23:AK23+$B$11:$C$11*AJ24:AK24+$B$4:$C$4*(AJ25:AK25-AJ19:AK19)))</f>
        <v>#DIV/0!</v>
      </c>
      <c r="AK65" s="191"/>
      <c r="AL65" s="191" t="e">
        <f t="array" ref="AL65">SQRT((AL9:AM9*$B$22:$C$22+AL10:AM10*$B$23:$C$23+AL11:AM11*$B$24:$C$24+AL4:AM4*($B$25:$C$25-$B$19:$C$19))/($B$9:$C$9*$B$22:$C$22+$B$10:$C$10*$B$23:$C$23+$B$11:$C$11*$B$24:$C$24+$B$4:$C$4*($B$25:$C$25-$B$19:$C$19))*(AL9:AM9*AL22:AM22+AL10:AM10*AL23:AM23+AL11:AM11*AL24:AM24+AL4:AM4*(AL25:AM25-AL19:AM19))/($B$9:$C$9*AL22:AM22+$B$10:$C$10*AL23:AM23+$B$11:$C$11*AL24:AM24+$B$4:$C$4*(AL25:AM25-AL19:AM19)))</f>
        <v>#DIV/0!</v>
      </c>
      <c r="AM65" s="191"/>
      <c r="AN65" s="191" t="e">
        <f t="array" ref="AN65">SQRT((AN9:AO9*$B$22:$C$22+AN10:AO10*$B$23:$C$23+AN11:AO11*$B$24:$C$24+AN4:AO4*($B$25:$C$25-$B$19:$C$19))/($B$9:$C$9*$B$22:$C$22+$B$10:$C$10*$B$23:$C$23+$B$11:$C$11*$B$24:$C$24+$B$4:$C$4*($B$25:$C$25-$B$19:$C$19))*(AN9:AO9*AN22:AO22+AN10:AO10*AN23:AO23+AN11:AO11*AN24:AO24+AN4:AO4*(AN25:AO25-AN19:AO19))/($B$9:$C$9*AN22:AO22+$B$10:$C$10*AN23:AO23+$B$11:$C$11*AN24:AO24+$B$4:$C$4*(AN25:AO25-AN19:AO19)))</f>
        <v>#DIV/0!</v>
      </c>
      <c r="AO65" s="191"/>
      <c r="AP65" s="191" t="e">
        <f t="array" ref="AP65">SQRT((AP9:AQ9*$B$22:$C$22+AP10:AQ10*$B$23:$C$23+AP11:AQ11*$B$24:$C$24+AP4:AQ4*($B$25:$C$25-$B$19:$C$19))/($B$9:$C$9*$B$22:$C$22+$B$10:$C$10*$B$23:$C$23+$B$11:$C$11*$B$24:$C$24+$B$4:$C$4*($B$25:$C$25-$B$19:$C$19))*(AP9:AQ9*AP22:AQ22+AP10:AQ10*AP23:AQ23+AP11:AQ11*AP24:AQ24+AP4:AQ4*(AP25:AQ25-AP19:AQ19))/($B$9:$C$9*AP22:AQ22+$B$10:$C$10*AP23:AQ23+$B$11:$C$11*AP24:AQ24+$B$4:$C$4*(AP25:AQ25-AP19:AQ19)))</f>
        <v>#DIV/0!</v>
      </c>
      <c r="AQ65" s="191"/>
      <c r="AR65" s="191" t="e">
        <f t="array" ref="AR65">SQRT((AR9:AS9*$B$22:$C$22+AR10:AS10*$B$23:$C$23+AR11:AS11*$B$24:$C$24+AR4:AS4*($B$25:$C$25-$B$19:$C$19))/($B$9:$C$9*$B$22:$C$22+$B$10:$C$10*$B$23:$C$23+$B$11:$C$11*$B$24:$C$24+$B$4:$C$4*($B$25:$C$25-$B$19:$C$19))*(AR9:AS9*AR22:AS22+AR10:AS10*AR23:AS23+AR11:AS11*AR24:AS24+AR4:AS4*(AR25:AS25-AR19:AS19))/($B$9:$C$9*AR22:AS22+$B$10:$C$10*AR23:AS23+$B$11:$C$11*AR24:AS24+$B$4:$C$4*(AR25:AS25-AR19:AS19)))</f>
        <v>#DIV/0!</v>
      </c>
      <c r="AS65" s="191"/>
      <c r="AT65" s="191" t="e">
        <f t="array" ref="AT65">SQRT((AT9:AU9*$B$22:$C$22+AT10:AU10*$B$23:$C$23+AT11:AU11*$B$24:$C$24+AT4:AU4*($B$25:$C$25-$B$19:$C$19))/($B$9:$C$9*$B$22:$C$22+$B$10:$C$10*$B$23:$C$23+$B$11:$C$11*$B$24:$C$24+$B$4:$C$4*($B$25:$C$25-$B$19:$C$19))*(AT9:AU9*AT22:AU22+AT10:AU10*AT23:AU23+AT11:AU11*AT24:AU24+AT4:AU4*(AT25:AU25-AT19:AU19))/($B$9:$C$9*AT22:AU22+$B$10:$C$10*AT23:AU23+$B$11:$C$11*AT24:AU24+$B$4:$C$4*(AT25:AU25-AT19:AU19)))</f>
        <v>#DIV/0!</v>
      </c>
      <c r="AU65" s="191"/>
      <c r="AV65" s="191" t="e">
        <f t="array" ref="AV65">SQRT((AV9:AW9*$B$22:$C$22+AV10:AW10*$B$23:$C$23+AV11:AW11*$B$24:$C$24+AV4:AW4*($B$25:$C$25-$B$19:$C$19))/($B$9:$C$9*$B$22:$C$22+$B$10:$C$10*$B$23:$C$23+$B$11:$C$11*$B$24:$C$24+$B$4:$C$4*($B$25:$C$25-$B$19:$C$19))*(AV9:AW9*AV22:AW22+AV10:AW10*AV23:AW23+AV11:AW11*AV24:AW24+AV4:AW4*(AV25:AW25-AV19:AW19))/($B$9:$C$9*AV22:AW22+$B$10:$C$10*AV23:AW23+$B$11:$C$11*AV24:AW24+$B$4:$C$4*(AV25:AW25-AV19:AW19)))</f>
        <v>#DIV/0!</v>
      </c>
    </row>
    <row r="66" spans="1:48 16384:16384" x14ac:dyDescent="0.2">
      <c r="A66" t="s">
        <v>182</v>
      </c>
      <c r="B66" s="191">
        <f t="array" ref="B66">SQRT((B9:C9*$B$22:$C$22)/($B$9:$C$9*$B$22:$C$22)*(B9:C9*B22:C22)/($B$9:$C$9*B22:C22))</f>
        <v>1</v>
      </c>
      <c r="C66" s="191"/>
      <c r="D66" s="191">
        <f t="array" ref="D66">SQRT((D9:E9*$B$22:$C$22)/($B$9:$C$9*$B$22:$C$22)*(D9:E9*D22:E22)/($B$9:$C$9*D22:E22))</f>
        <v>0.99912089457216702</v>
      </c>
      <c r="E66" s="191"/>
      <c r="F66" s="191">
        <f t="array" ref="F66">SQRT((F9:G9*$B$22:$C$22)/($B$9:$C$9*$B$22:$C$22)*(F9:G9*F22:G22)/($B$9:$C$9*F22:G22))</f>
        <v>0.99823284673995993</v>
      </c>
      <c r="G66" s="191"/>
      <c r="H66" s="191">
        <f t="array" ref="H66">SQRT((H9:I9*$B$22:$C$22)/($B$9:$C$9*$B$22:$C$22)*(H9:I9*H22:I22)/($B$9:$C$9*H22:I22))</f>
        <v>0.99733359100475172</v>
      </c>
      <c r="I66" s="191"/>
      <c r="J66" s="191">
        <f t="array" ref="J66">SQRT((J9:K9*$B$22:$C$22)/($B$9:$C$9*$B$22:$C$22)*(J9:K9*J22:K22)/($B$9:$C$9*J22:K22))</f>
        <v>0.99642047301813386</v>
      </c>
      <c r="K66" s="191"/>
      <c r="L66" s="191">
        <f t="array" ref="L66">SQRT((L9:M9*$B$22:$C$22)/($B$9:$C$9*$B$22:$C$22)*(L9:M9*L22:M22)/($B$9:$C$9*L22:M22))</f>
        <v>0.99549030540123729</v>
      </c>
      <c r="M66" s="191"/>
      <c r="N66" s="191">
        <f t="array" ref="N66">SQRT((N9:O9*$B$22:$C$22)/($B$9:$C$9*$B$22:$C$22)*(N9:O9*N22:O22)/($B$9:$C$9*N22:O22))</f>
        <v>0.99453918715038947</v>
      </c>
      <c r="O66" s="191"/>
      <c r="P66" s="191">
        <f t="array" ref="P66">SQRT((P9:Q9*$B$22:$C$22)/($B$9:$C$9*$B$22:$C$22)*(P9:Q9*P22:Q22)/($B$9:$C$9*P22:Q22))</f>
        <v>0.99356223127170562</v>
      </c>
      <c r="Q66" s="191"/>
      <c r="R66" s="191">
        <f t="array" ref="R66">SQRT((R9:S9*$B$22:$C$22)/($B$9:$C$9*$B$22:$C$22)*(R9:S9*R22:S22)/($B$9:$C$9*R22:S22))</f>
        <v>0.99255313623147756</v>
      </c>
      <c r="S66" s="191"/>
      <c r="T66" s="191">
        <f t="array" ref="T66">SQRT((T9:U9*$B$22:$C$22)/($B$9:$C$9*$B$22:$C$22)*(T9:U9*T22:U22)/($B$9:$C$9*T22:U22))</f>
        <v>0.99150334307779775</v>
      </c>
      <c r="U66" s="191"/>
      <c r="V66" s="191">
        <f t="array" ref="V66">SQRT((V9:W9*$B$22:$C$22)/($B$9:$C$9*$B$22:$C$22)*(V9:W9*V22:W22)/($B$9:$C$9*V22:W22))</f>
        <v>0.99040069695995336</v>
      </c>
      <c r="W66" s="191"/>
      <c r="X66" s="191">
        <f t="array" ref="X66">SQRT((X9:Y9*$B$22:$C$22)/($B$9:$C$9*$B$22:$C$22)*(X9:Y9*X22:Y22)/($B$9:$C$9*X22:Y22))</f>
        <v>0.98922677060979647</v>
      </c>
      <c r="Y66" s="191"/>
      <c r="Z66" s="191">
        <f t="array" ref="Z66">SQRT((Z9:AA9*$B$22:$C$22)/($B$9:$C$9*$B$22:$C$22)*(Z9:AA9*Z22:AA22)/($B$9:$C$9*Z22:AA22))</f>
        <v>0.98795109545926774</v>
      </c>
      <c r="AA66" s="191"/>
      <c r="AB66" s="191">
        <f t="array" ref="AB66">SQRT((AB9:AC9*$B$22:$C$22)/($B$9:$C$9*$B$22:$C$22)*(AB9:AC9*AB22:AC22)/($B$9:$C$9*AB22:AC22))</f>
        <v>0.98651752394122749</v>
      </c>
      <c r="AC66" s="191"/>
      <c r="AD66" s="191">
        <f t="array" ref="AD66">SQRT((AD9:AE9*$B$22:$C$22)/($B$9:$C$9*$B$22:$C$22)*(AD9:AE9*AD22:AE22)/($B$9:$C$9*AD22:AE22))</f>
        <v>0.98480626820972017</v>
      </c>
      <c r="AE66" s="191"/>
      <c r="AF66" s="191">
        <f t="array" ref="AF66">SQRT((AF9:AG9*$B$22:$C$22)/($B$9:$C$9*$B$22:$C$22)*(AF9:AG9*AF22:AG22)/($B$9:$C$9*AF22:AG22))</f>
        <v>0.98249981027414557</v>
      </c>
      <c r="AG66" s="191"/>
      <c r="AH66" s="191">
        <f t="array" ref="AH66">SQRT((AH9:AI9*$B$22:$C$22)/($B$9:$C$9*$B$22:$C$22)*(AH9:AI9*AH22:AI22)/($B$9:$C$9*AH22:AI22))</f>
        <v>0.97839285719985036</v>
      </c>
      <c r="AI66" s="191"/>
      <c r="AJ66" s="191" t="e">
        <f t="array" ref="AJ66">SQRT((AJ9:AK9*$B$22:$C$22)/($B$9:$C$9*$B$22:$C$22)*(AJ9:AK9*AJ22:AK22)/($B$9:$C$9*AJ22:AK22))</f>
        <v>#DIV/0!</v>
      </c>
      <c r="AK66" s="191"/>
      <c r="AL66" s="191" t="e">
        <f t="array" ref="AL66">SQRT((AL9:AM9*$B$22:$C$22)/($B$9:$C$9*$B$22:$C$22)*(AL9:AM9*AL22:AM22)/($B$9:$C$9*AL22:AM22))</f>
        <v>#DIV/0!</v>
      </c>
      <c r="AM66" s="191"/>
      <c r="AN66" s="191" t="e">
        <f t="array" ref="AN66">SQRT((AN9:AO9*$B$22:$C$22)/($B$9:$C$9*$B$22:$C$22)*(AN9:AO9*AN22:AO22)/($B$9:$C$9*AN22:AO22))</f>
        <v>#DIV/0!</v>
      </c>
      <c r="AO66" s="191"/>
      <c r="AP66" s="191" t="e">
        <f t="array" ref="AP66">SQRT((AP9:AQ9*$B$22:$C$22)/($B$9:$C$9*$B$22:$C$22)*(AP9:AQ9*AP22:AQ22)/($B$9:$C$9*AP22:AQ22))</f>
        <v>#DIV/0!</v>
      </c>
      <c r="AQ66" s="191"/>
      <c r="AR66" s="191" t="e">
        <f t="array" ref="AR66">SQRT((AR9:AS9*$B$22:$C$22)/($B$9:$C$9*$B$22:$C$22)*(AR9:AS9*AR22:AS22)/($B$9:$C$9*AR22:AS22))</f>
        <v>#DIV/0!</v>
      </c>
      <c r="AS66" s="191"/>
      <c r="AT66" s="191" t="e">
        <f t="array" ref="AT66">SQRT((AT9:AU9*$B$22:$C$22)/($B$9:$C$9*$B$22:$C$22)*(AT9:AU9*AT22:AU22)/($B$9:$C$9*AT22:AU22))</f>
        <v>#DIV/0!</v>
      </c>
      <c r="AU66" s="191"/>
      <c r="AV66" s="191" t="e">
        <f t="array" ref="AV66">SQRT((AV9:AW9*$B$22:$C$22)/($B$9:$C$9*$B$22:$C$22)*(AV9:AW9*AV22:AW22)/($B$9:$C$9*AV22:AW22))</f>
        <v>#DIV/0!</v>
      </c>
      <c r="XFD66" s="191"/>
    </row>
    <row r="67" spans="1:48 16384:16384" x14ac:dyDescent="0.2">
      <c r="A67" t="s">
        <v>183</v>
      </c>
      <c r="B67" s="191">
        <f t="array" ref="B67">SQRT((B4:C4*$B$19:$C$19)/($B$4:$C$4*$B$19:$C$19)*(B4:C4*B19:C19)/($B$4:$C$4*B19:C19))</f>
        <v>1</v>
      </c>
      <c r="C67" s="191"/>
      <c r="D67" s="191">
        <f t="array" ref="D67">SQRT((D4:E4*$B$19:$C$19)/($B$4:$C$4*$B$19:$C$19)*(D4:E4*D19:E19)/($B$4:$C$4*D19:E19))</f>
        <v>1</v>
      </c>
      <c r="E67" s="191"/>
      <c r="F67" s="191">
        <f t="array" ref="F67">SQRT((F4:G4*$B$19:$C$19)/($B$4:$C$4*$B$19:$C$19)*(F4:G4*F19:G19)/($B$4:$C$4*F19:G19))</f>
        <v>1</v>
      </c>
      <c r="G67" s="191"/>
      <c r="H67" s="191">
        <f t="array" ref="H67">SQRT((H4:I4*$B$19:$C$19)/($B$4:$C$4*$B$19:$C$19)*(H4:I4*H19:I19)/($B$4:$C$4*H19:I19))</f>
        <v>1</v>
      </c>
      <c r="I67" s="191"/>
      <c r="J67" s="191">
        <f t="array" ref="J67">SQRT((J4:K4*$B$19:$C$19)/($B$4:$C$4*$B$19:$C$19)*(J4:K4*J19:K19)/($B$4:$C$4*J19:K19))</f>
        <v>1</v>
      </c>
      <c r="K67" s="191"/>
      <c r="L67" s="191">
        <f t="array" ref="L67">SQRT((L4:M4*$B$19:$C$19)/($B$4:$C$4*$B$19:$C$19)*(L4:M4*L19:M19)/($B$4:$C$4*L19:M19))</f>
        <v>1</v>
      </c>
      <c r="M67" s="191"/>
      <c r="N67" s="191">
        <f t="array" ref="N67">SQRT((N4:O4*$B$19:$C$19)/($B$4:$C$4*$B$19:$C$19)*(N4:O4*N19:O19)/($B$4:$C$4*N19:O19))</f>
        <v>1</v>
      </c>
      <c r="O67" s="191"/>
      <c r="P67" s="191">
        <f t="array" ref="P67">SQRT((P4:Q4*$B$19:$C$19)/($B$4:$C$4*$B$19:$C$19)*(P4:Q4*P19:Q19)/($B$4:$C$4*P19:Q19))</f>
        <v>1</v>
      </c>
      <c r="Q67" s="191"/>
      <c r="R67" s="191">
        <f t="array" ref="R67">SQRT((R4:S4*$B$19:$C$19)/($B$4:$C$4*$B$19:$C$19)*(R4:S4*R19:S19)/($B$4:$C$4*R19:S19))</f>
        <v>1</v>
      </c>
      <c r="S67" s="191"/>
      <c r="T67" s="191">
        <f t="array" ref="T67">SQRT((T4:U4*$B$19:$C$19)/($B$4:$C$4*$B$19:$C$19)*(T4:U4*T19:U19)/($B$4:$C$4*T19:U19))</f>
        <v>1</v>
      </c>
      <c r="U67" s="191"/>
      <c r="V67" s="191">
        <f t="array" ref="V67">SQRT((V4:W4*$B$19:$C$19)/($B$4:$C$4*$B$19:$C$19)*(V4:W4*V19:W19)/($B$4:$C$4*V19:W19))</f>
        <v>1</v>
      </c>
      <c r="W67" s="191"/>
      <c r="X67" s="191">
        <f t="array" ref="X67">SQRT((X4:Y4*$B$19:$C$19)/($B$4:$C$4*$B$19:$C$19)*(X4:Y4*X19:Y19)/($B$4:$C$4*X19:Y19))</f>
        <v>1</v>
      </c>
      <c r="Y67" s="191"/>
      <c r="Z67" s="191">
        <f t="array" ref="Z67">SQRT((Z4:AA4*$B$19:$C$19)/($B$4:$C$4*$B$19:$C$19)*(Z4:AA4*Z19:AA19)/($B$4:$C$4*Z19:AA19))</f>
        <v>1</v>
      </c>
      <c r="AA67" s="191"/>
      <c r="AB67" s="191">
        <f t="array" ref="AB67">SQRT((AB4:AC4*$B$19:$C$19)/($B$4:$C$4*$B$19:$C$19)*(AB4:AC4*AB19:AC19)/($B$4:$C$4*AB19:AC19))</f>
        <v>1</v>
      </c>
      <c r="AC67" s="191"/>
      <c r="AD67" s="191">
        <f t="array" ref="AD67">SQRT((AD4:AE4*$B$19:$C$19)/($B$4:$C$4*$B$19:$C$19)*(AD4:AE4*AD19:AE19)/($B$4:$C$4*AD19:AE19))</f>
        <v>1</v>
      </c>
      <c r="AE67" s="191"/>
      <c r="AF67" s="191">
        <f t="array" ref="AF67">SQRT((AF4:AG4*$B$19:$C$19)/($B$4:$C$4*$B$19:$C$19)*(AF4:AG4*AF19:AG19)/($B$4:$C$4*AF19:AG19))</f>
        <v>1</v>
      </c>
      <c r="AG67" s="191"/>
      <c r="AH67" s="191">
        <f t="array" ref="AH67">SQRT((AH4:AI4*$B$19:$C$19)/($B$4:$C$4*$B$19:$C$19)*(AH4:AI4*AH19:AI19)/($B$4:$C$4*AH19:AI19))</f>
        <v>1</v>
      </c>
      <c r="AI67" s="191"/>
      <c r="AJ67" s="191" t="e">
        <f t="array" ref="AJ67">SQRT((AJ4:AK4*$B$19:$C$19)/($B$4:$C$4*$B$19:$C$19)*(AJ4:AK4*AJ19:AK19)/($B$4:$C$4*AJ19:AK19))</f>
        <v>#DIV/0!</v>
      </c>
      <c r="AK67" s="191"/>
      <c r="AL67" s="191" t="e">
        <f t="array" ref="AL67">SQRT((AL4:AM4*$B$19:$C$19)/($B$4:$C$4*$B$19:$C$19)*(AL4:AM4*AL19:AM19)/($B$4:$C$4*AL19:AM19))</f>
        <v>#DIV/0!</v>
      </c>
      <c r="AM67" s="191"/>
      <c r="AN67" s="191" t="e">
        <f t="array" ref="AN67">SQRT((AN4:AO4*$B$19:$C$19)/($B$4:$C$4*$B$19:$C$19)*(AN4:AO4*AN19:AO19)/($B$4:$C$4*AN19:AO19))</f>
        <v>#DIV/0!</v>
      </c>
      <c r="AO67" s="191"/>
      <c r="AP67" s="191" t="e">
        <f t="array" ref="AP67">SQRT((AP4:AQ4*$B$19:$C$19)/($B$4:$C$4*$B$19:$C$19)*(AP4:AQ4*AP19:AQ19)/($B$4:$C$4*AP19:AQ19))</f>
        <v>#DIV/0!</v>
      </c>
      <c r="AQ67" s="191"/>
      <c r="AR67" s="191" t="e">
        <f t="array" ref="AR67">SQRT((AR4:AS4*$B$19:$C$19)/($B$4:$C$4*$B$19:$C$19)*(AR4:AS4*AR19:AS19)/($B$4:$C$4*AR19:AS19))</f>
        <v>#DIV/0!</v>
      </c>
      <c r="AS67" s="191"/>
      <c r="AT67" s="191" t="e">
        <f t="array" ref="AT67">SQRT((AT4:AU4*$B$19:$C$19)/($B$4:$C$4*$B$19:$C$19)*(AT4:AU4*AT19:AU19)/($B$4:$C$4*AT19:AU19))</f>
        <v>#DIV/0!</v>
      </c>
      <c r="AU67" s="191"/>
      <c r="AV67" s="191" t="e">
        <f t="array" ref="AV67">SQRT((AV4:AW4*$B$19:$C$19)/($B$4:$C$4*$B$19:$C$19)*(AV4:AW4*AV19:AW19)/($B$4:$C$4*AV19:AW19))</f>
        <v>#DIV/0!</v>
      </c>
      <c r="XFD67" s="191"/>
    </row>
    <row r="68" spans="1:48 16384:16384" x14ac:dyDescent="0.2">
      <c r="A68" t="s">
        <v>181</v>
      </c>
      <c r="B68" s="191">
        <f>B66/B67</f>
        <v>1</v>
      </c>
      <c r="C68" s="191"/>
      <c r="D68" s="191">
        <f>D66/D67</f>
        <v>0.99912089457216702</v>
      </c>
      <c r="E68" s="191"/>
      <c r="F68" s="191">
        <f>F66/F67</f>
        <v>0.99823284673995993</v>
      </c>
      <c r="G68" s="191"/>
      <c r="H68" s="191">
        <f>H66/H67</f>
        <v>0.99733359100475172</v>
      </c>
      <c r="I68" s="191"/>
      <c r="J68" s="191">
        <f>J66/J67</f>
        <v>0.99642047301813386</v>
      </c>
      <c r="K68" s="191"/>
      <c r="L68" s="191">
        <f>L66/L67</f>
        <v>0.99549030540123729</v>
      </c>
      <c r="M68" s="191"/>
      <c r="N68" s="191">
        <f>N66/N67</f>
        <v>0.99453918715038947</v>
      </c>
      <c r="O68" s="191"/>
      <c r="P68" s="191">
        <f>P66/P67</f>
        <v>0.99356223127170562</v>
      </c>
      <c r="Q68" s="191"/>
      <c r="R68" s="191">
        <f>R66/R67</f>
        <v>0.99255313623147756</v>
      </c>
      <c r="S68" s="191"/>
      <c r="T68" s="191">
        <f>T66/T67</f>
        <v>0.99150334307779775</v>
      </c>
      <c r="U68" s="191"/>
      <c r="V68" s="191">
        <f>V66/V67</f>
        <v>0.99040069695995336</v>
      </c>
      <c r="W68" s="191"/>
      <c r="X68" s="191">
        <f>X66/X67</f>
        <v>0.98922677060979647</v>
      </c>
      <c r="Y68" s="191"/>
      <c r="Z68" s="191">
        <f>Z66/Z67</f>
        <v>0.98795109545926774</v>
      </c>
      <c r="AA68" s="191"/>
      <c r="AB68" s="191">
        <f>AB66/AB67</f>
        <v>0.98651752394122749</v>
      </c>
      <c r="AC68" s="191"/>
      <c r="AD68" s="191">
        <f>AD66/AD67</f>
        <v>0.98480626820972017</v>
      </c>
      <c r="AE68" s="191"/>
      <c r="AF68" s="191">
        <f>AF66/AF67</f>
        <v>0.98249981027414557</v>
      </c>
      <c r="AG68" s="191"/>
      <c r="AH68" s="191">
        <f>AH66/AH67</f>
        <v>0.97839285719985036</v>
      </c>
      <c r="AI68" s="191"/>
      <c r="AJ68" s="191" t="e">
        <f>AJ66/AJ67</f>
        <v>#DIV/0!</v>
      </c>
      <c r="AK68" s="191"/>
      <c r="AL68" s="191" t="e">
        <f>AL66/AL67</f>
        <v>#DIV/0!</v>
      </c>
      <c r="AM68" s="191"/>
      <c r="AN68" s="191" t="e">
        <f>AN66/AN67</f>
        <v>#DIV/0!</v>
      </c>
      <c r="AO68" s="191"/>
      <c r="AP68" s="191" t="e">
        <f>AP66/AP67</f>
        <v>#DIV/0!</v>
      </c>
      <c r="AQ68" s="191"/>
      <c r="AR68" s="191" t="e">
        <f>AR66/AR67</f>
        <v>#DIV/0!</v>
      </c>
      <c r="AS68" s="191"/>
      <c r="AT68" s="191" t="e">
        <f>AT66/AT67</f>
        <v>#DIV/0!</v>
      </c>
      <c r="AU68" s="191"/>
      <c r="AV68" s="191" t="e">
        <f>AV66/AV67</f>
        <v>#DIV/0!</v>
      </c>
      <c r="XFD68" s="191"/>
    </row>
    <row r="69" spans="1:48 16384:16384" x14ac:dyDescent="0.2">
      <c r="A69" t="s">
        <v>177</v>
      </c>
      <c r="B69" s="191">
        <f>B32/B65/($B$32)</f>
        <v>1</v>
      </c>
      <c r="C69" s="191"/>
      <c r="D69" s="191">
        <f>D32/D65/($B$32)</f>
        <v>0.9801386269646517</v>
      </c>
      <c r="E69" s="191"/>
      <c r="F69" s="191">
        <f>F32/F65/($B$32)</f>
        <v>0.95898368738329298</v>
      </c>
      <c r="G69" s="191"/>
      <c r="H69" s="191">
        <f>H32/H65/($B$32)</f>
        <v>0.93641484279360288</v>
      </c>
      <c r="I69" s="191"/>
      <c r="J69" s="191">
        <f>J32/J65/($B$32)</f>
        <v>0.91229529326390779</v>
      </c>
      <c r="K69" s="191"/>
      <c r="L69" s="191">
        <f>L32/L65/($B$32)</f>
        <v>0.88646872733597226</v>
      </c>
      <c r="M69" s="191"/>
      <c r="N69" s="191">
        <f>N32/N65/($B$32)</f>
        <v>0.85875590910658528</v>
      </c>
      <c r="O69" s="191"/>
      <c r="P69" s="191">
        <f>P32/P65/($B$32)</f>
        <v>0.82895044285035391</v>
      </c>
      <c r="Q69" s="191"/>
      <c r="R69" s="191">
        <f>R32/R65/($B$32)</f>
        <v>0.79681381587443534</v>
      </c>
      <c r="S69" s="191"/>
      <c r="T69" s="191">
        <f>T32/T65/($B$32)</f>
        <v>0.76206942448697079</v>
      </c>
      <c r="U69" s="191"/>
      <c r="V69" s="191">
        <f>V32/V65/($B$32)</f>
        <v>0.72439646676468128</v>
      </c>
      <c r="W69" s="191"/>
      <c r="X69" s="191">
        <f>X32/X65/($B$32)</f>
        <v>0.68342387135721483</v>
      </c>
      <c r="Y69" s="191"/>
      <c r="Z69" s="191">
        <f>Z32/Z65/($B$32)</f>
        <v>0.63872851020778965</v>
      </c>
      <c r="AA69" s="191"/>
      <c r="AB69" s="191">
        <f>AB32/AB65/($B$32)</f>
        <v>0.58984815243393451</v>
      </c>
      <c r="AC69" s="191"/>
      <c r="AD69" s="191">
        <f>AD32/AD65/($B$32)</f>
        <v>0.53634870524006528</v>
      </c>
      <c r="AE69" s="191"/>
      <c r="AF69" s="191">
        <f>AF32/AF65/($B$32)</f>
        <v>0.47812187236580772</v>
      </c>
      <c r="AG69" s="191"/>
      <c r="AH69" s="191">
        <f>AH32/AH65/($B$32)</f>
        <v>0.41701559962025464</v>
      </c>
      <c r="AI69" s="191"/>
      <c r="AJ69" s="191" t="e">
        <f>AJ32/AJ65/($B$32)</f>
        <v>#DIV/0!</v>
      </c>
      <c r="AK69" s="191"/>
      <c r="AL69" s="191" t="e">
        <f>AL32/AL65/($B$32)</f>
        <v>#DIV/0!</v>
      </c>
      <c r="AM69" s="191"/>
      <c r="AN69" s="191" t="e">
        <f>AN32/AN65/($B$32)</f>
        <v>#DIV/0!</v>
      </c>
      <c r="AO69" s="191"/>
      <c r="AP69" s="191" t="e">
        <f>AP32/AP65/($B$32)</f>
        <v>#DIV/0!</v>
      </c>
      <c r="AQ69" s="191"/>
      <c r="AR69" s="191" t="e">
        <f>AR32/AR65/($B$32)</f>
        <v>#DIV/0!</v>
      </c>
      <c r="AS69" s="191"/>
      <c r="AT69" s="191" t="e">
        <f>AT32/AT65/($B$32)</f>
        <v>#DIV/0!</v>
      </c>
      <c r="AU69" s="191"/>
      <c r="AV69" s="191" t="e">
        <f>AV32/AV65/($B$32)</f>
        <v>#DIV/0!</v>
      </c>
    </row>
    <row r="70" spans="1:48 16384:16384" x14ac:dyDescent="0.2">
      <c r="A70" t="s">
        <v>178</v>
      </c>
      <c r="B70" s="138">
        <f>B18/$B$18</f>
        <v>1</v>
      </c>
      <c r="C70" s="138"/>
      <c r="D70" s="138">
        <f>D18/$B$18</f>
        <v>0.97942191071865625</v>
      </c>
      <c r="E70" s="138"/>
      <c r="F70" s="138">
        <f>F18/$B$18</f>
        <v>0.95756709501318649</v>
      </c>
      <c r="G70" s="138"/>
      <c r="H70" s="138">
        <f>H18/$B$18</f>
        <v>0.9343187708914954</v>
      </c>
      <c r="I70" s="138"/>
      <c r="J70" s="138">
        <f>J18/$B$18</f>
        <v>0.90954426655309917</v>
      </c>
      <c r="K70" s="138"/>
      <c r="L70" s="138">
        <f>L18/$B$18</f>
        <v>0.88309214312048212</v>
      </c>
      <c r="M70" s="138"/>
      <c r="N70" s="138">
        <f>N18/$B$18</f>
        <v>0.85478893169379189</v>
      </c>
      <c r="O70" s="138"/>
      <c r="P70" s="138">
        <f>P18/$B$18</f>
        <v>0.82443510161186917</v>
      </c>
      <c r="Q70" s="138"/>
      <c r="R70" s="138">
        <f>R18/$B$18</f>
        <v>0.79180035997204312</v>
      </c>
      <c r="S70" s="138"/>
      <c r="T70" s="138">
        <f>T18/$B$18</f>
        <v>0.75661817965528155</v>
      </c>
      <c r="U70" s="138"/>
      <c r="V70" s="138">
        <f>V18/$B$18</f>
        <v>0.71858018825379577</v>
      </c>
      <c r="W70" s="138"/>
      <c r="X70" s="138">
        <f>X18/$B$18</f>
        <v>0.67733096426103023</v>
      </c>
      <c r="Y70" s="138"/>
      <c r="Z70" s="138">
        <f>Z18/$B$18</f>
        <v>0.63246778037113716</v>
      </c>
      <c r="AA70" s="138"/>
      <c r="AB70" s="138">
        <f>AB18/$B$18</f>
        <v>0.58355641021385618</v>
      </c>
      <c r="AC70" s="138"/>
      <c r="AD70" s="138">
        <f>AD18/$B$18</f>
        <v>0.53020501456170754</v>
      </c>
      <c r="AE70" s="138"/>
      <c r="AF70" s="138">
        <f>AF18/$B$18</f>
        <v>0.47238362910716236</v>
      </c>
      <c r="AG70" s="138"/>
      <c r="AH70" s="138">
        <f>AH18/$B$18</f>
        <v>0.41216964623170987</v>
      </c>
      <c r="AI70" s="138"/>
      <c r="AJ70" s="138">
        <f>AJ18/$B$18</f>
        <v>0</v>
      </c>
      <c r="AK70" s="138"/>
      <c r="AL70" s="138">
        <f>AL18/$B$18</f>
        <v>0</v>
      </c>
      <c r="AM70" s="138"/>
      <c r="AN70" s="138">
        <f>AN18/$B$18</f>
        <v>0</v>
      </c>
      <c r="AO70" s="138"/>
      <c r="AP70" s="138">
        <f>AP18/$B$18</f>
        <v>0</v>
      </c>
      <c r="AQ70" s="138"/>
      <c r="AR70" s="138">
        <f>AR18/$B$18</f>
        <v>0</v>
      </c>
      <c r="AS70" s="138"/>
      <c r="AT70" s="138">
        <f>AT18/$B$18</f>
        <v>0</v>
      </c>
      <c r="AU70" s="138"/>
      <c r="AV70" s="138">
        <f>AV18/$B$18</f>
        <v>0</v>
      </c>
    </row>
    <row r="71" spans="1:48 16384:16384" x14ac:dyDescent="0.2">
      <c r="A71" t="s">
        <v>179</v>
      </c>
      <c r="B71" s="138">
        <f>C18/$C$18</f>
        <v>1</v>
      </c>
      <c r="D71" s="138">
        <f>E18/$C$18</f>
        <v>0.93852967085234984</v>
      </c>
      <c r="E71" s="138"/>
      <c r="F71" s="138">
        <f>G18/$C$18</f>
        <v>0.87764127924849344</v>
      </c>
      <c r="G71" s="138"/>
      <c r="H71" s="138">
        <f>I18/$C$18</f>
        <v>0.81737063762808937</v>
      </c>
      <c r="I71" s="138"/>
      <c r="J71" s="138">
        <f>K18/$C$18</f>
        <v>0.75775818834563036</v>
      </c>
      <c r="K71" s="138"/>
      <c r="L71" s="138">
        <f>M18/$C$18</f>
        <v>0.69885068794137706</v>
      </c>
      <c r="M71" s="138"/>
      <c r="N71" s="138">
        <f>O18/$C$18</f>
        <v>0.64070158606243621</v>
      </c>
      <c r="O71" s="138"/>
      <c r="P71" s="138">
        <f>Q18/$C$18</f>
        <v>0.58337188458669786</v>
      </c>
      <c r="Q71" s="138"/>
      <c r="R71" s="138">
        <f>S18/$C$18</f>
        <v>0.52693082438480965</v>
      </c>
      <c r="S71" s="138"/>
      <c r="T71" s="138">
        <f>U18/$C$18</f>
        <v>0.47145718192165781</v>
      </c>
      <c r="U71" s="138"/>
      <c r="V71" s="138">
        <f>W18/$C$18</f>
        <v>0.41703776190887126</v>
      </c>
      <c r="W71" s="138"/>
      <c r="X71" s="138">
        <f>Y18/$C$18</f>
        <v>0.36376485857838403</v>
      </c>
      <c r="Y71" s="138"/>
      <c r="Z71" s="138">
        <f>AA18/$C$18</f>
        <v>0.31172627866710828</v>
      </c>
      <c r="AA71" s="138"/>
      <c r="AB71" s="138">
        <f>AC18/$C$18</f>
        <v>0.26097643640340779</v>
      </c>
      <c r="AC71" s="138"/>
      <c r="AD71" s="138">
        <f>AE18/$C$18</f>
        <v>0.21144951872348808</v>
      </c>
      <c r="AE71" s="138"/>
      <c r="AF71" s="138">
        <f>AG18/$C$18</f>
        <v>0.16263810196807896</v>
      </c>
      <c r="AG71" s="138"/>
      <c r="AH71" s="138">
        <f>AI18/$C$18</f>
        <v>0.11196212451802408</v>
      </c>
      <c r="AI71" s="138"/>
      <c r="AJ71" s="138">
        <f>AK18/$C$18</f>
        <v>0</v>
      </c>
      <c r="AK71" s="138"/>
      <c r="AL71" s="138">
        <f>AM18/$C$18</f>
        <v>0</v>
      </c>
      <c r="AM71" s="138"/>
      <c r="AN71" s="138">
        <f>AO18/$C$18</f>
        <v>0</v>
      </c>
      <c r="AO71" s="138"/>
      <c r="AP71" s="138">
        <f>AQ18/$C$18</f>
        <v>0</v>
      </c>
      <c r="AQ71" s="138"/>
      <c r="AR71" s="138">
        <f>AS18/$C$18</f>
        <v>0</v>
      </c>
      <c r="AS71" s="138"/>
      <c r="AT71" s="138">
        <f>AU18/$C$18</f>
        <v>0</v>
      </c>
      <c r="AU71" s="138"/>
      <c r="AV71" s="138">
        <f>AW18/$C$18</f>
        <v>0</v>
      </c>
      <c r="XFD71" s="138"/>
    </row>
    <row r="72" spans="1:48 16384:16384" x14ac:dyDescent="0.2">
      <c r="A72" t="s">
        <v>180</v>
      </c>
      <c r="B72" s="138">
        <f>C19/$C$19</f>
        <v>1</v>
      </c>
      <c r="D72" s="138">
        <f>E19/$C$19</f>
        <v>0.99233746861771177</v>
      </c>
      <c r="E72" s="138"/>
      <c r="F72" s="138">
        <f>G19/$C$19</f>
        <v>0.9836809872280774</v>
      </c>
      <c r="G72" s="138"/>
      <c r="H72" s="138">
        <f>I19/$C$19</f>
        <v>0.97389338036278938</v>
      </c>
      <c r="I72" s="138"/>
      <c r="J72" s="138">
        <f>K19/$C$19</f>
        <v>0.96281198524483169</v>
      </c>
      <c r="K72" s="138"/>
      <c r="L72" s="138">
        <f>M19/$C$19</f>
        <v>0.95024566345829808</v>
      </c>
      <c r="M72" s="138"/>
      <c r="N72" s="138">
        <f>O19/$C$19</f>
        <v>0.93596864500607113</v>
      </c>
      <c r="O72" s="138"/>
      <c r="P72" s="138">
        <f>Q19/$C$19</f>
        <v>0.91971422299672423</v>
      </c>
      <c r="Q72" s="138"/>
      <c r="R72" s="138">
        <f>S19/$C$19</f>
        <v>0.90116784873941413</v>
      </c>
      <c r="S72" s="138"/>
      <c r="T72" s="138">
        <f>U19/$C$19</f>
        <v>0.87996636051653065</v>
      </c>
      <c r="U72" s="138"/>
      <c r="V72" s="138">
        <f>W19/$C$19</f>
        <v>0.85569683470864466</v>
      </c>
      <c r="W72" s="138"/>
      <c r="X72" s="138">
        <f>Y19/$C$19</f>
        <v>0.82791498175315514</v>
      </c>
      <c r="Y72" s="138"/>
      <c r="Z72" s="138">
        <f>AA19/$C$19</f>
        <v>0.79620948760044719</v>
      </c>
      <c r="AA72" s="138"/>
      <c r="AB72" s="138">
        <f>AC19/$C$19</f>
        <v>0.76039468954482292</v>
      </c>
      <c r="AC72" s="138"/>
      <c r="AD72" s="138">
        <f>AE19/$C$19</f>
        <v>0.72112808498199377</v>
      </c>
      <c r="AE72" s="138"/>
      <c r="AF72" s="138">
        <f>AG19/$C$19</f>
        <v>0.68228368162227548</v>
      </c>
      <c r="AG72" s="138"/>
      <c r="AH72" s="138">
        <f>AI19/$C$19</f>
        <v>0.66392532015670147</v>
      </c>
      <c r="AI72" s="138"/>
      <c r="AJ72" s="138">
        <f>AK19/$C$19</f>
        <v>0</v>
      </c>
      <c r="AK72" s="138"/>
      <c r="AL72" s="138">
        <f>AM19/$C$19</f>
        <v>0</v>
      </c>
      <c r="AM72" s="138"/>
      <c r="AN72" s="138">
        <f>AO19/$C$19</f>
        <v>0</v>
      </c>
      <c r="AO72" s="138"/>
      <c r="AP72" s="138">
        <f>AQ19/$C$19</f>
        <v>0</v>
      </c>
      <c r="AQ72" s="138"/>
      <c r="AR72" s="138">
        <f>AS19/$C$19</f>
        <v>0</v>
      </c>
      <c r="AS72" s="138"/>
      <c r="AT72" s="138">
        <f>AU19/$C$19</f>
        <v>0</v>
      </c>
      <c r="AU72" s="138"/>
      <c r="AV72" s="138">
        <f>AW19/$C$19</f>
        <v>0</v>
      </c>
      <c r="XFD72" s="138"/>
    </row>
    <row r="73" spans="1:48 16384:16384" x14ac:dyDescent="0.2">
      <c r="A73" t="s">
        <v>184</v>
      </c>
      <c r="B73" s="193">
        <f t="array" ref="B73">SUM(B9:C9*B22:C22)/B32</f>
        <v>0.47641153352875065</v>
      </c>
      <c r="D73" s="193">
        <f t="array" ref="D73">SUM(D9:E9*D22:E22)/D32</f>
        <v>0.47641153506397876</v>
      </c>
      <c r="E73" s="138"/>
      <c r="F73" s="193">
        <f t="array" ref="F73">SUM(F9:G9*F22:G22)/F32</f>
        <v>0.47641153504910833</v>
      </c>
      <c r="G73" s="138"/>
      <c r="H73" s="193">
        <f t="array" ref="H73">SUM(H9:I9*H22:I22)/H32</f>
        <v>0.47641153609476844</v>
      </c>
      <c r="I73" s="138"/>
      <c r="J73" s="193">
        <f t="array" ref="J73">SUM(J9:K9*J22:K22)/J32</f>
        <v>0.4764115347234148</v>
      </c>
      <c r="K73" s="138"/>
      <c r="L73" s="193">
        <f t="array" ref="L73">SUM(L9:M9*L22:M22)/L32</f>
        <v>0.4764115341169991</v>
      </c>
      <c r="M73" s="138"/>
      <c r="N73" s="193">
        <f t="array" ref="N73">SUM(N9:O9*N22:O22)/N32</f>
        <v>0.47641153430349148</v>
      </c>
      <c r="O73" s="138"/>
      <c r="P73" s="193">
        <f t="array" ref="P73">SUM(P9:Q9*P22:Q22)/P32</f>
        <v>0.47641153464607694</v>
      </c>
      <c r="Q73" s="138"/>
      <c r="R73" s="193">
        <f t="array" ref="R73">SUM(R9:S9*R22:S22)/R32</f>
        <v>0.47641153425911764</v>
      </c>
      <c r="S73" s="138"/>
      <c r="T73" s="193">
        <f t="array" ref="T73">SUM(T9:U9*T22:U22)/T32</f>
        <v>0.47641153609573728</v>
      </c>
      <c r="U73" s="138"/>
      <c r="V73" s="193">
        <f t="array" ref="V73">SUM(V9:W9*V22:W22)/V32</f>
        <v>0.4764115324400946</v>
      </c>
      <c r="W73" s="138"/>
      <c r="X73" s="193">
        <f t="array" ref="X73">SUM(X9:Y9*X22:Y22)/X32</f>
        <v>0.47641153071052367</v>
      </c>
      <c r="Y73" s="138"/>
      <c r="Z73" s="193">
        <f t="array" ref="Z73">SUM(Z9:AA9*Z22:AA22)/Z32</f>
        <v>0.4764115346234134</v>
      </c>
      <c r="AA73" s="138"/>
      <c r="AB73" s="193">
        <f t="array" ref="AB73">SUM(AB9:AC9*AB22:AC22)/AB32</f>
        <v>0.47641153294288002</v>
      </c>
      <c r="AC73" s="138"/>
      <c r="AD73" s="193">
        <f t="array" ref="AD73">SUM(AD9:AE9*AD22:AE22)/AD32</f>
        <v>0.47641153495877914</v>
      </c>
      <c r="AE73" s="138"/>
      <c r="AF73" s="193">
        <f t="array" ref="AF73">SUM(AF9:AG9*AF22:AG22)/AF32</f>
        <v>0.47641153580279377</v>
      </c>
      <c r="AG73" s="138"/>
      <c r="AH73" s="193">
        <f t="array" ref="AH73">SUM(AH9:AI9*AH22:AI22)/AH32</f>
        <v>0.47641153332012032</v>
      </c>
      <c r="AI73" s="138"/>
      <c r="AJ73" s="193" t="e">
        <f t="array" ref="AJ73">SUM(AJ9:AK9*AJ22:AK22)/AJ32</f>
        <v>#DIV/0!</v>
      </c>
      <c r="AK73" s="138"/>
      <c r="AL73" s="193" t="e">
        <f t="array" ref="AL73">SUM(AL9:AM9*AL22:AM22)/AL32</f>
        <v>#DIV/0!</v>
      </c>
      <c r="AM73" s="138"/>
      <c r="AN73" s="193" t="e">
        <f t="array" ref="AN73">SUM(AN9:AO9*AN22:AO22)/AN32</f>
        <v>#DIV/0!</v>
      </c>
      <c r="AO73" s="138"/>
      <c r="AP73" s="193" t="e">
        <f t="array" ref="AP73">SUM(AP9:AQ9*AP22:AQ22)/AP32</f>
        <v>#DIV/0!</v>
      </c>
      <c r="AQ73" s="138"/>
      <c r="AR73" s="193" t="e">
        <f t="array" ref="AR73">SUM(AR9:AS9*AR22:AS22)/AR32</f>
        <v>#DIV/0!</v>
      </c>
      <c r="AS73" s="138"/>
      <c r="AT73" s="193" t="e">
        <f t="array" ref="AT73">SUM(AT9:AU9*AT22:AU22)/AT32</f>
        <v>#DIV/0!</v>
      </c>
      <c r="AU73" s="138"/>
      <c r="AV73" s="193" t="e">
        <f t="array" ref="AV73">SUM(AV9:AW9*AV22:AW22)/AV32</f>
        <v>#DIV/0!</v>
      </c>
      <c r="XFD73" s="193"/>
    </row>
    <row r="74" spans="1:48 16384:16384" x14ac:dyDescent="0.2">
      <c r="A74" t="s">
        <v>185</v>
      </c>
      <c r="B74" s="193">
        <f t="array" ref="B74">SUM(B10:C10*B23:C23)/B32</f>
        <v>0.22604620456442484</v>
      </c>
      <c r="D74" s="193">
        <f t="array" ref="D74">SUM(D10:E10*D23:E23)/D32</f>
        <v>0.22604620456442484</v>
      </c>
      <c r="E74" s="138"/>
      <c r="F74" s="193">
        <f t="array" ref="F74">SUM(F10:G10*F23:G23)/F32</f>
        <v>0.22604620456442484</v>
      </c>
      <c r="G74" s="138"/>
      <c r="H74" s="193">
        <f t="array" ref="H74">SUM(H10:I10*H23:I23)/H32</f>
        <v>0.22604620456442484</v>
      </c>
      <c r="I74" s="138"/>
      <c r="J74" s="193">
        <f t="array" ref="J74">SUM(J10:K10*J23:K23)/J32</f>
        <v>0.22604620456442484</v>
      </c>
      <c r="K74" s="138"/>
      <c r="L74" s="193">
        <f t="array" ref="L74">SUM(L10:M10*L23:M23)/L32</f>
        <v>0.22604620456442484</v>
      </c>
      <c r="M74" s="138"/>
      <c r="N74" s="193">
        <f t="array" ref="N74">SUM(N10:O10*N23:O23)/N32</f>
        <v>0.22604620456442484</v>
      </c>
      <c r="O74" s="138"/>
      <c r="P74" s="193">
        <f t="array" ref="P74">SUM(P10:Q10*P23:Q23)/P32</f>
        <v>0.22604620456442487</v>
      </c>
      <c r="Q74" s="138"/>
      <c r="R74" s="193">
        <f t="array" ref="R74">SUM(R10:S10*R23:S23)/R32</f>
        <v>0.22604620456442484</v>
      </c>
      <c r="S74" s="138"/>
      <c r="T74" s="193">
        <f t="array" ref="T74">SUM(T10:U10*T23:U23)/T32</f>
        <v>0.22604620456442484</v>
      </c>
      <c r="U74" s="138"/>
      <c r="V74" s="193">
        <f t="array" ref="V74">SUM(V10:W10*V23:W23)/V32</f>
        <v>0.22604620456442484</v>
      </c>
      <c r="W74" s="138"/>
      <c r="X74" s="193">
        <f t="array" ref="X74">SUM(X10:Y10*X23:Y23)/X32</f>
        <v>0.22604620456442484</v>
      </c>
      <c r="Y74" s="138"/>
      <c r="Z74" s="193">
        <f t="array" ref="Z74">SUM(Z10:AA10*Z23:AA23)/Z32</f>
        <v>0.22604620456442484</v>
      </c>
      <c r="AA74" s="138"/>
      <c r="AB74" s="193">
        <f t="array" ref="AB74">SUM(AB10:AC10*AB23:AC23)/AB32</f>
        <v>0.22604620456442484</v>
      </c>
      <c r="AC74" s="138"/>
      <c r="AD74" s="193">
        <f t="array" ref="AD74">SUM(AD10:AE10*AD23:AE23)/AD32</f>
        <v>0.22604620456442484</v>
      </c>
      <c r="AE74" s="138"/>
      <c r="AF74" s="193">
        <f t="array" ref="AF74">SUM(AF10:AG10*AF23:AG23)/AF32</f>
        <v>0.22604620456442484</v>
      </c>
      <c r="AG74" s="138"/>
      <c r="AH74" s="193">
        <f t="array" ref="AH74">SUM(AH10:AI10*AH23:AI23)/AH32</f>
        <v>0.22604620456442481</v>
      </c>
      <c r="AI74" s="138"/>
      <c r="AJ74" s="193" t="e">
        <f t="array" ref="AJ74">SUM(AJ10:AK10*AJ23:AK23)/AJ32</f>
        <v>#DIV/0!</v>
      </c>
      <c r="AK74" s="138"/>
      <c r="AL74" s="193" t="e">
        <f t="array" ref="AL74">SUM(AL10:AM10*AL23:AM23)/AL32</f>
        <v>#DIV/0!</v>
      </c>
      <c r="AM74" s="138"/>
      <c r="AN74" s="193" t="e">
        <f t="array" ref="AN74">SUM(AN10:AO10*AN23:AO23)/AN32</f>
        <v>#DIV/0!</v>
      </c>
      <c r="AO74" s="138"/>
      <c r="AP74" s="193" t="e">
        <f t="array" ref="AP74">SUM(AP10:AQ10*AP23:AQ23)/AP32</f>
        <v>#DIV/0!</v>
      </c>
      <c r="AQ74" s="138"/>
      <c r="AR74" s="193" t="e">
        <f t="array" ref="AR74">SUM(AR10:AS10*AR23:AS23)/AR32</f>
        <v>#DIV/0!</v>
      </c>
      <c r="AS74" s="138"/>
      <c r="AT74" s="193" t="e">
        <f t="array" ref="AT74">SUM(AT10:AU10*AT23:AU23)/AT32</f>
        <v>#DIV/0!</v>
      </c>
      <c r="AU74" s="138"/>
      <c r="AV74" s="193" t="e">
        <f t="array" ref="AV74">SUM(AV10:AW10*AV23:AW23)/AV32</f>
        <v>#DIV/0!</v>
      </c>
      <c r="XFD74" s="193"/>
    </row>
    <row r="75" spans="1:48 16384:16384" x14ac:dyDescent="0.2">
      <c r="A75" t="s">
        <v>186</v>
      </c>
      <c r="B75" s="193">
        <f t="array" ref="B75">SUM(B11:C11*B24:C24)/B32</f>
        <v>0.22038438833194082</v>
      </c>
      <c r="D75" s="193">
        <f t="array" ref="D75">SUM(D11:E11*D24:E24)/D32</f>
        <v>0.22038438849840813</v>
      </c>
      <c r="E75" s="138"/>
      <c r="F75" s="193">
        <f t="array" ref="F75">SUM(F11:G11*F24:G24)/F32</f>
        <v>0.22038438851074077</v>
      </c>
      <c r="G75" s="138"/>
      <c r="H75" s="193">
        <f t="array" ref="H75">SUM(H11:I11*H24:I24)/H32</f>
        <v>0.22038438869135676</v>
      </c>
      <c r="I75" s="138"/>
      <c r="J75" s="193">
        <f t="array" ref="J75">SUM(J11:K11*J24:K24)/J32</f>
        <v>0.22038438855469297</v>
      </c>
      <c r="K75" s="138"/>
      <c r="L75" s="193">
        <f t="array" ref="L75">SUM(L11:M11*L24:M24)/L32</f>
        <v>0.22038438822011686</v>
      </c>
      <c r="M75" s="138"/>
      <c r="N75" s="193">
        <f t="array" ref="N75">SUM(N11:O11*N24:O24)/N32</f>
        <v>0.2203843881724816</v>
      </c>
      <c r="O75" s="138"/>
      <c r="P75" s="193">
        <f t="array" ref="P75">SUM(P11:Q11*P24:Q24)/P32</f>
        <v>0.22038438873817645</v>
      </c>
      <c r="Q75" s="138"/>
      <c r="R75" s="193">
        <f t="array" ref="R75">SUM(R11:S11*R24:S24)/R32</f>
        <v>0.22038438816509012</v>
      </c>
      <c r="S75" s="138"/>
      <c r="T75" s="193">
        <f t="array" ref="T75">SUM(T11:U11*T24:U24)/T32</f>
        <v>0.22038438771467106</v>
      </c>
      <c r="U75" s="138"/>
      <c r="V75" s="193">
        <f t="array" ref="V75">SUM(V11:W11*V24:W24)/V32</f>
        <v>0.22038438860986925</v>
      </c>
      <c r="W75" s="138"/>
      <c r="X75" s="193">
        <f t="array" ref="X75">SUM(X11:Y11*X24:Y24)/X32</f>
        <v>0.2203843890755072</v>
      </c>
      <c r="Y75" s="138"/>
      <c r="Z75" s="193">
        <f t="array" ref="Z75">SUM(Z11:AA11*Z24:AA24)/Z32</f>
        <v>0.22038438799198068</v>
      </c>
      <c r="AA75" s="138"/>
      <c r="AB75" s="193">
        <f t="array" ref="AB75">SUM(AB11:AC11*AB24:AC24)/AB32</f>
        <v>0.22038438851643072</v>
      </c>
      <c r="AC75" s="138"/>
      <c r="AD75" s="193">
        <f t="array" ref="AD75">SUM(AD11:AE11*AD24:AE24)/AD32</f>
        <v>0.22038438799889412</v>
      </c>
      <c r="AE75" s="138"/>
      <c r="AF75" s="193">
        <f t="array" ref="AF75">SUM(AF11:AG11*AF24:AG24)/AF32</f>
        <v>0.22038438780557679</v>
      </c>
      <c r="AG75" s="138"/>
      <c r="AH75" s="193">
        <f t="array" ref="AH75">SUM(AH11:AI11*AH24:AI24)/AH32</f>
        <v>0.22038438833217092</v>
      </c>
      <c r="AI75" s="138"/>
      <c r="AJ75" s="193" t="e">
        <f t="array" ref="AJ75">SUM(AJ11:AK11*AJ24:AK24)/AJ32</f>
        <v>#DIV/0!</v>
      </c>
      <c r="AK75" s="138"/>
      <c r="AL75" s="193" t="e">
        <f t="array" ref="AL75">SUM(AL11:AM11*AL24:AM24)/AL32</f>
        <v>#DIV/0!</v>
      </c>
      <c r="AM75" s="138"/>
      <c r="AN75" s="193" t="e">
        <f t="array" ref="AN75">SUM(AN11:AO11*AN24:AO24)/AN32</f>
        <v>#DIV/0!</v>
      </c>
      <c r="AO75" s="138"/>
      <c r="AP75" s="193" t="e">
        <f t="array" ref="AP75">SUM(AP11:AQ11*AP24:AQ24)/AP32</f>
        <v>#DIV/0!</v>
      </c>
      <c r="AQ75" s="138"/>
      <c r="AR75" s="193" t="e">
        <f t="array" ref="AR75">SUM(AR11:AS11*AR24:AS24)/AR32</f>
        <v>#DIV/0!</v>
      </c>
      <c r="AS75" s="138"/>
      <c r="AT75" s="193" t="e">
        <f t="array" ref="AT75">SUM(AT11:AU11*AT24:AU24)/AT32</f>
        <v>#DIV/0!</v>
      </c>
      <c r="AU75" s="138"/>
      <c r="AV75" s="193" t="e">
        <f t="array" ref="AV75">SUM(AV11:AW11*AV24:AW24)/AV32</f>
        <v>#DIV/0!</v>
      </c>
      <c r="XFD75" s="193"/>
    </row>
    <row r="76" spans="1:48 16384:16384" x14ac:dyDescent="0.2">
      <c r="A76" t="s">
        <v>187</v>
      </c>
      <c r="B76" s="193">
        <f t="array" ref="B76">SUM(B12:C12*B25:C25)/B32</f>
        <v>0.22301874374724867</v>
      </c>
      <c r="D76" s="193">
        <f t="array" ref="D76">SUM(D12:E12*D25:E25)/D32</f>
        <v>0.22299394725882316</v>
      </c>
      <c r="E76" s="138"/>
      <c r="F76" s="193">
        <f t="array" ref="F76">SUM(F12:G12*F25:G25)/F32</f>
        <v>0.2229816755167183</v>
      </c>
      <c r="G76" s="138"/>
      <c r="H76" s="193">
        <f t="array" ref="H76">SUM(H12:I12*H25:I25)/H32</f>
        <v>0.2229833128228326</v>
      </c>
      <c r="I76" s="138"/>
      <c r="J76" s="193">
        <f t="array" ref="J76">SUM(J12:K12*J25:K25)/J32</f>
        <v>0.22300049508591815</v>
      </c>
      <c r="K76" s="138"/>
      <c r="L76" s="193">
        <f t="array" ref="L76">SUM(L12:M12*L25:M25)/L32</f>
        <v>0.22303521466018472</v>
      </c>
      <c r="M76" s="138"/>
      <c r="N76" s="193">
        <f t="array" ref="N76">SUM(N12:O12*N25:O25)/N32</f>
        <v>0.22308993590387616</v>
      </c>
      <c r="O76" s="138"/>
      <c r="P76" s="193">
        <f t="array" ref="P76">SUM(P12:Q12*P25:Q25)/P32</f>
        <v>0.22316777507828015</v>
      </c>
      <c r="Q76" s="138"/>
      <c r="R76" s="193">
        <f t="array" ref="R76">SUM(R12:S12*R25:S25)/R32</f>
        <v>0.22327278198673431</v>
      </c>
      <c r="S76" s="138"/>
      <c r="T76" s="193">
        <f t="array" ref="T76">SUM(T12:U12*T25:U25)/T32</f>
        <v>0.22341053392386395</v>
      </c>
      <c r="U76" s="138"/>
      <c r="V76" s="193">
        <f t="array" ref="V76">SUM(V12:W12*V25:W25)/V32</f>
        <v>0.22358904009872807</v>
      </c>
      <c r="W76" s="138"/>
      <c r="X76" s="193">
        <f t="array" ref="X76">SUM(X12:Y12*X25:Y25)/X32</f>
        <v>0.22382060267990378</v>
      </c>
      <c r="Y76" s="138"/>
      <c r="Z76" s="193">
        <f t="array" ref="Z76">SUM(Z12:AA12*Z25:AA25)/Z32</f>
        <v>0.22412588770580882</v>
      </c>
      <c r="AA76" s="138"/>
      <c r="AB76" s="193">
        <f t="array" ref="AB76">SUM(AB12:AC12*AB25:AC25)/AB32</f>
        <v>0.22454366138047482</v>
      </c>
      <c r="AC76" s="138"/>
      <c r="AD76" s="193">
        <f t="array" ref="AD76">SUM(AD12:AE12*AD25:AE25)/AD32</f>
        <v>0.22515827947928882</v>
      </c>
      <c r="AE76" s="138"/>
      <c r="AF76" s="193">
        <f t="array" ref="AF76">SUM(AF12:AG12*AF25:AG25)/AF32</f>
        <v>0.22619878691305303</v>
      </c>
      <c r="AG76" s="138"/>
      <c r="AH76" s="193">
        <f t="array" ref="AH76">SUM(AH12:AI12*AH25:AI25)/AH32</f>
        <v>0.22856638044351579</v>
      </c>
      <c r="AI76" s="138"/>
      <c r="AJ76" s="193" t="e">
        <f t="array" ref="AJ76">SUM(AJ12:AK12*AJ25:AK25)/AJ32</f>
        <v>#DIV/0!</v>
      </c>
      <c r="AK76" s="138"/>
      <c r="AL76" s="193" t="e">
        <f t="array" ref="AL76">SUM(AL12:AM12*AL25:AM25)/AL32</f>
        <v>#DIV/0!</v>
      </c>
      <c r="AM76" s="138"/>
      <c r="AN76" s="193" t="e">
        <f t="array" ref="AN76">SUM(AN12:AO12*AN25:AO25)/AN32</f>
        <v>#DIV/0!</v>
      </c>
      <c r="AO76" s="138"/>
      <c r="AP76" s="193" t="e">
        <f t="array" ref="AP76">SUM(AP12:AQ12*AP25:AQ25)/AP32</f>
        <v>#DIV/0!</v>
      </c>
      <c r="AQ76" s="138"/>
      <c r="AR76" s="193" t="e">
        <f t="array" ref="AR76">SUM(AR12:AS12*AR25:AS25)/AR32</f>
        <v>#DIV/0!</v>
      </c>
      <c r="AS76" s="138"/>
      <c r="AT76" s="193" t="e">
        <f t="array" ref="AT76">SUM(AT12:AU12*AT25:AU25)/AT32</f>
        <v>#DIV/0!</v>
      </c>
      <c r="AU76" s="138"/>
      <c r="AV76" s="193" t="e">
        <f t="array" ref="AV76">SUM(AV12:AW12*AV25:AW25)/AV32</f>
        <v>#DIV/0!</v>
      </c>
      <c r="XFD76" s="193"/>
    </row>
    <row r="77" spans="1:48 16384:16384" x14ac:dyDescent="0.2">
      <c r="A77" t="s">
        <v>188</v>
      </c>
      <c r="B77" s="193">
        <f t="array" ref="B77">SUM(B4:C4*B19:C19)/B32</f>
        <v>0.14586087017236485</v>
      </c>
      <c r="D77" s="193">
        <f t="array" ref="D77">SUM(D4:E4*D19:E19)/D32</f>
        <v>0.14583607538563478</v>
      </c>
      <c r="E77" s="138"/>
      <c r="F77" s="193">
        <f t="array" ref="F77">SUM(F4:G4*F19:G19)/F32</f>
        <v>0.1458238036409919</v>
      </c>
      <c r="G77" s="138"/>
      <c r="H77" s="193">
        <f t="array" ref="H77">SUM(H4:I4*H19:I19)/H32</f>
        <v>0.14582544217338264</v>
      </c>
      <c r="I77" s="138"/>
      <c r="J77" s="193">
        <f t="array" ref="J77">SUM(J4:K4*J19:K19)/J32</f>
        <v>0.14584262292845074</v>
      </c>
      <c r="K77" s="138"/>
      <c r="L77" s="193">
        <f t="array" ref="L77">SUM(L4:M4*L19:M19)/L32</f>
        <v>0.1458773415617253</v>
      </c>
      <c r="M77" s="138"/>
      <c r="N77" s="193">
        <f t="array" ref="N77">SUM(N4:O4*N19:O19)/N32</f>
        <v>0.14593206294427399</v>
      </c>
      <c r="O77" s="138"/>
      <c r="P77" s="193">
        <f t="array" ref="P77">SUM(P4:Q4*P19:Q19)/P32</f>
        <v>0.14600990302695829</v>
      </c>
      <c r="Q77" s="138"/>
      <c r="R77" s="193">
        <f t="array" ref="R77">SUM(R4:S4*R19:S19)/R32</f>
        <v>0.1461149089753668</v>
      </c>
      <c r="S77" s="138"/>
      <c r="T77" s="193">
        <f t="array" ref="T77">SUM(T4:U4*T19:U19)/T32</f>
        <v>0.1462526622986968</v>
      </c>
      <c r="U77" s="138"/>
      <c r="V77" s="193">
        <f t="array" ref="V77">SUM(V4:W4*V19:W19)/V32</f>
        <v>0.1464311657131166</v>
      </c>
      <c r="W77" s="138"/>
      <c r="X77" s="193">
        <f t="array" ref="X77">SUM(X4:Y4*X19:Y19)/X32</f>
        <v>0.14666272703035943</v>
      </c>
      <c r="Y77" s="138"/>
      <c r="Z77" s="193">
        <f t="array" ref="Z77">SUM(Z4:AA4*Z19:AA19)/Z32</f>
        <v>0.14696801488562761</v>
      </c>
      <c r="AA77" s="138"/>
      <c r="AB77" s="193">
        <f t="array" ref="AB77">SUM(AB4:AC4*AB19:AC19)/AB32</f>
        <v>0.14738578740421024</v>
      </c>
      <c r="AC77" s="138"/>
      <c r="AD77" s="193">
        <f t="array" ref="AD77">SUM(AD4:AE4*AD19:AE19)/AD32</f>
        <v>0.14800040700138678</v>
      </c>
      <c r="AE77" s="138"/>
      <c r="AF77" s="193">
        <f t="array" ref="AF77">SUM(AF4:AG4*AF19:AG19)/AF32</f>
        <v>0.14904091508584827</v>
      </c>
      <c r="AG77" s="138"/>
      <c r="AH77" s="193">
        <f t="array" ref="AH77">SUM(AH4:AI4*AH19:AI19)/AH32</f>
        <v>0.15140850666023187</v>
      </c>
      <c r="AI77" s="138"/>
      <c r="AJ77" s="193" t="e">
        <f t="array" ref="AJ77">SUM(AJ4:AK4*AJ19:AK19)/AJ32</f>
        <v>#DIV/0!</v>
      </c>
      <c r="AK77" s="138"/>
      <c r="AL77" s="193" t="e">
        <f t="array" ref="AL77">SUM(AL4:AM4*AL19:AM19)/AL32</f>
        <v>#DIV/0!</v>
      </c>
      <c r="AM77" s="138"/>
      <c r="AN77" s="193" t="e">
        <f t="array" ref="AN77">SUM(AN4:AO4*AN19:AO19)/AN32</f>
        <v>#DIV/0!</v>
      </c>
      <c r="AO77" s="138"/>
      <c r="AP77" s="193" t="e">
        <f t="array" ref="AP77">SUM(AP4:AQ4*AP19:AQ19)/AP32</f>
        <v>#DIV/0!</v>
      </c>
      <c r="AQ77" s="138"/>
      <c r="AR77" s="193" t="e">
        <f t="array" ref="AR77">SUM(AR4:AS4*AR19:AS19)/AR32</f>
        <v>#DIV/0!</v>
      </c>
      <c r="AS77" s="138"/>
      <c r="AT77" s="193" t="e">
        <f t="array" ref="AT77">SUM(AT4:AU4*AT19:AU19)/AT32</f>
        <v>#DIV/0!</v>
      </c>
      <c r="AU77" s="138"/>
      <c r="AV77" s="193" t="e">
        <f t="array" ref="AV77">SUM(AV4:AW4*AV19:AW19)/AV32</f>
        <v>#DIV/0!</v>
      </c>
      <c r="XFD77" s="193"/>
    </row>
    <row r="78" spans="1:48 16384:16384" x14ac:dyDescent="0.2">
      <c r="A78" t="s">
        <v>189</v>
      </c>
      <c r="B78" s="193">
        <f t="array" ref="B78">SUM(B13:C13*B26:C26)/B32</f>
        <v>0.346887593115773</v>
      </c>
      <c r="D78" s="193">
        <f t="array" ref="D78">SUM(D13:E13*D26:E26)/D32</f>
        <v>0.34091263252560305</v>
      </c>
      <c r="E78" s="138"/>
      <c r="F78" s="193">
        <f t="array" ref="F78">SUM(F13:G13*F26:G26)/F32</f>
        <v>0.33479028940545907</v>
      </c>
      <c r="G78" s="138"/>
      <c r="H78" s="193">
        <f t="array" ref="H78">SUM(H13:I13*H26:I26)/H32</f>
        <v>0.32850937805104335</v>
      </c>
      <c r="I78" s="138"/>
      <c r="J78" s="193">
        <f t="array" ref="J78">SUM(J13:K13*J26:K26)/J32</f>
        <v>0.32205735967038335</v>
      </c>
      <c r="K78" s="138"/>
      <c r="L78" s="193">
        <f t="array" ref="L78">SUM(L13:M13*L26:M26)/L32</f>
        <v>0.31542023228294919</v>
      </c>
      <c r="M78" s="138"/>
      <c r="N78" s="193">
        <f t="array" ref="N78">SUM(N13:O13*N26:O26)/N32</f>
        <v>0.3085822942648821</v>
      </c>
      <c r="O78" s="138"/>
      <c r="P78" s="193">
        <f t="array" ref="P78">SUM(P13:Q13*P26:Q26)/P32</f>
        <v>0.30152587058935582</v>
      </c>
      <c r="Q78" s="138"/>
      <c r="R78" s="193">
        <f t="array" ref="R78">SUM(R13:S13*R26:S26)/R32</f>
        <v>0.29423092802740797</v>
      </c>
      <c r="S78" s="138"/>
      <c r="T78" s="193">
        <f t="array" ref="T78">SUM(T13:U13*T26:U26)/T32</f>
        <v>0.28667525283121792</v>
      </c>
      <c r="U78" s="138"/>
      <c r="V78" s="193">
        <f t="array" ref="V78">SUM(V13:W13*V26:W26)/V32</f>
        <v>0.27883420885330806</v>
      </c>
      <c r="W78" s="138"/>
      <c r="X78" s="193">
        <f t="array" ref="X78">SUM(X13:Y13*X26:Y26)/X32</f>
        <v>0.27068121838459858</v>
      </c>
      <c r="Y78" s="138"/>
      <c r="Z78" s="193">
        <f t="array" ref="Z78">SUM(Z13:AA13*Z26:AA26)/Z32</f>
        <v>0.26219021065967585</v>
      </c>
      <c r="AA78" s="138"/>
      <c r="AB78" s="193">
        <f t="array" ref="AB78">SUM(AB13:AC13*AB26:AC26)/AB32</f>
        <v>0.25334294936601365</v>
      </c>
      <c r="AC78" s="138"/>
      <c r="AD78" s="193">
        <f t="array" ref="AD78">SUM(AD13:AE13*AD26:AE26)/AD32</f>
        <v>0.24415212278407727</v>
      </c>
      <c r="AE78" s="138"/>
      <c r="AF78" s="193">
        <f t="array" ref="AF78">SUM(AF13:AG13*AF26:AG26)/AF32</f>
        <v>0.23475369811930433</v>
      </c>
      <c r="AG78" s="138"/>
      <c r="AH78" s="193">
        <f t="array" ref="AH78">SUM(AH13:AI13*AH26:AI26)/AH32</f>
        <v>0.22590125327476548</v>
      </c>
      <c r="AI78" s="138"/>
      <c r="AJ78" s="193" t="e">
        <f t="array" ref="AJ78">SUM(AJ13:AK13*AJ26:AK26)/AJ32</f>
        <v>#DIV/0!</v>
      </c>
      <c r="AK78" s="138"/>
      <c r="AL78" s="193" t="e">
        <f t="array" ref="AL78">SUM(AL13:AM13*AL26:AM26)/AL32</f>
        <v>#DIV/0!</v>
      </c>
      <c r="AM78" s="138"/>
      <c r="AN78" s="193" t="e">
        <f t="array" ref="AN78">SUM(AN13:AO13*AN26:AO26)/AN32</f>
        <v>#DIV/0!</v>
      </c>
      <c r="AO78" s="138"/>
      <c r="AP78" s="193" t="e">
        <f t="array" ref="AP78">SUM(AP13:AQ13*AP26:AQ26)/AP32</f>
        <v>#DIV/0!</v>
      </c>
      <c r="AQ78" s="138"/>
      <c r="AR78" s="193" t="e">
        <f t="array" ref="AR78">SUM(AR13:AS13*AR26:AS26)/AR32</f>
        <v>#DIV/0!</v>
      </c>
      <c r="AS78" s="138"/>
      <c r="AT78" s="193" t="e">
        <f t="array" ref="AT78">SUM(AT13:AU13*AT26:AU26)/AT32</f>
        <v>#DIV/0!</v>
      </c>
      <c r="AU78" s="138"/>
      <c r="AV78" s="193" t="e">
        <f t="array" ref="AV78">SUM(AV13:AW13*AV26:AW26)/AV32</f>
        <v>#DIV/0!</v>
      </c>
      <c r="XFD78" s="193"/>
    </row>
    <row r="79" spans="1:48 16384:16384" x14ac:dyDescent="0.2">
      <c r="A79" t="s">
        <v>190</v>
      </c>
      <c r="B79" s="193">
        <f t="array" ref="B79">SUM(B15:C15*B27:C27)/B32</f>
        <v>0.45460968782440808</v>
      </c>
      <c r="D79" s="193">
        <f t="array" ref="D79">SUM(D15:E15*D27:E27)/D32</f>
        <v>0.46066779599719804</v>
      </c>
      <c r="F79" s="193">
        <f t="array" ref="F79">SUM(F15:G15*F27:G27)/F32</f>
        <v>0.46687536071653152</v>
      </c>
      <c r="H79" s="193">
        <f t="array" ref="H79">SUM(H15:I15*H27:I27)/H32</f>
        <v>0.47324366301278964</v>
      </c>
      <c r="J79" s="193">
        <f t="array" ref="J79">SUM(J15:K15*J27:K27)/J32</f>
        <v>0.47978553175054989</v>
      </c>
      <c r="L79" s="193">
        <f t="array" ref="L79">SUM(L15:M15*L27:M27)/L32</f>
        <v>0.48651512036625671</v>
      </c>
      <c r="N79" s="193">
        <f t="array" ref="N79">SUM(N15:O15*N27:O27)/N32</f>
        <v>0.49344825762237987</v>
      </c>
      <c r="P79" s="193">
        <f t="array" ref="P79">SUM(P15:Q15*P27:Q27)/P32</f>
        <v>0.50060277532395714</v>
      </c>
      <c r="R79" s="193">
        <f t="array" ref="R79">SUM(R15:S15*R27:S27)/R32</f>
        <v>0.50799941317213637</v>
      </c>
      <c r="T79" s="193">
        <f t="array" ref="T79">SUM(T15:U15*T27:U27)/T32</f>
        <v>0.51566034649272752</v>
      </c>
      <c r="V79" s="193">
        <f t="array" ref="V79">SUM(V15:W15*V27:W27)/V32</f>
        <v>0.52361039720286895</v>
      </c>
      <c r="X79" s="193">
        <f t="array" ref="X79">SUM(X15:Y15*X27:Y27)/X32</f>
        <v>0.53187679367817353</v>
      </c>
      <c r="Z79" s="193">
        <f t="array" ref="Z79">SUM(Z15:AA15*Z27:AA27)/Z32</f>
        <v>0.54048623461218115</v>
      </c>
      <c r="AB79" s="193">
        <f t="array" ref="AB79">SUM(AB15:AC15*AB27:AC27)/AB32</f>
        <v>0.54945653369969749</v>
      </c>
      <c r="AD79" s="193">
        <f t="array" ref="AD79">SUM(AD15:AE15*AD27:AE27)/AD32</f>
        <v>0.55877539925249742</v>
      </c>
      <c r="AF79" s="193">
        <f t="array" ref="AF79">SUM(AF15:AG15*AF27:AG27)/AF32</f>
        <v>0.56830470184515469</v>
      </c>
      <c r="AH79" s="193">
        <f t="array" ref="AH79">SUM(AH15:AI15*AH27:AI27)/AH32</f>
        <v>0.57728028094759498</v>
      </c>
      <c r="AJ79" s="193" t="e">
        <f t="array" ref="AJ79">SUM(AJ15:AK15*AJ27:AK27)/AJ32</f>
        <v>#DIV/0!</v>
      </c>
      <c r="AL79" s="193" t="e">
        <f t="array" ref="AL79">SUM(AL15:AM15*AL27:AM27)/AL32</f>
        <v>#DIV/0!</v>
      </c>
      <c r="AN79" s="193" t="e">
        <f t="array" ref="AN79">SUM(AN15:AO15*AN27:AO27)/AN32</f>
        <v>#DIV/0!</v>
      </c>
      <c r="AP79" s="193" t="e">
        <f t="array" ref="AP79">SUM(AP15:AQ15*AP27:AQ27)/AP32</f>
        <v>#DIV/0!</v>
      </c>
      <c r="AR79" s="193" t="e">
        <f t="array" ref="AR79">SUM(AR15:AS15*AR27:AS27)/AR32</f>
        <v>#DIV/0!</v>
      </c>
      <c r="AT79" s="193" t="e">
        <f t="array" ref="AT79">SUM(AT15:AU15*AT27:AU27)/AT32</f>
        <v>#DIV/0!</v>
      </c>
      <c r="AV79" s="193" t="e">
        <f t="array" ref="AV79">SUM(AV15:AW15*AV27:AW27)/AV32</f>
        <v>#DIV/0!</v>
      </c>
      <c r="XFD79" s="193"/>
    </row>
    <row r="80" spans="1:48 16384:16384" x14ac:dyDescent="0.2">
      <c r="A80" t="s">
        <v>169</v>
      </c>
      <c r="B80" s="236">
        <f>B55</f>
        <v>0.19850271905982084</v>
      </c>
      <c r="D80" s="236">
        <f>D55</f>
        <v>0.19841954619630656</v>
      </c>
      <c r="F80" s="236">
        <f>F55</f>
        <v>0.19833431780510111</v>
      </c>
      <c r="H80" s="236">
        <f>H55</f>
        <v>0.19824688764539569</v>
      </c>
      <c r="J80" s="236">
        <f>J55</f>
        <v>0.19815706424643997</v>
      </c>
      <c r="L80" s="236">
        <f>L55</f>
        <v>0.19806465896656159</v>
      </c>
      <c r="N80" s="236">
        <f>N55</f>
        <v>0.19796946686018693</v>
      </c>
      <c r="P80" s="236">
        <f>P55</f>
        <v>0.19787125211124851</v>
      </c>
      <c r="R80" s="236">
        <f>R55</f>
        <v>0.19776968093899783</v>
      </c>
      <c r="T80" s="236">
        <f>T55</f>
        <v>0.19766448991836427</v>
      </c>
      <c r="V80" s="236">
        <f>V55</f>
        <v>0.19755535080897502</v>
      </c>
      <c r="X80" s="236">
        <f>X55</f>
        <v>0.19744186070917449</v>
      </c>
      <c r="Z80" s="236">
        <f>Z55</f>
        <v>0.19732363751449464</v>
      </c>
      <c r="AB80" s="236">
        <f>AB55</f>
        <v>0.19720048437215412</v>
      </c>
      <c r="AD80" s="236">
        <f>AD55</f>
        <v>0.19707253183323326</v>
      </c>
      <c r="AF80" s="236">
        <f>AF55</f>
        <v>0.19694169505845033</v>
      </c>
      <c r="AH80" s="236">
        <f>AH55</f>
        <v>0.19681846464233771</v>
      </c>
      <c r="AJ80" s="236" t="e">
        <f>AJ55</f>
        <v>#DIV/0!</v>
      </c>
      <c r="AL80" s="236" t="e">
        <f>AL55</f>
        <v>#DIV/0!</v>
      </c>
      <c r="AN80" s="236" t="e">
        <f>AN55</f>
        <v>#DIV/0!</v>
      </c>
      <c r="AP80" s="236" t="e">
        <f>AP55</f>
        <v>#DIV/0!</v>
      </c>
      <c r="AR80" s="236" t="e">
        <f>AR55</f>
        <v>#DIV/0!</v>
      </c>
      <c r="AT80" s="236" t="e">
        <f>AT55</f>
        <v>#DIV/0!</v>
      </c>
      <c r="AV80" s="236" t="e">
        <f>AV55</f>
        <v>#DIV/0!</v>
      </c>
      <c r="XFD80" s="236"/>
    </row>
    <row r="81" spans="1:48 16384:16384" x14ac:dyDescent="0.2">
      <c r="A81" t="s">
        <v>191</v>
      </c>
      <c r="B81" s="236">
        <f>B51/B$32</f>
        <v>-2.7543485504603994E-2</v>
      </c>
      <c r="D81" s="236">
        <f>D51/D$32</f>
        <v>-2.7626658368118267E-2</v>
      </c>
      <c r="F81" s="236">
        <f>F51/F$32</f>
        <v>-2.7711886759323741E-2</v>
      </c>
      <c r="H81" s="236">
        <f>H51/H$32</f>
        <v>-2.7799316919029145E-2</v>
      </c>
      <c r="J81" s="236">
        <f>J51/J$32</f>
        <v>-2.7889140317984867E-2</v>
      </c>
      <c r="L81" s="236">
        <f>L51/L$32</f>
        <v>-2.7981545597863252E-2</v>
      </c>
      <c r="N81" s="236">
        <f>N51/N$32</f>
        <v>-2.8076737704237915E-2</v>
      </c>
      <c r="P81" s="236">
        <f>P51/P$32</f>
        <v>-2.817495245317635E-2</v>
      </c>
      <c r="R81" s="236">
        <f>R51/R$32</f>
        <v>-2.827652362542701E-2</v>
      </c>
      <c r="T81" s="236">
        <f>T51/T$32</f>
        <v>-2.8381714646060558E-2</v>
      </c>
      <c r="V81" s="236">
        <f>V51/V$32</f>
        <v>-2.8490853755449828E-2</v>
      </c>
      <c r="X81" s="236">
        <f>X51/X$32</f>
        <v>-2.860434385525034E-2</v>
      </c>
      <c r="Z81" s="236">
        <f>Z51/Z$32</f>
        <v>-2.8722567049930189E-2</v>
      </c>
      <c r="AB81" s="236">
        <f>AB51/AB$32</f>
        <v>-2.8845720192270722E-2</v>
      </c>
      <c r="AD81" s="236">
        <f>AD51/AD$32</f>
        <v>-2.8973672731191571E-2</v>
      </c>
      <c r="AF81" s="236">
        <f>AF51/AF$32</f>
        <v>-2.9104509505974513E-2</v>
      </c>
      <c r="AH81" s="236">
        <f>AH51/AH$32</f>
        <v>-2.9227739922087128E-2</v>
      </c>
      <c r="AJ81" s="236" t="e">
        <f>AJ51/AJ$32</f>
        <v>#DIV/0!</v>
      </c>
      <c r="AL81" s="236" t="e">
        <f>AL51/AL$32</f>
        <v>#DIV/0!</v>
      </c>
      <c r="AN81" s="236" t="e">
        <f>AN51/AN$32</f>
        <v>#DIV/0!</v>
      </c>
      <c r="AP81" s="236" t="e">
        <f>AP51/AP$32</f>
        <v>#DIV/0!</v>
      </c>
      <c r="AR81" s="236" t="e">
        <f>AR51/AR$32</f>
        <v>#DIV/0!</v>
      </c>
      <c r="AT81" s="236" t="e">
        <f>AT51/AT$32</f>
        <v>#DIV/0!</v>
      </c>
      <c r="AV81" s="236" t="e">
        <f>AV51/AV$32</f>
        <v>#DIV/0!</v>
      </c>
      <c r="XFD81" s="236"/>
    </row>
    <row r="82" spans="1:48 16384:16384" x14ac:dyDescent="0.2">
      <c r="A82" t="s">
        <v>192</v>
      </c>
      <c r="B82" s="236">
        <f>B52/B$32</f>
        <v>0.13907860278212886</v>
      </c>
      <c r="D82" s="236">
        <f>D52/D$32</f>
        <v>0.13668304529592676</v>
      </c>
      <c r="F82" s="236">
        <f>F52/F$32</f>
        <v>0.13422839732407432</v>
      </c>
      <c r="H82" s="236">
        <f>H52/H$32</f>
        <v>0.13171017415118902</v>
      </c>
      <c r="J82" s="236">
        <f>J52/J$32</f>
        <v>0.12912334856470192</v>
      </c>
      <c r="L82" s="236">
        <f>L52/L$32</f>
        <v>0.12646230671180617</v>
      </c>
      <c r="N82" s="236">
        <f>N52/N$32</f>
        <v>0.12372075329699096</v>
      </c>
      <c r="P82" s="236">
        <f>P52/P$32</f>
        <v>0.12089160182283205</v>
      </c>
      <c r="R82" s="236">
        <f>R52/R$32</f>
        <v>0.11796682031139591</v>
      </c>
      <c r="T82" s="236">
        <f>T52/T$32</f>
        <v>0.1149375025432883</v>
      </c>
      <c r="V82" s="236">
        <f>V52/V$32</f>
        <v>0.11179377107971597</v>
      </c>
      <c r="X82" s="236">
        <f>X52/X$32</f>
        <v>0.10852497004621897</v>
      </c>
      <c r="Z82" s="236">
        <f>Z52/Z$32</f>
        <v>0.10512064681866441</v>
      </c>
      <c r="AB82" s="236">
        <f>AB52/AB$32</f>
        <v>0.10157348986179891</v>
      </c>
      <c r="AD82" s="236">
        <f>AD52/AD$32</f>
        <v>9.788858632302648E-2</v>
      </c>
      <c r="AF82" s="236">
        <f>AF52/AF$32</f>
        <v>9.412044991033712E-2</v>
      </c>
      <c r="AH82" s="236">
        <f>AH52/AH$32</f>
        <v>9.0571214698072194E-2</v>
      </c>
      <c r="AJ82" s="236" t="e">
        <f>AJ52/AJ$32</f>
        <v>#DIV/0!</v>
      </c>
      <c r="AL82" s="236" t="e">
        <f>AL52/AL$32</f>
        <v>#DIV/0!</v>
      </c>
      <c r="AN82" s="236" t="e">
        <f>AN52/AN$32</f>
        <v>#DIV/0!</v>
      </c>
      <c r="AP82" s="236" t="e">
        <f>AP52/AP$32</f>
        <v>#DIV/0!</v>
      </c>
      <c r="AR82" s="236" t="e">
        <f>AR52/AR$32</f>
        <v>#DIV/0!</v>
      </c>
      <c r="AT82" s="236" t="e">
        <f>AT52/AT$32</f>
        <v>#DIV/0!</v>
      </c>
      <c r="AV82" s="236" t="e">
        <f>AV52/AV$32</f>
        <v>#DIV/0!</v>
      </c>
    </row>
    <row r="83" spans="1:48 16384:16384" x14ac:dyDescent="0.2">
      <c r="A83" t="s">
        <v>193</v>
      </c>
      <c r="B83" s="236">
        <f>B53/B$32</f>
        <v>0.18600714462930004</v>
      </c>
      <c r="D83" s="236">
        <f>D53/D$32</f>
        <v>0.18848586743978124</v>
      </c>
      <c r="F83" s="236">
        <f>F53/F$32</f>
        <v>0.1910257415768031</v>
      </c>
      <c r="H83" s="236">
        <f>H53/H$32</f>
        <v>0.19363138276305233</v>
      </c>
      <c r="J83" s="236">
        <f>J53/J$32</f>
        <v>0.19630804002980304</v>
      </c>
      <c r="L83" s="236">
        <f>L53/L$32</f>
        <v>0.19906150436737113</v>
      </c>
      <c r="N83" s="236">
        <f>N53/N$32</f>
        <v>0.20189825223894883</v>
      </c>
      <c r="P83" s="236">
        <f>P53/P$32</f>
        <v>0.20482557966841661</v>
      </c>
      <c r="R83" s="236">
        <f>R53/R$32</f>
        <v>0.20785197246831716</v>
      </c>
      <c r="T83" s="236">
        <f>T53/T$32</f>
        <v>0.21098650384836337</v>
      </c>
      <c r="V83" s="236">
        <f>V53/V$32</f>
        <v>0.21423932989201494</v>
      </c>
      <c r="X83" s="236">
        <f>X53/X$32</f>
        <v>0.21762159130422451</v>
      </c>
      <c r="Z83" s="236">
        <f>Z53/Z$32</f>
        <v>0.22114421206634058</v>
      </c>
      <c r="AB83" s="236">
        <f>AB53/AB$32</f>
        <v>0.22481448079229918</v>
      </c>
      <c r="AD83" s="236">
        <f>AD53/AD$32</f>
        <v>0.22862736824077379</v>
      </c>
      <c r="AF83" s="236">
        <f>AF53/AF$32</f>
        <v>0.23252635766629917</v>
      </c>
      <c r="AH83" s="236">
        <f>AH53/AH$32</f>
        <v>0.23619878675206954</v>
      </c>
      <c r="AJ83" s="236" t="e">
        <f>AJ53/AJ$32</f>
        <v>#DIV/0!</v>
      </c>
      <c r="AL83" s="236" t="e">
        <f>AL53/AL$32</f>
        <v>#DIV/0!</v>
      </c>
      <c r="AN83" s="236" t="e">
        <f>AN53/AN$32</f>
        <v>#DIV/0!</v>
      </c>
      <c r="AP83" s="236" t="e">
        <f>AP53/AP$32</f>
        <v>#DIV/0!</v>
      </c>
      <c r="AR83" s="236" t="e">
        <f>AR53/AR$32</f>
        <v>#DIV/0!</v>
      </c>
      <c r="AT83" s="236" t="e">
        <f>AT53/AT$32</f>
        <v>#DIV/0!</v>
      </c>
      <c r="AV83" s="236" t="e">
        <f>AV53/AV$32</f>
        <v>#DIV/0!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13"/>
  <dimension ref="A1:XFD83"/>
  <sheetViews>
    <sheetView showGridLines="0" workbookViewId="0">
      <pane ySplit="1" topLeftCell="A2" activePane="bottomLeft" state="frozen"/>
      <selection pane="bottomLeft" sqref="A1:XFD1048576"/>
    </sheetView>
  </sheetViews>
  <sheetFormatPr baseColWidth="10" defaultRowHeight="10" x14ac:dyDescent="0.2"/>
  <sheetData>
    <row r="1" spans="1:49" x14ac:dyDescent="0.2">
      <c r="B1" s="94">
        <v>0</v>
      </c>
      <c r="D1" s="94">
        <v>0.05</v>
      </c>
      <c r="F1" s="94">
        <v>0.1</v>
      </c>
      <c r="H1" s="94">
        <v>0.15000000000000002</v>
      </c>
      <c r="J1" s="94">
        <v>0.2</v>
      </c>
      <c r="L1" s="94">
        <v>0.25</v>
      </c>
      <c r="N1" s="94">
        <v>0.3</v>
      </c>
      <c r="P1" s="94">
        <v>0.35</v>
      </c>
      <c r="R1" s="94">
        <v>0.39999999999999997</v>
      </c>
      <c r="T1" s="94">
        <v>0.44999999999999996</v>
      </c>
      <c r="V1" s="94">
        <v>0.49999999999999994</v>
      </c>
      <c r="X1" s="94">
        <v>0.54999999999999993</v>
      </c>
      <c r="Z1" s="94">
        <v>0.6</v>
      </c>
      <c r="AB1" s="94">
        <v>0.65</v>
      </c>
      <c r="AD1" s="94">
        <v>0.70000000000000007</v>
      </c>
      <c r="AF1" s="94">
        <v>0.75000000000000011</v>
      </c>
      <c r="AH1" s="94">
        <v>0.80000000000000016</v>
      </c>
      <c r="AJ1" s="94">
        <v>0.8500000000000002</v>
      </c>
      <c r="AL1" s="94">
        <v>0.90000000000000024</v>
      </c>
      <c r="AN1" s="94"/>
      <c r="AP1" s="94"/>
      <c r="AR1" s="94"/>
      <c r="AT1" s="94"/>
      <c r="AV1" s="94"/>
    </row>
    <row r="2" spans="1:49" x14ac:dyDescent="0.2">
      <c r="A2" s="229" t="s">
        <v>155</v>
      </c>
      <c r="B2" s="226">
        <v>5.7716594496607888E-3</v>
      </c>
      <c r="C2" s="227"/>
      <c r="D2" s="226">
        <v>6.0508473035784223E-2</v>
      </c>
      <c r="E2" s="227"/>
      <c r="F2" s="226">
        <v>0.12017786482402612</v>
      </c>
      <c r="G2" s="227"/>
      <c r="H2" s="226">
        <v>0.18554200747706678</v>
      </c>
      <c r="I2" s="227"/>
      <c r="J2" s="226">
        <v>0.25754982015348638</v>
      </c>
      <c r="K2" s="227"/>
      <c r="L2" s="226">
        <v>0.33740181499258465</v>
      </c>
      <c r="M2" s="227"/>
      <c r="N2" s="226">
        <v>0.42665437540521473</v>
      </c>
      <c r="O2" s="227"/>
      <c r="P2" s="226">
        <v>0.52737491139433357</v>
      </c>
      <c r="Q2" s="227"/>
      <c r="R2" s="226">
        <v>0.64239044659470401</v>
      </c>
      <c r="S2" s="227"/>
      <c r="T2" s="226">
        <v>0.77569502398210821</v>
      </c>
      <c r="U2" s="227"/>
      <c r="V2" s="226">
        <v>0.93314650644560804</v>
      </c>
      <c r="W2" s="227"/>
      <c r="X2" s="226">
        <v>1.1237082645458822</v>
      </c>
      <c r="Y2" s="227"/>
      <c r="Z2" s="226">
        <v>1.3617795104685035</v>
      </c>
      <c r="AA2" s="227"/>
      <c r="AB2" s="226">
        <v>1.6717988700896715</v>
      </c>
      <c r="AC2" s="227"/>
      <c r="AD2" s="226">
        <v>2.0978495375047226</v>
      </c>
      <c r="AE2" s="227"/>
      <c r="AF2" s="226">
        <v>2.7245981341450238</v>
      </c>
      <c r="AG2" s="227"/>
      <c r="AH2" s="226">
        <v>3.7240922034902595</v>
      </c>
      <c r="AI2" s="227"/>
      <c r="AJ2" s="226">
        <v>5.4637916250897085</v>
      </c>
      <c r="AK2" s="227"/>
      <c r="AL2" s="226">
        <v>8.8080245099577379</v>
      </c>
      <c r="AM2" s="227"/>
      <c r="AN2" s="226"/>
      <c r="AO2" s="227"/>
      <c r="AP2" s="226"/>
      <c r="AQ2" s="227"/>
      <c r="AR2" s="226"/>
      <c r="AS2" s="227"/>
      <c r="AT2" s="226"/>
      <c r="AU2" s="227"/>
      <c r="AV2" s="226"/>
      <c r="AW2" s="227"/>
    </row>
    <row r="3" spans="1:49" x14ac:dyDescent="0.2">
      <c r="A3" t="s">
        <v>12</v>
      </c>
      <c r="B3" s="84">
        <v>1000</v>
      </c>
      <c r="C3" s="85">
        <v>1000</v>
      </c>
      <c r="D3" s="84">
        <v>998.44609092178291</v>
      </c>
      <c r="E3" s="85">
        <v>1023.7652829342645</v>
      </c>
      <c r="F3" s="84">
        <v>996.86959939296469</v>
      </c>
      <c r="G3" s="85">
        <v>1050.1762373251943</v>
      </c>
      <c r="H3" s="84">
        <v>995.26205135522775</v>
      </c>
      <c r="I3" s="85">
        <v>1079.6844499227809</v>
      </c>
      <c r="J3" s="84">
        <v>993.61442827038763</v>
      </c>
      <c r="K3" s="85">
        <v>1112.851017263823</v>
      </c>
      <c r="L3" s="84">
        <v>991.91732222765654</v>
      </c>
      <c r="M3" s="85">
        <v>1150.381093191882</v>
      </c>
      <c r="N3" s="84">
        <v>990.16135553400773</v>
      </c>
      <c r="O3" s="85">
        <v>1193.1790862638888</v>
      </c>
      <c r="P3" s="84">
        <v>988.33795606142291</v>
      </c>
      <c r="Q3" s="85">
        <v>1242.4277079349324</v>
      </c>
      <c r="R3" s="84">
        <v>986.44079263435049</v>
      </c>
      <c r="S3" s="85">
        <v>1299.7120380803669</v>
      </c>
      <c r="T3" s="84">
        <v>984.4683412061944</v>
      </c>
      <c r="U3" s="85">
        <v>1367.2170607955975</v>
      </c>
      <c r="V3" s="84">
        <v>982.42839658685193</v>
      </c>
      <c r="W3" s="85">
        <v>1448.0585924504896</v>
      </c>
      <c r="X3" s="84">
        <v>980.34605722803462</v>
      </c>
      <c r="Y3" s="85">
        <v>1546.8572812392413</v>
      </c>
      <c r="Z3" s="84">
        <v>978.2778470372125</v>
      </c>
      <c r="AA3" s="85">
        <v>1670.7878411070431</v>
      </c>
      <c r="AB3" s="84">
        <v>976.33632245664</v>
      </c>
      <c r="AC3" s="85">
        <v>1831.5965719187525</v>
      </c>
      <c r="AD3" s="84">
        <v>974.73060624595496</v>
      </c>
      <c r="AE3" s="85">
        <v>2049.6824792332004</v>
      </c>
      <c r="AF3" s="84">
        <v>973.81983717864068</v>
      </c>
      <c r="AG3" s="85">
        <v>2362.7192930779124</v>
      </c>
      <c r="AH3" s="84">
        <v>974.12900543263515</v>
      </c>
      <c r="AI3" s="85">
        <v>2844.4245269800604</v>
      </c>
      <c r="AJ3" s="84">
        <v>976.16380380750309</v>
      </c>
      <c r="AK3" s="85">
        <v>3647.6760350025052</v>
      </c>
      <c r="AL3" s="84">
        <v>979.9281324754611</v>
      </c>
      <c r="AM3" s="85">
        <v>5128.3882859395726</v>
      </c>
      <c r="AN3" s="84"/>
      <c r="AO3" s="85"/>
      <c r="AP3" s="84"/>
      <c r="AQ3" s="85"/>
      <c r="AR3" s="84"/>
      <c r="AS3" s="85"/>
      <c r="AT3" s="84"/>
      <c r="AU3" s="85"/>
      <c r="AV3" s="84"/>
      <c r="AW3" s="85"/>
    </row>
    <row r="4" spans="1:49"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v>1000</v>
      </c>
      <c r="U4" s="102">
        <v>1000</v>
      </c>
      <c r="V4" s="101">
        <v>1000</v>
      </c>
      <c r="W4" s="102">
        <v>1000</v>
      </c>
      <c r="X4" s="101">
        <v>1000</v>
      </c>
      <c r="Y4" s="102">
        <v>1000</v>
      </c>
      <c r="Z4" s="101">
        <v>1000</v>
      </c>
      <c r="AA4" s="102">
        <v>1000</v>
      </c>
      <c r="AB4" s="101">
        <v>1000</v>
      </c>
      <c r="AC4" s="102">
        <v>1000</v>
      </c>
      <c r="AD4" s="101">
        <v>1000</v>
      </c>
      <c r="AE4" s="102">
        <v>1000</v>
      </c>
      <c r="AF4" s="101">
        <v>1000</v>
      </c>
      <c r="AG4" s="102">
        <v>1000</v>
      </c>
      <c r="AH4" s="101">
        <v>1000</v>
      </c>
      <c r="AI4" s="102">
        <v>1000</v>
      </c>
      <c r="AJ4" s="101">
        <v>1000</v>
      </c>
      <c r="AK4" s="102">
        <v>1000</v>
      </c>
      <c r="AL4" s="101">
        <v>1000</v>
      </c>
      <c r="AM4" s="102">
        <v>1000</v>
      </c>
      <c r="AN4" s="101"/>
      <c r="AO4" s="102"/>
      <c r="AP4" s="101"/>
      <c r="AQ4" s="102"/>
      <c r="AR4" s="101"/>
      <c r="AS4" s="102"/>
      <c r="AT4" s="101"/>
      <c r="AU4" s="102"/>
      <c r="AV4" s="101"/>
      <c r="AW4" s="102"/>
    </row>
    <row r="5" spans="1:49" x14ac:dyDescent="0.2">
      <c r="A5" t="s">
        <v>128</v>
      </c>
      <c r="B5" s="41">
        <v>1000</v>
      </c>
      <c r="C5" s="42">
        <v>1000</v>
      </c>
      <c r="D5" s="41">
        <v>998.36896118089476</v>
      </c>
      <c r="E5" s="42">
        <v>1020.6287224214128</v>
      </c>
      <c r="F5" s="41">
        <v>996.71312702122577</v>
      </c>
      <c r="G5" s="42">
        <v>1042.9993643935497</v>
      </c>
      <c r="H5" s="41">
        <v>995.02353490113262</v>
      </c>
      <c r="I5" s="42">
        <v>1067.3108571365317</v>
      </c>
      <c r="J5" s="41">
        <v>993.29062300818612</v>
      </c>
      <c r="K5" s="42">
        <v>1093.7865645159623</v>
      </c>
      <c r="L5" s="41">
        <v>991.50439043491917</v>
      </c>
      <c r="M5" s="42">
        <v>1122.6753962809426</v>
      </c>
      <c r="N5" s="41">
        <v>989.65483496967431</v>
      </c>
      <c r="O5" s="42">
        <v>1154.2543265710249</v>
      </c>
      <c r="P5" s="41">
        <v>987.73276824379172</v>
      </c>
      <c r="Q5" s="42">
        <v>1188.8277974356402</v>
      </c>
      <c r="R5" s="41">
        <v>985.73133072904602</v>
      </c>
      <c r="S5" s="42">
        <v>1226.7250919113453</v>
      </c>
      <c r="T5" s="41">
        <v>983.64870922611703</v>
      </c>
      <c r="U5" s="42">
        <v>1268.290349449614</v>
      </c>
      <c r="V5" s="41">
        <v>981.49292690914001</v>
      </c>
      <c r="W5" s="42">
        <v>1313.8616036154626</v>
      </c>
      <c r="X5" s="41">
        <v>979.2903383197114</v>
      </c>
      <c r="Y5" s="42">
        <v>1363.7229468472949</v>
      </c>
      <c r="Z5" s="41">
        <v>977.10067632746939</v>
      </c>
      <c r="AA5" s="42">
        <v>1418.0020406003312</v>
      </c>
      <c r="AB5" s="41">
        <v>975.0432958870872</v>
      </c>
      <c r="AC5" s="42">
        <v>1476.4614596657366</v>
      </c>
      <c r="AD5" s="41">
        <v>973.34040487110633</v>
      </c>
      <c r="AE5" s="42">
        <v>1538.0739361038313</v>
      </c>
      <c r="AF5" s="41">
        <v>972.37396875381114</v>
      </c>
      <c r="AG5" s="42">
        <v>1600.261848457191</v>
      </c>
      <c r="AH5" s="41">
        <v>972.70207833031088</v>
      </c>
      <c r="AI5" s="42">
        <v>1657.9707067479642</v>
      </c>
      <c r="AJ5" s="41">
        <v>974.86039582104684</v>
      </c>
      <c r="AK5" s="42">
        <v>1703.9849369244946</v>
      </c>
      <c r="AL5" s="41">
        <v>978.84803433588763</v>
      </c>
      <c r="AM5" s="42">
        <v>1732.9313548999364</v>
      </c>
      <c r="AN5" s="41"/>
      <c r="AO5" s="42"/>
      <c r="AP5" s="41"/>
      <c r="AQ5" s="42"/>
      <c r="AR5" s="41"/>
      <c r="AS5" s="42"/>
      <c r="AT5" s="41"/>
      <c r="AU5" s="42"/>
      <c r="AV5" s="41"/>
      <c r="AW5" s="42"/>
    </row>
    <row r="6" spans="1:49" x14ac:dyDescent="0.2">
      <c r="A6" t="s">
        <v>77</v>
      </c>
      <c r="B6" s="41">
        <v>999.99999999999943</v>
      </c>
      <c r="C6" s="42">
        <v>999.99999999999909</v>
      </c>
      <c r="D6" s="41">
        <v>998.244422102508</v>
      </c>
      <c r="E6" s="42">
        <v>1025.6062753095678</v>
      </c>
      <c r="F6" s="41">
        <v>996.46260351279409</v>
      </c>
      <c r="G6" s="42">
        <v>1053.9609150858303</v>
      </c>
      <c r="H6" s="41">
        <v>994.64492344568737</v>
      </c>
      <c r="I6" s="42">
        <v>1085.5268273563024</v>
      </c>
      <c r="J6" s="41">
        <v>992.78112744210193</v>
      </c>
      <c r="K6" s="42">
        <v>1120.8789383234334</v>
      </c>
      <c r="L6" s="41">
        <v>990.86050029231581</v>
      </c>
      <c r="M6" s="42">
        <v>1160.7395165142884</v>
      </c>
      <c r="N6" s="41">
        <v>988.87233853581813</v>
      </c>
      <c r="O6" s="42">
        <v>1206.0348583235514</v>
      </c>
      <c r="P6" s="41">
        <v>986.80682699877764</v>
      </c>
      <c r="Q6" s="42">
        <v>1257.9763379626106</v>
      </c>
      <c r="R6" s="41">
        <v>984.65666597464508</v>
      </c>
      <c r="S6" s="42">
        <v>1318.1877009355903</v>
      </c>
      <c r="T6" s="41">
        <v>982.41998635322204</v>
      </c>
      <c r="U6" s="42">
        <v>1388.9076985606043</v>
      </c>
      <c r="V6" s="41">
        <v>980.1054835197649</v>
      </c>
      <c r="W6" s="42">
        <v>1473.3295608513572</v>
      </c>
      <c r="X6" s="41">
        <v>977.74151536025011</v>
      </c>
      <c r="Y6" s="42">
        <v>1576.1896530226145</v>
      </c>
      <c r="Z6" s="41">
        <v>975.3922090914316</v>
      </c>
      <c r="AA6" s="42">
        <v>1704.8432912918843</v>
      </c>
      <c r="AB6" s="41">
        <v>973.18554450886586</v>
      </c>
      <c r="AC6" s="42">
        <v>1871.3329349793073</v>
      </c>
      <c r="AD6" s="41">
        <v>971.35961545666044</v>
      </c>
      <c r="AE6" s="42">
        <v>2096.5711040641431</v>
      </c>
      <c r="AF6" s="41">
        <v>970.32356310447597</v>
      </c>
      <c r="AG6" s="42">
        <v>2419.1769873487174</v>
      </c>
      <c r="AH6" s="41">
        <v>970.67529058193747</v>
      </c>
      <c r="AI6" s="42">
        <v>2914.7158661164576</v>
      </c>
      <c r="AJ6" s="41">
        <v>972.98940670813897</v>
      </c>
      <c r="AK6" s="42">
        <v>3739.9177869741366</v>
      </c>
      <c r="AL6" s="41">
        <v>977.26690048940611</v>
      </c>
      <c r="AM6" s="42">
        <v>5259.7772669890173</v>
      </c>
      <c r="AN6" s="41"/>
      <c r="AO6" s="42"/>
      <c r="AP6" s="41"/>
      <c r="AQ6" s="42"/>
      <c r="AR6" s="41"/>
      <c r="AS6" s="42"/>
      <c r="AT6" s="41"/>
      <c r="AU6" s="42"/>
      <c r="AV6" s="41"/>
      <c r="AW6" s="42"/>
    </row>
    <row r="7" spans="1:49" x14ac:dyDescent="0.2">
      <c r="A7" t="s">
        <v>13</v>
      </c>
      <c r="B7" s="33">
        <v>1015.9116825427475</v>
      </c>
      <c r="C7" s="34">
        <v>1015.9116825427475</v>
      </c>
      <c r="D7" s="33">
        <v>1014.2546911517377</v>
      </c>
      <c r="E7" s="34">
        <v>1014.2546911517377</v>
      </c>
      <c r="F7" s="33">
        <v>1012.5725098845767</v>
      </c>
      <c r="G7" s="34">
        <v>1012.5725098845767</v>
      </c>
      <c r="H7" s="33">
        <v>1010.8560335110418</v>
      </c>
      <c r="I7" s="34">
        <v>1010.8560335110418</v>
      </c>
      <c r="J7" s="33">
        <v>1009.0955480741802</v>
      </c>
      <c r="K7" s="34">
        <v>1009.0955480741802</v>
      </c>
      <c r="L7" s="33">
        <v>1007.2808935352599</v>
      </c>
      <c r="M7" s="34">
        <v>1007.2808935352599</v>
      </c>
      <c r="N7" s="33">
        <v>1005.4019085306069</v>
      </c>
      <c r="O7" s="34">
        <v>1005.4019085306069</v>
      </c>
      <c r="P7" s="33">
        <v>1003.449258489156</v>
      </c>
      <c r="Q7" s="34">
        <v>1003.449258489156</v>
      </c>
      <c r="R7" s="33">
        <v>1001.4159747360466</v>
      </c>
      <c r="S7" s="34">
        <v>1001.4159747360466</v>
      </c>
      <c r="T7" s="33">
        <v>999.30021522090624</v>
      </c>
      <c r="U7" s="34">
        <v>999.30021522090624</v>
      </c>
      <c r="V7" s="33">
        <v>997.11013078007022</v>
      </c>
      <c r="W7" s="34">
        <v>997.11013078007022</v>
      </c>
      <c r="X7" s="33">
        <v>994.87249530023439</v>
      </c>
      <c r="Y7" s="34">
        <v>994.87249530023439</v>
      </c>
      <c r="Z7" s="33">
        <v>992.6479921014959</v>
      </c>
      <c r="AA7" s="34">
        <v>992.6479921014959</v>
      </c>
      <c r="AB7" s="33">
        <v>990.55787527667667</v>
      </c>
      <c r="AC7" s="34">
        <v>990.55787527667667</v>
      </c>
      <c r="AD7" s="33">
        <v>988.82788839944465</v>
      </c>
      <c r="AE7" s="34">
        <v>988.82788839944465</v>
      </c>
      <c r="AF7" s="33">
        <v>987.84607465745319</v>
      </c>
      <c r="AG7" s="34">
        <v>987.84607465745319</v>
      </c>
      <c r="AH7" s="33">
        <v>988.17940500937345</v>
      </c>
      <c r="AI7" s="34">
        <v>988.17940500937345</v>
      </c>
      <c r="AJ7" s="33">
        <v>990.37206496284841</v>
      </c>
      <c r="AK7" s="34">
        <v>990.37206496284841</v>
      </c>
      <c r="AL7" s="33">
        <v>994.42315351583261</v>
      </c>
      <c r="AM7" s="34">
        <v>994.42315351583261</v>
      </c>
      <c r="AN7" s="33"/>
      <c r="AO7" s="34"/>
      <c r="AP7" s="33"/>
      <c r="AQ7" s="34"/>
      <c r="AR7" s="33"/>
      <c r="AS7" s="34"/>
      <c r="AT7" s="33"/>
      <c r="AU7" s="34"/>
      <c r="AV7" s="33"/>
      <c r="AW7" s="34"/>
    </row>
    <row r="8" spans="1:49" x14ac:dyDescent="0.2">
      <c r="B8" s="35">
        <v>1005.7716594496609</v>
      </c>
      <c r="C8" s="36">
        <v>1005.7716594496609</v>
      </c>
      <c r="D8" s="35">
        <v>1082.3854079515959</v>
      </c>
      <c r="E8" s="36">
        <v>1082.3854079515959</v>
      </c>
      <c r="F8" s="35">
        <v>1168.344801019183</v>
      </c>
      <c r="G8" s="36">
        <v>1168.344801019183</v>
      </c>
      <c r="H8" s="35">
        <v>1265.3418561717126</v>
      </c>
      <c r="I8" s="36">
        <v>1265.3418561717126</v>
      </c>
      <c r="J8" s="35">
        <v>1375.4910974933482</v>
      </c>
      <c r="K8" s="36">
        <v>1375.4910974933482</v>
      </c>
      <c r="L8" s="35">
        <v>1501.4681126336518</v>
      </c>
      <c r="M8" s="36">
        <v>1501.4681126336518</v>
      </c>
      <c r="N8" s="35">
        <v>1646.7219853329523</v>
      </c>
      <c r="O8" s="36">
        <v>1646.7219853329523</v>
      </c>
      <c r="P8" s="35">
        <v>1815.7857517713817</v>
      </c>
      <c r="Q8" s="36">
        <v>1815.7857517713817</v>
      </c>
      <c r="R8" s="35">
        <v>2014.7615715532038</v>
      </c>
      <c r="S8" s="36">
        <v>2014.7615715532038</v>
      </c>
      <c r="T8" s="35">
        <v>2252.0968624822085</v>
      </c>
      <c r="U8" s="36">
        <v>2252.0968624822085</v>
      </c>
      <c r="V8" s="35">
        <v>2539.8869689822559</v>
      </c>
      <c r="W8" s="36">
        <v>2539.8869689822559</v>
      </c>
      <c r="X8" s="35">
        <v>2896.1496927704652</v>
      </c>
      <c r="Y8" s="36">
        <v>2896.1496927704652</v>
      </c>
      <c r="Z8" s="35">
        <v>3349.0081652923891</v>
      </c>
      <c r="AA8" s="36">
        <v>3349.0081652923891</v>
      </c>
      <c r="AB8" s="35">
        <v>3944.8080596658619</v>
      </c>
      <c r="AC8" s="36">
        <v>3944.8080596658619</v>
      </c>
      <c r="AD8" s="35">
        <v>4764.7216316073218</v>
      </c>
      <c r="AE8" s="36">
        <v>4764.7216316073218</v>
      </c>
      <c r="AF8" s="35">
        <v>5960.3322949071207</v>
      </c>
      <c r="AG8" s="36">
        <v>5960.3322949071207</v>
      </c>
      <c r="AH8" s="35">
        <v>7832.406489363294</v>
      </c>
      <c r="AI8" s="36">
        <v>7832.406489363294</v>
      </c>
      <c r="AJ8" s="35">
        <v>11014.203564571564</v>
      </c>
      <c r="AK8" s="36">
        <v>11014.203564571564</v>
      </c>
      <c r="AL8" s="35">
        <v>16996.633202932848</v>
      </c>
      <c r="AM8" s="36">
        <v>16996.633202932848</v>
      </c>
      <c r="AN8" s="35"/>
      <c r="AO8" s="36"/>
      <c r="AP8" s="35"/>
      <c r="AQ8" s="36"/>
      <c r="AR8" s="35"/>
      <c r="AS8" s="36"/>
      <c r="AT8" s="35"/>
      <c r="AU8" s="36"/>
      <c r="AV8" s="35"/>
      <c r="AW8" s="36"/>
    </row>
    <row r="9" spans="1:49" x14ac:dyDescent="0.2">
      <c r="A9" t="s">
        <v>14</v>
      </c>
      <c r="B9" s="41">
        <v>1015.9116825427475</v>
      </c>
      <c r="C9" s="42">
        <v>1005.7716594496609</v>
      </c>
      <c r="D9" s="41">
        <v>1014.2546911517377</v>
      </c>
      <c r="E9" s="42">
        <v>1082.3854079515959</v>
      </c>
      <c r="F9" s="41">
        <v>1012.5725098845767</v>
      </c>
      <c r="G9" s="42">
        <v>1168.344801019183</v>
      </c>
      <c r="H9" s="41">
        <v>1010.8560335110418</v>
      </c>
      <c r="I9" s="42">
        <v>1265.3418561717126</v>
      </c>
      <c r="J9" s="41">
        <v>1009.0955480741802</v>
      </c>
      <c r="K9" s="42">
        <v>1375.4910974933482</v>
      </c>
      <c r="L9" s="41">
        <v>1007.2808935352599</v>
      </c>
      <c r="M9" s="42">
        <v>1501.4681126336518</v>
      </c>
      <c r="N9" s="41">
        <v>1005.4019085306069</v>
      </c>
      <c r="O9" s="42">
        <v>1646.7219853329523</v>
      </c>
      <c r="P9" s="41">
        <v>1003.449258489156</v>
      </c>
      <c r="Q9" s="42">
        <v>1815.7857517713817</v>
      </c>
      <c r="R9" s="41">
        <v>1001.4159747360466</v>
      </c>
      <c r="S9" s="42">
        <v>2014.7615715532038</v>
      </c>
      <c r="T9" s="41">
        <v>999.30021522090624</v>
      </c>
      <c r="U9" s="42">
        <v>2252.0968624822085</v>
      </c>
      <c r="V9" s="41">
        <v>997.11013078007022</v>
      </c>
      <c r="W9" s="42">
        <v>2539.8869689822559</v>
      </c>
      <c r="X9" s="41">
        <v>994.87249530023439</v>
      </c>
      <c r="Y9" s="42">
        <v>2896.1496927704652</v>
      </c>
      <c r="Z9" s="41">
        <v>992.6479921014959</v>
      </c>
      <c r="AA9" s="42">
        <v>3349.0081652923891</v>
      </c>
      <c r="AB9" s="41">
        <v>990.55787527667667</v>
      </c>
      <c r="AC9" s="42">
        <v>3944.8080596658619</v>
      </c>
      <c r="AD9" s="41">
        <v>988.82788839944465</v>
      </c>
      <c r="AE9" s="42">
        <v>4764.7216316073218</v>
      </c>
      <c r="AF9" s="41">
        <v>987.84607465745319</v>
      </c>
      <c r="AG9" s="42">
        <v>5960.3322949071207</v>
      </c>
      <c r="AH9" s="41">
        <v>988.17940500937345</v>
      </c>
      <c r="AI9" s="42">
        <v>7832.406489363294</v>
      </c>
      <c r="AJ9" s="41">
        <v>990.37206496284841</v>
      </c>
      <c r="AK9" s="42">
        <v>11014.203564571564</v>
      </c>
      <c r="AL9" s="41">
        <v>994.42315351583261</v>
      </c>
      <c r="AM9" s="42">
        <v>16996.633202932848</v>
      </c>
      <c r="AN9" s="41"/>
      <c r="AO9" s="42"/>
      <c r="AP9" s="41"/>
      <c r="AQ9" s="42"/>
      <c r="AR9" s="41"/>
      <c r="AS9" s="42"/>
      <c r="AT9" s="41"/>
      <c r="AU9" s="42"/>
      <c r="AV9" s="41"/>
      <c r="AW9" s="42"/>
    </row>
    <row r="10" spans="1:49" x14ac:dyDescent="0.2">
      <c r="A10" t="s">
        <v>15</v>
      </c>
      <c r="B10" s="41">
        <v>1015.9116825427475</v>
      </c>
      <c r="C10" s="42">
        <v>1005.7716594496609</v>
      </c>
      <c r="D10" s="41">
        <v>1014.2546911517377</v>
      </c>
      <c r="E10" s="42">
        <v>1082.3854079515959</v>
      </c>
      <c r="F10" s="41">
        <v>1012.5725098845767</v>
      </c>
      <c r="G10" s="42">
        <v>1168.344801019183</v>
      </c>
      <c r="H10" s="41">
        <v>1010.8560335110418</v>
      </c>
      <c r="I10" s="42">
        <v>1265.3418561717126</v>
      </c>
      <c r="J10" s="41">
        <v>1009.0955480741802</v>
      </c>
      <c r="K10" s="42">
        <v>1375.4910974933482</v>
      </c>
      <c r="L10" s="41">
        <v>1007.2808935352599</v>
      </c>
      <c r="M10" s="42">
        <v>1501.4681126336518</v>
      </c>
      <c r="N10" s="41">
        <v>1005.4019085306069</v>
      </c>
      <c r="O10" s="42">
        <v>1646.7219853329523</v>
      </c>
      <c r="P10" s="41">
        <v>1003.449258489156</v>
      </c>
      <c r="Q10" s="42">
        <v>1815.7857517713817</v>
      </c>
      <c r="R10" s="41">
        <v>1001.4159747360466</v>
      </c>
      <c r="S10" s="42">
        <v>2014.7615715532038</v>
      </c>
      <c r="T10" s="41">
        <v>999.30021522090624</v>
      </c>
      <c r="U10" s="42">
        <v>2252.0968624822085</v>
      </c>
      <c r="V10" s="41">
        <v>997.11013078007022</v>
      </c>
      <c r="W10" s="42">
        <v>2539.8869689822559</v>
      </c>
      <c r="X10" s="41">
        <v>994.87249530023439</v>
      </c>
      <c r="Y10" s="42">
        <v>2896.1496927704652</v>
      </c>
      <c r="Z10" s="41">
        <v>992.6479921014959</v>
      </c>
      <c r="AA10" s="42">
        <v>3349.0081652923891</v>
      </c>
      <c r="AB10" s="41">
        <v>990.55787527667667</v>
      </c>
      <c r="AC10" s="42">
        <v>3944.8080596658619</v>
      </c>
      <c r="AD10" s="41">
        <v>988.82788839944465</v>
      </c>
      <c r="AE10" s="42">
        <v>4764.7216316073218</v>
      </c>
      <c r="AF10" s="41">
        <v>987.84607465745319</v>
      </c>
      <c r="AG10" s="42">
        <v>5960.3322949071207</v>
      </c>
      <c r="AH10" s="41">
        <v>988.17940500937345</v>
      </c>
      <c r="AI10" s="42">
        <v>7832.406489363294</v>
      </c>
      <c r="AJ10" s="41">
        <v>990.37206496284841</v>
      </c>
      <c r="AK10" s="42">
        <v>11014.203564571564</v>
      </c>
      <c r="AL10" s="41">
        <v>994.42315351583261</v>
      </c>
      <c r="AM10" s="42">
        <v>16996.633202932848</v>
      </c>
      <c r="AN10" s="41"/>
      <c r="AO10" s="42"/>
      <c r="AP10" s="41"/>
      <c r="AQ10" s="42"/>
      <c r="AR10" s="41"/>
      <c r="AS10" s="42"/>
      <c r="AT10" s="41"/>
      <c r="AU10" s="42"/>
      <c r="AV10" s="41"/>
      <c r="AW10" s="42"/>
    </row>
    <row r="11" spans="1:49" x14ac:dyDescent="0.2">
      <c r="A11" t="s">
        <v>29</v>
      </c>
      <c r="B11" s="41">
        <v>1015.9116825427475</v>
      </c>
      <c r="C11" s="42">
        <v>1005.7716594496609</v>
      </c>
      <c r="D11" s="41">
        <v>1014.2546911517377</v>
      </c>
      <c r="E11" s="42">
        <v>1082.3854079515959</v>
      </c>
      <c r="F11" s="41">
        <v>1012.5725098845767</v>
      </c>
      <c r="G11" s="42">
        <v>1168.344801019183</v>
      </c>
      <c r="H11" s="41">
        <v>1010.8560335110418</v>
      </c>
      <c r="I11" s="42">
        <v>1265.3418561717126</v>
      </c>
      <c r="J11" s="41">
        <v>1009.0955480741802</v>
      </c>
      <c r="K11" s="42">
        <v>1375.4910974933482</v>
      </c>
      <c r="L11" s="41">
        <v>1007.2808935352599</v>
      </c>
      <c r="M11" s="42">
        <v>1501.4681126336518</v>
      </c>
      <c r="N11" s="41">
        <v>1005.4019085306069</v>
      </c>
      <c r="O11" s="42">
        <v>1646.7219853329523</v>
      </c>
      <c r="P11" s="41">
        <v>1003.449258489156</v>
      </c>
      <c r="Q11" s="42">
        <v>1815.7857517713817</v>
      </c>
      <c r="R11" s="41">
        <v>1001.4159747360466</v>
      </c>
      <c r="S11" s="42">
        <v>2014.7615715532038</v>
      </c>
      <c r="T11" s="41">
        <v>999.30021522090624</v>
      </c>
      <c r="U11" s="42">
        <v>2252.0968624822085</v>
      </c>
      <c r="V11" s="41">
        <v>997.11013078007022</v>
      </c>
      <c r="W11" s="42">
        <v>2539.8869689822559</v>
      </c>
      <c r="X11" s="41">
        <v>994.87249530023439</v>
      </c>
      <c r="Y11" s="42">
        <v>2896.1496927704652</v>
      </c>
      <c r="Z11" s="41">
        <v>992.6479921014959</v>
      </c>
      <c r="AA11" s="42">
        <v>3349.0081652923891</v>
      </c>
      <c r="AB11" s="41">
        <v>990.55787527667667</v>
      </c>
      <c r="AC11" s="42">
        <v>3944.8080596658619</v>
      </c>
      <c r="AD11" s="41">
        <v>988.82788839944465</v>
      </c>
      <c r="AE11" s="42">
        <v>4764.7216316073218</v>
      </c>
      <c r="AF11" s="41">
        <v>987.84607465745319</v>
      </c>
      <c r="AG11" s="42">
        <v>5960.3322949071207</v>
      </c>
      <c r="AH11" s="41">
        <v>988.17940500937345</v>
      </c>
      <c r="AI11" s="42">
        <v>7832.406489363294</v>
      </c>
      <c r="AJ11" s="41">
        <v>990.37206496284841</v>
      </c>
      <c r="AK11" s="42">
        <v>11014.203564571564</v>
      </c>
      <c r="AL11" s="41">
        <v>994.42315351583261</v>
      </c>
      <c r="AM11" s="42">
        <v>16996.633202932848</v>
      </c>
      <c r="AN11" s="41"/>
      <c r="AO11" s="42"/>
      <c r="AP11" s="41"/>
      <c r="AQ11" s="42"/>
      <c r="AR11" s="41"/>
      <c r="AS11" s="42"/>
      <c r="AT11" s="41"/>
      <c r="AU11" s="42"/>
      <c r="AV11" s="41"/>
      <c r="AW11" s="42"/>
    </row>
    <row r="12" spans="1:49"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v>1000</v>
      </c>
      <c r="AA12" s="42">
        <v>1000</v>
      </c>
      <c r="AB12" s="41">
        <v>1000</v>
      </c>
      <c r="AC12" s="42">
        <v>1000</v>
      </c>
      <c r="AD12" s="41">
        <v>1000</v>
      </c>
      <c r="AE12" s="42">
        <v>1000</v>
      </c>
      <c r="AF12" s="41">
        <v>1000</v>
      </c>
      <c r="AG12" s="42">
        <v>1000</v>
      </c>
      <c r="AH12" s="41">
        <v>1000</v>
      </c>
      <c r="AI12" s="42">
        <v>1000</v>
      </c>
      <c r="AJ12" s="41">
        <v>1000</v>
      </c>
      <c r="AK12" s="42">
        <v>1000</v>
      </c>
      <c r="AL12" s="41">
        <v>1000</v>
      </c>
      <c r="AM12" s="42">
        <v>1000</v>
      </c>
      <c r="AN12" s="41"/>
      <c r="AO12" s="42"/>
      <c r="AP12" s="41"/>
      <c r="AQ12" s="42"/>
      <c r="AR12" s="41"/>
      <c r="AS12" s="42"/>
      <c r="AT12" s="41"/>
      <c r="AU12" s="42"/>
      <c r="AV12" s="41"/>
      <c r="AW12" s="42"/>
    </row>
    <row r="13" spans="1:49" x14ac:dyDescent="0.2">
      <c r="A13" t="s">
        <v>17</v>
      </c>
      <c r="B13" s="97">
        <v>1000</v>
      </c>
      <c r="C13" s="98">
        <v>1000</v>
      </c>
      <c r="D13" s="97">
        <v>1002.5142905434783</v>
      </c>
      <c r="E13" s="98">
        <v>1002.5142905434783</v>
      </c>
      <c r="F13" s="97">
        <v>1005.3101496536231</v>
      </c>
      <c r="G13" s="98">
        <v>1005.3101496536231</v>
      </c>
      <c r="H13" s="97">
        <v>1008.4329005898559</v>
      </c>
      <c r="I13" s="98">
        <v>1008.4329005898559</v>
      </c>
      <c r="J13" s="97">
        <v>1011.9399840981428</v>
      </c>
      <c r="K13" s="98">
        <v>1011.9399840981428</v>
      </c>
      <c r="L13" s="97">
        <v>1015.9052172022483</v>
      </c>
      <c r="M13" s="98">
        <v>1015.9052172022483</v>
      </c>
      <c r="N13" s="97">
        <v>1020.4254668515281</v>
      </c>
      <c r="O13" s="98">
        <v>1020.4254668515281</v>
      </c>
      <c r="P13" s="97">
        <v>1025.6304968422623</v>
      </c>
      <c r="Q13" s="98">
        <v>1025.6304968422623</v>
      </c>
      <c r="R13" s="97">
        <v>1031.6984746158453</v>
      </c>
      <c r="S13" s="98">
        <v>1031.6984746158453</v>
      </c>
      <c r="T13" s="97">
        <v>1038.8808026741619</v>
      </c>
      <c r="U13" s="98">
        <v>1038.8808026741619</v>
      </c>
      <c r="V13" s="97">
        <v>1047.5435935004023</v>
      </c>
      <c r="W13" s="98">
        <v>1047.5435935004023</v>
      </c>
      <c r="X13" s="97">
        <v>1058.2391142883664</v>
      </c>
      <c r="Y13" s="98">
        <v>1058.2391142883664</v>
      </c>
      <c r="Z13" s="97">
        <v>1071.8343269485388</v>
      </c>
      <c r="AA13" s="98">
        <v>1071.8343269485388</v>
      </c>
      <c r="AB13" s="97">
        <v>1089.7515351615184</v>
      </c>
      <c r="AC13" s="98">
        <v>1089.7515351615184</v>
      </c>
      <c r="AD13" s="97">
        <v>1114.4344333944575</v>
      </c>
      <c r="AE13" s="98">
        <v>1114.4344333944575</v>
      </c>
      <c r="AF13" s="97">
        <v>1150.263774231739</v>
      </c>
      <c r="AG13" s="98">
        <v>1150.263774231739</v>
      </c>
      <c r="AH13" s="97">
        <v>1205.3218786498774</v>
      </c>
      <c r="AI13" s="98">
        <v>1205.3218786498774</v>
      </c>
      <c r="AJ13" s="97">
        <v>1294.7839849455631</v>
      </c>
      <c r="AK13" s="98">
        <v>1294.7839849455631</v>
      </c>
      <c r="AL13" s="97">
        <v>1449.469870003473</v>
      </c>
      <c r="AM13" s="98">
        <v>1449.469870003473</v>
      </c>
      <c r="AN13" s="97"/>
      <c r="AO13" s="98"/>
      <c r="AP13" s="97"/>
      <c r="AQ13" s="98"/>
      <c r="AR13" s="97"/>
      <c r="AS13" s="98"/>
      <c r="AT13" s="97"/>
      <c r="AU13" s="98"/>
      <c r="AV13" s="97"/>
      <c r="AW13" s="98"/>
    </row>
    <row r="14" spans="1:49" x14ac:dyDescent="0.2">
      <c r="A14" t="s">
        <v>36</v>
      </c>
      <c r="B14" s="41">
        <v>1457.0034251455234</v>
      </c>
      <c r="C14" s="42">
        <v>1457.0034251455236</v>
      </c>
      <c r="D14" s="41">
        <v>1460.6667550791822</v>
      </c>
      <c r="E14" s="42">
        <v>1460.6667550791824</v>
      </c>
      <c r="F14" s="41">
        <v>1464.7403313788873</v>
      </c>
      <c r="G14" s="42">
        <v>1464.7403313788875</v>
      </c>
      <c r="H14" s="41">
        <v>1469.2901901888549</v>
      </c>
      <c r="I14" s="42">
        <v>1469.2901901888551</v>
      </c>
      <c r="J14" s="41">
        <v>1474.4000228727004</v>
      </c>
      <c r="K14" s="42">
        <v>1474.4000228727007</v>
      </c>
      <c r="L14" s="41">
        <v>1480.1773810868826</v>
      </c>
      <c r="M14" s="42">
        <v>1480.1773810868829</v>
      </c>
      <c r="N14" s="41">
        <v>1486.7634003083961</v>
      </c>
      <c r="O14" s="42">
        <v>1486.7634003083963</v>
      </c>
      <c r="P14" s="41">
        <v>1494.347146832881</v>
      </c>
      <c r="Q14" s="42">
        <v>1494.3471468328812</v>
      </c>
      <c r="R14" s="41">
        <v>1503.1882112326982</v>
      </c>
      <c r="S14" s="42">
        <v>1503.1882112326984</v>
      </c>
      <c r="T14" s="41">
        <v>1513.6528878141844</v>
      </c>
      <c r="U14" s="42">
        <v>1513.6528878141846</v>
      </c>
      <c r="V14" s="41">
        <v>1526.2746037193358</v>
      </c>
      <c r="W14" s="42">
        <v>1526.274603719336</v>
      </c>
      <c r="X14" s="41">
        <v>1541.8580141411146</v>
      </c>
      <c r="Y14" s="42">
        <v>1541.8580141411151</v>
      </c>
      <c r="Z14" s="41">
        <v>1561.6662855525676</v>
      </c>
      <c r="AA14" s="42">
        <v>1561.6662855525678</v>
      </c>
      <c r="AB14" s="41">
        <v>1587.7717192879245</v>
      </c>
      <c r="AC14" s="42">
        <v>1587.7717192879247</v>
      </c>
      <c r="AD14" s="41">
        <v>1623.7347865558352</v>
      </c>
      <c r="AE14" s="42">
        <v>1623.7347865558354</v>
      </c>
      <c r="AF14" s="41">
        <v>1675.9382588764606</v>
      </c>
      <c r="AG14" s="42">
        <v>1675.9382588764608</v>
      </c>
      <c r="AH14" s="41">
        <v>1756.1581055957081</v>
      </c>
      <c r="AI14" s="42">
        <v>1756.1581055957083</v>
      </c>
      <c r="AJ14" s="41">
        <v>1886.5047008892552</v>
      </c>
      <c r="AK14" s="42">
        <v>1886.5047008892554</v>
      </c>
      <c r="AL14" s="41">
        <v>2111.8825652402966</v>
      </c>
      <c r="AM14" s="42">
        <v>2111.882565240297</v>
      </c>
      <c r="AN14" s="41"/>
      <c r="AO14" s="42"/>
      <c r="AP14" s="41"/>
      <c r="AQ14" s="42"/>
      <c r="AR14" s="41"/>
      <c r="AS14" s="42"/>
      <c r="AT14" s="41"/>
      <c r="AU14" s="42"/>
      <c r="AV14" s="41"/>
      <c r="AW14" s="42"/>
    </row>
    <row r="15" spans="1:49" x14ac:dyDescent="0.2">
      <c r="A15" t="s">
        <v>18</v>
      </c>
      <c r="B15" s="154">
        <v>1000</v>
      </c>
      <c r="C15" s="155">
        <v>1000</v>
      </c>
      <c r="D15" s="154">
        <v>986.75639083252554</v>
      </c>
      <c r="E15" s="155">
        <v>986.75639083252554</v>
      </c>
      <c r="F15" s="154">
        <v>972.44108814424249</v>
      </c>
      <c r="G15" s="155">
        <v>972.44108814424249</v>
      </c>
      <c r="H15" s="154">
        <v>956.93756498282403</v>
      </c>
      <c r="I15" s="155">
        <v>956.93756498282403</v>
      </c>
      <c r="J15" s="154">
        <v>940.10481188867539</v>
      </c>
      <c r="K15" s="155">
        <v>940.10481188867539</v>
      </c>
      <c r="L15" s="154">
        <v>921.77116279949064</v>
      </c>
      <c r="M15" s="155">
        <v>921.77116279949064</v>
      </c>
      <c r="N15" s="154">
        <v>901.72456607386414</v>
      </c>
      <c r="O15" s="155">
        <v>901.72456607386414</v>
      </c>
      <c r="P15" s="154">
        <v>879.69907866169763</v>
      </c>
      <c r="Q15" s="155">
        <v>879.69907866169763</v>
      </c>
      <c r="R15" s="154">
        <v>855.35413807931081</v>
      </c>
      <c r="S15" s="155">
        <v>855.35413807931081</v>
      </c>
      <c r="T15" s="154">
        <v>828.24274923735686</v>
      </c>
      <c r="U15" s="155">
        <v>828.24274923735686</v>
      </c>
      <c r="V15" s="154">
        <v>797.76011915581034</v>
      </c>
      <c r="W15" s="155">
        <v>797.76011915581034</v>
      </c>
      <c r="X15" s="154">
        <v>763.05965752497229</v>
      </c>
      <c r="Y15" s="155">
        <v>763.05965752497229</v>
      </c>
      <c r="Z15" s="154">
        <v>722.91102478843379</v>
      </c>
      <c r="AA15" s="155">
        <v>722.91102478843379</v>
      </c>
      <c r="AB15" s="154">
        <v>675.45674046910267</v>
      </c>
      <c r="AC15" s="155">
        <v>675.45674046910267</v>
      </c>
      <c r="AD15" s="154">
        <v>617.80276732486891</v>
      </c>
      <c r="AE15" s="155">
        <v>617.80276732486891</v>
      </c>
      <c r="AF15" s="154">
        <v>545.3996530410858</v>
      </c>
      <c r="AG15" s="155">
        <v>545.3996530410858</v>
      </c>
      <c r="AH15" s="154">
        <v>451.45150926962992</v>
      </c>
      <c r="AI15" s="155">
        <v>451.45150926962992</v>
      </c>
      <c r="AJ15" s="154">
        <v>327.59798937359699</v>
      </c>
      <c r="AK15" s="155">
        <v>327.59798937359699</v>
      </c>
      <c r="AL15" s="154">
        <v>168.6950362964528</v>
      </c>
      <c r="AM15" s="155">
        <v>168.6950362964528</v>
      </c>
      <c r="AN15" s="154"/>
      <c r="AO15" s="155"/>
      <c r="AP15" s="154"/>
      <c r="AQ15" s="155"/>
      <c r="AR15" s="154"/>
      <c r="AS15" s="155"/>
      <c r="AT15" s="154"/>
      <c r="AU15" s="155"/>
      <c r="AV15" s="154"/>
      <c r="AW15" s="155"/>
    </row>
    <row r="16" spans="1:49" s="29" customFormat="1" x14ac:dyDescent="0.2">
      <c r="A16" t="s">
        <v>61</v>
      </c>
      <c r="B16" s="41">
        <v>1000</v>
      </c>
      <c r="C16" s="42">
        <v>1000</v>
      </c>
      <c r="D16" s="41">
        <v>995.20037792718233</v>
      </c>
      <c r="E16" s="42">
        <v>991.27892511999858</v>
      </c>
      <c r="F16" s="41">
        <v>990.12811189593037</v>
      </c>
      <c r="G16" s="42">
        <v>981.91684264937248</v>
      </c>
      <c r="H16" s="41">
        <v>984.74034907809187</v>
      </c>
      <c r="I16" s="42">
        <v>971.8351939075468</v>
      </c>
      <c r="J16" s="41">
        <v>978.98678243947506</v>
      </c>
      <c r="K16" s="42">
        <v>960.94038387091734</v>
      </c>
      <c r="L16" s="41">
        <v>972.80780586077174</v>
      </c>
      <c r="M16" s="42">
        <v>949.11938046927003</v>
      </c>
      <c r="N16" s="41">
        <v>966.13180815557655</v>
      </c>
      <c r="O16" s="42">
        <v>936.23431171085861</v>
      </c>
      <c r="P16" s="41">
        <v>958.8715412464511</v>
      </c>
      <c r="Q16" s="42">
        <v>922.11402753616153</v>
      </c>
      <c r="R16" s="41">
        <v>950.91876640193163</v>
      </c>
      <c r="S16" s="42">
        <v>906.54183638099141</v>
      </c>
      <c r="T16" s="41">
        <v>942.13627900553615</v>
      </c>
      <c r="U16" s="42">
        <v>889.23655571558015</v>
      </c>
      <c r="V16" s="41">
        <v>932.34527641341015</v>
      </c>
      <c r="W16" s="42">
        <v>869.82241036931464</v>
      </c>
      <c r="X16" s="41">
        <v>921.30480511144822</v>
      </c>
      <c r="Y16" s="42">
        <v>847.77962867629253</v>
      </c>
      <c r="Z16" s="41">
        <v>908.67648968529079</v>
      </c>
      <c r="AA16" s="42">
        <v>822.36083143681174</v>
      </c>
      <c r="AB16" s="41">
        <v>893.96093511928018</v>
      </c>
      <c r="AC16" s="42">
        <v>792.44663314147147</v>
      </c>
      <c r="AD16" s="41">
        <v>876.37805387144965</v>
      </c>
      <c r="AE16" s="42">
        <v>756.29656727385975</v>
      </c>
      <c r="AF16" s="41">
        <v>854.63335478133058</v>
      </c>
      <c r="AG16" s="42">
        <v>711.14809250821031</v>
      </c>
      <c r="AH16" s="41">
        <v>826.45594894592432</v>
      </c>
      <c r="AI16" s="42">
        <v>652.72002506745014</v>
      </c>
      <c r="AJ16" s="41">
        <v>787.67908176225717</v>
      </c>
      <c r="AK16" s="42">
        <v>575.07554947908488</v>
      </c>
      <c r="AL16" s="41">
        <v>730.10315269088937</v>
      </c>
      <c r="AM16" s="42">
        <v>471.55536319303752</v>
      </c>
      <c r="AN16" s="41"/>
      <c r="AO16" s="42"/>
      <c r="AP16" s="41"/>
      <c r="AQ16" s="42"/>
      <c r="AR16" s="41"/>
      <c r="AS16" s="42"/>
      <c r="AT16" s="41"/>
      <c r="AU16" s="42"/>
      <c r="AV16" s="41"/>
      <c r="AW16" s="42"/>
    </row>
    <row r="17" spans="1:49" x14ac:dyDescent="0.2">
      <c r="A17" t="s">
        <v>62</v>
      </c>
      <c r="B17" s="35">
        <v>1000.0000000000002</v>
      </c>
      <c r="C17" s="36">
        <v>999.99999999999977</v>
      </c>
      <c r="D17" s="35">
        <v>998.51782744208015</v>
      </c>
      <c r="E17" s="36">
        <v>1036.2380636607518</v>
      </c>
      <c r="F17" s="35">
        <v>997.01513376621733</v>
      </c>
      <c r="G17" s="36">
        <v>1076.6162957798124</v>
      </c>
      <c r="H17" s="35">
        <v>995.48389381852633</v>
      </c>
      <c r="I17" s="36">
        <v>1121.8656180576158</v>
      </c>
      <c r="J17" s="35">
        <v>993.91561634541301</v>
      </c>
      <c r="K17" s="36">
        <v>1172.8970710939657</v>
      </c>
      <c r="L17" s="35">
        <v>992.30143292492517</v>
      </c>
      <c r="M17" s="36">
        <v>1230.8602404400397</v>
      </c>
      <c r="N17" s="35">
        <v>990.63255341737408</v>
      </c>
      <c r="O17" s="36">
        <v>1297.2342319890383</v>
      </c>
      <c r="P17" s="35">
        <v>988.90097883998453</v>
      </c>
      <c r="Q17" s="36">
        <v>1373.9596258320962</v>
      </c>
      <c r="R17" s="35">
        <v>987.10087296689017</v>
      </c>
      <c r="S17" s="36">
        <v>1463.6451569893177</v>
      </c>
      <c r="T17" s="35">
        <v>985.23098018662154</v>
      </c>
      <c r="U17" s="36">
        <v>1569.8978616970564</v>
      </c>
      <c r="V17" s="35">
        <v>983.2988882117105</v>
      </c>
      <c r="W17" s="36">
        <v>1697.8768999869862</v>
      </c>
      <c r="X17" s="35">
        <v>981.32853145683441</v>
      </c>
      <c r="Y17" s="36">
        <v>1855.2587463054126</v>
      </c>
      <c r="Z17" s="35">
        <v>979.37344045425368</v>
      </c>
      <c r="AA17" s="36">
        <v>2054.0086918107481</v>
      </c>
      <c r="AB17" s="35">
        <v>977.53983702784626</v>
      </c>
      <c r="AC17" s="36">
        <v>2313.8106705817172</v>
      </c>
      <c r="AD17" s="35">
        <v>976.02465892166356</v>
      </c>
      <c r="AE17" s="36">
        <v>2669.0639952075435</v>
      </c>
      <c r="AF17" s="35">
        <v>975.1657637166652</v>
      </c>
      <c r="AG17" s="36">
        <v>3183.8399071729987</v>
      </c>
      <c r="AH17" s="35">
        <v>975.45728113557732</v>
      </c>
      <c r="AI17" s="36">
        <v>3984.9503133425683</v>
      </c>
      <c r="AJ17" s="35">
        <v>977.37699100392354</v>
      </c>
      <c r="AK17" s="36">
        <v>5339.1501733834693</v>
      </c>
      <c r="AL17" s="35">
        <v>980.9333086661735</v>
      </c>
      <c r="AM17" s="36">
        <v>7876.2603227488617</v>
      </c>
      <c r="AN17" s="35"/>
      <c r="AO17" s="36"/>
      <c r="AP17" s="35"/>
      <c r="AQ17" s="36"/>
      <c r="AR17" s="35"/>
      <c r="AS17" s="36"/>
      <c r="AT17" s="35"/>
      <c r="AU17" s="36"/>
      <c r="AV17" s="35"/>
      <c r="AW17" s="36"/>
    </row>
    <row r="18" spans="1:49" x14ac:dyDescent="0.2">
      <c r="A18" t="s">
        <v>19</v>
      </c>
      <c r="B18" s="33">
        <v>27857.010133999996</v>
      </c>
      <c r="C18" s="34">
        <v>1236.7674480000003</v>
      </c>
      <c r="D18" s="33">
        <v>28005.700975626067</v>
      </c>
      <c r="E18" s="34">
        <v>1148.1537457580441</v>
      </c>
      <c r="F18" s="33">
        <v>28137.662426337334</v>
      </c>
      <c r="G18" s="34">
        <v>1059.8507563815592</v>
      </c>
      <c r="H18" s="33">
        <v>28251.096378996674</v>
      </c>
      <c r="I18" s="34">
        <v>971.89874534655962</v>
      </c>
      <c r="J18" s="33">
        <v>28343.711465903452</v>
      </c>
      <c r="K18" s="34">
        <v>884.36250148867384</v>
      </c>
      <c r="L18" s="33">
        <v>28412.589393422368</v>
      </c>
      <c r="M18" s="34">
        <v>797.33531471753895</v>
      </c>
      <c r="N18" s="33">
        <v>28453.99057729034</v>
      </c>
      <c r="O18" s="34">
        <v>710.95851980185955</v>
      </c>
      <c r="P18" s="33">
        <v>28463.081472909878</v>
      </c>
      <c r="Q18" s="34">
        <v>625.43857427329988</v>
      </c>
      <c r="R18" s="33">
        <v>28433.533699500873</v>
      </c>
      <c r="S18" s="34">
        <v>541.07718859871341</v>
      </c>
      <c r="T18" s="33">
        <v>28356.918901264515</v>
      </c>
      <c r="U18" s="34">
        <v>458.31090222080303</v>
      </c>
      <c r="V18" s="33">
        <v>28221.768216780489</v>
      </c>
      <c r="W18" s="34">
        <v>377.77168939922859</v>
      </c>
      <c r="X18" s="33">
        <v>28012.034959841829</v>
      </c>
      <c r="Y18" s="34">
        <v>300.36887553798192</v>
      </c>
      <c r="Z18" s="33">
        <v>27704.485064113302</v>
      </c>
      <c r="AA18" s="34">
        <v>227.40050176230358</v>
      </c>
      <c r="AB18" s="33">
        <v>27264.018245143659</v>
      </c>
      <c r="AC18" s="34">
        <v>160.6933104349022</v>
      </c>
      <c r="AD18" s="33">
        <v>26634.891643200048</v>
      </c>
      <c r="AE18" s="34">
        <v>102.71498328940544</v>
      </c>
      <c r="AF18" s="33">
        <v>25723.63484280766</v>
      </c>
      <c r="AG18" s="34">
        <v>56.469084099194504</v>
      </c>
      <c r="AH18" s="33">
        <v>24365.649417761975</v>
      </c>
      <c r="AI18" s="34">
        <v>24.662504982720236</v>
      </c>
      <c r="AJ18" s="33">
        <v>22262.043132016443</v>
      </c>
      <c r="AK18" s="34">
        <v>7.6050600556119372</v>
      </c>
      <c r="AL18" s="33">
        <v>18852.034771095139</v>
      </c>
      <c r="AM18" s="34">
        <v>1.3853879198418728</v>
      </c>
      <c r="AN18" s="33"/>
      <c r="AO18" s="34"/>
      <c r="AP18" s="33"/>
      <c r="AQ18" s="34"/>
      <c r="AR18" s="33"/>
      <c r="AS18" s="34"/>
      <c r="AT18" s="33"/>
      <c r="AU18" s="34"/>
      <c r="AV18" s="33"/>
      <c r="AW18" s="34"/>
    </row>
    <row r="19" spans="1:49" x14ac:dyDescent="0.2">
      <c r="A19" t="s">
        <v>3</v>
      </c>
      <c r="B19" s="41">
        <v>1886.3937399999918</v>
      </c>
      <c r="C19" s="42">
        <v>262.78711299999759</v>
      </c>
      <c r="D19" s="41">
        <v>1889.0463680944106</v>
      </c>
      <c r="E19" s="42">
        <v>270.893769041528</v>
      </c>
      <c r="F19" s="41">
        <v>1890.3976709216131</v>
      </c>
      <c r="G19" s="42">
        <v>279.88718251757905</v>
      </c>
      <c r="H19" s="41">
        <v>1890.2991653560059</v>
      </c>
      <c r="I19" s="42">
        <v>289.85897632368955</v>
      </c>
      <c r="J19" s="41">
        <v>1888.5689056774754</v>
      </c>
      <c r="K19" s="42">
        <v>300.90156097031206</v>
      </c>
      <c r="L19" s="41">
        <v>1884.9844611913795</v>
      </c>
      <c r="M19" s="42">
        <v>313.09941815141832</v>
      </c>
      <c r="N19" s="41">
        <v>1879.2735333389844</v>
      </c>
      <c r="O19" s="42">
        <v>326.51894063403205</v>
      </c>
      <c r="P19" s="41">
        <v>1871.1017000268071</v>
      </c>
      <c r="Q19" s="42">
        <v>341.18786222940327</v>
      </c>
      <c r="R19" s="41">
        <v>1860.0556410368624</v>
      </c>
      <c r="S19" s="42">
        <v>357.06275455676996</v>
      </c>
      <c r="T19" s="41">
        <v>1845.6193430063079</v>
      </c>
      <c r="U19" s="42">
        <v>373.97416956125375</v>
      </c>
      <c r="V19" s="41">
        <v>1827.1387449202673</v>
      </c>
      <c r="W19" s="42">
        <v>391.53679267774737</v>
      </c>
      <c r="X19" s="41">
        <v>1803.7648295844765</v>
      </c>
      <c r="Y19" s="42">
        <v>408.9976976672163</v>
      </c>
      <c r="Z19" s="41">
        <v>1774.3554222713963</v>
      </c>
      <c r="AA19" s="42">
        <v>424.98287572030176</v>
      </c>
      <c r="AB19" s="41">
        <v>1737.2863704069521</v>
      </c>
      <c r="AC19" s="42">
        <v>437.07979165595009</v>
      </c>
      <c r="AD19" s="41">
        <v>1690.0507538160052</v>
      </c>
      <c r="AE19" s="42">
        <v>441.19856972953511</v>
      </c>
      <c r="AF19" s="41">
        <v>1628.3181260684562</v>
      </c>
      <c r="AG19" s="42">
        <v>430.83278416302204</v>
      </c>
      <c r="AH19" s="41">
        <v>1543.6142641204037</v>
      </c>
      <c r="AI19" s="42">
        <v>397.1379466248398</v>
      </c>
      <c r="AJ19" s="41">
        <v>1417.9140703986225</v>
      </c>
      <c r="AK19" s="42">
        <v>332.32139090386954</v>
      </c>
      <c r="AL19" s="41">
        <v>1212.6078726590217</v>
      </c>
      <c r="AM19" s="42">
        <v>236.98970828861502</v>
      </c>
      <c r="AN19" s="41"/>
      <c r="AO19" s="42"/>
      <c r="AP19" s="41"/>
      <c r="AQ19" s="42"/>
      <c r="AR19" s="41"/>
      <c r="AS19" s="42"/>
      <c r="AT19" s="41"/>
      <c r="AU19" s="42"/>
      <c r="AV19" s="41"/>
      <c r="AW19" s="42"/>
    </row>
    <row r="20" spans="1:49" x14ac:dyDescent="0.2">
      <c r="A20" t="s">
        <v>127</v>
      </c>
      <c r="B20" s="82">
        <v>26548.356269999993</v>
      </c>
      <c r="C20" s="83">
        <v>1408.5418709999938</v>
      </c>
      <c r="D20" s="82">
        <v>26672.62551902861</v>
      </c>
      <c r="E20" s="83">
        <v>1338.1147774499941</v>
      </c>
      <c r="F20" s="82">
        <v>26780.4646466919</v>
      </c>
      <c r="G20" s="83">
        <v>1267.6876838999945</v>
      </c>
      <c r="H20" s="82">
        <v>26870.090366030359</v>
      </c>
      <c r="I20" s="83">
        <v>1197.2605903499946</v>
      </c>
      <c r="J20" s="82">
        <v>26939.247126696686</v>
      </c>
      <c r="K20" s="83">
        <v>1126.8334967999949</v>
      </c>
      <c r="L20" s="82">
        <v>26985.084464550582</v>
      </c>
      <c r="M20" s="83">
        <v>1056.4064032499953</v>
      </c>
      <c r="N20" s="82">
        <v>27003.980548235293</v>
      </c>
      <c r="O20" s="83">
        <v>985.97930969999561</v>
      </c>
      <c r="P20" s="82">
        <v>26991.297389381965</v>
      </c>
      <c r="Q20" s="83">
        <v>915.55221614999596</v>
      </c>
      <c r="R20" s="82">
        <v>26941.024403759897</v>
      </c>
      <c r="S20" s="83">
        <v>845.12512259999642</v>
      </c>
      <c r="T20" s="82">
        <v>26845.244941865025</v>
      </c>
      <c r="U20" s="83">
        <v>774.69802904999653</v>
      </c>
      <c r="V20" s="82">
        <v>26693.312397684902</v>
      </c>
      <c r="W20" s="83">
        <v>704.27093549999688</v>
      </c>
      <c r="X20" s="82">
        <v>26470.507369769639</v>
      </c>
      <c r="Y20" s="83">
        <v>633.84384194999711</v>
      </c>
      <c r="Z20" s="82">
        <v>26155.756210462423</v>
      </c>
      <c r="AA20" s="83">
        <v>563.41674839999746</v>
      </c>
      <c r="AB20" s="82">
        <v>25717.50908303383</v>
      </c>
      <c r="AC20" s="83">
        <v>492.98965484999781</v>
      </c>
      <c r="AD20" s="82">
        <v>25105.884912779813</v>
      </c>
      <c r="AE20" s="83">
        <v>422.56256129999804</v>
      </c>
      <c r="AF20" s="82">
        <v>24236.946271261379</v>
      </c>
      <c r="AG20" s="83">
        <v>352.13546774999821</v>
      </c>
      <c r="AH20" s="82">
        <v>22960.660973419479</v>
      </c>
      <c r="AI20" s="83">
        <v>281.70837419999856</v>
      </c>
      <c r="AJ20" s="82">
        <v>20997.633352430323</v>
      </c>
      <c r="AK20" s="83">
        <v>211.28128064999876</v>
      </c>
      <c r="AL20" s="82">
        <v>17811.279876847664</v>
      </c>
      <c r="AM20" s="83">
        <v>140.85418709999902</v>
      </c>
      <c r="AN20" s="82"/>
      <c r="AO20" s="83"/>
      <c r="AP20" s="82"/>
      <c r="AQ20" s="83"/>
      <c r="AR20" s="82"/>
      <c r="AS20" s="83"/>
      <c r="AT20" s="82"/>
      <c r="AU20" s="83"/>
      <c r="AV20" s="82"/>
      <c r="AW20" s="83"/>
    </row>
    <row r="21" spans="1:49" x14ac:dyDescent="0.2">
      <c r="A21" t="s">
        <v>76</v>
      </c>
      <c r="B21" s="82">
        <v>24661.962529999968</v>
      </c>
      <c r="C21" s="83">
        <v>1145.7547579999991</v>
      </c>
      <c r="D21" s="82">
        <v>24783.584578424285</v>
      </c>
      <c r="E21" s="83">
        <v>1067.490315067713</v>
      </c>
      <c r="F21" s="82">
        <v>24890.089106138541</v>
      </c>
      <c r="G21" s="83">
        <v>988.94603262549992</v>
      </c>
      <c r="H21" s="82">
        <v>24979.842100437996</v>
      </c>
      <c r="I21" s="83">
        <v>910.14820319419198</v>
      </c>
      <c r="J21" s="82">
        <v>25050.770979698318</v>
      </c>
      <c r="K21" s="83">
        <v>831.14579415697801</v>
      </c>
      <c r="L21" s="82">
        <v>25100.248979796961</v>
      </c>
      <c r="M21" s="83">
        <v>752.02241679202541</v>
      </c>
      <c r="N21" s="82">
        <v>25124.928073461037</v>
      </c>
      <c r="O21" s="83">
        <v>672.90931844577676</v>
      </c>
      <c r="P21" s="82">
        <v>25120.506375305096</v>
      </c>
      <c r="Q21" s="83">
        <v>594.00662578046661</v>
      </c>
      <c r="R21" s="82">
        <v>25081.38831468952</v>
      </c>
      <c r="S21" s="83">
        <v>515.61214187984763</v>
      </c>
      <c r="T21" s="82">
        <v>25000.17460369091</v>
      </c>
      <c r="U21" s="83">
        <v>438.16296978645107</v>
      </c>
      <c r="V21" s="82">
        <v>24866.872983575049</v>
      </c>
      <c r="W21" s="83">
        <v>362.29352656041914</v>
      </c>
      <c r="X21" s="82">
        <v>24667.610926533984</v>
      </c>
      <c r="Y21" s="83">
        <v>288.91798682361986</v>
      </c>
      <c r="Z21" s="82">
        <v>24382.449889202337</v>
      </c>
      <c r="AA21" s="83">
        <v>219.34168571704728</v>
      </c>
      <c r="AB21" s="82">
        <v>23981.447915692825</v>
      </c>
      <c r="AC21" s="83">
        <v>155.39752177806642</v>
      </c>
      <c r="AD21" s="82">
        <v>23417.199016574865</v>
      </c>
      <c r="AE21" s="83">
        <v>99.559640138234201</v>
      </c>
      <c r="AF21" s="82">
        <v>22610.043025202041</v>
      </c>
      <c r="AG21" s="83">
        <v>54.843577798156801</v>
      </c>
      <c r="AH21" s="82">
        <v>21418.355433897752</v>
      </c>
      <c r="AI21" s="83">
        <v>23.99076471752705</v>
      </c>
      <c r="AJ21" s="82">
        <v>19580.734342541011</v>
      </c>
      <c r="AK21" s="83">
        <v>7.4062382896257946</v>
      </c>
      <c r="AL21" s="82">
        <v>16599.281542919667</v>
      </c>
      <c r="AM21" s="83">
        <v>1.3500432359331689</v>
      </c>
      <c r="AN21" s="82"/>
      <c r="AO21" s="83"/>
      <c r="AP21" s="82"/>
      <c r="AQ21" s="83"/>
      <c r="AR21" s="82"/>
      <c r="AS21" s="83"/>
      <c r="AT21" s="82"/>
      <c r="AU21" s="83"/>
      <c r="AV21" s="82"/>
      <c r="AW21" s="83"/>
    </row>
    <row r="22" spans="1:49" x14ac:dyDescent="0.2">
      <c r="A22" t="s">
        <v>28</v>
      </c>
      <c r="B22" s="41">
        <v>6533.6044688320644</v>
      </c>
      <c r="C22" s="42">
        <v>379.90788307663382</v>
      </c>
      <c r="D22" s="41">
        <v>6567.6393920029104</v>
      </c>
      <c r="E22" s="42">
        <v>364.79927913828425</v>
      </c>
      <c r="F22" s="41">
        <v>6597.0080347409539</v>
      </c>
      <c r="G22" s="42">
        <v>349.38687720528128</v>
      </c>
      <c r="H22" s="41">
        <v>6621.2034612366697</v>
      </c>
      <c r="I22" s="42">
        <v>333.67108334461574</v>
      </c>
      <c r="J22" s="41">
        <v>6639.5908903067038</v>
      </c>
      <c r="K22" s="42">
        <v>317.64990726066441</v>
      </c>
      <c r="L22" s="41">
        <v>6651.3746122871999</v>
      </c>
      <c r="M22" s="42">
        <v>301.3189231066126</v>
      </c>
      <c r="N22" s="41">
        <v>6655.5518672174403</v>
      </c>
      <c r="O22" s="42">
        <v>284.66946361663656</v>
      </c>
      <c r="P22" s="41">
        <v>6650.8488206389129</v>
      </c>
      <c r="Q22" s="42">
        <v>267.68734194151278</v>
      </c>
      <c r="R22" s="41">
        <v>6635.6281413219876</v>
      </c>
      <c r="S22" s="42">
        <v>250.35047876564499</v>
      </c>
      <c r="T22" s="41">
        <v>6607.7521164153313</v>
      </c>
      <c r="U22" s="42">
        <v>232.62594185384364</v>
      </c>
      <c r="V22" s="41">
        <v>6564.3730470427608</v>
      </c>
      <c r="W22" s="42">
        <v>214.46565240994383</v>
      </c>
      <c r="X22" s="41">
        <v>6501.5951924908723</v>
      </c>
      <c r="Y22" s="42">
        <v>195.80113493367151</v>
      </c>
      <c r="Z22" s="41">
        <v>6413.9075324403393</v>
      </c>
      <c r="AA22" s="42">
        <v>176.53746500173139</v>
      </c>
      <c r="AB22" s="41">
        <v>6293.1686799559093</v>
      </c>
      <c r="AC22" s="42">
        <v>156.54826652256421</v>
      </c>
      <c r="AD22" s="41">
        <v>6126.6951448326699</v>
      </c>
      <c r="AE22" s="42">
        <v>135.67972995235132</v>
      </c>
      <c r="AF22" s="41">
        <v>5893.468398824516</v>
      </c>
      <c r="AG22" s="42">
        <v>113.78483766814728</v>
      </c>
      <c r="AH22" s="41">
        <v>5556.4687660182708</v>
      </c>
      <c r="AI22" s="42">
        <v>90.832359292410317</v>
      </c>
      <c r="AJ22" s="41">
        <v>5047.7347029285056</v>
      </c>
      <c r="AK22" s="42">
        <v>67.113533930284987</v>
      </c>
      <c r="AL22" s="41">
        <v>4239.2347771406448</v>
      </c>
      <c r="AM22" s="42">
        <v>43.366314139676739</v>
      </c>
      <c r="AN22" s="41"/>
      <c r="AO22" s="42"/>
      <c r="AP22" s="41"/>
      <c r="AQ22" s="42"/>
      <c r="AR22" s="41"/>
      <c r="AS22" s="42"/>
      <c r="AT22" s="41"/>
      <c r="AU22" s="42"/>
      <c r="AV22" s="41"/>
      <c r="AW22" s="42"/>
    </row>
    <row r="23" spans="1:49" x14ac:dyDescent="0.2">
      <c r="A23" t="s">
        <v>7</v>
      </c>
      <c r="B23" s="116">
        <v>3278.5018080150408</v>
      </c>
      <c r="C23" s="8">
        <v>0</v>
      </c>
      <c r="D23" s="116">
        <v>3300.9079043986885</v>
      </c>
      <c r="E23" s="8">
        <v>0</v>
      </c>
      <c r="F23" s="116">
        <v>3321.4055362373983</v>
      </c>
      <c r="G23" s="8">
        <v>0</v>
      </c>
      <c r="H23" s="116">
        <v>3339.7836827162796</v>
      </c>
      <c r="I23" s="8">
        <v>0</v>
      </c>
      <c r="J23" s="116">
        <v>3355.7735742096547</v>
      </c>
      <c r="K23" s="8">
        <v>0</v>
      </c>
      <c r="L23" s="116">
        <v>3369.0342153546485</v>
      </c>
      <c r="M23" s="8">
        <v>0</v>
      </c>
      <c r="N23" s="116">
        <v>3379.1308513041413</v>
      </c>
      <c r="O23" s="8">
        <v>0</v>
      </c>
      <c r="P23" s="116">
        <v>3385.5060182338789</v>
      </c>
      <c r="Q23" s="8">
        <v>0</v>
      </c>
      <c r="R23" s="116">
        <v>3387.4373914726516</v>
      </c>
      <c r="S23" s="8">
        <v>0</v>
      </c>
      <c r="T23" s="116">
        <v>3383.9754779963268</v>
      </c>
      <c r="U23" s="8">
        <v>0</v>
      </c>
      <c r="V23" s="116">
        <v>3373.8478524805109</v>
      </c>
      <c r="W23" s="8">
        <v>0</v>
      </c>
      <c r="X23" s="116">
        <v>3355.3038567153176</v>
      </c>
      <c r="Y23" s="8">
        <v>0</v>
      </c>
      <c r="Z23" s="116">
        <v>3325.8505070174483</v>
      </c>
      <c r="AA23" s="8">
        <v>0</v>
      </c>
      <c r="AB23" s="116">
        <v>3281.7698674090243</v>
      </c>
      <c r="AC23" s="8">
        <v>0</v>
      </c>
      <c r="AD23" s="116">
        <v>3217.1780509565788</v>
      </c>
      <c r="AE23" s="8">
        <v>0</v>
      </c>
      <c r="AF23" s="116">
        <v>3122.0608833685701</v>
      </c>
      <c r="AG23" s="8">
        <v>0</v>
      </c>
      <c r="AH23" s="116">
        <v>2978.0130612169605</v>
      </c>
      <c r="AI23" s="8">
        <v>0</v>
      </c>
      <c r="AJ23" s="116">
        <v>2749.1767559578725</v>
      </c>
      <c r="AK23" s="8">
        <v>0</v>
      </c>
      <c r="AL23" s="116">
        <v>2363.1077014377765</v>
      </c>
      <c r="AM23" s="8">
        <v>0</v>
      </c>
      <c r="AN23" s="116"/>
      <c r="AO23" s="8"/>
      <c r="AP23" s="116"/>
      <c r="AQ23" s="8"/>
      <c r="AR23" s="116"/>
      <c r="AS23" s="8"/>
      <c r="AT23" s="116"/>
      <c r="AU23" s="8"/>
      <c r="AV23" s="116"/>
      <c r="AW23" s="8"/>
    </row>
    <row r="24" spans="1:49" x14ac:dyDescent="0.2">
      <c r="A24" t="s">
        <v>8</v>
      </c>
      <c r="B24" s="97">
        <v>3196.3846373657216</v>
      </c>
      <c r="C24" s="8">
        <v>0</v>
      </c>
      <c r="D24" s="97">
        <v>3218.2295312700521</v>
      </c>
      <c r="E24" s="8">
        <v>0</v>
      </c>
      <c r="F24" s="97">
        <v>3238.2137566682054</v>
      </c>
      <c r="G24" s="8">
        <v>0</v>
      </c>
      <c r="H24" s="97">
        <v>3256.1315746363971</v>
      </c>
      <c r="I24" s="8">
        <v>0</v>
      </c>
      <c r="J24" s="97">
        <v>3271.7209662822083</v>
      </c>
      <c r="K24" s="8">
        <v>0</v>
      </c>
      <c r="L24" s="97">
        <v>3284.6494640509327</v>
      </c>
      <c r="M24" s="8">
        <v>0</v>
      </c>
      <c r="N24" s="97">
        <v>3294.4932072244187</v>
      </c>
      <c r="O24" s="8">
        <v>0</v>
      </c>
      <c r="P24" s="97">
        <v>3300.7086936610567</v>
      </c>
      <c r="Q24" s="8">
        <v>0</v>
      </c>
      <c r="R24" s="97">
        <v>3302.5916918186131</v>
      </c>
      <c r="S24" s="8">
        <v>0</v>
      </c>
      <c r="T24" s="97">
        <v>3299.2164905163086</v>
      </c>
      <c r="U24" s="8">
        <v>0</v>
      </c>
      <c r="V24" s="97">
        <v>3289.3425337454769</v>
      </c>
      <c r="W24" s="8">
        <v>0</v>
      </c>
      <c r="X24" s="97">
        <v>3271.2630138987297</v>
      </c>
      <c r="Y24" s="8">
        <v>0</v>
      </c>
      <c r="Z24" s="97">
        <v>3242.5473867374599</v>
      </c>
      <c r="AA24" s="8">
        <v>0</v>
      </c>
      <c r="AB24" s="97">
        <v>3199.5708407722777</v>
      </c>
      <c r="AC24" s="8">
        <v>0</v>
      </c>
      <c r="AD24" s="97">
        <v>3136.5968666542972</v>
      </c>
      <c r="AE24" s="8">
        <v>0</v>
      </c>
      <c r="AF24" s="97">
        <v>3043.8621146969272</v>
      </c>
      <c r="AG24" s="8">
        <v>0</v>
      </c>
      <c r="AH24" s="97">
        <v>2903.4222816230858</v>
      </c>
      <c r="AI24" s="8">
        <v>0</v>
      </c>
      <c r="AJ24" s="97">
        <v>2680.3176764135596</v>
      </c>
      <c r="AK24" s="8">
        <v>0</v>
      </c>
      <c r="AL24" s="97">
        <v>2303.9185565974772</v>
      </c>
      <c r="AM24" s="8">
        <v>0</v>
      </c>
      <c r="AN24" s="97"/>
      <c r="AO24" s="8"/>
      <c r="AP24" s="97"/>
      <c r="AQ24" s="8"/>
      <c r="AR24" s="97"/>
      <c r="AS24" s="8"/>
      <c r="AT24" s="97"/>
      <c r="AU24" s="8"/>
      <c r="AV24" s="97"/>
      <c r="AW24" s="8"/>
    </row>
    <row r="25" spans="1:49" x14ac:dyDescent="0.2">
      <c r="A25" t="s">
        <v>0</v>
      </c>
      <c r="B25" s="41">
        <v>3195.0476040000012</v>
      </c>
      <c r="C25" s="42">
        <v>91.012690000004397</v>
      </c>
      <c r="D25" s="41">
        <v>3222.1075793318269</v>
      </c>
      <c r="E25" s="42">
        <v>80.614498322071029</v>
      </c>
      <c r="F25" s="41">
        <v>3247.537257287252</v>
      </c>
      <c r="G25" s="42">
        <v>70.718696082024081</v>
      </c>
      <c r="H25" s="41">
        <v>3271.1710023301594</v>
      </c>
      <c r="I25" s="42">
        <v>61.35376706213372</v>
      </c>
      <c r="J25" s="41">
        <v>3292.7880033857605</v>
      </c>
      <c r="K25" s="42">
        <v>52.549691393257348</v>
      </c>
      <c r="L25" s="41">
        <v>3312.0943287341847</v>
      </c>
      <c r="M25" s="42">
        <v>44.33752371959087</v>
      </c>
      <c r="N25" s="41">
        <v>3328.6955041218944</v>
      </c>
      <c r="O25" s="42">
        <v>36.749116505747502</v>
      </c>
      <c r="P25" s="41">
        <v>3342.0565821602718</v>
      </c>
      <c r="Q25" s="42">
        <v>29.81647588516207</v>
      </c>
      <c r="R25" s="41">
        <v>3351.4413287684965</v>
      </c>
      <c r="S25" s="42">
        <v>23.571045522877004</v>
      </c>
      <c r="T25" s="41">
        <v>3355.8177211981124</v>
      </c>
      <c r="U25" s="42">
        <v>18.042601404397985</v>
      </c>
      <c r="V25" s="41">
        <v>3353.7079292600783</v>
      </c>
      <c r="W25" s="42">
        <v>13.25778717535065</v>
      </c>
      <c r="X25" s="41">
        <v>3342.9407378811047</v>
      </c>
      <c r="Y25" s="42">
        <v>9.2377954501396538</v>
      </c>
      <c r="Z25" s="41">
        <v>3320.2323392154904</v>
      </c>
      <c r="AA25" s="42">
        <v>5.9946345325112933</v>
      </c>
      <c r="AB25" s="41">
        <v>3280.4528618895388</v>
      </c>
      <c r="AC25" s="42">
        <v>3.5249426734243743</v>
      </c>
      <c r="AD25" s="41">
        <v>3215.3226463577071</v>
      </c>
      <c r="AE25" s="42">
        <v>1.7991796364711634</v>
      </c>
      <c r="AF25" s="41">
        <v>3111.1283821821412</v>
      </c>
      <c r="AG25" s="42">
        <v>0.74438976518324196</v>
      </c>
      <c r="AH25" s="41">
        <v>2945.0174483681585</v>
      </c>
      <c r="AI25" s="42">
        <v>0.22431703767880579</v>
      </c>
      <c r="AJ25" s="41">
        <v>2679.5536133763562</v>
      </c>
      <c r="AK25" s="42">
        <v>4.206142991667064E-2</v>
      </c>
      <c r="AL25" s="41">
        <v>2251.7108027911231</v>
      </c>
      <c r="AM25" s="42">
        <v>3.8763546323086588E-3</v>
      </c>
      <c r="AN25" s="41"/>
      <c r="AO25" s="42"/>
      <c r="AP25" s="41"/>
      <c r="AQ25" s="42"/>
      <c r="AR25" s="41"/>
      <c r="AS25" s="42"/>
      <c r="AT25" s="41"/>
      <c r="AU25" s="42"/>
      <c r="AV25" s="41"/>
      <c r="AW25" s="42"/>
    </row>
    <row r="26" spans="1:49" x14ac:dyDescent="0.2">
      <c r="A26" t="s">
        <v>27</v>
      </c>
      <c r="B26" s="33">
        <v>5036.2953101960647</v>
      </c>
      <c r="C26" s="34">
        <v>74.905331803938267</v>
      </c>
      <c r="D26" s="33">
        <v>5089.6793038428914</v>
      </c>
      <c r="E26" s="34">
        <v>70.269391232898542</v>
      </c>
      <c r="F26" s="33">
        <v>5139.0848328927223</v>
      </c>
      <c r="G26" s="34">
        <v>65.561120603763925</v>
      </c>
      <c r="H26" s="33">
        <v>5183.999217094698</v>
      </c>
      <c r="I26" s="34">
        <v>60.78155924209554</v>
      </c>
      <c r="J26" s="33">
        <v>5223.7768177223152</v>
      </c>
      <c r="K26" s="34">
        <v>55.932573461127014</v>
      </c>
      <c r="L26" s="33">
        <v>5257.60292377111</v>
      </c>
      <c r="M26" s="34">
        <v>51.017476364917535</v>
      </c>
      <c r="N26" s="33">
        <v>5284.4462838771633</v>
      </c>
      <c r="O26" s="34">
        <v>46.042003822249313</v>
      </c>
      <c r="P26" s="33">
        <v>5302.9917086157084</v>
      </c>
      <c r="Q26" s="34">
        <v>41.015703166177246</v>
      </c>
      <c r="R26" s="33">
        <v>5311.5453732728602</v>
      </c>
      <c r="S26" s="34">
        <v>35.954029252017953</v>
      </c>
      <c r="T26" s="33">
        <v>5307.8946395190933</v>
      </c>
      <c r="U26" s="34">
        <v>30.881354968802349</v>
      </c>
      <c r="V26" s="33">
        <v>5289.0975743664867</v>
      </c>
      <c r="W26" s="34">
        <v>25.835478572828038</v>
      </c>
      <c r="X26" s="33">
        <v>5251.143336174684</v>
      </c>
      <c r="Y26" s="34">
        <v>20.874078274829476</v>
      </c>
      <c r="Z26" s="33">
        <v>5188.3841434613323</v>
      </c>
      <c r="AA26" s="34">
        <v>16.083804617839423</v>
      </c>
      <c r="AB26" s="33">
        <v>5092.520743289303</v>
      </c>
      <c r="AC26" s="34">
        <v>11.592323820970563</v>
      </c>
      <c r="AD26" s="33">
        <v>4950.6907483698087</v>
      </c>
      <c r="AE26" s="34">
        <v>7.580479348760111</v>
      </c>
      <c r="AF26" s="33">
        <v>4741.7241055504383</v>
      </c>
      <c r="AG26" s="34">
        <v>4.2819583662752416</v>
      </c>
      <c r="AH26" s="33">
        <v>4428.9537043500022</v>
      </c>
      <c r="AI26" s="34">
        <v>1.9328683499888357</v>
      </c>
      <c r="AJ26" s="33">
        <v>3948.4000758744469</v>
      </c>
      <c r="AK26" s="34">
        <v>0.62023345149470066</v>
      </c>
      <c r="AL26" s="33">
        <v>3194.6540209586706</v>
      </c>
      <c r="AM26" s="34">
        <v>0.11812644885018182</v>
      </c>
      <c r="AN26" s="33"/>
      <c r="AO26" s="34"/>
      <c r="AP26" s="33"/>
      <c r="AQ26" s="34"/>
      <c r="AR26" s="33"/>
      <c r="AS26" s="34"/>
      <c r="AT26" s="33"/>
      <c r="AU26" s="34"/>
      <c r="AV26" s="33"/>
      <c r="AW26" s="34"/>
    </row>
    <row r="27" spans="1:49" x14ac:dyDescent="0.2">
      <c r="A27" t="s">
        <v>2</v>
      </c>
      <c r="B27" s="35">
        <v>6425.1981590000305</v>
      </c>
      <c r="C27" s="36">
        <v>273.22915400000028</v>
      </c>
      <c r="D27" s="35">
        <v>6443.3967234494339</v>
      </c>
      <c r="E27" s="36">
        <v>255.03060195105002</v>
      </c>
      <c r="F27" s="35">
        <v>6461.5456994934257</v>
      </c>
      <c r="G27" s="36">
        <v>236.88163797403811</v>
      </c>
      <c r="H27" s="35">
        <v>6479.6592446255418</v>
      </c>
      <c r="I27" s="36">
        <v>218.76806696895926</v>
      </c>
      <c r="J27" s="35">
        <v>6497.7484783811833</v>
      </c>
      <c r="K27" s="36">
        <v>200.67884175512268</v>
      </c>
      <c r="L27" s="35">
        <v>6515.8215790466174</v>
      </c>
      <c r="M27" s="36">
        <v>182.60573358950649</v>
      </c>
      <c r="N27" s="35">
        <v>6533.8797895955868</v>
      </c>
      <c r="O27" s="36">
        <v>164.54752332259318</v>
      </c>
      <c r="P27" s="35">
        <v>6551.9144383511248</v>
      </c>
      <c r="Q27" s="36">
        <v>146.51287393441453</v>
      </c>
      <c r="R27" s="35">
        <v>6569.9006669239534</v>
      </c>
      <c r="S27" s="36">
        <v>128.52665480630722</v>
      </c>
      <c r="T27" s="35">
        <v>6587.7887636786636</v>
      </c>
      <c r="U27" s="36">
        <v>110.63855134503487</v>
      </c>
      <c r="V27" s="35">
        <v>6605.4897354693931</v>
      </c>
      <c r="W27" s="36">
        <v>92.937577802940979</v>
      </c>
      <c r="X27" s="35">
        <v>6622.854233549303</v>
      </c>
      <c r="Y27" s="36">
        <v>75.573096683905106</v>
      </c>
      <c r="Z27" s="35">
        <v>6639.6409314846269</v>
      </c>
      <c r="AA27" s="36">
        <v>58.786397796424723</v>
      </c>
      <c r="AB27" s="35">
        <v>6655.4704807530461</v>
      </c>
      <c r="AC27" s="36">
        <v>42.95682539517523</v>
      </c>
      <c r="AD27" s="35">
        <v>6669.7715754934807</v>
      </c>
      <c r="AE27" s="36">
        <v>28.655742244313956</v>
      </c>
      <c r="AF27" s="35">
        <v>6681.7549324279044</v>
      </c>
      <c r="AG27" s="36">
        <v>16.672375264898395</v>
      </c>
      <c r="AH27" s="35">
        <v>6690.5463069303823</v>
      </c>
      <c r="AI27" s="36">
        <v>7.8810232872527415</v>
      </c>
      <c r="AJ27" s="35">
        <v>6695.6936963244716</v>
      </c>
      <c r="AK27" s="36">
        <v>2.7336195001543291</v>
      </c>
      <c r="AL27" s="35">
        <v>6697.8232173236711</v>
      </c>
      <c r="AM27" s="36">
        <v>0.60409795979576519</v>
      </c>
      <c r="AN27" s="35"/>
      <c r="AO27" s="36"/>
      <c r="AP27" s="35"/>
      <c r="AQ27" s="36"/>
      <c r="AR27" s="35"/>
      <c r="AS27" s="36"/>
      <c r="AT27" s="35"/>
      <c r="AU27" s="36"/>
      <c r="AV27" s="35"/>
      <c r="AW27" s="36"/>
    </row>
    <row r="28" spans="1:49" x14ac:dyDescent="0.2">
      <c r="A28" t="s">
        <v>35</v>
      </c>
      <c r="B28" s="41">
        <v>13763.097676000029</v>
      </c>
      <c r="C28" s="42">
        <v>382.36647899999997</v>
      </c>
      <c r="D28" s="41">
        <v>13858.905781838801</v>
      </c>
      <c r="E28" s="42">
        <v>357.41026427830258</v>
      </c>
      <c r="F28" s="41">
        <v>13948.596357150893</v>
      </c>
      <c r="G28" s="42">
        <v>332.39421906970506</v>
      </c>
      <c r="H28" s="41">
        <v>14031.545019662801</v>
      </c>
      <c r="I28" s="42">
        <v>307.30840830453633</v>
      </c>
      <c r="J28" s="41">
        <v>14106.9333338059</v>
      </c>
      <c r="K28" s="42">
        <v>282.14667818212399</v>
      </c>
      <c r="L28" s="41">
        <v>14173.695233919771</v>
      </c>
      <c r="M28" s="42">
        <v>256.90720652760933</v>
      </c>
      <c r="N28" s="41">
        <v>14230.440529600704</v>
      </c>
      <c r="O28" s="42">
        <v>231.59811441764649</v>
      </c>
      <c r="P28" s="41">
        <v>14275.346614974325</v>
      </c>
      <c r="Q28" s="42">
        <v>206.24231085985915</v>
      </c>
      <c r="R28" s="41">
        <v>14306.000212136965</v>
      </c>
      <c r="S28" s="42">
        <v>180.88682756684332</v>
      </c>
      <c r="T28" s="41">
        <v>14319.158080104926</v>
      </c>
      <c r="U28" s="42">
        <v>155.6157677532978</v>
      </c>
      <c r="V28" s="41">
        <v>14310.376119918801</v>
      </c>
      <c r="W28" s="42">
        <v>130.57139765257665</v>
      </c>
      <c r="X28" s="41">
        <v>14273.398181596329</v>
      </c>
      <c r="Y28" s="42">
        <v>105.98468006826195</v>
      </c>
      <c r="Z28" s="41">
        <v>14199.106480759525</v>
      </c>
      <c r="AA28" s="42">
        <v>82.220443039938473</v>
      </c>
      <c r="AB28" s="41">
        <v>14073.593494221011</v>
      </c>
      <c r="AC28" s="42">
        <v>59.8418088162015</v>
      </c>
      <c r="AD28" s="41">
        <v>13874.391392456846</v>
      </c>
      <c r="AE28" s="42">
        <v>39.683223397374931</v>
      </c>
      <c r="AF28" s="41">
        <v>13562.615514318535</v>
      </c>
      <c r="AG28" s="42">
        <v>22.877660866889858</v>
      </c>
      <c r="AH28" s="41">
        <v>13065.911373601364</v>
      </c>
      <c r="AI28" s="42">
        <v>10.651308773111721</v>
      </c>
      <c r="AJ28" s="41">
        <v>12241.243066943878</v>
      </c>
      <c r="AK28" s="42">
        <v>3.5918787335722366</v>
      </c>
      <c r="AL28" s="41">
        <v>10788.370974579124</v>
      </c>
      <c r="AM28" s="42">
        <v>0.74514587060418214</v>
      </c>
      <c r="AN28" s="41"/>
      <c r="AO28" s="42"/>
      <c r="AP28" s="41"/>
      <c r="AQ28" s="42"/>
      <c r="AR28" s="41"/>
      <c r="AS28" s="42"/>
      <c r="AT28" s="41"/>
      <c r="AU28" s="42"/>
      <c r="AV28" s="41"/>
      <c r="AW28" s="42"/>
    </row>
    <row r="29" spans="1:49" x14ac:dyDescent="0.2">
      <c r="A29" t="s">
        <v>53</v>
      </c>
      <c r="B29" s="35">
        <v>14362.768558000025</v>
      </c>
      <c r="C29" s="36">
        <v>817.26650999999993</v>
      </c>
      <c r="D29" s="35">
        <v>14438.705790009215</v>
      </c>
      <c r="E29" s="36">
        <v>755.50091470357199</v>
      </c>
      <c r="F29" s="35">
        <v>14505.987453317299</v>
      </c>
      <c r="G29" s="36">
        <v>694.28981279456025</v>
      </c>
      <c r="H29" s="35">
        <v>14563.682820096628</v>
      </c>
      <c r="I29" s="36">
        <v>633.68186736836185</v>
      </c>
      <c r="J29" s="35">
        <v>14610.606397823865</v>
      </c>
      <c r="K29" s="36">
        <v>573.74375075324031</v>
      </c>
      <c r="L29" s="35">
        <v>14645.249492269637</v>
      </c>
      <c r="M29" s="36">
        <v>514.56258239115959</v>
      </c>
      <c r="N29" s="35">
        <v>14665.68010149449</v>
      </c>
      <c r="O29" s="36">
        <v>456.25795362023996</v>
      </c>
      <c r="P29" s="35">
        <v>14669.403126121675</v>
      </c>
      <c r="Q29" s="36">
        <v>398.99212260112614</v>
      </c>
      <c r="R29" s="35">
        <v>14653.154830628568</v>
      </c>
      <c r="S29" s="36">
        <v>342.98793677253508</v>
      </c>
      <c r="T29" s="35">
        <v>14612.592988684921</v>
      </c>
      <c r="U29" s="36">
        <v>288.55191976502198</v>
      </c>
      <c r="V29" s="35">
        <v>14541.815563536098</v>
      </c>
      <c r="W29" s="36">
        <v>236.10927192267928</v>
      </c>
      <c r="X29" s="35">
        <v>14432.574461692357</v>
      </c>
      <c r="Y29" s="36">
        <v>186.2501393105214</v>
      </c>
      <c r="Z29" s="35">
        <v>14272.941013538612</v>
      </c>
      <c r="AA29" s="36">
        <v>139.7908476884669</v>
      </c>
      <c r="AB29" s="35">
        <v>14044.911628137557</v>
      </c>
      <c r="AC29" s="36">
        <v>97.847369432739796</v>
      </c>
      <c r="AD29" s="35">
        <v>13719.910034833749</v>
      </c>
      <c r="AE29" s="36">
        <v>61.883393104831178</v>
      </c>
      <c r="AF29" s="35">
        <v>13250.00727911612</v>
      </c>
      <c r="AG29" s="36">
        <v>33.616130075329409</v>
      </c>
      <c r="AH29" s="35">
        <v>12550.684313894881</v>
      </c>
      <c r="AI29" s="36">
        <v>14.483144779470086</v>
      </c>
      <c r="AJ29" s="35">
        <v>11468.089996733646</v>
      </c>
      <c r="AK29" s="36">
        <v>4.3981369505130763</v>
      </c>
      <c r="AL29" s="35">
        <v>9712.9289792195032</v>
      </c>
      <c r="AM29" s="36">
        <v>0.78782243944306063</v>
      </c>
      <c r="AN29" s="35"/>
      <c r="AO29" s="36"/>
      <c r="AP29" s="35"/>
      <c r="AQ29" s="36"/>
      <c r="AR29" s="35"/>
      <c r="AS29" s="36"/>
      <c r="AT29" s="35"/>
      <c r="AU29" s="36"/>
      <c r="AV29" s="35"/>
      <c r="AW29" s="36"/>
    </row>
    <row r="30" spans="1:49" x14ac:dyDescent="0.2">
      <c r="A30" t="s">
        <v>48</v>
      </c>
      <c r="B30" s="119">
        <v>2924829.9599999995</v>
      </c>
      <c r="D30" s="119">
        <v>3028322.513473351</v>
      </c>
      <c r="F30" s="119">
        <v>3132106.1032942366</v>
      </c>
      <c r="H30" s="119">
        <v>3236192.5700221094</v>
      </c>
      <c r="J30" s="119">
        <v>3340576.0947682317</v>
      </c>
      <c r="L30" s="119">
        <v>3445227.3783071954</v>
      </c>
      <c r="N30" s="119">
        <v>3550099.9503168273</v>
      </c>
      <c r="P30" s="119">
        <v>3655135.3971563508</v>
      </c>
      <c r="R30" s="119">
        <v>3760282.1186931413</v>
      </c>
      <c r="T30" s="119">
        <v>3865530.5420034593</v>
      </c>
      <c r="V30" s="119">
        <v>3970983.9692466352</v>
      </c>
      <c r="X30" s="119">
        <v>4076978.3177985419</v>
      </c>
      <c r="Z30" s="119">
        <v>4184279.3129096022</v>
      </c>
      <c r="AB30" s="119">
        <v>4294342.4279256687</v>
      </c>
      <c r="AD30" s="119">
        <v>4409410.4186048061</v>
      </c>
      <c r="AF30" s="119">
        <v>4531261.1850599404</v>
      </c>
      <c r="AH30" s="119">
        <v>4653967.2274916712</v>
      </c>
      <c r="AJ30" s="119">
        <v>4737397.8297641817</v>
      </c>
      <c r="AL30" s="119">
        <v>4635073.2144367229</v>
      </c>
      <c r="AN30" s="119"/>
      <c r="AP30" s="119"/>
      <c r="AR30" s="119"/>
      <c r="AT30" s="119"/>
      <c r="AV30" s="119"/>
    </row>
    <row r="31" spans="1:49" x14ac:dyDescent="0.2">
      <c r="A31" t="s">
        <v>47</v>
      </c>
      <c r="B31" s="80">
        <v>1</v>
      </c>
      <c r="D31" s="80">
        <v>1.0026726888818545</v>
      </c>
      <c r="F31" s="80">
        <v>1.0044367459298218</v>
      </c>
      <c r="H31" s="80">
        <v>1.0051967385567597</v>
      </c>
      <c r="J31" s="80">
        <v>1.0048351141510672</v>
      </c>
      <c r="L31" s="80">
        <v>1.0032067383371734</v>
      </c>
      <c r="N31" s="80">
        <v>1.0001310002502084</v>
      </c>
      <c r="P31" s="80">
        <v>0.99538106347390498</v>
      </c>
      <c r="R31" s="80">
        <v>0.98866825311936657</v>
      </c>
      <c r="T31" s="80">
        <v>0.97961904720878634</v>
      </c>
      <c r="V31" s="80">
        <v>0.96773990477718808</v>
      </c>
      <c r="X31" s="80">
        <v>0.95236122587028915</v>
      </c>
      <c r="Z31" s="80">
        <v>0.93254489996725065</v>
      </c>
      <c r="AB31" s="80">
        <v>0.90692367470879987</v>
      </c>
      <c r="AD31" s="80">
        <v>0.87341283962892458</v>
      </c>
      <c r="AF31" s="80">
        <v>0.82868008800656112</v>
      </c>
      <c r="AH31" s="80">
        <v>0.76719307767810863</v>
      </c>
      <c r="AJ31" s="80">
        <v>0.67965318040275113</v>
      </c>
      <c r="AL31" s="80">
        <v>0.55042310554219798</v>
      </c>
      <c r="AN31" s="80"/>
      <c r="AP31" s="80"/>
      <c r="AR31" s="80"/>
      <c r="AT31" s="80"/>
      <c r="AV31" s="80"/>
    </row>
    <row r="32" spans="1:49" x14ac:dyDescent="0.2">
      <c r="A32" t="s">
        <v>64</v>
      </c>
      <c r="B32" s="86">
        <v>14734457.915000005</v>
      </c>
      <c r="D32" s="86">
        <v>14810960.146610325</v>
      </c>
      <c r="F32" s="86">
        <v>14878214.596228287</v>
      </c>
      <c r="H32" s="86">
        <v>14935178.817980468</v>
      </c>
      <c r="J32" s="86">
        <v>14980548.691826509</v>
      </c>
      <c r="L32" s="86">
        <v>15012699.732483689</v>
      </c>
      <c r="N32" s="86">
        <v>15029602.525830325</v>
      </c>
      <c r="P32" s="86">
        <v>15028712.869360028</v>
      </c>
      <c r="R32" s="86">
        <v>15006816.521319227</v>
      </c>
      <c r="T32" s="86">
        <v>14959806.248373505</v>
      </c>
      <c r="V32" s="86">
        <v>14882346.199535983</v>
      </c>
      <c r="X32" s="86">
        <v>14767332.753288874</v>
      </c>
      <c r="Z32" s="86">
        <v>14604973.501688188</v>
      </c>
      <c r="AB32" s="86">
        <v>14381055.383220145</v>
      </c>
      <c r="AD32" s="86">
        <v>14073385.504801782</v>
      </c>
      <c r="AF32" s="86">
        <v>13643739.758515729</v>
      </c>
      <c r="AH32" s="86">
        <v>13018626.791872526</v>
      </c>
      <c r="AJ32" s="86">
        <v>12044917.391965637</v>
      </c>
      <c r="AL32" s="86">
        <v>10395790.617628165</v>
      </c>
      <c r="AN32" s="86"/>
      <c r="AP32" s="86"/>
      <c r="AR32" s="86"/>
      <c r="AT32" s="86"/>
      <c r="AV32" s="86"/>
    </row>
    <row r="33" spans="1:49 16319:16321" x14ac:dyDescent="0.2">
      <c r="A33" t="s">
        <v>54</v>
      </c>
      <c r="B33" s="117">
        <v>7019665.6909999885</v>
      </c>
      <c r="D33" s="117">
        <v>7056112.4797024364</v>
      </c>
      <c r="F33" s="117">
        <v>7088153.3249934828</v>
      </c>
      <c r="H33" s="117">
        <v>7115291.4558453821</v>
      </c>
      <c r="J33" s="117">
        <v>7136906.2279990064</v>
      </c>
      <c r="L33" s="117">
        <v>7152223.3174800817</v>
      </c>
      <c r="N33" s="117">
        <v>7160276.0139153106</v>
      </c>
      <c r="P33" s="117">
        <v>7159852.1788205458</v>
      </c>
      <c r="R33" s="117">
        <v>7149420.5471648648</v>
      </c>
      <c r="T33" s="117">
        <v>7127024.2658412484</v>
      </c>
      <c r="V33" s="117">
        <v>7090121.383276267</v>
      </c>
      <c r="X33" s="117">
        <v>7035327.6293676598</v>
      </c>
      <c r="Z33" s="117">
        <v>6957977.8453723798</v>
      </c>
      <c r="AB33" s="117">
        <v>6851300.6598797832</v>
      </c>
      <c r="AD33" s="117">
        <v>6704723.1672066255</v>
      </c>
      <c r="AF33" s="117">
        <v>6500035.0665207645</v>
      </c>
      <c r="AH33" s="117">
        <v>6202223.9595231544</v>
      </c>
      <c r="AJ33" s="117">
        <v>5738337.5657698726</v>
      </c>
      <c r="AL33" s="117">
        <v>4952674.5503734332</v>
      </c>
      <c r="AN33" s="117"/>
      <c r="AP33" s="117"/>
      <c r="AR33" s="117"/>
      <c r="AT33" s="117"/>
      <c r="AV33" s="117"/>
    </row>
    <row r="34" spans="1:49 16319:16321" x14ac:dyDescent="0.2">
      <c r="A34" t="s">
        <v>75</v>
      </c>
      <c r="B34" s="117">
        <v>1136879.4410000162</v>
      </c>
      <c r="D34" s="117">
        <v>1142781.9405179594</v>
      </c>
      <c r="F34" s="117">
        <v>1147971.0999300843</v>
      </c>
      <c r="H34" s="117">
        <v>1152366.6277125974</v>
      </c>
      <c r="J34" s="117">
        <v>1155867.2281312302</v>
      </c>
      <c r="L34" s="117">
        <v>1158347.9731109776</v>
      </c>
      <c r="N34" s="117">
        <v>1159652.1466546254</v>
      </c>
      <c r="P34" s="117">
        <v>1159583.4957892234</v>
      </c>
      <c r="R34" s="117">
        <v>1157893.9786977409</v>
      </c>
      <c r="T34" s="117">
        <v>1154266.8100349484</v>
      </c>
      <c r="V34" s="117">
        <v>1148290.1788374144</v>
      </c>
      <c r="X34" s="117">
        <v>1139416.0060795518</v>
      </c>
      <c r="Z34" s="117">
        <v>1126888.6757563038</v>
      </c>
      <c r="AB34" s="117">
        <v>1109611.6425000611</v>
      </c>
      <c r="AD34" s="117">
        <v>1085872.502448638</v>
      </c>
      <c r="AF34" s="117">
        <v>1052721.8617158465</v>
      </c>
      <c r="AH34" s="117">
        <v>1004489.554660594</v>
      </c>
      <c r="AJ34" s="117">
        <v>929360.21350378089</v>
      </c>
      <c r="AL34" s="117">
        <v>802117.09819811885</v>
      </c>
      <c r="AN34" s="117"/>
      <c r="AP34" s="117"/>
      <c r="AR34" s="117"/>
      <c r="AT34" s="117"/>
      <c r="AV34" s="117"/>
    </row>
    <row r="35" spans="1:49 16319:16321" x14ac:dyDescent="0.2">
      <c r="A35" t="s">
        <v>78</v>
      </c>
      <c r="B35" s="233">
        <v>1</v>
      </c>
      <c r="D35" s="233">
        <v>1.0025143016575659</v>
      </c>
      <c r="F35" s="233">
        <v>1.0053101628174126</v>
      </c>
      <c r="H35" s="233">
        <v>1.0084329010643764</v>
      </c>
      <c r="J35" s="233">
        <v>1.0119399865818772</v>
      </c>
      <c r="L35" s="233">
        <v>1.0159052176103129</v>
      </c>
      <c r="N35" s="233">
        <v>1.0204254672154192</v>
      </c>
      <c r="P35" s="233">
        <v>1.0256304967124903</v>
      </c>
      <c r="R35" s="233">
        <v>1.0316984737531125</v>
      </c>
      <c r="T35" s="233">
        <v>1.0388808022253371</v>
      </c>
      <c r="V35" s="233">
        <v>1.0475435933797752</v>
      </c>
      <c r="X35" s="233">
        <v>1.0582391207684214</v>
      </c>
      <c r="Z35" s="233">
        <v>1.0718343320900361</v>
      </c>
      <c r="AB35" s="233">
        <v>1.0897515335059529</v>
      </c>
      <c r="AD35" s="233">
        <v>1.1144344351448978</v>
      </c>
      <c r="AF35" s="233">
        <v>1.1502637743931023</v>
      </c>
      <c r="AH35" s="233">
        <v>1.2053218848457736</v>
      </c>
      <c r="AJ35" s="233">
        <v>1.2947839862342061</v>
      </c>
      <c r="AL35" s="233">
        <v>1.4494698708704226</v>
      </c>
      <c r="AN35" s="233"/>
      <c r="AP35" s="233"/>
      <c r="AR35" s="233"/>
      <c r="AT35" s="233"/>
      <c r="AV35" s="233"/>
    </row>
    <row r="36" spans="1:49 16319:16321" x14ac:dyDescent="0.2">
      <c r="A36" t="s">
        <v>21</v>
      </c>
      <c r="B36" s="37">
        <v>0.47195767671988198</v>
      </c>
      <c r="C36" s="38">
        <v>0.31738834428178964</v>
      </c>
      <c r="D36" s="37">
        <v>0.47198320057917748</v>
      </c>
      <c r="E36" s="38">
        <v>0.32019108009860081</v>
      </c>
      <c r="F36" s="37">
        <v>0.4720095413317969</v>
      </c>
      <c r="G36" s="38">
        <v>0.32324600469390058</v>
      </c>
      <c r="H36" s="37">
        <v>0.47203686680272061</v>
      </c>
      <c r="I36" s="38">
        <v>0.32659023516008517</v>
      </c>
      <c r="J36" s="37">
        <v>0.47206537005560278</v>
      </c>
      <c r="K36" s="38">
        <v>0.33026854558669227</v>
      </c>
      <c r="L36" s="37">
        <v>0.47209525755218434</v>
      </c>
      <c r="M36" s="38">
        <v>0.33433547096081606</v>
      </c>
      <c r="N36" s="37">
        <v>0.4721267525304183</v>
      </c>
      <c r="O36" s="38">
        <v>0.33885869169305288</v>
      </c>
      <c r="P36" s="37">
        <v>0.47216007754353484</v>
      </c>
      <c r="Q36" s="38">
        <v>0.34392365975747047</v>
      </c>
      <c r="R36" s="37">
        <v>0.47219542937640407</v>
      </c>
      <c r="S36" s="38">
        <v>0.34964069255836683</v>
      </c>
      <c r="T36" s="37">
        <v>0.4722329258228507</v>
      </c>
      <c r="U36" s="38">
        <v>0.35615584558607571</v>
      </c>
      <c r="V36" s="37">
        <v>0.47227251071267551</v>
      </c>
      <c r="W36" s="38">
        <v>0.36366843664746523</v>
      </c>
      <c r="X36" s="37">
        <v>0.47231377382235773</v>
      </c>
      <c r="Y36" s="38">
        <v>0.37245992442816422</v>
      </c>
      <c r="Z36" s="37">
        <v>0.47235562211770132</v>
      </c>
      <c r="AA36" s="38">
        <v>0.38294347498007913</v>
      </c>
      <c r="AB36" s="37">
        <v>0.4723957010438154</v>
      </c>
      <c r="AC36" s="38">
        <v>0.39575193350168203</v>
      </c>
      <c r="AD36" s="37">
        <v>0.47242943680869554</v>
      </c>
      <c r="AE36" s="38">
        <v>0.41189698942880376</v>
      </c>
      <c r="AF36" s="37">
        <v>0.47244881120234089</v>
      </c>
      <c r="AG36" s="38">
        <v>0.43305549444293434</v>
      </c>
      <c r="AH36" s="37">
        <v>0.47244221498405131</v>
      </c>
      <c r="AI36" s="38">
        <v>0.46205755587846692</v>
      </c>
      <c r="AJ36" s="37">
        <v>0.47239930013011933</v>
      </c>
      <c r="AK36" s="38">
        <v>0.50369404417382935</v>
      </c>
      <c r="AL36" s="37">
        <v>0.47232215970598895</v>
      </c>
      <c r="AM36" s="38">
        <v>0.56667485645424009</v>
      </c>
      <c r="AN36" s="37"/>
      <c r="AO36" s="38"/>
      <c r="AP36" s="37"/>
      <c r="AQ36" s="38"/>
      <c r="AR36" s="37"/>
      <c r="AS36" s="38"/>
      <c r="AT36" s="37"/>
      <c r="AU36" s="38"/>
      <c r="AV36" s="37"/>
      <c r="AW36" s="38"/>
    </row>
    <row r="37" spans="1:49 16319:16321" x14ac:dyDescent="0.2">
      <c r="B37" s="39">
        <v>2.1403217525954466E-2</v>
      </c>
      <c r="C37" s="40">
        <v>0.3496246130199252</v>
      </c>
      <c r="D37" s="39">
        <v>2.0615499838526986E-2</v>
      </c>
      <c r="E37" s="40">
        <v>0.34487009841708099</v>
      </c>
      <c r="F37" s="39">
        <v>1.9826668477044045E-2</v>
      </c>
      <c r="G37" s="40">
        <v>0.34007111784958288</v>
      </c>
      <c r="H37" s="39">
        <v>1.9035933947983988E-2</v>
      </c>
      <c r="I37" s="40">
        <v>0.33522368054610568</v>
      </c>
      <c r="J37" s="39">
        <v>1.8242421678133801E-2</v>
      </c>
      <c r="K37" s="40">
        <v>0.33032342175793122</v>
      </c>
      <c r="L37" s="39">
        <v>1.7445154266577018E-2</v>
      </c>
      <c r="M37" s="40">
        <v>0.32536553713966604</v>
      </c>
      <c r="N37" s="39">
        <v>1.6642948995545352E-2</v>
      </c>
      <c r="O37" s="40">
        <v>0.32034422924244804</v>
      </c>
      <c r="P37" s="39">
        <v>1.5834331437654659E-2</v>
      </c>
      <c r="Q37" s="40">
        <v>0.31525224683135011</v>
      </c>
      <c r="R37" s="39">
        <v>1.5017385954511395E-2</v>
      </c>
      <c r="S37" s="40">
        <v>0.31008006520530185</v>
      </c>
      <c r="T37" s="39">
        <v>1.4189557293922893E-2</v>
      </c>
      <c r="U37" s="40">
        <v>0.30481480234857816</v>
      </c>
      <c r="V37" s="39">
        <v>1.3347351346812716E-2</v>
      </c>
      <c r="W37" s="40">
        <v>0.29943859513031468</v>
      </c>
      <c r="X37" s="39">
        <v>1.248593183253867E-2</v>
      </c>
      <c r="Y37" s="40">
        <v>0.29392649683009436</v>
      </c>
      <c r="Z37" s="39">
        <v>1.1598572690228091E-2</v>
      </c>
      <c r="AA37" s="40">
        <v>0.28824383539060888</v>
      </c>
      <c r="AB37" s="39">
        <v>1.0675999467693466E-2</v>
      </c>
      <c r="AC37" s="40">
        <v>0.28234365522532973</v>
      </c>
      <c r="AD37" s="39">
        <v>9.7059278813518765E-3</v>
      </c>
      <c r="AE37" s="40">
        <v>0.27616705731966029</v>
      </c>
      <c r="AF37" s="39">
        <v>8.673869213721019E-3</v>
      </c>
      <c r="AG37" s="40">
        <v>0.26965492054949014</v>
      </c>
      <c r="AH37" s="39">
        <v>7.5678242044239603E-3</v>
      </c>
      <c r="AI37" s="40">
        <v>0.26278997860725228</v>
      </c>
      <c r="AJ37" s="39">
        <v>6.3885997594611277E-3</v>
      </c>
      <c r="AK37" s="40">
        <v>0.25568017229690848</v>
      </c>
      <c r="AL37" s="39">
        <v>5.1529434102211046E-3</v>
      </c>
      <c r="AM37" s="40">
        <v>0.24859788561079371</v>
      </c>
      <c r="AN37" s="39"/>
      <c r="AO37" s="40"/>
      <c r="AP37" s="39"/>
      <c r="AQ37" s="40"/>
      <c r="AR37" s="39"/>
      <c r="AS37" s="40"/>
      <c r="AT37" s="39"/>
      <c r="AU37" s="40"/>
      <c r="AV37" s="39"/>
      <c r="AW37" s="40"/>
    </row>
    <row r="38" spans="1:49 16319:16321" x14ac:dyDescent="0.2">
      <c r="A38" t="s">
        <v>22</v>
      </c>
      <c r="B38" s="37">
        <v>0.18079094942242827</v>
      </c>
      <c r="C38" s="38">
        <v>6.0565413429233668E-2</v>
      </c>
      <c r="D38" s="37">
        <v>0.18173725800588042</v>
      </c>
      <c r="E38" s="38">
        <v>6.1202074628519954E-2</v>
      </c>
      <c r="F38" s="37">
        <v>0.18264078781762805</v>
      </c>
      <c r="G38" s="38">
        <v>6.1858823243752178E-2</v>
      </c>
      <c r="H38" s="37">
        <v>0.18349727555879039</v>
      </c>
      <c r="I38" s="38">
        <v>6.2538983132879811E-2</v>
      </c>
      <c r="J38" s="37">
        <v>0.18430108646873386</v>
      </c>
      <c r="K38" s="38">
        <v>6.3246206580417019E-2</v>
      </c>
      <c r="L38" s="37">
        <v>0.18504483526546395</v>
      </c>
      <c r="M38" s="38">
        <v>6.398497021669082E-2</v>
      </c>
      <c r="N38" s="37">
        <v>0.18571898621822058</v>
      </c>
      <c r="O38" s="38">
        <v>6.4760464274457225E-2</v>
      </c>
      <c r="P38" s="37">
        <v>0.18631122964191008</v>
      </c>
      <c r="Q38" s="38">
        <v>6.5579106971189918E-2</v>
      </c>
      <c r="R38" s="37">
        <v>0.18680567211264704</v>
      </c>
      <c r="S38" s="38">
        <v>6.6448983637865097E-2</v>
      </c>
      <c r="T38" s="37">
        <v>0.18718164191252806</v>
      </c>
      <c r="U38" s="38">
        <v>6.7380799407482705E-2</v>
      </c>
      <c r="V38" s="37">
        <v>0.18741198403088088</v>
      </c>
      <c r="W38" s="38">
        <v>6.838913369584225E-2</v>
      </c>
      <c r="X38" s="37">
        <v>0.18746025926723087</v>
      </c>
      <c r="Y38" s="38">
        <v>6.9494811129956535E-2</v>
      </c>
      <c r="Z38" s="37">
        <v>0.18727596385402767</v>
      </c>
      <c r="AA38" s="38">
        <v>7.0728975939778033E-2</v>
      </c>
      <c r="AB38" s="37">
        <v>0.18678540696019363</v>
      </c>
      <c r="AC38" s="38">
        <v>7.2139430008610603E-2</v>
      </c>
      <c r="AD38" s="37">
        <v>0.18587238178735868</v>
      </c>
      <c r="AE38" s="38">
        <v>7.3801105797794558E-2</v>
      </c>
      <c r="AF38" s="37">
        <v>0.18433336247098167</v>
      </c>
      <c r="AG38" s="38">
        <v>7.5828365814353996E-2</v>
      </c>
      <c r="AH38" s="37">
        <v>0.18177039439471707</v>
      </c>
      <c r="AI38" s="38">
        <v>7.8372750511073327E-2</v>
      </c>
      <c r="AJ38" s="37">
        <v>0.17736018443859741</v>
      </c>
      <c r="AK38" s="38">
        <v>8.1555365369799682E-2</v>
      </c>
      <c r="AL38" s="37">
        <v>0.16945937453164844</v>
      </c>
      <c r="AM38" s="38">
        <v>8.52659729151274E-2</v>
      </c>
      <c r="AN38" s="37"/>
      <c r="AO38" s="38"/>
      <c r="AP38" s="37"/>
      <c r="AQ38" s="38"/>
      <c r="AR38" s="37"/>
      <c r="AS38" s="38"/>
      <c r="AT38" s="37"/>
      <c r="AU38" s="38"/>
      <c r="AV38" s="37"/>
      <c r="AW38" s="38"/>
    </row>
    <row r="39" spans="1:49 16319:16321" x14ac:dyDescent="0.2">
      <c r="A39" t="s">
        <v>23</v>
      </c>
      <c r="B39" s="39">
        <v>0.23064923795098732</v>
      </c>
      <c r="C39" s="40">
        <v>0.22092201281804777</v>
      </c>
      <c r="D39" s="39">
        <v>0.23007446694718528</v>
      </c>
      <c r="E39" s="40">
        <v>0.22212234458432348</v>
      </c>
      <c r="F39" s="39">
        <v>0.22964045845703615</v>
      </c>
      <c r="G39" s="40">
        <v>0.22350471191130408</v>
      </c>
      <c r="H39" s="39">
        <v>0.22935956741993402</v>
      </c>
      <c r="I39" s="40">
        <v>0.22509347606056529</v>
      </c>
      <c r="J39" s="39">
        <v>0.22924832854715446</v>
      </c>
      <c r="K39" s="40">
        <v>0.22691921176815388</v>
      </c>
      <c r="L39" s="39">
        <v>0.22932867852428324</v>
      </c>
      <c r="M39" s="40">
        <v>0.22901999976533802</v>
      </c>
      <c r="N39" s="39">
        <v>0.22962964621245069</v>
      </c>
      <c r="O39" s="40">
        <v>0.23144461841240993</v>
      </c>
      <c r="P39" s="39">
        <v>0.23018991968901883</v>
      </c>
      <c r="Q39" s="40">
        <v>0.23425621629533891</v>
      </c>
      <c r="R39" s="39">
        <v>0.23106170117150379</v>
      </c>
      <c r="S39" s="40">
        <v>0.2375384834447867</v>
      </c>
      <c r="T39" s="39">
        <v>0.23231680376195227</v>
      </c>
      <c r="U39" s="40">
        <v>0.24140501744322876</v>
      </c>
      <c r="V39" s="39">
        <v>0.23405655112502163</v>
      </c>
      <c r="W39" s="40">
        <v>0.24601520021455253</v>
      </c>
      <c r="X39" s="39">
        <v>0.23642888647839597</v>
      </c>
      <c r="Y39" s="40">
        <v>0.25160095748452077</v>
      </c>
      <c r="Z39" s="39">
        <v>0.23965942395678064</v>
      </c>
      <c r="AA39" s="40">
        <v>0.25851481127281228</v>
      </c>
      <c r="AB39" s="39">
        <v>0.24411187011799101</v>
      </c>
      <c r="AC39" s="40">
        <v>0.2673218025001563</v>
      </c>
      <c r="AD39" s="39">
        <v>0.2504148192093843</v>
      </c>
      <c r="AE39" s="40">
        <v>0.27898307848208215</v>
      </c>
      <c r="AF39" s="39">
        <v>0.25975158539058979</v>
      </c>
      <c r="AG39" s="40">
        <v>0.29524784279503158</v>
      </c>
      <c r="AH39" s="39">
        <v>0.27458928724687037</v>
      </c>
      <c r="AI39" s="40">
        <v>0.3195548583882527</v>
      </c>
      <c r="AJ39" s="39">
        <v>0.30076725916926167</v>
      </c>
      <c r="AK39" s="40">
        <v>0.35944745737242834</v>
      </c>
      <c r="AL39" s="39">
        <v>0.3552838353339503</v>
      </c>
      <c r="AM39" s="40">
        <v>0.43604968048567688</v>
      </c>
      <c r="AN39" s="39"/>
      <c r="AO39" s="40"/>
      <c r="AP39" s="39"/>
      <c r="AQ39" s="40"/>
      <c r="AR39" s="39"/>
      <c r="AS39" s="40"/>
      <c r="AT39" s="39"/>
      <c r="AU39" s="40"/>
      <c r="AV39" s="39"/>
      <c r="AW39" s="40"/>
    </row>
    <row r="40" spans="1:49 16319:16321"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49 16319:16321" x14ac:dyDescent="0.2">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row>
    <row r="42" spans="1:49 16319:16321" x14ac:dyDescent="0.2">
      <c r="A42" t="s">
        <v>107</v>
      </c>
      <c r="B42" s="177">
        <f>10.8%+(1-10.8%)*(1-SUM(B26:C26)/SUM($B$26:$C$26))</f>
        <v>0.10800000000000001</v>
      </c>
      <c r="C42" s="135"/>
      <c r="D42" s="177">
        <f>10.8%+(1-10.8%)*(1-SUM(D26:E26)/SUM($B$26:$C$26))</f>
        <v>9.9492554022182378E-2</v>
      </c>
      <c r="E42" s="135"/>
      <c r="F42" s="177">
        <f>10.8%+(1-10.8%)*(1-SUM(F26:G26)/SUM($B$26:$C$26))</f>
        <v>9.1692047389036385E-2</v>
      </c>
      <c r="G42" s="135"/>
      <c r="H42" s="177">
        <f>10.8%+(1-10.8%)*(1-SUM(H26:I26)/SUM($B$26:$C$26))</f>
        <v>8.468777100055444E-2</v>
      </c>
      <c r="I42" s="135"/>
      <c r="J42" s="177">
        <f>10.8%+(1-10.8%)*(1-SUM(J26:K26)/SUM($B$26:$C$26))</f>
        <v>7.859207516987414E-2</v>
      </c>
      <c r="K42" s="135"/>
      <c r="L42" s="177">
        <f>10.8%+(1-10.8%)*(1-SUM(L26:M26)/SUM($B$26:$C$26))</f>
        <v>7.3546563989234065E-2</v>
      </c>
      <c r="M42" s="135"/>
      <c r="N42" s="177">
        <f>10.8%+(1-10.8%)*(1-SUM(N26:O26)/SUM($B$26:$C$26))</f>
        <v>6.9730209071320354E-2</v>
      </c>
      <c r="O42" s="135"/>
      <c r="P42" s="177">
        <f>10.8%+(1-10.8%)*(1-SUM(P26:Q26)/SUM($B$26:$C$26))</f>
        <v>6.7370869353275645E-2</v>
      </c>
      <c r="Q42" s="135"/>
      <c r="R42" s="177">
        <f>10.8%+(1-10.8%)*(1-SUM(R26:S26)/SUM($B$26:$C$26))</f>
        <v>6.6761451730896954E-2</v>
      </c>
      <c r="S42" s="135"/>
      <c r="T42" s="177">
        <f>10.8%+(1-10.8%)*(1-SUM(T26:U26)/SUM($B$26:$C$26))</f>
        <v>6.828384940494775E-2</v>
      </c>
      <c r="U42" s="135"/>
      <c r="V42" s="177">
        <f>10.8%+(1-10.8%)*(1-SUM(V26:W26)/SUM($B$26:$C$26))</f>
        <v>7.2444888141437735E-2</v>
      </c>
      <c r="W42" s="135"/>
      <c r="X42" s="177">
        <f>10.8%+(1-10.8%)*(1-SUM(X26:Y26)/SUM($B$26:$C$26))</f>
        <v>7.9934468812237452E-2</v>
      </c>
      <c r="Y42" s="162"/>
      <c r="Z42" s="177">
        <f>10.8%+(1-10.8%)*(1-SUM(Z26:AA26)/SUM($B$26:$C$26))</f>
        <v>9.1723112659873055E-2</v>
      </c>
      <c r="AA42" s="135"/>
      <c r="AB42" s="177">
        <f>10.8%+(1-10.8%)*(1-SUM(AB26:AC26)/SUM($B$26:$C$26))</f>
        <v>0.10923691422905382</v>
      </c>
      <c r="AC42" s="135"/>
      <c r="AD42" s="177">
        <f>10.8%+(1-10.8%)*(1-SUM(AD26:AE26)/SUM($B$26:$C$26))</f>
        <v>0.13468903983500463</v>
      </c>
      <c r="AE42" s="135"/>
      <c r="AF42" s="177">
        <f>10.8%+(1-10.8%)*(1-SUM(AF26:AG26)/SUM($B$26:$C$26))</f>
        <v>0.17173327647783906</v>
      </c>
      <c r="AG42" s="135"/>
      <c r="AH42" s="177">
        <f>10.8%+(1-10.8%)*(1-SUM(AH26:AI26)/SUM($B$26:$C$26))</f>
        <v>0.22672751478958875</v>
      </c>
      <c r="AI42" s="135"/>
      <c r="AJ42" s="177">
        <f>10.8%+(1-10.8%)*(1-SUM(AJ26:AK26)/SUM($B$26:$C$26))</f>
        <v>0.31082218002297368</v>
      </c>
      <c r="AK42" s="135"/>
      <c r="AL42" s="177">
        <f>10.8%+(1-10.8%)*(1-SUM(AL26:AM26)/SUM($B$26:$C$26))</f>
        <v>0.44245257521872361</v>
      </c>
      <c r="AM42" s="135"/>
      <c r="AN42" s="177">
        <f>10.8%+(1-10.8%)*(1-SUM(AN26:AO26)/SUM($B$26:$C$26))</f>
        <v>1</v>
      </c>
      <c r="AO42" s="135"/>
      <c r="AP42" s="177">
        <f>10.8%+(1-10.8%)*(1-SUM(AP26:AQ26)/SUM($B$26:$C$26))</f>
        <v>1</v>
      </c>
      <c r="AQ42" s="135"/>
      <c r="AR42" s="177">
        <f>10.8%+(1-10.8%)*(1-SUM(AR26:AS26)/SUM($B$26:$C$26))</f>
        <v>1</v>
      </c>
      <c r="AS42" s="135"/>
      <c r="AT42" s="177">
        <f>10.8%+(1-10.8%)*(1-SUM(AT26:AU26)/SUM($B$26:$C$26))</f>
        <v>1</v>
      </c>
      <c r="AU42" s="135"/>
      <c r="AV42" s="177">
        <f>10.8%+(1-10.8%)*(1-SUM(AV26:AW26)/SUM($B$26:$C$26))</f>
        <v>1</v>
      </c>
    </row>
    <row r="43" spans="1:49 16319:16321" x14ac:dyDescent="0.2">
      <c r="A43" t="s">
        <v>108</v>
      </c>
      <c r="B43" s="162">
        <f>SUM(B15:C15*B27:C27)/SUM(B15:C15*B27:C27,B13:C13*B26:C26)</f>
        <v>0.56058995943839174</v>
      </c>
      <c r="C43" s="135"/>
      <c r="D43" s="162">
        <f t="array" ref="D43">SUM(D15:E15*D27:E27)/SUM(D15:E15*D27:E27,D13:E13*D26:E26)</f>
        <v>0.5609707958771748</v>
      </c>
      <c r="E43" s="135"/>
      <c r="F43" s="162">
        <f t="array" ref="F43">SUM(F15:G15*F27:G27)/SUM(F15:G15*F27:G27,F13:G13*F26:G26)</f>
        <v>0.5545517892770937</v>
      </c>
      <c r="G43" s="135"/>
      <c r="H43" s="162">
        <f t="array" ref="H43">SUM(H15:I15*H27:I27)/SUM(H15:I15*H27:I27,H13:I13*H26:I26)</f>
        <v>0.54790873368076987</v>
      </c>
      <c r="I43" s="135"/>
      <c r="J43" s="162">
        <f t="array" ref="J43">SUM(J15:K15*J27:K27)/SUM(J15:K15*J27:K27,J13:K13*J26:K26)</f>
        <v>0.54099986895825103</v>
      </c>
      <c r="K43" s="135"/>
      <c r="L43" s="162">
        <f t="array" ref="L43">SUM(L15:M15*L27:M27)/SUM(L15:M15*L27:M27,L13:M13*L26:M26)</f>
        <v>0.53377410174080508</v>
      </c>
      <c r="M43" s="135"/>
      <c r="N43" s="162">
        <f t="array" ref="N43">SUM(N15:O15*N27:O27)/SUM(N15:O15*N27:O27,N13:O13*N26:O26)</f>
        <v>0.5261670949853311</v>
      </c>
      <c r="O43" s="135"/>
      <c r="P43" s="162">
        <f t="array" ref="P43">SUM(P15:Q15*P27:Q27)/SUM(P15:Q15*P27:Q27,P13:Q13*P26:Q26)</f>
        <v>0.51809559767057545</v>
      </c>
      <c r="Q43" s="135"/>
      <c r="R43" s="162">
        <f t="array" ref="R43">SUM(R15:S15*R27:S27)/SUM(R15:S15*R27:S27,R13:S13*R26:S26)</f>
        <v>0.50944826833455248</v>
      </c>
      <c r="S43" s="135"/>
      <c r="T43" s="162">
        <f t="array" ref="T43">SUM(T15:U15*T27:U27)/SUM(T15:U15*T27:U27,T13:U13*T26:U26)</f>
        <v>0.50007084574724725</v>
      </c>
      <c r="U43" s="135"/>
      <c r="V43" s="162">
        <f t="array" ref="V43">SUM(V15:W15*V27:W27)/SUM(V15:W15*V27:W27,V13:W13*V26:W26)</f>
        <v>0.48974069905522516</v>
      </c>
      <c r="W43" s="135"/>
      <c r="X43" s="162">
        <f t="array" ref="X43">SUM(X15:Y15*X27:Y27)/SUM(X15:Y15*X27:Y27,X13:Y13*X26:Y26)</f>
        <v>0.47812255123525366</v>
      </c>
      <c r="Y43" s="135"/>
      <c r="Z43" s="162">
        <f t="array" ref="Z43">SUM(Z15:AA15*Z27:AA27)/SUM(Z15:AA15*Z27:AA27,Z13:AA13*Z26:AA26)</f>
        <v>0.46468755298968378</v>
      </c>
      <c r="AA43" s="135"/>
      <c r="AB43" s="162">
        <f t="array" ref="AB43">SUM(AB15:AC15*AB27:AC27)/SUM(AB15:AC15*AB27:AC27,AB13:AC13*AB26:AC26)</f>
        <v>0.44856019082940624</v>
      </c>
      <c r="AC43" s="135"/>
      <c r="AD43" s="162">
        <f t="array" ref="AD43">SUM(AD15:AE15*AD27:AE27)/SUM(AD15:AE15*AD27:AE27,AD13:AE13*AD26:AE26)</f>
        <v>0.42821994906637251</v>
      </c>
      <c r="AE43" s="135"/>
      <c r="AF43" s="162">
        <f t="array" ref="AF43">SUM(AF15:AG15*AF27:AG27)/SUM(AF15:AG15*AF27:AG27,AF13:AG13*AF26:AG26)</f>
        <v>0.40091395753917353</v>
      </c>
      <c r="AG43" s="135"/>
      <c r="AH43" s="162">
        <f t="array" ref="AH43">SUM(AH15:AI15*AH27:AI27)/SUM(AH15:AI15*AH27:AI27,AH13:AI13*AH26:AI26)</f>
        <v>0.36152279379884084</v>
      </c>
      <c r="AI43" s="135"/>
      <c r="AJ43" s="162">
        <f t="array" ref="AJ43">SUM(AJ15:AK15*AJ27:AK27)/SUM(AJ15:AK15*AJ27:AK27,AJ13:AK13*AJ26:AK26)</f>
        <v>0.30029222619208723</v>
      </c>
      <c r="AK43" s="135"/>
      <c r="AL43" s="162">
        <f t="array" ref="AL43">SUM(AL15:AM15*AL27:AM27)/SUM(AL15:AM15*AL27:AM27,AL13:AM13*AL26:AM26)</f>
        <v>0.19615463821534365</v>
      </c>
      <c r="AM43" s="135"/>
      <c r="AN43" s="162" t="e">
        <f t="array" ref="AN43">SUM(AN15:AO15*AN27:AO27)/SUM(AN15:AO15*AN27:AO27,AN13:AO13*AN26:AO26)</f>
        <v>#DIV/0!</v>
      </c>
      <c r="AO43" s="135"/>
      <c r="AP43" s="162" t="e">
        <f t="array" ref="AP43">SUM(AP15:AQ15*AP27:AQ27)/SUM(AP15:AQ15*AP27:AQ27,AP13:AQ13*AP26:AQ26)</f>
        <v>#DIV/0!</v>
      </c>
      <c r="AQ43" s="135"/>
      <c r="AR43" s="162" t="e">
        <f t="array" ref="AR43">SUM(AR15:AS15*AR27:AS27)/SUM(AR15:AS15*AR27:AS27,AR13:AS13*AR26:AS26)</f>
        <v>#DIV/0!</v>
      </c>
      <c r="AS43" s="135"/>
      <c r="AT43" s="162" t="e">
        <f t="array" ref="AT43">SUM(AT15:AU15*AT27:AU27)/SUM(AT15:AU15*AT27:AU27,AT13:AU13*AT26:AU26)</f>
        <v>#DIV/0!</v>
      </c>
      <c r="AU43" s="135"/>
      <c r="AV43" s="162" t="e">
        <f t="array" ref="AV43">SUM(AV15:AW15*AV27:AW27)/SUM(AV15:AW15*AV27:AW27,AV13:AW13*AV26:AW26)</f>
        <v>#DIV/0!</v>
      </c>
    </row>
    <row r="44" spans="1:49 16319:16321" x14ac:dyDescent="0.2">
      <c r="A44" t="s">
        <v>142</v>
      </c>
      <c r="B44" s="193">
        <f>(SUM(B11:C11*B24:C24)+B34)/B32</f>
        <v>0.29754226190682465</v>
      </c>
      <c r="D44" s="193">
        <f>(SUM(D11:E11*D24:E24)+D34)/D32</f>
        <v>0.29754224548502611</v>
      </c>
      <c r="F44" s="193">
        <f>(SUM(F11:G11*F24:G24)+F34)/F32</f>
        <v>0.29754224221128095</v>
      </c>
      <c r="H44" s="193">
        <f>(SUM(H11:I11*H24:I24)+H34)/H32</f>
        <v>0.2975422611271088</v>
      </c>
      <c r="J44" s="193">
        <f>(SUM(J11:K11*J24:K24)+J34)/J32</f>
        <v>0.29754225839401466</v>
      </c>
      <c r="L44" s="193">
        <f>(SUM(L11:M11*L24:M24)+L34)/L32</f>
        <v>0.29754226087297569</v>
      </c>
      <c r="N44" s="193">
        <f>(SUM(N11:O11*N24:O24)+N34)/N32</f>
        <v>0.29754226015981217</v>
      </c>
      <c r="P44" s="193">
        <f>(SUM(P11:Q11*P24:Q24)+P34)/P32</f>
        <v>0.29754225966009423</v>
      </c>
      <c r="R44" s="193">
        <f>(SUM(R11:S11*R24:S24)+R34)/R32</f>
        <v>0.29754225691851938</v>
      </c>
      <c r="T44" s="193">
        <f>(SUM(T11:U11*T24:U24)+T34)/T32</f>
        <v>0.29754225991745115</v>
      </c>
      <c r="V44" s="193">
        <f>(SUM(V11:W11*V24:W24)+V34)/V32</f>
        <v>0.29754226137938383</v>
      </c>
      <c r="X44" s="193">
        <f>(SUM(X11:Y11*X24:Y24)+X34)/X32</f>
        <v>0.29754226283834273</v>
      </c>
      <c r="Z44" s="193">
        <f>(SUM(Z11:AA11*Z24:AA24)+Z34)/Z32</f>
        <v>0.2975422603808825</v>
      </c>
      <c r="AB44" s="193">
        <f>(SUM(AB11:AC11*AB24:AC24)+AB34)/AB32</f>
        <v>0.29754226114206989</v>
      </c>
      <c r="AD44" s="193">
        <f>(SUM(AD11:AE11*AD24:AE24)+AD34)/AD32</f>
        <v>0.29754226212548418</v>
      </c>
      <c r="AF44" s="193">
        <f>(SUM(AF11:AG11*AF24:AG24)+AF34)/AF32</f>
        <v>0.29754225566959763</v>
      </c>
      <c r="AH44" s="193">
        <f>(SUM(AH11:AI11*AH24:AI24)+AH34)/AH32</f>
        <v>0.29754226150980223</v>
      </c>
      <c r="AJ44" s="193">
        <f>(SUM(AJ11:AK11*AJ24:AK24)+AJ34)/AJ32</f>
        <v>0.29754226192040673</v>
      </c>
      <c r="AL44" s="193">
        <f>(SUM(AL11:AM11*AL24:AM24)+AL34)/AL32</f>
        <v>0.2975422619082288</v>
      </c>
      <c r="AN44" s="193" t="e">
        <f>(SUM(AN11:AO11*AN24:AO24)+AN34)/AN32</f>
        <v>#DIV/0!</v>
      </c>
      <c r="AP44" s="193" t="e">
        <f>(SUM(AP11:AQ11*AP24:AQ24)+AP34)/AP32</f>
        <v>#DIV/0!</v>
      </c>
      <c r="AR44" s="193" t="e">
        <f>(SUM(AR11:AS11*AR24:AS24)+AR34)/AR32</f>
        <v>#DIV/0!</v>
      </c>
      <c r="AT44" s="193" t="e">
        <f>(SUM(AT11:AU11*AT24:AU24)+AT34)/AT32</f>
        <v>#DIV/0!</v>
      </c>
      <c r="AV44" s="193" t="e">
        <f>(SUM(AV11:AW11*AV24:AW24)+AV34)/AV32</f>
        <v>#DIV/0!</v>
      </c>
    </row>
    <row r="45" spans="1:49 16319:16321" x14ac:dyDescent="0.2">
      <c r="A45" t="s">
        <v>82</v>
      </c>
      <c r="B45" s="193">
        <f>SUM(B11:C11*B24:C24)/B32</f>
        <v>0.22038438833194082</v>
      </c>
      <c r="D45" s="193">
        <f>SUM(D11:E11*D24:E24)/D32</f>
        <v>0.22038438878932096</v>
      </c>
      <c r="F45" s="193">
        <f>SUM(F11:G11*F24:G24)/F32</f>
        <v>0.22038438886098036</v>
      </c>
      <c r="H45" s="193">
        <f>SUM(H11:I11*H24:I24)/H32</f>
        <v>0.22038438831173529</v>
      </c>
      <c r="J45" s="193">
        <f>SUM(J11:K11*J24:K24)/J32</f>
        <v>0.22038438841813859</v>
      </c>
      <c r="L45" s="193">
        <f>SUM(L11:M11*L24:M24)/L32</f>
        <v>0.22038438828829957</v>
      </c>
      <c r="N45" s="193">
        <f>SUM(N11:O11*N24:O24)/N32</f>
        <v>0.22038438824259993</v>
      </c>
      <c r="P45" s="193">
        <f>SUM(P11:Q11*P24:Q24)/P32</f>
        <v>0.22038438819970202</v>
      </c>
      <c r="R45" s="193">
        <f>SUM(R11:S11*R24:S24)/R32</f>
        <v>0.22038438822246417</v>
      </c>
      <c r="T45" s="193">
        <f>SUM(T11:U11*T24:U24)/T32</f>
        <v>0.22038438829324838</v>
      </c>
      <c r="V45" s="193">
        <f>SUM(V11:W11*V24:W24)/V32</f>
        <v>0.22038438832350657</v>
      </c>
      <c r="X45" s="193">
        <f>SUM(X11:Y11*X24:Y24)/X32</f>
        <v>0.22038438841949828</v>
      </c>
      <c r="Z45" s="193">
        <f>SUM(Z11:AA11*Z24:AA24)/Z32</f>
        <v>0.2203843883980236</v>
      </c>
      <c r="AB45" s="193">
        <f>SUM(AB11:AC11*AB24:AC24)/AB32</f>
        <v>0.22038438830648102</v>
      </c>
      <c r="AD45" s="193">
        <f>SUM(AD11:AE11*AD24:AE24)/AD32</f>
        <v>0.22038438834464139</v>
      </c>
      <c r="AF45" s="193">
        <f>SUM(AF11:AG11*AF24:AG24)/AF32</f>
        <v>0.22038438837307495</v>
      </c>
      <c r="AH45" s="193">
        <f>SUM(AH11:AI11*AH24:AI24)/AH32</f>
        <v>0.22038438835472474</v>
      </c>
      <c r="AJ45" s="193">
        <f>SUM(AJ11:AK11*AJ24:AK24)/AJ32</f>
        <v>0.22038438833268953</v>
      </c>
      <c r="AL45" s="193">
        <f>SUM(AL11:AM11*AL24:AM24)/AL32</f>
        <v>0.2203843883321713</v>
      </c>
      <c r="AN45" s="193" t="e">
        <f>SUM(AN11:AO11*AN24:AO24)/AN32</f>
        <v>#DIV/0!</v>
      </c>
      <c r="AP45" s="193" t="e">
        <f>SUM(AP11:AQ11*AP24:AQ24)/AP32</f>
        <v>#DIV/0!</v>
      </c>
      <c r="AR45" s="193" t="e">
        <f>SUM(AR11:AS11*AR24:AS24)/AR32</f>
        <v>#DIV/0!</v>
      </c>
      <c r="AT45" s="193" t="e">
        <f>SUM(AT11:AU11*AT24:AU24)/AT32</f>
        <v>#DIV/0!</v>
      </c>
      <c r="AV45" s="193" t="e">
        <f>SUM(AV11:AW11*AV24:AW24)/AV32</f>
        <v>#DIV/0!</v>
      </c>
      <c r="XCQ45" s="193"/>
    </row>
    <row r="46" spans="1:49 16319:16321" x14ac:dyDescent="0.2">
      <c r="A46" t="s">
        <v>139</v>
      </c>
      <c r="B46" s="193">
        <f>B34/B32</f>
        <v>7.7157873574883795E-2</v>
      </c>
      <c r="D46" s="193">
        <f>D34/D32</f>
        <v>7.7157856695705143E-2</v>
      </c>
      <c r="F46" s="193">
        <f>F34/F32</f>
        <v>7.715785335030062E-2</v>
      </c>
      <c r="H46" s="193">
        <f>H34/H32</f>
        <v>7.7157872815373507E-2</v>
      </c>
      <c r="J46" s="193">
        <f>J34/J32</f>
        <v>7.7157869975876078E-2</v>
      </c>
      <c r="L46" s="193">
        <f>L34/L32</f>
        <v>7.7157872584676115E-2</v>
      </c>
      <c r="N46" s="193">
        <f>N34/N32</f>
        <v>7.7157871917212212E-2</v>
      </c>
      <c r="P46" s="193">
        <f>P34/P32</f>
        <v>7.7157871460392213E-2</v>
      </c>
      <c r="R46" s="193">
        <f>R34/R32</f>
        <v>7.7157868696055204E-2</v>
      </c>
      <c r="T46" s="193">
        <f>T34/T32</f>
        <v>7.7157871624202706E-2</v>
      </c>
      <c r="V46" s="193">
        <f>V34/V32</f>
        <v>7.7157873055877235E-2</v>
      </c>
      <c r="X46" s="193">
        <f>X34/X32</f>
        <v>7.7157874418844474E-2</v>
      </c>
      <c r="Z46" s="193">
        <f>Z34/Z32</f>
        <v>7.7157871982858908E-2</v>
      </c>
      <c r="AB46" s="193">
        <f>AB34/AB32</f>
        <v>7.7157872835588892E-2</v>
      </c>
      <c r="AD46" s="193">
        <f>AD34/AD32</f>
        <v>7.7157873780842767E-2</v>
      </c>
      <c r="AF46" s="193">
        <f>AF34/AF32</f>
        <v>7.7157867296522645E-2</v>
      </c>
      <c r="AH46" s="193">
        <f>AH34/AH32</f>
        <v>7.7157873155077508E-2</v>
      </c>
      <c r="AJ46" s="193">
        <f>AJ34/AJ32</f>
        <v>7.7157873587717196E-2</v>
      </c>
      <c r="AL46" s="193">
        <f>AL34/AL32</f>
        <v>7.7157873576057523E-2</v>
      </c>
      <c r="AN46" s="193" t="e">
        <f>AN34/AN32</f>
        <v>#DIV/0!</v>
      </c>
      <c r="AP46" s="193" t="e">
        <f>AP34/AP32</f>
        <v>#DIV/0!</v>
      </c>
      <c r="AR46" s="193" t="e">
        <f>AR34/AR32</f>
        <v>#DIV/0!</v>
      </c>
      <c r="AT46" s="193" t="e">
        <f>AT34/AT32</f>
        <v>#DIV/0!</v>
      </c>
      <c r="AV46" s="193" t="e">
        <f>AV34/AV32</f>
        <v>#DIV/0!</v>
      </c>
      <c r="XCS46" s="193"/>
    </row>
    <row r="48" spans="1:49 16319:16321" x14ac:dyDescent="0.2">
      <c r="A48" t="s">
        <v>159</v>
      </c>
      <c r="B48" s="191">
        <f>B24/$B$24</f>
        <v>1</v>
      </c>
      <c r="C48" s="191"/>
      <c r="D48" s="191">
        <f>D24/$B$24</f>
        <v>1.0068342506871557</v>
      </c>
      <c r="E48" s="191"/>
      <c r="F48" s="191">
        <f>F24/$B$24</f>
        <v>1.0130863847903351</v>
      </c>
      <c r="G48" s="191"/>
      <c r="H48" s="191">
        <f>H24/$B$24</f>
        <v>1.0186920361749441</v>
      </c>
      <c r="I48" s="191"/>
      <c r="J48" s="191">
        <f>J24/$B$24</f>
        <v>1.0235692313233538</v>
      </c>
      <c r="K48" s="191"/>
      <c r="L48" s="191">
        <f>L24/$B$24</f>
        <v>1.0276139566100386</v>
      </c>
      <c r="M48" s="191"/>
      <c r="N48" s="191">
        <f>N24/$B$24</f>
        <v>1.0306936057418774</v>
      </c>
      <c r="O48" s="191"/>
      <c r="P48" s="191">
        <f>P24/$B$24</f>
        <v>1.0326381421922091</v>
      </c>
      <c r="Q48" s="191"/>
      <c r="R48" s="191">
        <f>R24/$B$24</f>
        <v>1.0332272446849267</v>
      </c>
      <c r="S48" s="191"/>
      <c r="T48" s="191">
        <f>T24/$B$24</f>
        <v>1.0321713012722196</v>
      </c>
      <c r="U48" s="191"/>
      <c r="V48" s="191">
        <f>V24/$B$24</f>
        <v>1.0290821997118489</v>
      </c>
      <c r="W48" s="191"/>
      <c r="X48" s="191">
        <f>X24/$B$24</f>
        <v>1.0234259593347059</v>
      </c>
      <c r="Y48" s="191"/>
      <c r="Z48" s="191">
        <f>Z24/$B$24</f>
        <v>1.0144421759609579</v>
      </c>
      <c r="AA48" s="191"/>
      <c r="AB48" s="191">
        <f>AB24/$B$24</f>
        <v>1.0009968147666928</v>
      </c>
      <c r="AC48" s="191"/>
      <c r="AD48" s="191">
        <f>AD24/$B$24</f>
        <v>0.98129518894174828</v>
      </c>
      <c r="AE48" s="191"/>
      <c r="AF48" s="191">
        <f>AF24/$B$24</f>
        <v>0.95228280073499072</v>
      </c>
      <c r="AG48" s="191"/>
      <c r="AH48" s="191">
        <f>AH24/$B$24</f>
        <v>0.90834571274123044</v>
      </c>
      <c r="AI48" s="191"/>
      <c r="AJ48" s="191">
        <f>AJ24/$B$24</f>
        <v>0.8385466645911942</v>
      </c>
      <c r="AK48" s="191"/>
      <c r="AL48" s="191">
        <f>AL24/$B$24</f>
        <v>0.72078889682570735</v>
      </c>
      <c r="AM48" s="191"/>
      <c r="AN48" s="191">
        <f>AN24/$B$24</f>
        <v>0</v>
      </c>
      <c r="AO48" s="191"/>
      <c r="AP48" s="191">
        <f>AP24/$B$24</f>
        <v>0</v>
      </c>
      <c r="AQ48" s="191"/>
      <c r="AR48" s="191">
        <f>AR24/$B$24</f>
        <v>0</v>
      </c>
      <c r="AS48" s="191"/>
      <c r="AT48" s="191">
        <f>AT24/$B$24</f>
        <v>0</v>
      </c>
      <c r="AU48" s="191"/>
      <c r="AV48" s="191">
        <f>AV24/$B$24</f>
        <v>0</v>
      </c>
    </row>
    <row r="49" spans="1:48 16321:16384" x14ac:dyDescent="0.2">
      <c r="A49" t="s">
        <v>160</v>
      </c>
      <c r="B49" s="191">
        <f>B13/B35/$B$13*$B$35</f>
        <v>1</v>
      </c>
      <c r="C49" s="191"/>
      <c r="D49" s="191">
        <f>D13/D35/$B$13*$B$35</f>
        <v>0.99999998891378639</v>
      </c>
      <c r="E49" s="191"/>
      <c r="F49" s="191">
        <f>F13/F35/$B$13*$B$35</f>
        <v>0.9999999869057431</v>
      </c>
      <c r="G49" s="191"/>
      <c r="H49" s="191">
        <f>H13/H35/$B$13*$B$35</f>
        <v>0.99999999952944751</v>
      </c>
      <c r="I49" s="191"/>
      <c r="J49" s="191">
        <f>J13/J35/$B$13*$B$35</f>
        <v>0.99999999754557145</v>
      </c>
      <c r="K49" s="191"/>
      <c r="L49" s="191">
        <f>L13/L35/$B$13*$B$35</f>
        <v>0.9999999995983242</v>
      </c>
      <c r="M49" s="191"/>
      <c r="N49" s="191">
        <f>N13/N35/$B$13*$B$35</f>
        <v>0.99999999964339281</v>
      </c>
      <c r="O49" s="191"/>
      <c r="P49" s="191">
        <f>P13/P35/$B$13*$B$35</f>
        <v>1.000000000126529</v>
      </c>
      <c r="Q49" s="191"/>
      <c r="R49" s="191">
        <f>R13/R35/$B$13*$B$35</f>
        <v>1.0000000008362258</v>
      </c>
      <c r="S49" s="191"/>
      <c r="T49" s="191">
        <f>T13/T35/$B$13*$B$35</f>
        <v>1.0000000004320273</v>
      </c>
      <c r="U49" s="191"/>
      <c r="V49" s="191">
        <f>V13/V35/$B$13*$B$35</f>
        <v>1.0000000001151523</v>
      </c>
      <c r="W49" s="191"/>
      <c r="X49" s="191">
        <f>X13/X35/$B$13*$B$35</f>
        <v>0.99999999387656824</v>
      </c>
      <c r="Y49" s="191"/>
      <c r="Z49" s="191">
        <f>Z13/Z35/$B$13*$B$35</f>
        <v>0.99999999520308591</v>
      </c>
      <c r="AA49" s="191"/>
      <c r="AB49" s="191">
        <f>AB13/AB35/$B$13*$B$35</f>
        <v>1.0000000015192139</v>
      </c>
      <c r="AC49" s="191"/>
      <c r="AD49" s="191">
        <f>AD13/AD35/$B$13*$B$35</f>
        <v>0.99999999842930176</v>
      </c>
      <c r="AE49" s="191"/>
      <c r="AF49" s="191">
        <f>AF13/AF35/$B$13*$B$35</f>
        <v>0.99999999985971622</v>
      </c>
      <c r="AG49" s="191"/>
      <c r="AH49" s="191">
        <f>AH13/AH35/$B$13*$B$35</f>
        <v>0.99999999485955049</v>
      </c>
      <c r="AI49" s="191"/>
      <c r="AJ49" s="191">
        <f>AJ13/AJ35/$B$13*$B$35</f>
        <v>0.9999999990047429</v>
      </c>
      <c r="AK49" s="191"/>
      <c r="AL49" s="191">
        <f>AL13/AL35/$B$13*$B$35</f>
        <v>0.99999999940188511</v>
      </c>
      <c r="AM49" s="191"/>
      <c r="AN49" s="191" t="e">
        <f>AN13/AN35/$B$13*$B$35</f>
        <v>#DIV/0!</v>
      </c>
      <c r="AO49" s="191"/>
      <c r="AP49" s="191" t="e">
        <f>AP13/AP35/$B$13*$B$35</f>
        <v>#DIV/0!</v>
      </c>
      <c r="AQ49" s="191"/>
      <c r="AR49" s="191" t="e">
        <f>AR13/AR35/$B$13*$B$35</f>
        <v>#DIV/0!</v>
      </c>
      <c r="AS49" s="191"/>
      <c r="AT49" s="191" t="e">
        <f>AT13/AT35/$B$13*$B$35</f>
        <v>#DIV/0!</v>
      </c>
      <c r="AU49" s="191"/>
      <c r="AV49" s="191" t="e">
        <f>AV13/AV35/$B$13*$B$35</f>
        <v>#DIV/0!</v>
      </c>
    </row>
    <row r="51" spans="1:48 16321:16384" x14ac:dyDescent="0.2">
      <c r="A51" t="s">
        <v>166</v>
      </c>
      <c r="B51" s="29">
        <f>B30-B10*B23</f>
        <v>-405838.32800000021</v>
      </c>
      <c r="D51" s="29">
        <f>D30-D10*D23</f>
        <v>-319638.81362287048</v>
      </c>
      <c r="F51" s="29">
        <f>F30-F10*F23</f>
        <v>-231057.83687819401</v>
      </c>
      <c r="H51" s="29">
        <f>H30-H10*H23</f>
        <v>-139847.91627336852</v>
      </c>
      <c r="J51" s="29">
        <f>J30-J10*J23</f>
        <v>-45720.079311710317</v>
      </c>
      <c r="L51" s="29">
        <f>L30-L10*L23</f>
        <v>51663.583513901569</v>
      </c>
      <c r="N51" s="29">
        <f>N30-N10*N23</f>
        <v>152715.34324098937</v>
      </c>
      <c r="P51" s="29">
        <f>P30-P10*P23</f>
        <v>257951.89354898967</v>
      </c>
      <c r="R51" s="29">
        <f>R30-R10*R23</f>
        <v>368048.201454225</v>
      </c>
      <c r="T51" s="29">
        <f>T30-T10*T23</f>
        <v>483923.11853946093</v>
      </c>
      <c r="V51" s="29">
        <f>V30-V10*V23</f>
        <v>606886.0958277341</v>
      </c>
      <c r="X51" s="29">
        <f>X30-X10*X23</f>
        <v>738878.79737767391</v>
      </c>
      <c r="Z51" s="29">
        <f>Z30-Z10*Z23</f>
        <v>882880.48508899007</v>
      </c>
      <c r="AB51" s="29">
        <f>AB30-AB10*AB23</f>
        <v>1043559.4409179646</v>
      </c>
      <c r="AD51" s="29">
        <f>AD30-AD10*AD23</f>
        <v>1228175.0398723711</v>
      </c>
      <c r="AF51" s="29">
        <f>AF30-AF10*AF23</f>
        <v>1447145.5965827177</v>
      </c>
      <c r="AH51" s="29">
        <f>AH30-AH10*AH23</f>
        <v>1711156.0525481524</v>
      </c>
      <c r="AJ51" s="29">
        <f>AJ30-AJ10*AJ23</f>
        <v>2014689.9690183187</v>
      </c>
      <c r="AL51" s="29">
        <f>AL30-AL10*AL23</f>
        <v>2285144.2018754184</v>
      </c>
      <c r="AN51" s="29">
        <f>AN30-AN10*AN23</f>
        <v>0</v>
      </c>
      <c r="AP51" s="29">
        <f>AP30-AP10*AP23</f>
        <v>0</v>
      </c>
      <c r="AQ51" s="29"/>
      <c r="AR51" s="29">
        <f>AR30-AR10*AR23</f>
        <v>0</v>
      </c>
      <c r="AT51" s="29">
        <f>AT30-AT10*AT23</f>
        <v>0</v>
      </c>
      <c r="AV51" s="29">
        <f>AV30-AV10*AV23</f>
        <v>0</v>
      </c>
      <c r="XFD51" s="29"/>
    </row>
    <row r="52" spans="1:48 16321:16384" x14ac:dyDescent="0.2">
      <c r="A52" t="s">
        <v>167</v>
      </c>
      <c r="B52" s="29">
        <f t="array" ref="B52">Calibration!sL*SUM(B13:C13*B26:C26)</f>
        <v>2049247.8195702801</v>
      </c>
      <c r="D52" s="29">
        <f t="array" ref="D52">Calibration!sL*SUM(D13:E13*D26:E26)</f>
        <v>2073994.056856873</v>
      </c>
      <c r="F52" s="29">
        <f t="array" ref="F52">Calibration!sL*SUM(F13:G13*F26:G26)</f>
        <v>2097793.8658173876</v>
      </c>
      <c r="H52" s="29">
        <f t="array" ref="H52">Calibration!sL*SUM(H13:I13*H26:I26)</f>
        <v>2120537.2136139479</v>
      </c>
      <c r="J52" s="29">
        <f t="array" ref="J52">Calibration!sL*SUM(J13:K13*J26:K26)</f>
        <v>2142083.1585728643</v>
      </c>
      <c r="L52" s="29">
        <f t="array" ref="L52">Calibration!sL*SUM(L13:M13*L26:M26)</f>
        <v>2162252.5318138227</v>
      </c>
      <c r="N52" s="29">
        <f t="array" ref="N52">Calibration!sL*SUM(N13:O13*N26:O26)</f>
        <v>2180820.06461873</v>
      </c>
      <c r="P52" s="29">
        <f t="array" ref="P52">Calibration!sL*SUM(P13:Q13*P26:Q26)</f>
        <v>2197503.2689345065</v>
      </c>
      <c r="R52" s="29">
        <f t="array" ref="R52">Calibration!sL*SUM(R13:S13*R26:S26)</f>
        <v>2211948.8764415826</v>
      </c>
      <c r="T52" s="29">
        <f t="array" ref="T52">Calibration!sL*SUM(T13:U13*T26:U26)</f>
        <v>2223714.2139716609</v>
      </c>
      <c r="V52" s="29">
        <f t="array" ref="V52">Calibration!sL*SUM(V13:W13*V26:W26)</f>
        <v>2232242.9275883664</v>
      </c>
      <c r="X52" s="29">
        <f t="array" ref="X52">Calibration!sL*SUM(X13:Y13*X26:Y26)</f>
        <v>2236825.9779033698</v>
      </c>
      <c r="Z52" s="29">
        <f t="array" ref="Z52">Calibration!sL*SUM(Z13:AA13*Z26:AA26)</f>
        <v>2236534.2436152105</v>
      </c>
      <c r="AB52" s="29">
        <f t="array" ref="AB52">Calibration!sL*SUM(AB13:AC13*AB26:AC26)</f>
        <v>2230074.2746427958</v>
      </c>
      <c r="AD52" s="29">
        <f t="array" ref="AD52">Calibration!sL*SUM(AD13:AE13*AD26:AE26)</f>
        <v>2215421.439211865</v>
      </c>
      <c r="AF52" s="29">
        <f t="array" ref="AF52">Calibration!sL*SUM(AF13:AG13*AF26:AG26)</f>
        <v>2188755.6659818538</v>
      </c>
      <c r="AH52" s="29">
        <f t="array" ref="AH52">Calibration!sL*SUM(AH13:AI13*AH26:AI26)</f>
        <v>2141239.3917681635</v>
      </c>
      <c r="AJ52" s="29">
        <f t="array" ref="AJ52">Calibration!sL*SUM(AJ13:AK13*AJ26:AK26)</f>
        <v>2050020.6618792799</v>
      </c>
      <c r="AL52" s="29">
        <f t="array" ref="AL52">Calibration!sL*SUM(AL13:AM13*AL26:AM26)</f>
        <v>1856609.7792013148</v>
      </c>
      <c r="AN52" s="29">
        <f t="array" ref="AN52">Calibration!sL*SUM(AN13:AO13*AN26:AO26)</f>
        <v>0</v>
      </c>
      <c r="AP52" s="29">
        <f t="array" ref="AP52">Calibration!sL*SUM(AP13:AQ13*AP26:AQ26)</f>
        <v>0</v>
      </c>
      <c r="AQ52" s="29"/>
      <c r="AR52" s="29">
        <f t="array" ref="AR52">Calibration!sL*SUM(AR13:AS13*AR26:AS26)</f>
        <v>0</v>
      </c>
      <c r="AT52" s="29">
        <f t="array" ref="AT52">Calibration!sL*SUM(AT13:AU13*AT26:AU26)</f>
        <v>0</v>
      </c>
      <c r="AV52" s="29">
        <f t="array" ref="AV52">Calibration!sL*SUM(AV13:AW13*AV26:AW26)</f>
        <v>0</v>
      </c>
    </row>
    <row r="53" spans="1:48 16321:16384" x14ac:dyDescent="0.2">
      <c r="A53" t="s">
        <v>168</v>
      </c>
      <c r="B53" s="29">
        <f t="array" ref="B53">Calibration!sK*SUM(B15:C15*B27:C27)</f>
        <v>2740714.4444297408</v>
      </c>
      <c r="D53" s="29">
        <f t="array" ref="D53">Calibration!sK*SUM(D15:E15*D27:E27)</f>
        <v>2704417.4984946097</v>
      </c>
      <c r="F53" s="29">
        <f t="array" ref="F53">Calibration!sK*SUM(F15:G15*F27:G27)</f>
        <v>2665183.34636905</v>
      </c>
      <c r="H53" s="29">
        <f t="array" ref="H53">Calibration!sK*SUM(H15:I15*H27:I27)</f>
        <v>2622692.6062155305</v>
      </c>
      <c r="J53" s="29">
        <f t="array" ref="J53">Calibration!sK*SUM(J15:K15*J27:K27)</f>
        <v>2576558.8399661742</v>
      </c>
      <c r="L53" s="29">
        <f t="array" ref="L53">Calibration!sK*SUM(L15:M15*L27:M27)</f>
        <v>2526311.5402061148</v>
      </c>
      <c r="N53" s="29">
        <f t="array" ref="N53">Calibration!sK*SUM(N15:O15*N27:O27)</f>
        <v>2471369.5431055808</v>
      </c>
      <c r="P53" s="29">
        <f t="array" ref="P53">Calibration!sK*SUM(P15:Q15*P27:Q27)</f>
        <v>2411003.9713824783</v>
      </c>
      <c r="R53" s="29">
        <f t="array" ref="R53">Calibration!sK*SUM(R15:S15*R27:S27)</f>
        <v>2344281.444392079</v>
      </c>
      <c r="T53" s="29">
        <f t="array" ref="T53">Calibration!sK*SUM(T15:U15*T27:U27)</f>
        <v>2269976.8670148081</v>
      </c>
      <c r="V53" s="29">
        <f t="array" ref="V53">Calibration!sK*SUM(V15:W15*V27:W27)</f>
        <v>2186432.6818492026</v>
      </c>
      <c r="X53" s="29">
        <f t="array" ref="X53">Calibration!sK*SUM(X15:Y15*X27:Y27)</f>
        <v>2091328.6307207057</v>
      </c>
      <c r="Z53" s="29">
        <f t="array" ref="Z53">Calibration!sK*SUM(Z15:AA15*Z27:AA27)</f>
        <v>1981292.6924908448</v>
      </c>
      <c r="AB53" s="29">
        <f t="array" ref="AB53">Calibration!sK*SUM(AB15:AC15*AB27:AC27)</f>
        <v>1851234.0432974761</v>
      </c>
      <c r="AD53" s="29">
        <f t="array" ref="AD53">Calibration!sK*SUM(AD15:AE15*AD27:AE27)</f>
        <v>1693220.969413541</v>
      </c>
      <c r="AF53" s="29">
        <f t="array" ref="AF53">Calibration!sK*SUM(AF15:AG15*AF27:AG27)</f>
        <v>1494784.7058923407</v>
      </c>
      <c r="AH53" s="29">
        <f t="array" ref="AH53">Calibration!sK*SUM(AH15:AI15*AH27:AI27)</f>
        <v>1237299.6755952307</v>
      </c>
      <c r="AJ53" s="29">
        <f t="array" ref="AJ53">Calibration!sK*SUM(AJ15:AK15*AJ27:AK27)</f>
        <v>897852.54182096466</v>
      </c>
      <c r="AL53" s="29">
        <f t="array" ref="AL53">Calibration!sK*SUM(AL15:AM15*AL27:AM27)</f>
        <v>462344.92283889698</v>
      </c>
      <c r="AN53" s="29">
        <f t="array" ref="AN53">Calibration!sK*SUM(AN15:AO15*AN27:AO27)</f>
        <v>0</v>
      </c>
      <c r="AP53" s="29">
        <f t="array" ref="AP53">Calibration!sK*SUM(AP15:AQ15*AP27:AQ27)</f>
        <v>0</v>
      </c>
      <c r="AQ53" s="29"/>
      <c r="AR53" s="29">
        <f t="array" ref="AR53">Calibration!sK*SUM(AR15:AS15*AR27:AS27)</f>
        <v>0</v>
      </c>
      <c r="AT53" s="29">
        <f t="array" ref="AT53">Calibration!sK*SUM(AT15:AU15*AT27:AU27)</f>
        <v>0</v>
      </c>
      <c r="AV53" s="29">
        <f t="array" ref="AV53">Calibration!sK*SUM(AV15:AW15*AV27:AW27)</f>
        <v>0</v>
      </c>
      <c r="XFD53" s="29"/>
    </row>
    <row r="55" spans="1:48 16321:16384" x14ac:dyDescent="0.2">
      <c r="A55" t="s">
        <v>169</v>
      </c>
      <c r="B55" s="193">
        <f>B30/B32</f>
        <v>0.19850271905982084</v>
      </c>
      <c r="D55" s="193">
        <f>D30/D32</f>
        <v>0.20446496942106895</v>
      </c>
      <c r="F55" s="193">
        <f>F30/F32</f>
        <v>0.21051626074060281</v>
      </c>
      <c r="H55" s="193">
        <f>H30/H32</f>
        <v>0.21668254591810149</v>
      </c>
      <c r="J55" s="193">
        <f>J30/J32</f>
        <v>0.22299424163220891</v>
      </c>
      <c r="L55" s="193">
        <f>L30/L32</f>
        <v>0.22948752987129917</v>
      </c>
      <c r="N55" s="193">
        <f>N30/N32</f>
        <v>0.23620717475498898</v>
      </c>
      <c r="P55" s="193">
        <f>P30/P32</f>
        <v>0.2432101424073583</v>
      </c>
      <c r="R55" s="193">
        <f>R30/R32</f>
        <v>0.25057160613319607</v>
      </c>
      <c r="T55" s="193">
        <f>T30/T32</f>
        <v>0.25839442555773318</v>
      </c>
      <c r="V55" s="193">
        <f>V30/V32</f>
        <v>0.26682513066188762</v>
      </c>
      <c r="X55" s="193">
        <f>X30/X32</f>
        <v>0.27608088650203583</v>
      </c>
      <c r="Z55" s="193">
        <f>Z30/Z32</f>
        <v>0.28649687809607743</v>
      </c>
      <c r="AB55" s="193">
        <f>AB30/AB32</f>
        <v>0.29861107641211915</v>
      </c>
      <c r="AD55" s="193">
        <f>AD30/AD32</f>
        <v>0.31331554280953455</v>
      </c>
      <c r="AF55" s="193">
        <f>AF30/AF32</f>
        <v>0.33211284187913048</v>
      </c>
      <c r="AH55" s="193">
        <f>AH30/AH32</f>
        <v>0.3574852633764049</v>
      </c>
      <c r="AJ55" s="193">
        <f>AJ30/AJ32</f>
        <v>0.3933109439940356</v>
      </c>
      <c r="AL55" s="193">
        <f>AL30/AL32</f>
        <v>0.44586057808600138</v>
      </c>
      <c r="AN55" s="193" t="e">
        <f>AN30/AN32</f>
        <v>#DIV/0!</v>
      </c>
      <c r="AP55" s="193" t="e">
        <f>AP30/AP32</f>
        <v>#DIV/0!</v>
      </c>
      <c r="AR55" s="193" t="e">
        <f>AR30/AR32</f>
        <v>#DIV/0!</v>
      </c>
      <c r="AT55" s="193" t="e">
        <f>AT30/AT32</f>
        <v>#DIV/0!</v>
      </c>
      <c r="AV55" s="193" t="e">
        <f>AV30/AV32</f>
        <v>#DIV/0!</v>
      </c>
      <c r="XCS55" s="193"/>
      <c r="XFD55" s="193"/>
    </row>
    <row r="56" spans="1:48 16321:16384" x14ac:dyDescent="0.2">
      <c r="A56" t="s">
        <v>170</v>
      </c>
      <c r="B56" s="193">
        <f>(Model!$C$52*B5*B20+B2*C5*C20)/B32</f>
        <v>2.9221206744340551E-2</v>
      </c>
      <c r="D56" s="193">
        <f>(Model!$C$52*D5*D20+D2*E5*E20)/D32</f>
        <v>3.4187632341908615E-2</v>
      </c>
      <c r="F56" s="193">
        <f>(Model!$C$52*F5*F20+F2*G5*G20)/F32</f>
        <v>3.9226515020266889E-2</v>
      </c>
      <c r="H56" s="193">
        <f>(Model!$C$52*H5*H20+H2*I5*I20)/H32</f>
        <v>4.4359387139253345E-2</v>
      </c>
      <c r="J56" s="193">
        <f>(Model!$C$52*J5*J20+J2*K5*K20)/J32</f>
        <v>4.9611459594704643E-2</v>
      </c>
      <c r="L56" s="193">
        <f>(Model!$C$52*L5*L20+L2*M5*M20)/L32</f>
        <v>5.5012711537178509E-2</v>
      </c>
      <c r="N56" s="193">
        <f>(Model!$C$52*N5*N20+N2*O5*O20)/N32</f>
        <v>6.0600178135209543E-2</v>
      </c>
      <c r="P56" s="193">
        <f>(Model!$C$52*P5*P20+P2*Q5*Q20)/P32</f>
        <v>6.6420938062503224E-2</v>
      </c>
      <c r="R56" s="193">
        <f>(Model!$C$52*R5*R20+R2*S5*S20)/R32</f>
        <v>7.2537023550667934E-2</v>
      </c>
      <c r="T56" s="193">
        <f>(Model!$C$52*T5*T20+T2*U5*U20)/T32</f>
        <v>7.9033207992291771E-2</v>
      </c>
      <c r="V56" s="193">
        <f>(Model!$C$52*V5*V20+V2*W5*W20)/V32</f>
        <v>8.6030046308060826E-2</v>
      </c>
      <c r="X56" s="193">
        <f>(Model!$C$52*X5*X20+X2*Y5*Y20)/X32</f>
        <v>9.3705944089634605E-2</v>
      </c>
      <c r="Z56" s="193">
        <f>(Model!$C$52*Z5*Z20+Z2*AA5*AA20)/Z32</f>
        <v>0.10233589214346968</v>
      </c>
      <c r="AB56" s="193">
        <f>(Model!$C$52*AB5*AB20+AB2*AC5*AC20)/AB32</f>
        <v>0.11236071565657432</v>
      </c>
      <c r="AD56" s="193">
        <f>(Model!$C$52*AD5*AD20+AD2*AE5*AE20)/AD32</f>
        <v>0.12451072935349167</v>
      </c>
      <c r="AF56" s="193">
        <f>(Model!$C$52*AF5*AF20+AF2*AG5*AG20)/AF32</f>
        <v>0.14001528022264553</v>
      </c>
      <c r="AH56" s="193">
        <f>(Model!$C$52*AH5*AH20+AH2*AI5*AI20)/AH32</f>
        <v>0.16090482890894661</v>
      </c>
      <c r="AJ56" s="193">
        <f>(Model!$C$52*AJ5*AJ20+AJ2*AK5*AK20)/AJ32</f>
        <v>0.19035275888516004</v>
      </c>
      <c r="AL56" s="193">
        <f>(Model!$C$52*AL5*AL20+AL2*AM5*AM20)/AL32</f>
        <v>0.23349538405040526</v>
      </c>
      <c r="AN56" s="193" t="e">
        <f>(Model!$C$52*AN5*AN20+AN2*AO5*AO20)/AN32</f>
        <v>#DIV/0!</v>
      </c>
      <c r="AP56" s="193" t="e">
        <f>(Model!$C$52*AP5*AP20+AP2*AQ5*AQ20)/AP32</f>
        <v>#DIV/0!</v>
      </c>
      <c r="AR56" s="193" t="e">
        <f>(Model!$C$52*AR5*AR20+AR2*AS5*AS20)/AR32</f>
        <v>#DIV/0!</v>
      </c>
      <c r="AT56" s="193" t="e">
        <f>(Model!$C$52*AT5*AT20+AT2*AU5*AU20)/AT32</f>
        <v>#DIV/0!</v>
      </c>
      <c r="AV56" s="193" t="e">
        <f>(Model!$C$52*AV5*AV20+AV2*AW5*AW20)/AV32</f>
        <v>#DIV/0!</v>
      </c>
      <c r="XFD56" s="193"/>
    </row>
    <row r="57" spans="1:48 16321:16384" x14ac:dyDescent="0.2">
      <c r="A57" t="s">
        <v>171</v>
      </c>
      <c r="B57" s="193">
        <f t="array" ref="B57">SUM(Model!tauL*B13:C13*B26:C26)/B32</f>
        <v>0.15852881819439493</v>
      </c>
      <c r="D57" s="193">
        <f t="array" ref="D57">SUM(Model!tauL*D13:E13*D26:E26)/D32</f>
        <v>0.15961444687755802</v>
      </c>
      <c r="F57" s="193">
        <f t="array" ref="F57">SUM(Model!tauL*F13:G13*F26:G26)/F32</f>
        <v>0.16071628895826842</v>
      </c>
      <c r="H57" s="193">
        <f t="array" ref="H57">SUM(Model!tauL*H13:I13*H26:I26)/H32</f>
        <v>0.16183907019670679</v>
      </c>
      <c r="J57" s="193">
        <f t="array" ref="J57">SUM(Model!tauL*J13:K13*J26:K26)/J32</f>
        <v>0.16298832973302738</v>
      </c>
      <c r="L57" s="193">
        <f t="array" ref="L57">SUM(Model!tauL*L13:M13*L26:M26)/L32</f>
        <v>0.1641706504713738</v>
      </c>
      <c r="N57" s="193">
        <f t="array" ref="N57">SUM(Model!tauL*N13:O13*N26:O26)/N32</f>
        <v>0.16539418711370429</v>
      </c>
      <c r="P57" s="193">
        <f t="array" ref="P57">SUM(Model!tauL*P13:Q13*P26:Q26)/P32</f>
        <v>0.16666931315736197</v>
      </c>
      <c r="R57" s="193">
        <f t="array" ref="R57">SUM(Model!tauL*R13:S13*R26:S26)/R32</f>
        <v>0.16800972286649848</v>
      </c>
      <c r="T57" s="193">
        <f t="array" ref="T57">SUM(Model!tauL*T13:U13*T26:U26)/T32</f>
        <v>0.16943413363218521</v>
      </c>
      <c r="V57" s="193">
        <f t="array" ref="V57">SUM(Model!tauL*V13:W13*V26:W26)/V32</f>
        <v>0.17096922995642796</v>
      </c>
      <c r="X57" s="193">
        <f t="array" ref="X57">SUM(Model!tauL*X13:Y13*X26:Y26)/X32</f>
        <v>0.17265455479174227</v>
      </c>
      <c r="Y57" s="193"/>
      <c r="Z57" s="193">
        <f t="array" ref="Z57">SUM(Model!tauL*Z13:AA13*Z26:AA26)/Z32</f>
        <v>0.1745511368579229</v>
      </c>
      <c r="AB57" s="193">
        <f t="array" ref="AB57">SUM(Model!tauL*AB13:AC13*AB26:AC26)/AB32</f>
        <v>0.17675693902480968</v>
      </c>
      <c r="AD57" s="193">
        <f t="array" ref="AD57">SUM(Model!tauL*AD13:AE13*AD26:AE26)/AD32</f>
        <v>0.17943438602498027</v>
      </c>
      <c r="AF57" s="193">
        <f t="array" ref="AF57">SUM(Model!tauL*AF13:AG13*AF26:AG26)/AF32</f>
        <v>0.18285707114964439</v>
      </c>
      <c r="AH57" s="193">
        <f t="array" ref="AH57">SUM(Model!tauL*AH13:AI13*AH26:AI26)/AH32</f>
        <v>0.18747698054104456</v>
      </c>
      <c r="AJ57" s="193">
        <f t="array" ref="AJ57">SUM(Model!tauL*AJ13:AK13*AJ26:AK26)/AJ32</f>
        <v>0.19400026157665434</v>
      </c>
      <c r="AL57" s="193">
        <f t="array" ref="AL57">SUM(Model!tauL*AL13:AM13*AL26:AM26)/AL32</f>
        <v>0.20356870455270695</v>
      </c>
      <c r="AN57" s="193" t="e">
        <f t="array" ref="AN57">SUM(Model!tauL*AN13:AO13*AN26:AO26)/AN32</f>
        <v>#DIV/0!</v>
      </c>
      <c r="AP57" s="193" t="e">
        <f t="array" ref="AP57">SUM(Model!tauL*AP13:AQ13*AP26:AQ26)/AP32</f>
        <v>#DIV/0!</v>
      </c>
      <c r="AR57" s="193" t="e">
        <f t="array" ref="AR57">SUM(Model!tauL*AR13:AS13*AR26:AS26)/AR32</f>
        <v>#DIV/0!</v>
      </c>
      <c r="AT57" s="193" t="e">
        <f t="array" ref="AT57">SUM(Model!tauL*AT13:AU13*AT26:AU26)/AT32</f>
        <v>#DIV/0!</v>
      </c>
      <c r="AV57" s="193" t="e">
        <f t="array" ref="AV57">SUM(Model!tauL*AV13:AW13*AV26:AW26)/AV32</f>
        <v>#DIV/0!</v>
      </c>
      <c r="XFD57" s="193"/>
    </row>
    <row r="58" spans="1:48 16321:16384" x14ac:dyDescent="0.2">
      <c r="A58" t="s">
        <v>172</v>
      </c>
      <c r="B58" s="193">
        <f t="array" ref="B58">SUM(Model!tauY/(1+Model!tauY)*B3:C3*B18:C18)/B32</f>
        <v>1.075269412108535E-2</v>
      </c>
      <c r="D58" s="193">
        <f t="array" ref="D58">SUM(Model!tauY/(1+Model!tauY)*D3:E3*D18:E18)/D32</f>
        <v>1.0662890201602304E-2</v>
      </c>
      <c r="F58" s="193">
        <f t="array" ref="F58">SUM(Model!tauY/(1+Model!tauY)*F3:G3*F18:G18)/F32</f>
        <v>1.0573456762067491E-2</v>
      </c>
      <c r="H58" s="193">
        <f t="array" ref="H58">SUM(Model!tauY/(1+Model!tauY)*H3:I3*H18:I18)/H32</f>
        <v>1.0484088582141308E-2</v>
      </c>
      <c r="J58" s="193">
        <f t="array" ref="J58">SUM(Model!tauY/(1+Model!tauY)*J3:K3*J18:K18)/J32</f>
        <v>1.0394452304476914E-2</v>
      </c>
      <c r="L58" s="193">
        <f t="array" ref="L58">SUM(Model!tauY/(1+Model!tauY)*L3:M3*L18:M18)/L32</f>
        <v>1.030416786274683E-2</v>
      </c>
      <c r="N58" s="193">
        <f t="array" ref="N58">SUM(Model!tauY/(1+Model!tauY)*N3:O3*N18:O18)/N32</f>
        <v>1.0212809506075133E-2</v>
      </c>
      <c r="P58" s="193">
        <f t="array" ref="P58">SUM(Model!tauY/(1+Model!tauY)*P3:Q3*P18:Q18)/P32</f>
        <v>1.0119891187493136E-2</v>
      </c>
      <c r="R58" s="193">
        <f t="array" ref="R58">SUM(Model!tauY/(1+Model!tauY)*R3:S3*R18:S18)/R32</f>
        <v>1.0024859716029679E-2</v>
      </c>
      <c r="T58" s="193">
        <f t="array" ref="T58">SUM(Model!tauY/(1+Model!tauY)*T3:U3*T18:U18)/T32</f>
        <v>9.9270839332562116E-3</v>
      </c>
      <c r="V58" s="193">
        <f t="array" ref="V58">SUM(Model!tauY/(1+Model!tauY)*V3:W3*V18:W18)/V32</f>
        <v>9.8258543973987877E-3</v>
      </c>
      <c r="X58" s="193">
        <f t="array" ref="X58">SUM(Model!tauY/(1+Model!tauY)*X3:Y3*X18:Y18)/X32</f>
        <v>9.7203876206589171E-3</v>
      </c>
      <c r="Y58" s="193"/>
      <c r="Z58" s="193">
        <f t="array" ref="Z58">SUM(Model!tauY/(1+Model!tauY)*Z3:AA3*Z18:AA18)/Z32</f>
        <v>9.6098490946848903E-3</v>
      </c>
      <c r="AB58" s="193">
        <f t="array" ref="AB58">SUM(Model!tauY/(1+Model!tauY)*AB3:AC3*AB18:AC18)/AB32</f>
        <v>9.4934217307352017E-3</v>
      </c>
      <c r="AD58" s="193">
        <f t="array" ref="AD58">SUM(Model!tauY/(1+Model!tauY)*AD3:AE3*AD18:AE18)/AD32</f>
        <v>9.3704274310626515E-3</v>
      </c>
      <c r="AF58" s="193">
        <f t="array" ref="AF58">SUM(Model!tauY/(1+Model!tauY)*AF3:AG3*AF18:AG18)/AF32</f>
        <v>9.2404905068406394E-3</v>
      </c>
      <c r="AH58" s="193">
        <f t="array" ref="AH58">SUM(Model!tauY/(1+Model!tauY)*AH3:AI3*AH18:AI18)/AH32</f>
        <v>9.1034539264137349E-3</v>
      </c>
      <c r="AJ58" s="193">
        <f t="array" ref="AJ58">SUM(Model!tauY/(1+Model!tauY)*AJ3:AK3*AJ18:AK18)/AJ32</f>
        <v>8.9579235322212215E-3</v>
      </c>
      <c r="AL58" s="193">
        <f t="array" ref="AL58">SUM(Model!tauY/(1+Model!tauY)*AL3:AM3*AL18:AM18)/AL32</f>
        <v>8.7964894828891395E-3</v>
      </c>
      <c r="AN58" s="193" t="e">
        <f t="array" ref="AN58">SUM(Model!tauY/(1+Model!tauY)*AN3:AO3*AN18:AO18)/AN32</f>
        <v>#DIV/0!</v>
      </c>
      <c r="AP58" s="193" t="e">
        <f t="array" ref="AP58">SUM(Model!tauY/(1+Model!tauY)*AP3:AQ3*AP18:AQ18)/AP32</f>
        <v>#DIV/0!</v>
      </c>
      <c r="AR58" s="193" t="e">
        <f t="array" ref="AR58">SUM(Model!tauY/(1+Model!tauY)*AR3:AS3*AR18:AS18)/AR32</f>
        <v>#DIV/0!</v>
      </c>
      <c r="AT58" s="193" t="e">
        <f t="array" ref="AT58">SUM(Model!tauY/(1+Model!tauY)*AT3:AU3*AT18:AU18)/AT32</f>
        <v>#DIV/0!</v>
      </c>
      <c r="AV58" s="193" t="e">
        <f t="array" ref="AV58">SUM(Model!tauY/(1+Model!tauY)*AV3:AW3*AV18:AW18)/AV32</f>
        <v>#DIV/0!</v>
      </c>
      <c r="XFD58" s="193"/>
    </row>
    <row r="59" spans="1:48 16321:16384" x14ac:dyDescent="0.2">
      <c r="A59" t="s">
        <v>173</v>
      </c>
      <c r="B59" s="193">
        <f>(B2*C5*C20)/B32</f>
        <v>5.5174232040962052E-4</v>
      </c>
      <c r="D59" s="193">
        <f>(D2*E5*E20)/D32</f>
        <v>5.5794852390567452E-3</v>
      </c>
      <c r="F59" s="193">
        <f>(F2*G5*G20)/F32</f>
        <v>1.0679968702942641E-2</v>
      </c>
      <c r="H59" s="193">
        <f>(H2*I5*I20)/H32</f>
        <v>1.5874916109274936E-2</v>
      </c>
      <c r="J59" s="193">
        <f>(J2*K5*K20)/J32</f>
        <v>2.1189751489710876E-2</v>
      </c>
      <c r="L59" s="193">
        <f>(L2*M5*M20)/L32</f>
        <v>2.665470289754868E-2</v>
      </c>
      <c r="N59" s="193">
        <f>(N2*O5*O20)/N32</f>
        <v>3.2307103358266136E-2</v>
      </c>
      <c r="P59" s="193">
        <f>(P2*Q5*Q20)/P32</f>
        <v>3.8194404904443383E-2</v>
      </c>
      <c r="R59" s="193">
        <f>(R2*S5*S20)/R32</f>
        <v>4.4379127680042367E-2</v>
      </c>
      <c r="T59" s="193">
        <f>(T2*U5*U20)/T32</f>
        <v>5.0946713744756254E-2</v>
      </c>
      <c r="V59" s="193">
        <f>(V2*W5*W20)/V32</f>
        <v>5.8018676587467011E-2</v>
      </c>
      <c r="X59" s="193">
        <f>(X2*Y5*Y20)/X32</f>
        <v>6.5774860793771234E-2</v>
      </c>
      <c r="Z59" s="193">
        <f>(Z2*AA5*AA20)/Z32</f>
        <v>7.4492513922652576E-2</v>
      </c>
      <c r="AB59" s="193">
        <f>(AB2*AC5*AC20)/AB32</f>
        <v>8.4616136017671817E-2</v>
      </c>
      <c r="AD59" s="193">
        <f>(AD2*AE5*AE20)/AD32</f>
        <v>9.6882197546530949E-2</v>
      </c>
      <c r="AF59" s="193">
        <f>(AF2*AG5*AG20)/AF32</f>
        <v>0.11253039659638121</v>
      </c>
      <c r="AH59" s="193">
        <f>(AH2*AI5*AI20)/AH32</f>
        <v>0.13360781392156923</v>
      </c>
      <c r="AJ59" s="193">
        <f>(AJ2*AK5*AK20)/AJ32</f>
        <v>0.16331161524551854</v>
      </c>
      <c r="AL59" s="193">
        <f>(AL2*AM5*AM20)/AL32</f>
        <v>0.20681027494876081</v>
      </c>
      <c r="AN59" s="193" t="e">
        <f>(AN2*AO5*AO20)/AN32</f>
        <v>#DIV/0!</v>
      </c>
      <c r="AP59" s="193" t="e">
        <f>(AP2*AQ5*AQ20)/AP32</f>
        <v>#DIV/0!</v>
      </c>
      <c r="AR59" s="193" t="e">
        <f>(AR2*AS5*AS20)/AR32</f>
        <v>#DIV/0!</v>
      </c>
      <c r="AT59" s="193" t="e">
        <f>(AT2*AU5*AU20)/AT32</f>
        <v>#DIV/0!</v>
      </c>
      <c r="AV59" s="193" t="e">
        <f>(AV2*AW5*AW20)/AV32</f>
        <v>#DIV/0!</v>
      </c>
      <c r="XFD59" s="193"/>
    </row>
    <row r="60" spans="1:48 16321:16384" x14ac:dyDescent="0.2">
      <c r="A60" t="s">
        <v>174</v>
      </c>
      <c r="B60" s="193">
        <f>Model!$C$52*B5*B20/B32</f>
        <v>2.8669464423930927E-2</v>
      </c>
      <c r="D60" s="193">
        <f>Model!$C$52*D5*D20/D32</f>
        <v>2.860814710285187E-2</v>
      </c>
      <c r="F60" s="193">
        <f>Model!$C$52*F5*F20/F32</f>
        <v>2.8546546317324249E-2</v>
      </c>
      <c r="H60" s="193">
        <f>Model!$C$52*H5*H20/H32</f>
        <v>2.8484471029978413E-2</v>
      </c>
      <c r="J60" s="193">
        <f>Model!$C$52*J5*J20/J32</f>
        <v>2.8421708104993764E-2</v>
      </c>
      <c r="L60" s="193">
        <f>Model!$C$52*L5*L20/L32</f>
        <v>2.8358008639629825E-2</v>
      </c>
      <c r="N60" s="193">
        <f>Model!$C$52*N5*N20/N32</f>
        <v>2.8293074776943414E-2</v>
      </c>
      <c r="P60" s="193">
        <f>Model!$C$52*P5*P20/P32</f>
        <v>2.8226533158059838E-2</v>
      </c>
      <c r="R60" s="193">
        <f>Model!$C$52*R5*R20/R32</f>
        <v>2.815789587062557E-2</v>
      </c>
      <c r="T60" s="193">
        <f>Model!$C$52*T5*T20/T32</f>
        <v>2.8086494247535503E-2</v>
      </c>
      <c r="V60" s="193">
        <f>Model!$C$52*V5*V20/V32</f>
        <v>2.8011369720593825E-2</v>
      </c>
      <c r="X60" s="193">
        <f>Model!$C$52*X5*X20/X32</f>
        <v>2.7931083295863364E-2</v>
      </c>
      <c r="Z60" s="193">
        <f>Model!$C$52*Z5*Z20/Z32</f>
        <v>2.7843378220817117E-2</v>
      </c>
      <c r="AB60" s="193">
        <f>Model!$C$52*AB5*AB20/AB32</f>
        <v>2.7744579638902495E-2</v>
      </c>
      <c r="AD60" s="193">
        <f>Model!$C$52*AD5*AD20/AD32</f>
        <v>2.7628531806960729E-2</v>
      </c>
      <c r="AF60" s="193">
        <f>Model!$C$52*AF5*AF20/AF32</f>
        <v>2.7484883626264292E-2</v>
      </c>
      <c r="AH60" s="193">
        <f>Model!$C$52*AH5*AH20/AH32</f>
        <v>2.72970149873774E-2</v>
      </c>
      <c r="AJ60" s="193">
        <f>Model!$C$52*AJ5*AJ20/AJ32</f>
        <v>2.7041143639641517E-2</v>
      </c>
      <c r="AL60" s="193">
        <f>Model!$C$52*AL5*AL20/AL32</f>
        <v>2.6685109101644455E-2</v>
      </c>
      <c r="AN60" s="193" t="e">
        <f>Model!$C$52*AN5*AN20/AN32</f>
        <v>#DIV/0!</v>
      </c>
      <c r="AP60" s="193" t="e">
        <f>Model!$C$52*AP5*AP20/AP32</f>
        <v>#DIV/0!</v>
      </c>
      <c r="AR60" s="193" t="e">
        <f>Model!$C$52*AR5*AR20/AR32</f>
        <v>#DIV/0!</v>
      </c>
      <c r="AT60" s="193" t="e">
        <f>Model!$C$52*AT5*AT20/AT32</f>
        <v>#DIV/0!</v>
      </c>
      <c r="AV60" s="193" t="e">
        <f>Model!$C$52*AV5*AV20/AV32</f>
        <v>#DIV/0!</v>
      </c>
      <c r="XFD60" s="193"/>
    </row>
    <row r="62" spans="1:48 16321:16384" x14ac:dyDescent="0.2">
      <c r="A62" t="s">
        <v>175</v>
      </c>
      <c r="B62">
        <f>B13/B15</f>
        <v>1</v>
      </c>
      <c r="D62">
        <f>D13/D15</f>
        <v>1.015969392098548</v>
      </c>
      <c r="F62">
        <f>F13/F15</f>
        <v>1.0338005683944373</v>
      </c>
      <c r="H62">
        <f>H13/H15</f>
        <v>1.0538126388715403</v>
      </c>
      <c r="J62">
        <f>J13/J15</f>
        <v>1.0764118758898278</v>
      </c>
      <c r="L62">
        <f>L13/L15</f>
        <v>1.1021230194670717</v>
      </c>
      <c r="N62">
        <f>N13/N15</f>
        <v>1.1316376477292742</v>
      </c>
      <c r="P62">
        <f>P13/P15</f>
        <v>1.1658878833914126</v>
      </c>
      <c r="R62">
        <f>R13/R15</f>
        <v>1.2061652930475253</v>
      </c>
      <c r="T62">
        <f>T13/T15</f>
        <v>1.2543192242017933</v>
      </c>
      <c r="V62">
        <f>V13/V15</f>
        <v>1.3131059930758544</v>
      </c>
      <c r="X62">
        <f>X13/X15</f>
        <v>1.3868366697838876</v>
      </c>
      <c r="Z62">
        <f>Z13/Z15</f>
        <v>1.4826642424802146</v>
      </c>
      <c r="AB62">
        <f>AB13/AB15</f>
        <v>1.6133550379624448</v>
      </c>
      <c r="AD62">
        <f>AD13/AD15</f>
        <v>1.803867661875391</v>
      </c>
      <c r="AF62">
        <f>AF13/AF15</f>
        <v>2.1090291638764351</v>
      </c>
      <c r="AH62">
        <f>AH13/AH15</f>
        <v>2.6698811586650328</v>
      </c>
      <c r="AJ62">
        <f>AJ13/AJ15</f>
        <v>3.95235632374097</v>
      </c>
      <c r="AL62">
        <f>AL13/AL15</f>
        <v>8.5922496703238895</v>
      </c>
      <c r="AN62" t="e">
        <f>AN13/AN15</f>
        <v>#DIV/0!</v>
      </c>
      <c r="AP62" t="e">
        <f>AP13/AP15</f>
        <v>#DIV/0!</v>
      </c>
      <c r="AR62" t="e">
        <f>AR13/AR15</f>
        <v>#DIV/0!</v>
      </c>
      <c r="AT62" t="e">
        <f>AT13/AT15</f>
        <v>#DIV/0!</v>
      </c>
      <c r="AV62" t="e">
        <f>AV13/AV15</f>
        <v>#DIV/0!</v>
      </c>
    </row>
    <row r="65" spans="1:48 16384:16384" x14ac:dyDescent="0.2">
      <c r="A65" t="s">
        <v>176</v>
      </c>
      <c r="B65" s="191">
        <f>SQRT((B9:C9*$B$22:$C$22+B10:C10*$B$23:$C$23+B11:C11*$B$24:$C$24+B4:C4*($B$25:$C$25-$B$19:$C$19))/($B$9:$C$9*$B$22:$C$22+$B$10:$C$10*$B$23:$C$23+$B$11:$C$11*$B$24:$C$24+$B$4:$C$4*($B$25:$C$25-$B$19:$C$19))*(B9:C9*B22:C22+B10:C10*B23:C23+B11:C11*B24:C24+B4:C4*(B25:C25-B19:C19))/($B$9:$C$9*B22:C22+$B$10:$C$10*B23:C23+$B$11:$C$11*B24:C24+$B$4:$C$4*(B25:C25-B19:C19)))</f>
        <v>1</v>
      </c>
      <c r="C65" s="191"/>
      <c r="D65" s="191">
        <f t="array" ref="D65">SQRT((D9:E9*$B$22:$C$22+D10:E10*$B$23:$C$23+D11:E11*$B$24:$C$24+D4:E4*($B$25:$C$25-$B$19:$C$19))/($B$9:$C$9*$B$22:$C$22+$B$10:$C$10*$B$23:$C$23+$B$11:$C$11*$B$24:$C$24+$B$4:$C$4*($B$25:$C$25-$B$19:$C$19))*(D9:E9*D22:E22+D10:E10*D23:E23+D11:E11*D24:E24+D4:E4*(D25:E25-D19:E19))/($B$9:$C$9*D22:E22+$B$10:$C$10*D23:E23+$B$11:$C$11*D24:E24+$B$4:$C$4*(D25:E25-D19:E19)))</f>
        <v>0.99851675971077114</v>
      </c>
      <c r="E65" s="191"/>
      <c r="F65" s="191">
        <f t="array" ref="F65">SQRT((F9:G9*$B$22:$C$22+F10:G10*$B$23:$C$23+F11:G11*$B$24:$C$24+F4:G4*($B$25:$C$25-$B$19:$C$19))/($B$9:$C$9*$B$22:$C$22+$B$10:$C$10*$B$23:$C$23+$B$11:$C$11*$B$24:$C$24+$B$4:$C$4*($B$25:$C$25-$B$19:$C$19))*(F9:G9*F22:G22+F10:G10*F23:G23+F11:G11*F24:G24+F4:G4*(F25:G25-F19:G19))/($B$9:$C$9*F22:G22+$B$10:$C$10*F23:G23+$B$11:$C$11*F24:G24+$B$4:$C$4*(F25:G25-F19:G19)))</f>
        <v>0.99701269186113473</v>
      </c>
      <c r="G65" s="191"/>
      <c r="H65" s="191">
        <f t="array" ref="H65">SQRT((H9:I9*$B$22:$C$22+H10:I10*$B$23:$C$23+H11:I11*$B$24:$C$24+H4:I4*($B$25:$C$25-$B$19:$C$19))/($B$9:$C$9*$B$22:$C$22+$B$10:$C$10*$B$23:$C$23+$B$11:$C$11*$B$24:$C$24+$B$4:$C$4*($B$25:$C$25-$B$19:$C$19))*(H9:I9*H22:I22+H10:I10*H23:I23+H11:I11*H24:I24+H4:I4*(H25:I25-H19:I19))/($B$9:$C$9*H22:I22+$B$10:$C$10*H23:I23+$B$11:$C$11*H24:I24+$B$4:$C$4*(H25:I25-H19:I19)))</f>
        <v>0.99547975706336977</v>
      </c>
      <c r="I65" s="191"/>
      <c r="J65" s="191">
        <f t="array" ref="J65">SQRT((J9:K9*$B$22:$C$22+J10:K10*$B$23:$C$23+J11:K11*$B$24:$C$24+J4:K4*($B$25:$C$25-$B$19:$C$19))/($B$9:$C$9*$B$22:$C$22+$B$10:$C$10*$B$23:$C$23+$B$11:$C$11*$B$24:$C$24+$B$4:$C$4*($B$25:$C$25-$B$19:$C$19))*(J9:K9*J22:K22+J10:K10*J23:K23+J11:K11*J24:K24+J4:K4*(J25:K25-J19:K19))/($B$9:$C$9*J22:K22+$B$10:$C$10*J23:K23+$B$11:$C$11*J24:K24+$B$4:$C$4*(J25:K25-J19:K19)))</f>
        <v>0.99390941647728703</v>
      </c>
      <c r="K65" s="191"/>
      <c r="L65" s="191">
        <f t="array" ref="L65">SQRT((L9:M9*$B$22:$C$22+L10:M10*$B$23:$C$23+L11:M11*$B$24:$C$24+L4:M4*($B$25:$C$25-$B$19:$C$19))/($B$9:$C$9*$B$22:$C$22+$B$10:$C$10*$B$23:$C$23+$B$11:$C$11*$B$24:$C$24+$B$4:$C$4*($B$25:$C$25-$B$19:$C$19))*(L9:M9*L22:M22+L10:M10*L23:M23+L11:M11*L24:M24+L4:M4*(L25:M25-L19:M19))/($B$9:$C$9*L22:M22+$B$10:$C$10*L23:M23+$B$11:$C$11*L24:M24+$B$4:$C$4*(L25:M25-L19:M19)))</f>
        <v>0.99229278283628486</v>
      </c>
      <c r="M65" s="191"/>
      <c r="N65" s="191">
        <f t="array" ref="N65">SQRT((N9:O9*$B$22:$C$22+N10:O10*$B$23:$C$23+N11:O11*$B$24:$C$24+N4:O4*($B$25:$C$25-$B$19:$C$19))/($B$9:$C$9*$B$22:$C$22+$B$10:$C$10*$B$23:$C$23+$B$11:$C$11*$B$24:$C$24+$B$4:$C$4*($B$25:$C$25-$B$19:$C$19))*(N9:O9*N22:O22+N10:O10*N23:O23+N11:O11*N24:O24+N4:O4*(N25:O25-N19:O19))/($B$9:$C$9*N22:O22+$B$10:$C$10*N23:O23+$B$11:$C$11*N24:O24+$B$4:$C$4*(N25:O25-N19:O19)))</f>
        <v>0.99062102208586966</v>
      </c>
      <c r="O65" s="191"/>
      <c r="P65" s="191">
        <f t="array" ref="P65">SQRT((P9:Q9*$B$22:$C$22+P10:Q10*$B$23:$C$23+P11:Q11*$B$24:$C$24+P4:Q4*($B$25:$C$25-$B$19:$C$19))/($B$9:$C$9*$B$22:$C$22+$B$10:$C$10*$B$23:$C$23+$B$11:$C$11*$B$24:$C$24+$B$4:$C$4*($B$25:$C$25-$B$19:$C$19))*(P9:Q9*P22:Q22+P10:Q10*P23:Q23+P11:Q11*P24:Q24+P4:Q4*(P25:Q25-P19:Q19))/($B$9:$C$9*P22:Q22+$B$10:$C$10*P23:Q23+$B$11:$C$11*P24:Q24+$B$4:$C$4*(P25:Q25-P19:Q19)))</f>
        <v>0.9888860929289065</v>
      </c>
      <c r="Q65" s="191"/>
      <c r="R65" s="191">
        <f t="array" ref="R65">SQRT((R9:S9*$B$22:$C$22+R10:S10*$B$23:$C$23+R11:S11*$B$24:$C$24+R4:S4*($B$25:$C$25-$B$19:$C$19))/($B$9:$C$9*$B$22:$C$22+$B$10:$C$10*$B$23:$C$23+$B$11:$C$11*$B$24:$C$24+$B$4:$C$4*($B$25:$C$25-$B$19:$C$19))*(R9:S9*R22:S22+R10:S10*R23:S23+R11:S11*R24:S24+R4:S4*(R25:S25-R19:S19))/($B$9:$C$9*R22:S22+$B$10:$C$10*R23:S23+$B$11:$C$11*R24:S24+$B$4:$C$4*(R25:S25-R19:S19)))</f>
        <v>0.987082110627717</v>
      </c>
      <c r="S65" s="191"/>
      <c r="T65" s="191">
        <f t="array" ref="T65">SQRT((T9:U9*$B$22:$C$22+T10:U10*$B$23:$C$23+T11:U11*$B$24:$C$24+T4:U4*($B$25:$C$25-$B$19:$C$19))/($B$9:$C$9*$B$22:$C$22+$B$10:$C$10*$B$23:$C$23+$B$11:$C$11*$B$24:$C$24+$B$4:$C$4*($B$25:$C$25-$B$19:$C$19))*(T9:U9*T22:U22+T10:U10*T23:U23+T11:U11*T24:U24+T4:U4*(T25:U25-T19:U19))/($B$9:$C$9*T22:U22+$B$10:$C$10*T23:U23+$B$11:$C$11*T24:U24+$B$4:$C$4*(T25:U25-T19:U19)))</f>
        <v>0.98520777874782262</v>
      </c>
      <c r="U65" s="191"/>
      <c r="V65" s="191">
        <f t="array" ref="V65">SQRT((V9:W9*$B$22:$C$22+V10:W10*$B$23:$C$23+V11:W11*$B$24:$C$24+V4:W4*($B$25:$C$25-$B$19:$C$19))/($B$9:$C$9*$B$22:$C$22+$B$10:$C$10*$B$23:$C$23+$B$11:$C$11*$B$24:$C$24+$B$4:$C$4*($B$25:$C$25-$B$19:$C$19))*(V9:W9*V22:W22+V10:W10*V23:W23+V11:W11*V24:W24+V4:W4*(V25:W25-V19:W19))/($B$9:$C$9*V22:W22+$B$10:$C$10*V23:W23+$B$11:$C$11*V24:W24+$B$4:$C$4*(V25:W25-V19:W19)))</f>
        <v>0.98327065491146448</v>
      </c>
      <c r="W65" s="191"/>
      <c r="X65" s="191">
        <f t="array" ref="X65">SQRT((X9:Y9*$B$22:$C$22+X10:Y10*$B$23:$C$23+X11:Y11*$B$24:$C$24+X4:Y4*($B$25:$C$25-$B$19:$C$19))/($B$9:$C$9*$B$22:$C$22+$B$10:$C$10*$B$23:$C$23+$B$11:$C$11*$B$24:$C$24+$B$4:$C$4*($B$25:$C$25-$B$19:$C$19))*(X9:Y9*X22:Y22+X10:Y10*X23:Y23+X11:Y11*X24:Y24+X4:Y4*(X25:Y25-X19:Y19))/($B$9:$C$9*X22:Y22+$B$10:$C$10*X23:Y23+$B$11:$C$11*X24:Y24+$B$4:$C$4*(X25:Y25-X19:Y19)))</f>
        <v>0.9812946872694851</v>
      </c>
      <c r="Y65" s="191"/>
      <c r="Z65" s="191">
        <f t="array" ref="Z65">SQRT((Z9:AA9*$B$22:$C$22+Z10:AA10*$B$23:$C$23+Z11:AA11*$B$24:$C$24+Z4:AA4*($B$25:$C$25-$B$19:$C$19))/($B$9:$C$9*$B$22:$C$22+$B$10:$C$10*$B$23:$C$23+$B$11:$C$11*$B$24:$C$24+$B$4:$C$4*($B$25:$C$25-$B$19:$C$19))*(Z9:AA9*Z22:AA22+Z10:AA10*Z23:AA23+Z11:AA11*Z24:AA24+Z4:AA4*(Z25:AA25-Z19:AA19))/($B$9:$C$9*Z22:AA22+$B$10:$C$10*Z23:AA23+$B$11:$C$11*Z24:AA24+$B$4:$C$4*(Z25:AA25-Z19:AA19)))</f>
        <v>0.97933352549948172</v>
      </c>
      <c r="AA65" s="191"/>
      <c r="AB65" s="191">
        <f t="array" ref="AB65">SQRT((AB9:AC9*$B$22:$C$22+AB10:AC10*$B$23:$C$23+AB11:AC11*$B$24:$C$24+AB4:AC4*($B$25:$C$25-$B$19:$C$19))/($B$9:$C$9*$B$22:$C$22+$B$10:$C$10*$B$23:$C$23+$B$11:$C$11*$B$24:$C$24+$B$4:$C$4*($B$25:$C$25-$B$19:$C$19))*(AB9:AC9*AB22:AC22+AB10:AC10*AB23:AC23+AB11:AC11*AB24:AC24+AB4:AC4*(AB25:AC25-AB19:AC19))/($B$9:$C$9*AB22:AC22+$B$10:$C$10*AB23:AC23+$B$11:$C$11*AB24:AC24+$B$4:$C$4*(AB25:AC25-AB19:AC19)))</f>
        <v>0.97749369700951205</v>
      </c>
      <c r="AC65" s="191"/>
      <c r="AD65" s="191">
        <f t="array" ref="AD65">SQRT((AD9:AE9*$B$22:$C$22+AD10:AE10*$B$23:$C$23+AD11:AE11*$B$24:$C$24+AD4:AE4*($B$25:$C$25-$B$19:$C$19))/($B$9:$C$9*$B$22:$C$22+$B$10:$C$10*$B$23:$C$23+$B$11:$C$11*$B$24:$C$24+$B$4:$C$4*($B$25:$C$25-$B$19:$C$19))*(AD9:AE9*AD22:AE22+AD10:AE10*AD23:AE23+AD11:AE11*AD24:AE24+AD4:AE4*(AD25:AE25-AD19:AE19))/($B$9:$C$9*AD22:AE22+$B$10:$C$10*AD23:AE23+$B$11:$C$11*AD24:AE24+$B$4:$C$4*(AD25:AE25-AD19:AE19)))</f>
        <v>0.97597278381893704</v>
      </c>
      <c r="AE65" s="191"/>
      <c r="AF65" s="191">
        <f t="array" ref="AF65">SQRT((AF9:AG9*$B$22:$C$22+AF10:AG10*$B$23:$C$23+AF11:AG11*$B$24:$C$24+AF4:AG4*($B$25:$C$25-$B$19:$C$19))/($B$9:$C$9*$B$22:$C$22+$B$10:$C$10*$B$23:$C$23+$B$11:$C$11*$B$24:$C$24+$B$4:$C$4*($B$25:$C$25-$B$19:$C$19))*(AF9:AG9*AF22:AG22+AF10:AG10*AF23:AG23+AF11:AG11*AF24:AG24+AF4:AG4*(AF25:AG25-AF19:AG19))/($B$9:$C$9*AF22:AG22+$B$10:$C$10*AF23:AG23+$B$11:$C$11*AF24:AG24+$B$4:$C$4*(AF25:AG25-AF19:AG19)))</f>
        <v>0.97510985024018992</v>
      </c>
      <c r="AG65" s="191"/>
      <c r="AH65" s="191">
        <f t="array" ref="AH65">SQRT((AH9:AI9*$B$22:$C$22+AH10:AI10*$B$23:$C$23+AH11:AI11*$B$24:$C$24+AH4:AI4*($B$25:$C$25-$B$19:$C$19))/($B$9:$C$9*$B$22:$C$22+$B$10:$C$10*$B$23:$C$23+$B$11:$C$11*$B$24:$C$24+$B$4:$C$4*($B$25:$C$25-$B$19:$C$19))*(AH9:AI9*AH22:AI22+AH10:AI10*AH23:AI23+AH11:AI11*AH24:AI24+AH4:AI4*(AH25:AI25-AH19:AI19))/($B$9:$C$9*AH22:AI22+$B$10:$C$10*AH23:AI23+$B$11:$C$11*AH24:AI24+$B$4:$C$4*(AH25:AI25-AH19:AI19)))</f>
        <v>0.97540080228292159</v>
      </c>
      <c r="AI65" s="191"/>
      <c r="AJ65" s="191">
        <f t="array" ref="AJ65">SQRT((AJ9:AK9*$B$22:$C$22+AJ10:AK10*$B$23:$C$23+AJ11:AK11*$B$24:$C$24+AJ4:AK4*($B$25:$C$25-$B$19:$C$19))/($B$9:$C$9*$B$22:$C$22+$B$10:$C$10*$B$23:$C$23+$B$11:$C$11*$B$24:$C$24+$B$4:$C$4*($B$25:$C$25-$B$19:$C$19))*(AJ9:AK9*AJ22:AK22+AJ10:AK10*AJ23:AK23+AJ11:AK11*AJ24:AK24+AJ4:AK4*(AJ25:AK25-AJ19:AK19))/($B$9:$C$9*AJ22:AK22+$B$10:$C$10*AJ23:AK23+$B$11:$C$11*AJ24:AK24+$B$4:$C$4*(AJ25:AK25-AJ19:AK19)))</f>
        <v>0.97732496780493616</v>
      </c>
      <c r="AK65" s="191"/>
      <c r="AL65" s="191">
        <f t="array" ref="AL65">SQRT((AL9:AM9*$B$22:$C$22+AL10:AM10*$B$23:$C$23+AL11:AM11*$B$24:$C$24+AL4:AM4*($B$25:$C$25-$B$19:$C$19))/($B$9:$C$9*$B$22:$C$22+$B$10:$C$10*$B$23:$C$23+$B$11:$C$11*$B$24:$C$24+$B$4:$C$4*($B$25:$C$25-$B$19:$C$19))*(AL9:AM9*AL22:AM22+AL10:AM10*AL23:AM23+AL11:AM11*AL24:AM24+AL4:AM4*(AL25:AM25-AL19:AM19))/($B$9:$C$9*AL22:AM22+$B$10:$C$10*AL23:AM23+$B$11:$C$11*AL24:AM24+$B$4:$C$4*(AL25:AM25-AL19:AM19)))</f>
        <v>0.98089040909778313</v>
      </c>
      <c r="AM65" s="191"/>
      <c r="AN65" s="191" t="e">
        <f t="array" ref="AN65">SQRT((AN9:AO9*$B$22:$C$22+AN10:AO10*$B$23:$C$23+AN11:AO11*$B$24:$C$24+AN4:AO4*($B$25:$C$25-$B$19:$C$19))/($B$9:$C$9*$B$22:$C$22+$B$10:$C$10*$B$23:$C$23+$B$11:$C$11*$B$24:$C$24+$B$4:$C$4*($B$25:$C$25-$B$19:$C$19))*(AN9:AO9*AN22:AO22+AN10:AO10*AN23:AO23+AN11:AO11*AN24:AO24+AN4:AO4*(AN25:AO25-AN19:AO19))/($B$9:$C$9*AN22:AO22+$B$10:$C$10*AN23:AO23+$B$11:$C$11*AN24:AO24+$B$4:$C$4*(AN25:AO25-AN19:AO19)))</f>
        <v>#DIV/0!</v>
      </c>
      <c r="AO65" s="191"/>
      <c r="AP65" s="191" t="e">
        <f t="array" ref="AP65">SQRT((AP9:AQ9*$B$22:$C$22+AP10:AQ10*$B$23:$C$23+AP11:AQ11*$B$24:$C$24+AP4:AQ4*($B$25:$C$25-$B$19:$C$19))/($B$9:$C$9*$B$22:$C$22+$B$10:$C$10*$B$23:$C$23+$B$11:$C$11*$B$24:$C$24+$B$4:$C$4*($B$25:$C$25-$B$19:$C$19))*(AP9:AQ9*AP22:AQ22+AP10:AQ10*AP23:AQ23+AP11:AQ11*AP24:AQ24+AP4:AQ4*(AP25:AQ25-AP19:AQ19))/($B$9:$C$9*AP22:AQ22+$B$10:$C$10*AP23:AQ23+$B$11:$C$11*AP24:AQ24+$B$4:$C$4*(AP25:AQ25-AP19:AQ19)))</f>
        <v>#DIV/0!</v>
      </c>
      <c r="AQ65" s="191"/>
      <c r="AR65" s="191" t="e">
        <f t="array" ref="AR65">SQRT((AR9:AS9*$B$22:$C$22+AR10:AS10*$B$23:$C$23+AR11:AS11*$B$24:$C$24+AR4:AS4*($B$25:$C$25-$B$19:$C$19))/($B$9:$C$9*$B$22:$C$22+$B$10:$C$10*$B$23:$C$23+$B$11:$C$11*$B$24:$C$24+$B$4:$C$4*($B$25:$C$25-$B$19:$C$19))*(AR9:AS9*AR22:AS22+AR10:AS10*AR23:AS23+AR11:AS11*AR24:AS24+AR4:AS4*(AR25:AS25-AR19:AS19))/($B$9:$C$9*AR22:AS22+$B$10:$C$10*AR23:AS23+$B$11:$C$11*AR24:AS24+$B$4:$C$4*(AR25:AS25-AR19:AS19)))</f>
        <v>#DIV/0!</v>
      </c>
      <c r="AS65" s="191"/>
      <c r="AT65" s="191" t="e">
        <f t="array" ref="AT65">SQRT((AT9:AU9*$B$22:$C$22+AT10:AU10*$B$23:$C$23+AT11:AU11*$B$24:$C$24+AT4:AU4*($B$25:$C$25-$B$19:$C$19))/($B$9:$C$9*$B$22:$C$22+$B$10:$C$10*$B$23:$C$23+$B$11:$C$11*$B$24:$C$24+$B$4:$C$4*($B$25:$C$25-$B$19:$C$19))*(AT9:AU9*AT22:AU22+AT10:AU10*AT23:AU23+AT11:AU11*AT24:AU24+AT4:AU4*(AT25:AU25-AT19:AU19))/($B$9:$C$9*AT22:AU22+$B$10:$C$10*AT23:AU23+$B$11:$C$11*AT24:AU24+$B$4:$C$4*(AT25:AU25-AT19:AU19)))</f>
        <v>#DIV/0!</v>
      </c>
      <c r="AU65" s="191"/>
      <c r="AV65" s="191" t="e">
        <f t="array" ref="AV65">SQRT((AV9:AW9*$B$22:$C$22+AV10:AW10*$B$23:$C$23+AV11:AW11*$B$24:$C$24+AV4:AW4*($B$25:$C$25-$B$19:$C$19))/($B$9:$C$9*$B$22:$C$22+$B$10:$C$10*$B$23:$C$23+$B$11:$C$11*$B$24:$C$24+$B$4:$C$4*($B$25:$C$25-$B$19:$C$19))*(AV9:AW9*AV22:AW22+AV10:AW10*AV23:AW23+AV11:AW11*AV24:AW24+AV4:AW4*(AV25:AW25-AV19:AW19))/($B$9:$C$9*AV22:AW22+$B$10:$C$10*AV23:AW23+$B$11:$C$11*AV24:AW24+$B$4:$C$4*(AV25:AW25-AV19:AW19)))</f>
        <v>#DIV/0!</v>
      </c>
    </row>
    <row r="66" spans="1:48 16384:16384" x14ac:dyDescent="0.2">
      <c r="A66" t="s">
        <v>182</v>
      </c>
      <c r="B66" s="191">
        <f t="array" ref="B66">SQRT((B9:C9*$B$22:$C$22)/($B$9:$C$9*$B$22:$C$22)*(B9:C9*B22:C22)/($B$9:$C$9*B22:C22))</f>
        <v>1</v>
      </c>
      <c r="C66" s="191"/>
      <c r="D66" s="191">
        <f t="array" ref="D66">SQRT((D9:E9*$B$22:$C$22)/($B$9:$C$9*$B$22:$C$22)*(D9:E9*D22:E22)/($B$9:$C$9*D22:E22))</f>
        <v>0.99836896118089469</v>
      </c>
      <c r="E66" s="191"/>
      <c r="F66" s="191">
        <f t="array" ref="F66">SQRT((F9:G9*$B$22:$C$22)/($B$9:$C$9*$B$22:$C$22)*(F9:G9*F22:G22)/($B$9:$C$9*F22:G22))</f>
        <v>0.99671312702122572</v>
      </c>
      <c r="G66" s="191"/>
      <c r="H66" s="191">
        <f t="array" ref="H66">SQRT((H9:I9*$B$22:$C$22)/($B$9:$C$9*$B$22:$C$22)*(H9:I9*H22:I22)/($B$9:$C$9*H22:I22))</f>
        <v>0.9950235349011326</v>
      </c>
      <c r="I66" s="191"/>
      <c r="J66" s="191">
        <f t="array" ref="J66">SQRT((J9:K9*$B$22:$C$22)/($B$9:$C$9*$B$22:$C$22)*(J9:K9*J22:K22)/($B$9:$C$9*J22:K22))</f>
        <v>0.99329062300818605</v>
      </c>
      <c r="K66" s="191"/>
      <c r="L66" s="191">
        <f t="array" ref="L66">SQRT((L9:M9*$B$22:$C$22)/($B$9:$C$9*$B$22:$C$22)*(L9:M9*L22:M22)/($B$9:$C$9*L22:M22))</f>
        <v>0.99150439043491911</v>
      </c>
      <c r="M66" s="191"/>
      <c r="N66" s="191">
        <f t="array" ref="N66">SQRT((N9:O9*$B$22:$C$22)/($B$9:$C$9*$B$22:$C$22)*(N9:O9*N22:O22)/($B$9:$C$9*N22:O22))</f>
        <v>0.98965483496967421</v>
      </c>
      <c r="O66" s="191"/>
      <c r="P66" s="191">
        <f t="array" ref="P66">SQRT((P9:Q9*$B$22:$C$22)/($B$9:$C$9*$B$22:$C$22)*(P9:Q9*P22:Q22)/($B$9:$C$9*P22:Q22))</f>
        <v>0.98773276824379164</v>
      </c>
      <c r="Q66" s="191"/>
      <c r="R66" s="191">
        <f t="array" ref="R66">SQRT((R9:S9*$B$22:$C$22)/($B$9:$C$9*$B$22:$C$22)*(R9:S9*R22:S22)/($B$9:$C$9*R22:S22))</f>
        <v>0.98573133072904606</v>
      </c>
      <c r="S66" s="191"/>
      <c r="T66" s="191">
        <f t="array" ref="T66">SQRT((T9:U9*$B$22:$C$22)/($B$9:$C$9*$B$22:$C$22)*(T9:U9*T22:U22)/($B$9:$C$9*T22:U22))</f>
        <v>0.98364870922611691</v>
      </c>
      <c r="U66" s="191"/>
      <c r="V66" s="191">
        <f t="array" ref="V66">SQRT((V9:W9*$B$22:$C$22)/($B$9:$C$9*$B$22:$C$22)*(V9:W9*V22:W22)/($B$9:$C$9*V22:W22))</f>
        <v>0.98149292690913992</v>
      </c>
      <c r="W66" s="191"/>
      <c r="X66" s="191">
        <f t="array" ref="X66">SQRT((X9:Y9*$B$22:$C$22)/($B$9:$C$9*$B$22:$C$22)*(X9:Y9*X22:Y22)/($B$9:$C$9*X22:Y22))</f>
        <v>0.97929033831971135</v>
      </c>
      <c r="Y66" s="191"/>
      <c r="Z66" s="191">
        <f t="array" ref="Z66">SQRT((Z9:AA9*$B$22:$C$22)/($B$9:$C$9*$B$22:$C$22)*(Z9:AA9*Z22:AA22)/($B$9:$C$9*Z22:AA22))</f>
        <v>0.97710067632746933</v>
      </c>
      <c r="AA66" s="191"/>
      <c r="AB66" s="191">
        <f t="array" ref="AB66">SQRT((AB9:AC9*$B$22:$C$22)/($B$9:$C$9*$B$22:$C$22)*(AB9:AC9*AB22:AC22)/($B$9:$C$9*AB22:AC22))</f>
        <v>0.97504329588708716</v>
      </c>
      <c r="AC66" s="191"/>
      <c r="AD66" s="191">
        <f t="array" ref="AD66">SQRT((AD9:AE9*$B$22:$C$22)/($B$9:$C$9*$B$22:$C$22)*(AD9:AE9*AD22:AE22)/($B$9:$C$9*AD22:AE22))</f>
        <v>0.97334040487110629</v>
      </c>
      <c r="AE66" s="191"/>
      <c r="AF66" s="191">
        <f t="array" ref="AF66">SQRT((AF9:AG9*$B$22:$C$22)/($B$9:$C$9*$B$22:$C$22)*(AF9:AG9*AF22:AG22)/($B$9:$C$9*AF22:AG22))</f>
        <v>0.9723739687538111</v>
      </c>
      <c r="AG66" s="191"/>
      <c r="AH66" s="191">
        <f t="array" ref="AH66">SQRT((AH9:AI9*$B$22:$C$22)/($B$9:$C$9*$B$22:$C$22)*(AH9:AI9*AH22:AI22)/($B$9:$C$9*AH22:AI22))</f>
        <v>0.97270207833031086</v>
      </c>
      <c r="AI66" s="191"/>
      <c r="AJ66" s="191">
        <f t="array" ref="AJ66">SQRT((AJ9:AK9*$B$22:$C$22)/($B$9:$C$9*$B$22:$C$22)*(AJ9:AK9*AJ22:AK22)/($B$9:$C$9*AJ22:AK22))</f>
        <v>0.97486039582104678</v>
      </c>
      <c r="AK66" s="191"/>
      <c r="AL66" s="191">
        <f t="array" ref="AL66">SQRT((AL9:AM9*$B$22:$C$22)/($B$9:$C$9*$B$22:$C$22)*(AL9:AM9*AL22:AM22)/($B$9:$C$9*AL22:AM22))</f>
        <v>0.97884803433588752</v>
      </c>
      <c r="AM66" s="191"/>
      <c r="AN66" s="191" t="e">
        <f t="array" ref="AN66">SQRT((AN9:AO9*$B$22:$C$22)/($B$9:$C$9*$B$22:$C$22)*(AN9:AO9*AN22:AO22)/($B$9:$C$9*AN22:AO22))</f>
        <v>#DIV/0!</v>
      </c>
      <c r="AO66" s="191"/>
      <c r="AP66" s="191" t="e">
        <f t="array" ref="AP66">SQRT((AP9:AQ9*$B$22:$C$22)/($B$9:$C$9*$B$22:$C$22)*(AP9:AQ9*AP22:AQ22)/($B$9:$C$9*AP22:AQ22))</f>
        <v>#DIV/0!</v>
      </c>
      <c r="AQ66" s="191"/>
      <c r="AR66" s="191" t="e">
        <f t="array" ref="AR66">SQRT((AR9:AS9*$B$22:$C$22)/($B$9:$C$9*$B$22:$C$22)*(AR9:AS9*AR22:AS22)/($B$9:$C$9*AR22:AS22))</f>
        <v>#DIV/0!</v>
      </c>
      <c r="AS66" s="191"/>
      <c r="AT66" s="191" t="e">
        <f t="array" ref="AT66">SQRT((AT9:AU9*$B$22:$C$22)/($B$9:$C$9*$B$22:$C$22)*(AT9:AU9*AT22:AU22)/($B$9:$C$9*AT22:AU22))</f>
        <v>#DIV/0!</v>
      </c>
      <c r="AU66" s="191"/>
      <c r="AV66" s="191" t="e">
        <f t="array" ref="AV66">SQRT((AV9:AW9*$B$22:$C$22)/($B$9:$C$9*$B$22:$C$22)*(AV9:AW9*AV22:AW22)/($B$9:$C$9*AV22:AW22))</f>
        <v>#DIV/0!</v>
      </c>
      <c r="XFD66" s="191"/>
    </row>
    <row r="67" spans="1:48 16384:16384" x14ac:dyDescent="0.2">
      <c r="A67" t="s">
        <v>183</v>
      </c>
      <c r="B67" s="191">
        <f t="array" ref="B67">SQRT((B4:C4*$B$19:$C$19)/($B$4:$C$4*$B$19:$C$19)*(B4:C4*B19:C19)/($B$4:$C$4*B19:C19))</f>
        <v>1</v>
      </c>
      <c r="C67" s="191"/>
      <c r="D67" s="191">
        <f t="array" ref="D67">SQRT((D4:E4*$B$19:$C$19)/($B$4:$C$4*$B$19:$C$19)*(D4:E4*D19:E19)/($B$4:$C$4*D19:E19))</f>
        <v>1</v>
      </c>
      <c r="E67" s="191"/>
      <c r="F67" s="191">
        <f t="array" ref="F67">SQRT((F4:G4*$B$19:$C$19)/($B$4:$C$4*$B$19:$C$19)*(F4:G4*F19:G19)/($B$4:$C$4*F19:G19))</f>
        <v>1</v>
      </c>
      <c r="G67" s="191"/>
      <c r="H67" s="191">
        <f t="array" ref="H67">SQRT((H4:I4*$B$19:$C$19)/($B$4:$C$4*$B$19:$C$19)*(H4:I4*H19:I19)/($B$4:$C$4*H19:I19))</f>
        <v>1</v>
      </c>
      <c r="I67" s="191"/>
      <c r="J67" s="191">
        <f t="array" ref="J67">SQRT((J4:K4*$B$19:$C$19)/($B$4:$C$4*$B$19:$C$19)*(J4:K4*J19:K19)/($B$4:$C$4*J19:K19))</f>
        <v>1</v>
      </c>
      <c r="K67" s="191"/>
      <c r="L67" s="191">
        <f t="array" ref="L67">SQRT((L4:M4*$B$19:$C$19)/($B$4:$C$4*$B$19:$C$19)*(L4:M4*L19:M19)/($B$4:$C$4*L19:M19))</f>
        <v>1</v>
      </c>
      <c r="M67" s="191"/>
      <c r="N67" s="191">
        <f t="array" ref="N67">SQRT((N4:O4*$B$19:$C$19)/($B$4:$C$4*$B$19:$C$19)*(N4:O4*N19:O19)/($B$4:$C$4*N19:O19))</f>
        <v>1</v>
      </c>
      <c r="O67" s="191"/>
      <c r="P67" s="191">
        <f t="array" ref="P67">SQRT((P4:Q4*$B$19:$C$19)/($B$4:$C$4*$B$19:$C$19)*(P4:Q4*P19:Q19)/($B$4:$C$4*P19:Q19))</f>
        <v>1</v>
      </c>
      <c r="Q67" s="191"/>
      <c r="R67" s="191">
        <f t="array" ref="R67">SQRT((R4:S4*$B$19:$C$19)/($B$4:$C$4*$B$19:$C$19)*(R4:S4*R19:S19)/($B$4:$C$4*R19:S19))</f>
        <v>1</v>
      </c>
      <c r="S67" s="191"/>
      <c r="T67" s="191">
        <f t="array" ref="T67">SQRT((T4:U4*$B$19:$C$19)/($B$4:$C$4*$B$19:$C$19)*(T4:U4*T19:U19)/($B$4:$C$4*T19:U19))</f>
        <v>1</v>
      </c>
      <c r="U67" s="191"/>
      <c r="V67" s="191">
        <f t="array" ref="V67">SQRT((V4:W4*$B$19:$C$19)/($B$4:$C$4*$B$19:$C$19)*(V4:W4*V19:W19)/($B$4:$C$4*V19:W19))</f>
        <v>1</v>
      </c>
      <c r="W67" s="191"/>
      <c r="X67" s="191">
        <f t="array" ref="X67">SQRT((X4:Y4*$B$19:$C$19)/($B$4:$C$4*$B$19:$C$19)*(X4:Y4*X19:Y19)/($B$4:$C$4*X19:Y19))</f>
        <v>1</v>
      </c>
      <c r="Y67" s="191"/>
      <c r="Z67" s="191">
        <f t="array" ref="Z67">SQRT((Z4:AA4*$B$19:$C$19)/($B$4:$C$4*$B$19:$C$19)*(Z4:AA4*Z19:AA19)/($B$4:$C$4*Z19:AA19))</f>
        <v>1</v>
      </c>
      <c r="AA67" s="191"/>
      <c r="AB67" s="191">
        <f t="array" ref="AB67">SQRT((AB4:AC4*$B$19:$C$19)/($B$4:$C$4*$B$19:$C$19)*(AB4:AC4*AB19:AC19)/($B$4:$C$4*AB19:AC19))</f>
        <v>1</v>
      </c>
      <c r="AC67" s="191"/>
      <c r="AD67" s="191">
        <f t="array" ref="AD67">SQRT((AD4:AE4*$B$19:$C$19)/($B$4:$C$4*$B$19:$C$19)*(AD4:AE4*AD19:AE19)/($B$4:$C$4*AD19:AE19))</f>
        <v>1</v>
      </c>
      <c r="AE67" s="191"/>
      <c r="AF67" s="191">
        <f t="array" ref="AF67">SQRT((AF4:AG4*$B$19:$C$19)/($B$4:$C$4*$B$19:$C$19)*(AF4:AG4*AF19:AG19)/($B$4:$C$4*AF19:AG19))</f>
        <v>1</v>
      </c>
      <c r="AG67" s="191"/>
      <c r="AH67" s="191">
        <f t="array" ref="AH67">SQRT((AH4:AI4*$B$19:$C$19)/($B$4:$C$4*$B$19:$C$19)*(AH4:AI4*AH19:AI19)/($B$4:$C$4*AH19:AI19))</f>
        <v>1</v>
      </c>
      <c r="AI67" s="191"/>
      <c r="AJ67" s="191">
        <f t="array" ref="AJ67">SQRT((AJ4:AK4*$B$19:$C$19)/($B$4:$C$4*$B$19:$C$19)*(AJ4:AK4*AJ19:AK19)/($B$4:$C$4*AJ19:AK19))</f>
        <v>1</v>
      </c>
      <c r="AK67" s="191"/>
      <c r="AL67" s="191">
        <f t="array" ref="AL67">SQRT((AL4:AM4*$B$19:$C$19)/($B$4:$C$4*$B$19:$C$19)*(AL4:AM4*AL19:AM19)/($B$4:$C$4*AL19:AM19))</f>
        <v>1</v>
      </c>
      <c r="AM67" s="191"/>
      <c r="AN67" s="191" t="e">
        <f t="array" ref="AN67">SQRT((AN4:AO4*$B$19:$C$19)/($B$4:$C$4*$B$19:$C$19)*(AN4:AO4*AN19:AO19)/($B$4:$C$4*AN19:AO19))</f>
        <v>#DIV/0!</v>
      </c>
      <c r="AO67" s="191"/>
      <c r="AP67" s="191" t="e">
        <f t="array" ref="AP67">SQRT((AP4:AQ4*$B$19:$C$19)/($B$4:$C$4*$B$19:$C$19)*(AP4:AQ4*AP19:AQ19)/($B$4:$C$4*AP19:AQ19))</f>
        <v>#DIV/0!</v>
      </c>
      <c r="AQ67" s="191"/>
      <c r="AR67" s="191" t="e">
        <f t="array" ref="AR67">SQRT((AR4:AS4*$B$19:$C$19)/($B$4:$C$4*$B$19:$C$19)*(AR4:AS4*AR19:AS19)/($B$4:$C$4*AR19:AS19))</f>
        <v>#DIV/0!</v>
      </c>
      <c r="AS67" s="191"/>
      <c r="AT67" s="191" t="e">
        <f t="array" ref="AT67">SQRT((AT4:AU4*$B$19:$C$19)/($B$4:$C$4*$B$19:$C$19)*(AT4:AU4*AT19:AU19)/($B$4:$C$4*AT19:AU19))</f>
        <v>#DIV/0!</v>
      </c>
      <c r="AU67" s="191"/>
      <c r="AV67" s="191" t="e">
        <f t="array" ref="AV67">SQRT((AV4:AW4*$B$19:$C$19)/($B$4:$C$4*$B$19:$C$19)*(AV4:AW4*AV19:AW19)/($B$4:$C$4*AV19:AW19))</f>
        <v>#DIV/0!</v>
      </c>
      <c r="XFD67" s="191"/>
    </row>
    <row r="68" spans="1:48 16384:16384" x14ac:dyDescent="0.2">
      <c r="A68" t="s">
        <v>181</v>
      </c>
      <c r="B68" s="191">
        <f>B66/B67</f>
        <v>1</v>
      </c>
      <c r="C68" s="191"/>
      <c r="D68" s="191">
        <f>D66/D67</f>
        <v>0.99836896118089469</v>
      </c>
      <c r="E68" s="191"/>
      <c r="F68" s="191">
        <f>F66/F67</f>
        <v>0.99671312702122572</v>
      </c>
      <c r="G68" s="191"/>
      <c r="H68" s="191">
        <f>H66/H67</f>
        <v>0.9950235349011326</v>
      </c>
      <c r="I68" s="191"/>
      <c r="J68" s="191">
        <f>J66/J67</f>
        <v>0.99329062300818605</v>
      </c>
      <c r="K68" s="191"/>
      <c r="L68" s="191">
        <f>L66/L67</f>
        <v>0.99150439043491911</v>
      </c>
      <c r="M68" s="191"/>
      <c r="N68" s="191">
        <f>N66/N67</f>
        <v>0.98965483496967421</v>
      </c>
      <c r="O68" s="191"/>
      <c r="P68" s="191">
        <f>P66/P67</f>
        <v>0.98773276824379164</v>
      </c>
      <c r="Q68" s="191"/>
      <c r="R68" s="191">
        <f>R66/R67</f>
        <v>0.98573133072904606</v>
      </c>
      <c r="S68" s="191"/>
      <c r="T68" s="191">
        <f>T66/T67</f>
        <v>0.98364870922611691</v>
      </c>
      <c r="U68" s="191"/>
      <c r="V68" s="191">
        <f>V66/V67</f>
        <v>0.98149292690913992</v>
      </c>
      <c r="W68" s="191"/>
      <c r="X68" s="191">
        <f>X66/X67</f>
        <v>0.97929033831971135</v>
      </c>
      <c r="Y68" s="191"/>
      <c r="Z68" s="191">
        <f>Z66/Z67</f>
        <v>0.97710067632746933</v>
      </c>
      <c r="AA68" s="191"/>
      <c r="AB68" s="191">
        <f>AB66/AB67</f>
        <v>0.97504329588708716</v>
      </c>
      <c r="AC68" s="191"/>
      <c r="AD68" s="191">
        <f>AD66/AD67</f>
        <v>0.97334040487110629</v>
      </c>
      <c r="AE68" s="191"/>
      <c r="AF68" s="191">
        <f>AF66/AF67</f>
        <v>0.9723739687538111</v>
      </c>
      <c r="AG68" s="191"/>
      <c r="AH68" s="191">
        <f>AH66/AH67</f>
        <v>0.97270207833031086</v>
      </c>
      <c r="AI68" s="191"/>
      <c r="AJ68" s="191">
        <f>AJ66/AJ67</f>
        <v>0.97486039582104678</v>
      </c>
      <c r="AK68" s="191"/>
      <c r="AL68" s="191">
        <f>AL66/AL67</f>
        <v>0.97884803433588752</v>
      </c>
      <c r="AM68" s="191"/>
      <c r="AN68" s="191" t="e">
        <f>AN66/AN67</f>
        <v>#DIV/0!</v>
      </c>
      <c r="AO68" s="191"/>
      <c r="AP68" s="191" t="e">
        <f>AP66/AP67</f>
        <v>#DIV/0!</v>
      </c>
      <c r="AQ68" s="191"/>
      <c r="AR68" s="191" t="e">
        <f>AR66/AR67</f>
        <v>#DIV/0!</v>
      </c>
      <c r="AS68" s="191"/>
      <c r="AT68" s="191" t="e">
        <f>AT66/AT67</f>
        <v>#DIV/0!</v>
      </c>
      <c r="AU68" s="191"/>
      <c r="AV68" s="191" t="e">
        <f>AV66/AV67</f>
        <v>#DIV/0!</v>
      </c>
      <c r="XFD68" s="191"/>
    </row>
    <row r="69" spans="1:48 16384:16384" x14ac:dyDescent="0.2">
      <c r="A69" t="s">
        <v>177</v>
      </c>
      <c r="B69" s="191">
        <f>B32/B65/($B$32)</f>
        <v>1</v>
      </c>
      <c r="C69" s="191"/>
      <c r="D69" s="191">
        <f>D32/D65/($B$32)</f>
        <v>1.0066852189290167</v>
      </c>
      <c r="E69" s="191"/>
      <c r="F69" s="191">
        <f>F32/F65/($B$32)</f>
        <v>1.0127819879786368</v>
      </c>
      <c r="G69" s="191"/>
      <c r="H69" s="191">
        <f>H32/H65/($B$32)</f>
        <v>1.0182251760633567</v>
      </c>
      <c r="I69" s="191"/>
      <c r="J69" s="191">
        <f>J32/J65/($B$32)</f>
        <v>1.022931971687141</v>
      </c>
      <c r="K69" s="191"/>
      <c r="L69" s="191">
        <f>L32/L65/($B$32)</f>
        <v>1.0267975011775501</v>
      </c>
      <c r="M69" s="191"/>
      <c r="N69" s="191">
        <f>N32/N65/($B$32)</f>
        <v>1.0296883348593668</v>
      </c>
      <c r="O69" s="191"/>
      <c r="P69" s="191">
        <f>P32/P65/($B$32)</f>
        <v>1.031433790693409</v>
      </c>
      <c r="Q69" s="191"/>
      <c r="R69" s="191">
        <f>R32/R65/($B$32)</f>
        <v>1.0318133176448989</v>
      </c>
      <c r="S69" s="191"/>
      <c r="T69" s="191">
        <f>T32/T65/($B$32)</f>
        <v>1.0305379131956607</v>
      </c>
      <c r="U69" s="191"/>
      <c r="V69" s="191">
        <f>V32/V65/($B$32)</f>
        <v>1.0272216456565348</v>
      </c>
      <c r="W69" s="191"/>
      <c r="X69" s="191">
        <f>X32/X65/($B$32)</f>
        <v>1.021335554513854</v>
      </c>
      <c r="Y69" s="191"/>
      <c r="Z69" s="191">
        <f>Z32/Z65/($B$32)</f>
        <v>1.0121292798832799</v>
      </c>
      <c r="AA69" s="191"/>
      <c r="AB69" s="191">
        <f>AB32/AB65/($B$32)</f>
        <v>0.99848749566499584</v>
      </c>
      <c r="AC69" s="191"/>
      <c r="AD69" s="191">
        <f>AD32/AD65/($B$32)</f>
        <v>0.97864845442737602</v>
      </c>
      <c r="AE69" s="191"/>
      <c r="AF69" s="191">
        <f>AF32/AF65/($B$32)</f>
        <v>0.94961096529356159</v>
      </c>
      <c r="AG69" s="191"/>
      <c r="AH69" s="191">
        <f>AH32/AH65/($B$32)</f>
        <v>0.90583251568640732</v>
      </c>
      <c r="AI69" s="191"/>
      <c r="AJ69" s="191">
        <f>AJ32/AJ65/($B$32)</f>
        <v>0.83643205718056568</v>
      </c>
      <c r="AK69" s="191"/>
      <c r="AL69" s="191">
        <f>AL32/AL65/($B$32)</f>
        <v>0.71928809608526245</v>
      </c>
      <c r="AM69" s="191"/>
      <c r="AN69" s="191" t="e">
        <f>AN32/AN65/($B$32)</f>
        <v>#DIV/0!</v>
      </c>
      <c r="AO69" s="191"/>
      <c r="AP69" s="191" t="e">
        <f>AP32/AP65/($B$32)</f>
        <v>#DIV/0!</v>
      </c>
      <c r="AQ69" s="191"/>
      <c r="AR69" s="191" t="e">
        <f>AR32/AR65/($B$32)</f>
        <v>#DIV/0!</v>
      </c>
      <c r="AS69" s="191"/>
      <c r="AT69" s="191" t="e">
        <f>AT32/AT65/($B$32)</f>
        <v>#DIV/0!</v>
      </c>
      <c r="AU69" s="191"/>
      <c r="AV69" s="191" t="e">
        <f>AV32/AV65/($B$32)</f>
        <v>#DIV/0!</v>
      </c>
    </row>
    <row r="70" spans="1:48 16384:16384" x14ac:dyDescent="0.2">
      <c r="A70" t="s">
        <v>178</v>
      </c>
      <c r="B70" s="138">
        <f>B18/$B$18</f>
        <v>1</v>
      </c>
      <c r="C70" s="138"/>
      <c r="D70" s="138">
        <f>D18/$B$18</f>
        <v>1.0053376453865948</v>
      </c>
      <c r="E70" s="138"/>
      <c r="F70" s="138">
        <f>F18/$B$18</f>
        <v>1.0100747456739729</v>
      </c>
      <c r="G70" s="138"/>
      <c r="H70" s="138">
        <f>H18/$B$18</f>
        <v>1.0141467531189101</v>
      </c>
      <c r="I70" s="138"/>
      <c r="J70" s="138">
        <f>J18/$B$18</f>
        <v>1.0174714131043601</v>
      </c>
      <c r="K70" s="138"/>
      <c r="L70" s="138">
        <f>L18/$B$18</f>
        <v>1.0199439658724996</v>
      </c>
      <c r="M70" s="138"/>
      <c r="N70" s="138">
        <f>N18/$B$18</f>
        <v>1.0214301692973762</v>
      </c>
      <c r="O70" s="138"/>
      <c r="P70" s="138">
        <f>P18/$B$18</f>
        <v>1.0217565106949564</v>
      </c>
      <c r="Q70" s="138"/>
      <c r="R70" s="138">
        <f>R18/$B$18</f>
        <v>1.0206958163395008</v>
      </c>
      <c r="S70" s="138"/>
      <c r="T70" s="138">
        <f>T18/$B$18</f>
        <v>1.0179455284274881</v>
      </c>
      <c r="U70" s="138"/>
      <c r="V70" s="138">
        <f>V18/$B$18</f>
        <v>1.0130939422797316</v>
      </c>
      <c r="W70" s="138"/>
      <c r="X70" s="138">
        <f>X18/$B$18</f>
        <v>1.005565020262265</v>
      </c>
      <c r="Y70" s="138"/>
      <c r="Z70" s="138">
        <f>Z18/$B$18</f>
        <v>0.99452471499443029</v>
      </c>
      <c r="AA70" s="138"/>
      <c r="AB70" s="138">
        <f>AB18/$B$18</f>
        <v>0.9787130102619096</v>
      </c>
      <c r="AC70" s="138"/>
      <c r="AD70" s="138">
        <f>AD18/$B$18</f>
        <v>0.95612887079692988</v>
      </c>
      <c r="AE70" s="138"/>
      <c r="AF70" s="138">
        <f>AF18/$B$18</f>
        <v>0.92341693236531108</v>
      </c>
      <c r="AG70" s="138"/>
      <c r="AH70" s="138">
        <f>AH18/$B$18</f>
        <v>0.87466850536207574</v>
      </c>
      <c r="AI70" s="138"/>
      <c r="AJ70" s="138">
        <f>AJ18/$B$18</f>
        <v>0.7991540737835755</v>
      </c>
      <c r="AK70" s="138"/>
      <c r="AL70" s="138">
        <f>AL18/$B$18</f>
        <v>0.67674293401953722</v>
      </c>
      <c r="AM70" s="138"/>
      <c r="AN70" s="138">
        <f>AN18/$B$18</f>
        <v>0</v>
      </c>
      <c r="AO70" s="138"/>
      <c r="AP70" s="138">
        <f>AP18/$B$18</f>
        <v>0</v>
      </c>
      <c r="AQ70" s="138"/>
      <c r="AR70" s="138">
        <f>AR18/$B$18</f>
        <v>0</v>
      </c>
      <c r="AS70" s="138"/>
      <c r="AT70" s="138">
        <f>AT18/$B$18</f>
        <v>0</v>
      </c>
      <c r="AU70" s="138"/>
      <c r="AV70" s="138">
        <f>AV18/$B$18</f>
        <v>0</v>
      </c>
    </row>
    <row r="71" spans="1:48 16384:16384" x14ac:dyDescent="0.2">
      <c r="A71" t="s">
        <v>179</v>
      </c>
      <c r="B71" s="138">
        <f>C18/$C$18</f>
        <v>1</v>
      </c>
      <c r="D71" s="138">
        <f>E18/$C$18</f>
        <v>0.9283505541924999</v>
      </c>
      <c r="E71" s="138"/>
      <c r="F71" s="138">
        <f>G18/$C$18</f>
        <v>0.85695233820672079</v>
      </c>
      <c r="G71" s="138"/>
      <c r="H71" s="138">
        <f>I18/$C$18</f>
        <v>0.78583790907355722</v>
      </c>
      <c r="I71" s="138"/>
      <c r="J71" s="138">
        <f>K18/$C$18</f>
        <v>0.71505965241791647</v>
      </c>
      <c r="K71" s="138"/>
      <c r="L71" s="138">
        <f>M18/$C$18</f>
        <v>0.64469299867725716</v>
      </c>
      <c r="M71" s="138"/>
      <c r="N71" s="138">
        <f>O18/$C$18</f>
        <v>0.57485222541356817</v>
      </c>
      <c r="O71" s="138"/>
      <c r="P71" s="138">
        <f>Q18/$C$18</f>
        <v>0.50570426581384254</v>
      </c>
      <c r="Q71" s="138"/>
      <c r="R71" s="138">
        <f>S18/$C$18</f>
        <v>0.43749307072538124</v>
      </c>
      <c r="S71" s="138"/>
      <c r="T71" s="138">
        <f>U18/$C$18</f>
        <v>0.37057160823722046</v>
      </c>
      <c r="U71" s="138"/>
      <c r="V71" s="138">
        <f>W18/$C$18</f>
        <v>0.30545086710531577</v>
      </c>
      <c r="W71" s="138"/>
      <c r="X71" s="138">
        <f>Y18/$C$18</f>
        <v>0.24286609097265136</v>
      </c>
      <c r="Y71" s="138"/>
      <c r="Z71" s="138">
        <f>AA18/$C$18</f>
        <v>0.18386682324962317</v>
      </c>
      <c r="AA71" s="138"/>
      <c r="AB71" s="138">
        <f>AC18/$C$18</f>
        <v>0.12993009372518849</v>
      </c>
      <c r="AC71" s="138"/>
      <c r="AD71" s="138">
        <f>AE18/$C$18</f>
        <v>8.3051169769634337E-2</v>
      </c>
      <c r="AE71" s="138"/>
      <c r="AF71" s="138">
        <f>AG18/$C$18</f>
        <v>4.5658611237312005E-2</v>
      </c>
      <c r="AG71" s="138"/>
      <c r="AH71" s="138">
        <f>AI18/$C$18</f>
        <v>1.9941101314238527E-2</v>
      </c>
      <c r="AI71" s="138"/>
      <c r="AJ71" s="138">
        <f>AK18/$C$18</f>
        <v>6.1491431294623915E-3</v>
      </c>
      <c r="AK71" s="138"/>
      <c r="AL71" s="138">
        <f>AM18/$C$18</f>
        <v>1.1201684860660016E-3</v>
      </c>
      <c r="AM71" s="138"/>
      <c r="AN71" s="138">
        <f>AO18/$C$18</f>
        <v>0</v>
      </c>
      <c r="AO71" s="138"/>
      <c r="AP71" s="138">
        <f>AQ18/$C$18</f>
        <v>0</v>
      </c>
      <c r="AQ71" s="138"/>
      <c r="AR71" s="138">
        <f>AS18/$C$18</f>
        <v>0</v>
      </c>
      <c r="AS71" s="138"/>
      <c r="AT71" s="138">
        <f>AU18/$C$18</f>
        <v>0</v>
      </c>
      <c r="AU71" s="138"/>
      <c r="AV71" s="138">
        <f>AW18/$C$18</f>
        <v>0</v>
      </c>
      <c r="XFD71" s="138"/>
    </row>
    <row r="72" spans="1:48 16384:16384" x14ac:dyDescent="0.2">
      <c r="A72" t="s">
        <v>180</v>
      </c>
      <c r="B72" s="138">
        <f>C19/$C$19</f>
        <v>1</v>
      </c>
      <c r="D72" s="138">
        <f>E19/$C$19</f>
        <v>1.030848757950815</v>
      </c>
      <c r="E72" s="138"/>
      <c r="F72" s="138">
        <f>G19/$C$19</f>
        <v>1.0650719486293136</v>
      </c>
      <c r="G72" s="138"/>
      <c r="H72" s="138">
        <f>I19/$C$19</f>
        <v>1.1030182302877698</v>
      </c>
      <c r="I72" s="138"/>
      <c r="J72" s="138">
        <f>K19/$C$19</f>
        <v>1.1450392583380404</v>
      </c>
      <c r="K72" s="138"/>
      <c r="L72" s="138">
        <f>M19/$C$19</f>
        <v>1.1914565161778736</v>
      </c>
      <c r="M72" s="138"/>
      <c r="N72" s="138">
        <f>O19/$C$19</f>
        <v>1.2425226522962527</v>
      </c>
      <c r="O72" s="138"/>
      <c r="P72" s="138">
        <f>Q19/$C$19</f>
        <v>1.2983432038747136</v>
      </c>
      <c r="Q72" s="138"/>
      <c r="R72" s="138">
        <f>S19/$C$19</f>
        <v>1.3587529102189011</v>
      </c>
      <c r="S72" s="138"/>
      <c r="T72" s="138">
        <f>U19/$C$19</f>
        <v>1.423106960200355</v>
      </c>
      <c r="U72" s="138"/>
      <c r="V72" s="138">
        <f>W19/$C$19</f>
        <v>1.489939092552651</v>
      </c>
      <c r="W72" s="138"/>
      <c r="X72" s="138">
        <f>Y19/$C$19</f>
        <v>1.5563841506460023</v>
      </c>
      <c r="Y72" s="138"/>
      <c r="Z72" s="138">
        <f>AA19/$C$19</f>
        <v>1.6172135340605749</v>
      </c>
      <c r="AA72" s="138"/>
      <c r="AB72" s="138">
        <f>AC19/$C$19</f>
        <v>1.6632466739567784</v>
      </c>
      <c r="AC72" s="138"/>
      <c r="AD72" s="138">
        <f>AE19/$C$19</f>
        <v>1.6789201140526977</v>
      </c>
      <c r="AE72" s="138"/>
      <c r="AF72" s="138">
        <f>AG19/$C$19</f>
        <v>1.6394745512616746</v>
      </c>
      <c r="AG72" s="138"/>
      <c r="AH72" s="138">
        <f>AI19/$C$19</f>
        <v>1.5112535089376451</v>
      </c>
      <c r="AI72" s="138"/>
      <c r="AJ72" s="138">
        <f>AK19/$C$19</f>
        <v>1.2646030739866327</v>
      </c>
      <c r="AK72" s="138"/>
      <c r="AL72" s="138">
        <f>AM19/$C$19</f>
        <v>0.90183154563069157</v>
      </c>
      <c r="AM72" s="138"/>
      <c r="AN72" s="138">
        <f>AO19/$C$19</f>
        <v>0</v>
      </c>
      <c r="AO72" s="138"/>
      <c r="AP72" s="138">
        <f>AQ19/$C$19</f>
        <v>0</v>
      </c>
      <c r="AQ72" s="138"/>
      <c r="AR72" s="138">
        <f>AS19/$C$19</f>
        <v>0</v>
      </c>
      <c r="AS72" s="138"/>
      <c r="AT72" s="138">
        <f>AU19/$C$19</f>
        <v>0</v>
      </c>
      <c r="AU72" s="138"/>
      <c r="AV72" s="138">
        <f>AW19/$C$19</f>
        <v>0</v>
      </c>
      <c r="XFD72" s="138"/>
    </row>
    <row r="73" spans="1:48 16384:16384" x14ac:dyDescent="0.2">
      <c r="A73" t="s">
        <v>184</v>
      </c>
      <c r="B73" s="193">
        <f t="array" ref="B73">SUM(B9:C9*B22:C22)/B32</f>
        <v>0.47641153352875065</v>
      </c>
      <c r="D73" s="193">
        <f t="array" ref="D73">SUM(D9:E9*D22:E22)/D32</f>
        <v>0.47641154995054918</v>
      </c>
      <c r="E73" s="138"/>
      <c r="F73" s="193">
        <f t="array" ref="F73">SUM(F9:G9*F22:G22)/F32</f>
        <v>0.47641155322429429</v>
      </c>
      <c r="G73" s="138"/>
      <c r="H73" s="193">
        <f t="array" ref="H73">SUM(H9:I9*H22:I22)/H32</f>
        <v>0.47641153430846644</v>
      </c>
      <c r="I73" s="138"/>
      <c r="J73" s="193">
        <f t="array" ref="J73">SUM(J9:K9*J22:K22)/J32</f>
        <v>0.47641153704156075</v>
      </c>
      <c r="K73" s="138"/>
      <c r="L73" s="193">
        <f t="array" ref="L73">SUM(L9:M9*L22:M22)/L32</f>
        <v>0.47641153456259966</v>
      </c>
      <c r="M73" s="138"/>
      <c r="N73" s="193">
        <f t="array" ref="N73">SUM(N9:O9*N22:O22)/N32</f>
        <v>0.47641153527576313</v>
      </c>
      <c r="O73" s="138"/>
      <c r="P73" s="193">
        <f t="array" ref="P73">SUM(P9:Q9*P22:Q22)/P32</f>
        <v>0.47641153577548107</v>
      </c>
      <c r="Q73" s="138"/>
      <c r="R73" s="193">
        <f t="array" ref="R73">SUM(R9:S9*R22:S22)/R32</f>
        <v>0.47641153851705603</v>
      </c>
      <c r="S73" s="138"/>
      <c r="T73" s="193">
        <f t="array" ref="T73">SUM(T9:U9*T22:U22)/T32</f>
        <v>0.47641153551812415</v>
      </c>
      <c r="U73" s="138"/>
      <c r="V73" s="193">
        <f t="array" ref="V73">SUM(V9:W9*V22:W22)/V32</f>
        <v>0.47641153405619158</v>
      </c>
      <c r="W73" s="138"/>
      <c r="X73" s="193">
        <f t="array" ref="X73">SUM(X9:Y9*X22:Y22)/X32</f>
        <v>0.47641153259723262</v>
      </c>
      <c r="Y73" s="138"/>
      <c r="Z73" s="193">
        <f t="array" ref="Z73">SUM(Z9:AA9*Z22:AA22)/Z32</f>
        <v>0.47641153505469275</v>
      </c>
      <c r="AA73" s="138"/>
      <c r="AB73" s="193">
        <f t="array" ref="AB73">SUM(AB9:AC9*AB22:AC22)/AB32</f>
        <v>0.47641153429350536</v>
      </c>
      <c r="AC73" s="138"/>
      <c r="AD73" s="193">
        <f t="array" ref="AD73">SUM(AD9:AE9*AD22:AE22)/AD32</f>
        <v>0.47641153331009112</v>
      </c>
      <c r="AE73" s="138"/>
      <c r="AF73" s="193">
        <f t="array" ref="AF73">SUM(AF9:AG9*AF22:AG22)/AF32</f>
        <v>0.47641153976597767</v>
      </c>
      <c r="AG73" s="138"/>
      <c r="AH73" s="193">
        <f t="array" ref="AH73">SUM(AH9:AI9*AH22:AI22)/AH32</f>
        <v>0.47641153392577301</v>
      </c>
      <c r="AI73" s="138"/>
      <c r="AJ73" s="193">
        <f t="array" ref="AJ73">SUM(AJ9:AK9*AJ22:AK22)/AJ32</f>
        <v>0.47641153351516852</v>
      </c>
      <c r="AK73" s="138"/>
      <c r="AL73" s="193">
        <f t="array" ref="AL73">SUM(AL9:AM9*AL22:AM22)/AL32</f>
        <v>0.47641153352734644</v>
      </c>
      <c r="AM73" s="138"/>
      <c r="AN73" s="193" t="e">
        <f t="array" ref="AN73">SUM(AN9:AO9*AN22:AO22)/AN32</f>
        <v>#DIV/0!</v>
      </c>
      <c r="AO73" s="138"/>
      <c r="AP73" s="193" t="e">
        <f t="array" ref="AP73">SUM(AP9:AQ9*AP22:AQ22)/AP32</f>
        <v>#DIV/0!</v>
      </c>
      <c r="AQ73" s="138"/>
      <c r="AR73" s="193" t="e">
        <f t="array" ref="AR73">SUM(AR9:AS9*AR22:AS22)/AR32</f>
        <v>#DIV/0!</v>
      </c>
      <c r="AS73" s="138"/>
      <c r="AT73" s="193" t="e">
        <f t="array" ref="AT73">SUM(AT9:AU9*AT22:AU22)/AT32</f>
        <v>#DIV/0!</v>
      </c>
      <c r="AU73" s="138"/>
      <c r="AV73" s="193" t="e">
        <f t="array" ref="AV73">SUM(AV9:AW9*AV22:AW22)/AV32</f>
        <v>#DIV/0!</v>
      </c>
      <c r="XFD73" s="193"/>
    </row>
    <row r="74" spans="1:48 16384:16384" x14ac:dyDescent="0.2">
      <c r="A74" t="s">
        <v>185</v>
      </c>
      <c r="B74" s="193">
        <f t="array" ref="B74">SUM(B10:C10*B23:C23)/B32</f>
        <v>0.22604620456442484</v>
      </c>
      <c r="D74" s="193">
        <f t="array" ref="D74">SUM(D10:E10*D23:E23)/D32</f>
        <v>0.22604620456442484</v>
      </c>
      <c r="E74" s="138"/>
      <c r="F74" s="193">
        <f t="array" ref="F74">SUM(F10:G10*F23:G23)/F32</f>
        <v>0.22604620456442481</v>
      </c>
      <c r="G74" s="138"/>
      <c r="H74" s="193">
        <f t="array" ref="H74">SUM(H10:I10*H23:I23)/H32</f>
        <v>0.22604620456442487</v>
      </c>
      <c r="I74" s="138"/>
      <c r="J74" s="193">
        <f t="array" ref="J74">SUM(J10:K10*J23:K23)/J32</f>
        <v>0.22604620456442484</v>
      </c>
      <c r="K74" s="138"/>
      <c r="L74" s="193">
        <f t="array" ref="L74">SUM(L10:M10*L23:M23)/L32</f>
        <v>0.22604620456442484</v>
      </c>
      <c r="M74" s="138"/>
      <c r="N74" s="193">
        <f t="array" ref="N74">SUM(N10:O10*N23:O23)/N32</f>
        <v>0.22604620456442484</v>
      </c>
      <c r="O74" s="138"/>
      <c r="P74" s="193">
        <f t="array" ref="P74">SUM(P10:Q10*P23:Q23)/P32</f>
        <v>0.22604620456442484</v>
      </c>
      <c r="Q74" s="138"/>
      <c r="R74" s="193">
        <f t="array" ref="R74">SUM(R10:S10*R23:S23)/R32</f>
        <v>0.22604620456442484</v>
      </c>
      <c r="S74" s="138"/>
      <c r="T74" s="193">
        <f t="array" ref="T74">SUM(T10:U10*T23:U23)/T32</f>
        <v>0.22604620456442484</v>
      </c>
      <c r="U74" s="138"/>
      <c r="V74" s="193">
        <f t="array" ref="V74">SUM(V10:W10*V23:W23)/V32</f>
        <v>0.22604620456442481</v>
      </c>
      <c r="W74" s="138"/>
      <c r="X74" s="193">
        <f t="array" ref="X74">SUM(X10:Y10*X23:Y23)/X32</f>
        <v>0.22604620456442484</v>
      </c>
      <c r="Y74" s="138"/>
      <c r="Z74" s="193">
        <f t="array" ref="Z74">SUM(Z10:AA10*Z23:AA23)/Z32</f>
        <v>0.22604620456442484</v>
      </c>
      <c r="AA74" s="138"/>
      <c r="AB74" s="193">
        <f t="array" ref="AB74">SUM(AB10:AC10*AB23:AC23)/AB32</f>
        <v>0.22604620456442484</v>
      </c>
      <c r="AC74" s="138"/>
      <c r="AD74" s="193">
        <f t="array" ref="AD74">SUM(AD10:AE10*AD23:AE23)/AD32</f>
        <v>0.22604620456442484</v>
      </c>
      <c r="AE74" s="138"/>
      <c r="AF74" s="193">
        <f t="array" ref="AF74">SUM(AF10:AG10*AF23:AG23)/AF32</f>
        <v>0.22604620456442484</v>
      </c>
      <c r="AG74" s="138"/>
      <c r="AH74" s="193">
        <f t="array" ref="AH74">SUM(AH10:AI10*AH23:AI23)/AH32</f>
        <v>0.22604620456442484</v>
      </c>
      <c r="AI74" s="138"/>
      <c r="AJ74" s="193">
        <f t="array" ref="AJ74">SUM(AJ10:AK10*AJ23:AK23)/AJ32</f>
        <v>0.22604620456442484</v>
      </c>
      <c r="AK74" s="138"/>
      <c r="AL74" s="193">
        <f t="array" ref="AL74">SUM(AL10:AM10*AL23:AM23)/AL32</f>
        <v>0.22604620456442484</v>
      </c>
      <c r="AM74" s="138"/>
      <c r="AN74" s="193" t="e">
        <f t="array" ref="AN74">SUM(AN10:AO10*AN23:AO23)/AN32</f>
        <v>#DIV/0!</v>
      </c>
      <c r="AO74" s="138"/>
      <c r="AP74" s="193" t="e">
        <f t="array" ref="AP74">SUM(AP10:AQ10*AP23:AQ23)/AP32</f>
        <v>#DIV/0!</v>
      </c>
      <c r="AQ74" s="138"/>
      <c r="AR74" s="193" t="e">
        <f t="array" ref="AR74">SUM(AR10:AS10*AR23:AS23)/AR32</f>
        <v>#DIV/0!</v>
      </c>
      <c r="AS74" s="138"/>
      <c r="AT74" s="193" t="e">
        <f t="array" ref="AT74">SUM(AT10:AU10*AT23:AU23)/AT32</f>
        <v>#DIV/0!</v>
      </c>
      <c r="AU74" s="138"/>
      <c r="AV74" s="193" t="e">
        <f t="array" ref="AV74">SUM(AV10:AW10*AV23:AW23)/AV32</f>
        <v>#DIV/0!</v>
      </c>
      <c r="XFD74" s="193"/>
    </row>
    <row r="75" spans="1:48 16384:16384" x14ac:dyDescent="0.2">
      <c r="A75" t="s">
        <v>186</v>
      </c>
      <c r="B75" s="193">
        <f t="array" ref="B75">SUM(B11:C11*B24:C24)/B32</f>
        <v>0.22038438833194082</v>
      </c>
      <c r="D75" s="193">
        <f t="array" ref="D75">SUM(D11:E11*D24:E24)/D32</f>
        <v>0.22038438878932096</v>
      </c>
      <c r="E75" s="138"/>
      <c r="F75" s="193">
        <f t="array" ref="F75">SUM(F11:G11*F24:G24)/F32</f>
        <v>0.22038438886098036</v>
      </c>
      <c r="G75" s="138"/>
      <c r="H75" s="193">
        <f t="array" ref="H75">SUM(H11:I11*H24:I24)/H32</f>
        <v>0.22038438831173529</v>
      </c>
      <c r="I75" s="138"/>
      <c r="J75" s="193">
        <f t="array" ref="J75">SUM(J11:K11*J24:K24)/J32</f>
        <v>0.22038438841813859</v>
      </c>
      <c r="K75" s="138"/>
      <c r="L75" s="193">
        <f t="array" ref="L75">SUM(L11:M11*L24:M24)/L32</f>
        <v>0.22038438828829957</v>
      </c>
      <c r="M75" s="138"/>
      <c r="N75" s="193">
        <f t="array" ref="N75">SUM(N11:O11*N24:O24)/N32</f>
        <v>0.22038438824259993</v>
      </c>
      <c r="O75" s="138"/>
      <c r="P75" s="193">
        <f t="array" ref="P75">SUM(P11:Q11*P24:Q24)/P32</f>
        <v>0.22038438819970202</v>
      </c>
      <c r="Q75" s="138"/>
      <c r="R75" s="193">
        <f t="array" ref="R75">SUM(R11:S11*R24:S24)/R32</f>
        <v>0.22038438822246417</v>
      </c>
      <c r="S75" s="138"/>
      <c r="T75" s="193">
        <f t="array" ref="T75">SUM(T11:U11*T24:U24)/T32</f>
        <v>0.22038438829324838</v>
      </c>
      <c r="U75" s="138"/>
      <c r="V75" s="193">
        <f t="array" ref="V75">SUM(V11:W11*V24:W24)/V32</f>
        <v>0.22038438832350657</v>
      </c>
      <c r="W75" s="138"/>
      <c r="X75" s="193">
        <f t="array" ref="X75">SUM(X11:Y11*X24:Y24)/X32</f>
        <v>0.22038438841949828</v>
      </c>
      <c r="Y75" s="138"/>
      <c r="Z75" s="193">
        <f t="array" ref="Z75">SUM(Z11:AA11*Z24:AA24)/Z32</f>
        <v>0.2203843883980236</v>
      </c>
      <c r="AA75" s="138"/>
      <c r="AB75" s="193">
        <f t="array" ref="AB75">SUM(AB11:AC11*AB24:AC24)/AB32</f>
        <v>0.22038438830648102</v>
      </c>
      <c r="AC75" s="138"/>
      <c r="AD75" s="193">
        <f t="array" ref="AD75">SUM(AD11:AE11*AD24:AE24)/AD32</f>
        <v>0.22038438834464139</v>
      </c>
      <c r="AE75" s="138"/>
      <c r="AF75" s="193">
        <f t="array" ref="AF75">SUM(AF11:AG11*AF24:AG24)/AF32</f>
        <v>0.22038438837307495</v>
      </c>
      <c r="AG75" s="138"/>
      <c r="AH75" s="193">
        <f t="array" ref="AH75">SUM(AH11:AI11*AH24:AI24)/AH32</f>
        <v>0.22038438835472474</v>
      </c>
      <c r="AI75" s="138"/>
      <c r="AJ75" s="193">
        <f t="array" ref="AJ75">SUM(AJ11:AK11*AJ24:AK24)/AJ32</f>
        <v>0.22038438833268953</v>
      </c>
      <c r="AK75" s="138"/>
      <c r="AL75" s="193">
        <f t="array" ref="AL75">SUM(AL11:AM11*AL24:AM24)/AL32</f>
        <v>0.2203843883321713</v>
      </c>
      <c r="AM75" s="138"/>
      <c r="AN75" s="193" t="e">
        <f t="array" ref="AN75">SUM(AN11:AO11*AN24:AO24)/AN32</f>
        <v>#DIV/0!</v>
      </c>
      <c r="AO75" s="138"/>
      <c r="AP75" s="193" t="e">
        <f t="array" ref="AP75">SUM(AP11:AQ11*AP24:AQ24)/AP32</f>
        <v>#DIV/0!</v>
      </c>
      <c r="AQ75" s="138"/>
      <c r="AR75" s="193" t="e">
        <f t="array" ref="AR75">SUM(AR11:AS11*AR24:AS24)/AR32</f>
        <v>#DIV/0!</v>
      </c>
      <c r="AS75" s="138"/>
      <c r="AT75" s="193" t="e">
        <f t="array" ref="AT75">SUM(AT11:AU11*AT24:AU24)/AT32</f>
        <v>#DIV/0!</v>
      </c>
      <c r="AU75" s="138"/>
      <c r="AV75" s="193" t="e">
        <f t="array" ref="AV75">SUM(AV11:AW11*AV24:AW24)/AV32</f>
        <v>#DIV/0!</v>
      </c>
      <c r="XFD75" s="193"/>
    </row>
    <row r="76" spans="1:48 16384:16384" x14ac:dyDescent="0.2">
      <c r="A76" t="s">
        <v>187</v>
      </c>
      <c r="B76" s="193">
        <f t="array" ref="B76">SUM(B12:C12*B25:C25)/B32</f>
        <v>0.22301874374724867</v>
      </c>
      <c r="D76" s="193">
        <f t="array" ref="D76">SUM(D12:E12*D25:E25)/D32</f>
        <v>0.22299176049094746</v>
      </c>
      <c r="E76" s="138"/>
      <c r="F76" s="193">
        <f t="array" ref="F76">SUM(F12:G12*F25:G25)/F32</f>
        <v>0.22302783253378219</v>
      </c>
      <c r="G76" s="138"/>
      <c r="H76" s="193">
        <f t="array" ref="H76">SUM(H12:I12*H25:I25)/H32</f>
        <v>0.22313256573669307</v>
      </c>
      <c r="I76" s="138"/>
      <c r="J76" s="193">
        <f t="array" ref="J76">SUM(J12:K12*J25:K25)/J32</f>
        <v>0.22331209380897088</v>
      </c>
      <c r="K76" s="138"/>
      <c r="L76" s="193">
        <f t="array" ref="L76">SUM(L12:M12*L25:M25)/L32</f>
        <v>0.22357283581655238</v>
      </c>
      <c r="M76" s="138"/>
      <c r="N76" s="193">
        <f t="array" ref="N76">SUM(N12:O12*N25:O25)/N32</f>
        <v>0.22392106609896625</v>
      </c>
      <c r="O76" s="138"/>
      <c r="P76" s="193">
        <f t="array" ref="P76">SUM(P12:Q12*P25:Q25)/P32</f>
        <v>0.22436206529169117</v>
      </c>
      <c r="Q76" s="138"/>
      <c r="R76" s="193">
        <f t="array" ref="R76">SUM(R12:S12*R25:S25)/R32</f>
        <v>0.2248986232021101</v>
      </c>
      <c r="S76" s="138"/>
      <c r="T76" s="193">
        <f t="array" ref="T76">SUM(T12:U12*T25:U25)/T32</f>
        <v>0.225528343521784</v>
      </c>
      <c r="U76" s="138"/>
      <c r="V76" s="193">
        <f t="array" ref="V76">SUM(V12:W12*V25:W25)/V32</f>
        <v>0.22623890556587159</v>
      </c>
      <c r="W76" s="138"/>
      <c r="X76" s="193">
        <f t="array" ref="X76">SUM(X12:Y12*X25:Y25)/X32</f>
        <v>0.22699959358501429</v>
      </c>
      <c r="Y76" s="138"/>
      <c r="Z76" s="193">
        <f t="array" ref="Z76">SUM(Z12:AA12*Z25:AA25)/Z32</f>
        <v>0.22774618340550384</v>
      </c>
      <c r="AA76" s="138"/>
      <c r="AB76" s="193">
        <f t="array" ref="AB76">SUM(AB12:AC12*AB25:AC25)/AB32</f>
        <v>0.22835443693476887</v>
      </c>
      <c r="AC76" s="138"/>
      <c r="AD76" s="193">
        <f t="array" ref="AD76">SUM(AD12:AE12*AD25:AE25)/AD32</f>
        <v>0.22859615583588677</v>
      </c>
      <c r="AE76" s="138"/>
      <c r="AF76" s="193">
        <f t="array" ref="AF76">SUM(AF12:AG12*AF25:AG25)/AF32</f>
        <v>0.22808063089924094</v>
      </c>
      <c r="AG76" s="138"/>
      <c r="AH76" s="193">
        <f t="array" ref="AH76">SUM(AH12:AI12*AH25:AI25)/AH32</f>
        <v>0.22623290555072517</v>
      </c>
      <c r="AI76" s="138"/>
      <c r="AJ76" s="193">
        <f t="array" ref="AJ76">SUM(AJ12:AK12*AJ25:AK25)/AJ32</f>
        <v>0.22246692007980504</v>
      </c>
      <c r="AK76" s="138"/>
      <c r="AL76" s="193">
        <f t="array" ref="AL76">SUM(AL12:AM12*AL25:AM25)/AL32</f>
        <v>0.21659869479551833</v>
      </c>
      <c r="AM76" s="138"/>
      <c r="AN76" s="193" t="e">
        <f t="array" ref="AN76">SUM(AN12:AO12*AN25:AO25)/AN32</f>
        <v>#DIV/0!</v>
      </c>
      <c r="AO76" s="138"/>
      <c r="AP76" s="193" t="e">
        <f t="array" ref="AP76">SUM(AP12:AQ12*AP25:AQ25)/AP32</f>
        <v>#DIV/0!</v>
      </c>
      <c r="AQ76" s="138"/>
      <c r="AR76" s="193" t="e">
        <f t="array" ref="AR76">SUM(AR12:AS12*AR25:AS25)/AR32</f>
        <v>#DIV/0!</v>
      </c>
      <c r="AS76" s="138"/>
      <c r="AT76" s="193" t="e">
        <f t="array" ref="AT76">SUM(AT12:AU12*AT25:AU25)/AT32</f>
        <v>#DIV/0!</v>
      </c>
      <c r="AU76" s="138"/>
      <c r="AV76" s="193" t="e">
        <f t="array" ref="AV76">SUM(AV12:AW12*AV25:AW25)/AV32</f>
        <v>#DIV/0!</v>
      </c>
      <c r="XFD76" s="193"/>
    </row>
    <row r="77" spans="1:48 16384:16384" x14ac:dyDescent="0.2">
      <c r="A77" t="s">
        <v>188</v>
      </c>
      <c r="B77" s="193">
        <f t="array" ref="B77">SUM(B4:C4*B19:C19)/B32</f>
        <v>0.14586087017236485</v>
      </c>
      <c r="D77" s="193">
        <f t="array" ref="D77">SUM(D4:E4*D19:E19)/D32</f>
        <v>0.14583390379524236</v>
      </c>
      <c r="E77" s="138"/>
      <c r="F77" s="193">
        <f t="array" ref="F77">SUM(F4:G4*F19:G19)/F32</f>
        <v>0.1458699791834816</v>
      </c>
      <c r="G77" s="138"/>
      <c r="H77" s="193">
        <f t="array" ref="H77">SUM(H4:I4*H19:I19)/H32</f>
        <v>0.14597469292131959</v>
      </c>
      <c r="I77" s="138"/>
      <c r="J77" s="193">
        <f t="array" ref="J77">SUM(J4:K4*J19:K19)/J32</f>
        <v>0.14615422383309482</v>
      </c>
      <c r="K77" s="138"/>
      <c r="L77" s="193">
        <f t="array" ref="L77">SUM(L4:M4*L19:M19)/L32</f>
        <v>0.14641496323187625</v>
      </c>
      <c r="M77" s="138"/>
      <c r="N77" s="193">
        <f t="array" ref="N77">SUM(N4:O4*N19:O19)/N32</f>
        <v>0.14676319418175401</v>
      </c>
      <c r="O77" s="138"/>
      <c r="P77" s="193">
        <f t="array" ref="P77">SUM(P4:Q4*P19:Q19)/P32</f>
        <v>0.14720419383129896</v>
      </c>
      <c r="Q77" s="138"/>
      <c r="R77" s="193">
        <f t="array" ref="R77">SUM(R4:S4*R19:S19)/R32</f>
        <v>0.14774075450605489</v>
      </c>
      <c r="S77" s="138"/>
      <c r="T77" s="193">
        <f t="array" ref="T77">SUM(T4:U4*T19:U19)/T32</f>
        <v>0.14837047189758126</v>
      </c>
      <c r="U77" s="138"/>
      <c r="V77" s="193">
        <f t="array" ref="V77">SUM(V4:W4*V19:W19)/V32</f>
        <v>0.14908103250999435</v>
      </c>
      <c r="W77" s="138"/>
      <c r="X77" s="193">
        <f t="array" ref="X77">SUM(X4:Y4*X19:Y19)/X32</f>
        <v>0.14984171916616981</v>
      </c>
      <c r="Y77" s="138"/>
      <c r="Z77" s="193">
        <f t="array" ref="Z77">SUM(Z4:AA4*Z19:AA19)/Z32</f>
        <v>0.15058831142264495</v>
      </c>
      <c r="AA77" s="138"/>
      <c r="AB77" s="193">
        <f t="array" ref="AB77">SUM(AB4:AC4*AB19:AC19)/AB32</f>
        <v>0.15119656409917998</v>
      </c>
      <c r="AC77" s="138"/>
      <c r="AD77" s="193">
        <f t="array" ref="AD77">SUM(AD4:AE4*AD19:AE19)/AD32</f>
        <v>0.151438282055044</v>
      </c>
      <c r="AE77" s="138"/>
      <c r="AF77" s="193">
        <f t="array" ref="AF77">SUM(AF4:AG4*AF19:AG19)/AF32</f>
        <v>0.15092276360271828</v>
      </c>
      <c r="AG77" s="138"/>
      <c r="AH77" s="193">
        <f t="array" ref="AH77">SUM(AH4:AI4*AH19:AI19)/AH32</f>
        <v>0.14907503239564765</v>
      </c>
      <c r="AI77" s="138"/>
      <c r="AJ77" s="193">
        <f t="array" ref="AJ77">SUM(AJ4:AK4*AJ19:AK19)/AJ32</f>
        <v>0.14530904649208781</v>
      </c>
      <c r="AK77" s="138"/>
      <c r="AL77" s="193">
        <f t="array" ref="AL77">SUM(AL4:AM4*AL19:AM19)/AL32</f>
        <v>0.1394408212194608</v>
      </c>
      <c r="AM77" s="138"/>
      <c r="AN77" s="193" t="e">
        <f t="array" ref="AN77">SUM(AN4:AO4*AN19:AO19)/AN32</f>
        <v>#DIV/0!</v>
      </c>
      <c r="AO77" s="138"/>
      <c r="AP77" s="193" t="e">
        <f t="array" ref="AP77">SUM(AP4:AQ4*AP19:AQ19)/AP32</f>
        <v>#DIV/0!</v>
      </c>
      <c r="AQ77" s="138"/>
      <c r="AR77" s="193" t="e">
        <f t="array" ref="AR77">SUM(AR4:AS4*AR19:AS19)/AR32</f>
        <v>#DIV/0!</v>
      </c>
      <c r="AS77" s="138"/>
      <c r="AT77" s="193" t="e">
        <f t="array" ref="AT77">SUM(AT4:AU4*AT19:AU19)/AT32</f>
        <v>#DIV/0!</v>
      </c>
      <c r="AU77" s="138"/>
      <c r="AV77" s="193" t="e">
        <f t="array" ref="AV77">SUM(AV4:AW4*AV19:AW19)/AV32</f>
        <v>#DIV/0!</v>
      </c>
      <c r="XFD77" s="193"/>
    </row>
    <row r="78" spans="1:48 16384:16384" x14ac:dyDescent="0.2">
      <c r="A78" t="s">
        <v>189</v>
      </c>
      <c r="B78" s="193">
        <f t="array" ref="B78">SUM(B13:C13*B26:C26)/B32</f>
        <v>0.346887593115773</v>
      </c>
      <c r="D78" s="193">
        <f t="array" ref="D78">SUM(D13:E13*D26:E26)/D32</f>
        <v>0.34926313041687174</v>
      </c>
      <c r="E78" s="138"/>
      <c r="F78" s="193">
        <f t="array" ref="F78">SUM(F13:G13*F26:G26)/F32</f>
        <v>0.3516741453460478</v>
      </c>
      <c r="G78" s="138"/>
      <c r="H78" s="193">
        <f t="array" ref="H78">SUM(H13:I13*H26:I26)/H32</f>
        <v>0.35413097865770365</v>
      </c>
      <c r="I78" s="138"/>
      <c r="J78" s="193">
        <f t="array" ref="J78">SUM(J13:K13*J26:K26)/J32</f>
        <v>0.35664575091779033</v>
      </c>
      <c r="K78" s="138"/>
      <c r="L78" s="193">
        <f t="array" ref="L78">SUM(L13:M13*L26:M26)/L32</f>
        <v>0.35923286662260145</v>
      </c>
      <c r="M78" s="138"/>
      <c r="N78" s="193">
        <f t="array" ref="N78">SUM(N13:O13*N26:O26)/N32</f>
        <v>0.36191016962517925</v>
      </c>
      <c r="O78" s="138"/>
      <c r="P78" s="193">
        <f t="array" ref="P78">SUM(P13:Q13*P26:Q26)/P32</f>
        <v>0.36470035887431157</v>
      </c>
      <c r="Q78" s="138"/>
      <c r="R78" s="193">
        <f t="array" ref="R78">SUM(R13:S13*R26:S26)/R32</f>
        <v>0.36763339971248404</v>
      </c>
      <c r="S78" s="138"/>
      <c r="T78" s="193">
        <f t="array" ref="T78">SUM(T13:U13*T26:U26)/T32</f>
        <v>0.3707502489247918</v>
      </c>
      <c r="U78" s="138"/>
      <c r="V78" s="193">
        <f t="array" ref="V78">SUM(V13:W13*V26:W26)/V32</f>
        <v>0.37410929666880793</v>
      </c>
      <c r="W78" s="138"/>
      <c r="X78" s="193">
        <f t="array" ref="X78">SUM(X13:Y13*X26:Y26)/X32</f>
        <v>0.37779706954442194</v>
      </c>
      <c r="Y78" s="138"/>
      <c r="Z78" s="193">
        <f t="array" ref="Z78">SUM(Z13:AA13*Z26:AA26)/Z32</f>
        <v>0.38194710860720721</v>
      </c>
      <c r="AA78" s="138"/>
      <c r="AB78" s="193">
        <f t="array" ref="AB78">SUM(AB13:AC13*AB26:AC26)/AB32</f>
        <v>0.38677377301608856</v>
      </c>
      <c r="AC78" s="138"/>
      <c r="AD78" s="193">
        <f t="array" ref="AD78">SUM(AD13:AE13*AD26:AE26)/AD32</f>
        <v>0.39263247527705747</v>
      </c>
      <c r="AE78" s="138"/>
      <c r="AF78" s="193">
        <f t="array" ref="AF78">SUM(AF13:AG13*AF26:AG26)/AF32</f>
        <v>0.40012188331283804</v>
      </c>
      <c r="AG78" s="138"/>
      <c r="AH78" s="193">
        <f t="array" ref="AH78">SUM(AH13:AI13*AH26:AI26)/AH32</f>
        <v>0.4102310184685079</v>
      </c>
      <c r="AI78" s="138"/>
      <c r="AJ78" s="193">
        <f t="array" ref="AJ78">SUM(AJ13:AK13*AJ26:AK26)/AJ32</f>
        <v>0.42450504942031647</v>
      </c>
      <c r="AK78" s="138"/>
      <c r="AL78" s="193">
        <f t="array" ref="AL78">SUM(AL13:AM13*AL26:AM26)/AL32</f>
        <v>0.44544240448063316</v>
      </c>
      <c r="AM78" s="138"/>
      <c r="AN78" s="193" t="e">
        <f t="array" ref="AN78">SUM(AN13:AO13*AN26:AO26)/AN32</f>
        <v>#DIV/0!</v>
      </c>
      <c r="AO78" s="138"/>
      <c r="AP78" s="193" t="e">
        <f t="array" ref="AP78">SUM(AP13:AQ13*AP26:AQ26)/AP32</f>
        <v>#DIV/0!</v>
      </c>
      <c r="AQ78" s="138"/>
      <c r="AR78" s="193" t="e">
        <f t="array" ref="AR78">SUM(AR13:AS13*AR26:AS26)/AR32</f>
        <v>#DIV/0!</v>
      </c>
      <c r="AS78" s="138"/>
      <c r="AT78" s="193" t="e">
        <f t="array" ref="AT78">SUM(AT13:AU13*AT26:AU26)/AT32</f>
        <v>#DIV/0!</v>
      </c>
      <c r="AU78" s="138"/>
      <c r="AV78" s="193" t="e">
        <f t="array" ref="AV78">SUM(AV13:AW13*AV26:AW26)/AV32</f>
        <v>#DIV/0!</v>
      </c>
      <c r="XFD78" s="193"/>
    </row>
    <row r="79" spans="1:48 16384:16384" x14ac:dyDescent="0.2">
      <c r="A79" t="s">
        <v>190</v>
      </c>
      <c r="B79" s="193">
        <f t="array" ref="B79">SUM(B15:C15*B27:C27)/B32</f>
        <v>0.45460968782440808</v>
      </c>
      <c r="D79" s="193">
        <f t="array" ref="D79">SUM(D15:E15*D27:E27)/D32</f>
        <v>0.44627194364430622</v>
      </c>
      <c r="F79" s="193">
        <f t="array" ref="F79">SUM(F15:G15*F27:G27)/F32</f>
        <v>0.43780965295078439</v>
      </c>
      <c r="H79" s="193">
        <f t="array" ref="H79">SUM(H15:I15*H27:I27)/H32</f>
        <v>0.4291864730172974</v>
      </c>
      <c r="J79" s="193">
        <f t="array" ref="J79">SUM(J15:K15*J27:K27)/J32</f>
        <v>0.42036002053666527</v>
      </c>
      <c r="L79" s="193">
        <f t="array" ref="L79">SUM(L15:M15*L27:M27)/L32</f>
        <v>0.41127959946714904</v>
      </c>
      <c r="N79" s="193">
        <f t="array" ref="N79">SUM(N15:O15*N27:O27)/N32</f>
        <v>0.40188264804326701</v>
      </c>
      <c r="P79" s="193">
        <f t="array" ref="P79">SUM(P15:Q15*P27:Q27)/P32</f>
        <v>0.392089488056795</v>
      </c>
      <c r="R79" s="193">
        <f t="array" ref="R79">SUM(R15:S15*R27:S27)/R32</f>
        <v>0.38179500096678859</v>
      </c>
      <c r="T79" s="193">
        <f t="array" ref="T79">SUM(T15:U15*T27:U27)/T32</f>
        <v>0.3708553281273298</v>
      </c>
      <c r="V79" s="193">
        <f t="array" ref="V79">SUM(V15:W15*V27:W27)/V32</f>
        <v>0.35906557339455547</v>
      </c>
      <c r="X79" s="193">
        <f t="array" ref="X79">SUM(X15:Y15*X27:Y27)/X32</f>
        <v>0.34612206211885588</v>
      </c>
      <c r="Z79" s="193">
        <f t="array" ref="Z79">SUM(Z15:AA15*Z27:AA27)/Z32</f>
        <v>0.3315560253855776</v>
      </c>
      <c r="AB79" s="193">
        <f t="array" ref="AB79">SUM(AB15:AC15*AB27:AC27)/AB32</f>
        <v>0.31461514846534183</v>
      </c>
      <c r="AD79" s="193">
        <f t="array" ref="AD79">SUM(AD15:AE15*AD27:AE27)/AD32</f>
        <v>0.29405198430831975</v>
      </c>
      <c r="AF79" s="193">
        <f t="array" ref="AF79">SUM(AF15:AG15*AF27:AG27)/AF32</f>
        <v>0.26776528973710251</v>
      </c>
      <c r="AH79" s="193">
        <f t="array" ref="AH79">SUM(AH15:AI15*AH27:AI27)/AH32</f>
        <v>0.23228372518118187</v>
      </c>
      <c r="AJ79" s="193">
        <f t="array" ref="AJ79">SUM(AJ15:AK15*AJ27:AK27)/AJ32</f>
        <v>0.18218400751283359</v>
      </c>
      <c r="AL79" s="193">
        <f t="array" ref="AL79">SUM(AL15:AM15*AL27:AM27)/AL32</f>
        <v>0.10869701792230853</v>
      </c>
      <c r="AN79" s="193" t="e">
        <f t="array" ref="AN79">SUM(AN15:AO15*AN27:AO27)/AN32</f>
        <v>#DIV/0!</v>
      </c>
      <c r="AP79" s="193" t="e">
        <f t="array" ref="AP79">SUM(AP15:AQ15*AP27:AQ27)/AP32</f>
        <v>#DIV/0!</v>
      </c>
      <c r="AR79" s="193" t="e">
        <f t="array" ref="AR79">SUM(AR15:AS15*AR27:AS27)/AR32</f>
        <v>#DIV/0!</v>
      </c>
      <c r="AT79" s="193" t="e">
        <f t="array" ref="AT79">SUM(AT15:AU15*AT27:AU27)/AT32</f>
        <v>#DIV/0!</v>
      </c>
      <c r="AV79" s="193" t="e">
        <f t="array" ref="AV79">SUM(AV15:AW15*AV27:AW27)/AV32</f>
        <v>#DIV/0!</v>
      </c>
      <c r="XFD79" s="193"/>
    </row>
    <row r="80" spans="1:48 16384:16384" x14ac:dyDescent="0.2">
      <c r="A80" t="s">
        <v>169</v>
      </c>
      <c r="B80" s="236">
        <f>B55</f>
        <v>0.19850271905982084</v>
      </c>
      <c r="D80" s="236">
        <f>D55</f>
        <v>0.20446496942106895</v>
      </c>
      <c r="F80" s="236">
        <f>F55</f>
        <v>0.21051626074060281</v>
      </c>
      <c r="H80" s="236">
        <f>H55</f>
        <v>0.21668254591810149</v>
      </c>
      <c r="J80" s="236">
        <f>J55</f>
        <v>0.22299424163220891</v>
      </c>
      <c r="L80" s="236">
        <f>L55</f>
        <v>0.22948752987129917</v>
      </c>
      <c r="N80" s="236">
        <f>N55</f>
        <v>0.23620717475498898</v>
      </c>
      <c r="P80" s="236">
        <f>P55</f>
        <v>0.2432101424073583</v>
      </c>
      <c r="R80" s="236">
        <f>R55</f>
        <v>0.25057160613319607</v>
      </c>
      <c r="T80" s="236">
        <f>T55</f>
        <v>0.25839442555773318</v>
      </c>
      <c r="V80" s="236">
        <f>V55</f>
        <v>0.26682513066188762</v>
      </c>
      <c r="X80" s="236">
        <f>X55</f>
        <v>0.27608088650203583</v>
      </c>
      <c r="Z80" s="236">
        <f>Z55</f>
        <v>0.28649687809607743</v>
      </c>
      <c r="AB80" s="236">
        <f>AB55</f>
        <v>0.29861107641211915</v>
      </c>
      <c r="AD80" s="236">
        <f>AD55</f>
        <v>0.31331554280953455</v>
      </c>
      <c r="AF80" s="236">
        <f>AF55</f>
        <v>0.33211284187913048</v>
      </c>
      <c r="AH80" s="236">
        <f>AH55</f>
        <v>0.3574852633764049</v>
      </c>
      <c r="AJ80" s="236">
        <f>AJ55</f>
        <v>0.3933109439940356</v>
      </c>
      <c r="AL80" s="236">
        <f>AL55</f>
        <v>0.44586057808600138</v>
      </c>
      <c r="AN80" s="236" t="e">
        <f>AN55</f>
        <v>#DIV/0!</v>
      </c>
      <c r="AP80" s="236" t="e">
        <f>AP55</f>
        <v>#DIV/0!</v>
      </c>
      <c r="AR80" s="236" t="e">
        <f>AR55</f>
        <v>#DIV/0!</v>
      </c>
      <c r="AT80" s="236" t="e">
        <f>AT55</f>
        <v>#DIV/0!</v>
      </c>
      <c r="AV80" s="236" t="e">
        <f>AV55</f>
        <v>#DIV/0!</v>
      </c>
      <c r="XFD80" s="236"/>
    </row>
    <row r="81" spans="1:48 16384:16384" x14ac:dyDescent="0.2">
      <c r="A81" t="s">
        <v>191</v>
      </c>
      <c r="B81" s="236">
        <f>B51/B$32</f>
        <v>-2.7543485504603994E-2</v>
      </c>
      <c r="D81" s="236">
        <f>D51/D$32</f>
        <v>-2.1581235143355904E-2</v>
      </c>
      <c r="F81" s="236">
        <f>F51/F$32</f>
        <v>-1.5529943823822013E-2</v>
      </c>
      <c r="H81" s="236">
        <f>H51/H$32</f>
        <v>-9.3636586463233737E-3</v>
      </c>
      <c r="J81" s="236">
        <f>J51/J$32</f>
        <v>-3.0519629322159278E-3</v>
      </c>
      <c r="L81" s="236">
        <f>L51/L$32</f>
        <v>3.4413253068743279E-3</v>
      </c>
      <c r="N81" s="236">
        <f>N51/N$32</f>
        <v>1.0160970190564136E-2</v>
      </c>
      <c r="P81" s="236">
        <f>P51/P$32</f>
        <v>1.716393784293346E-2</v>
      </c>
      <c r="R81" s="236">
        <f>R51/R$32</f>
        <v>2.4525401568771258E-2</v>
      </c>
      <c r="T81" s="236">
        <f>T51/T$32</f>
        <v>3.2348220993308328E-2</v>
      </c>
      <c r="V81" s="236">
        <f>V51/V$32</f>
        <v>4.0778926097462795E-2</v>
      </c>
      <c r="X81" s="236">
        <f>X51/X$32</f>
        <v>5.0034681937610979E-2</v>
      </c>
      <c r="Z81" s="236">
        <f>Z51/Z$32</f>
        <v>6.0450673531652621E-2</v>
      </c>
      <c r="AB81" s="236">
        <f>AB51/AB$32</f>
        <v>7.2564871847694334E-2</v>
      </c>
      <c r="AD81" s="236">
        <f>AD51/AD$32</f>
        <v>8.726933824510974E-2</v>
      </c>
      <c r="AF81" s="236">
        <f>AF51/AF$32</f>
        <v>0.10606663731470567</v>
      </c>
      <c r="AH81" s="236">
        <f>AH51/AH$32</f>
        <v>0.13143905881198006</v>
      </c>
      <c r="AJ81" s="236">
        <f>AJ51/AJ$32</f>
        <v>0.16726473942961073</v>
      </c>
      <c r="AL81" s="236">
        <f>AL51/AL$32</f>
        <v>0.21981437352157657</v>
      </c>
      <c r="AN81" s="236" t="e">
        <f>AN51/AN$32</f>
        <v>#DIV/0!</v>
      </c>
      <c r="AP81" s="236" t="e">
        <f>AP51/AP$32</f>
        <v>#DIV/0!</v>
      </c>
      <c r="AR81" s="236" t="e">
        <f>AR51/AR$32</f>
        <v>#DIV/0!</v>
      </c>
      <c r="AT81" s="236" t="e">
        <f>AT51/AT$32</f>
        <v>#DIV/0!</v>
      </c>
      <c r="AV81" s="236" t="e">
        <f>AV51/AV$32</f>
        <v>#DIV/0!</v>
      </c>
      <c r="XFD81" s="236"/>
    </row>
    <row r="82" spans="1:48 16384:16384" x14ac:dyDescent="0.2">
      <c r="A82" t="s">
        <v>192</v>
      </c>
      <c r="B82" s="236">
        <f>B52/B$32</f>
        <v>0.13907860278212886</v>
      </c>
      <c r="D82" s="236">
        <f>D52/D$32</f>
        <v>0.14003103352698795</v>
      </c>
      <c r="F82" s="236">
        <f>F52/F$32</f>
        <v>0.14099768841546287</v>
      </c>
      <c r="H82" s="236">
        <f>H52/H$32</f>
        <v>0.14198271339483609</v>
      </c>
      <c r="J82" s="236">
        <f>J52/J$32</f>
        <v>0.14299096799716018</v>
      </c>
      <c r="L82" s="236">
        <f>L52/L$32</f>
        <v>0.14402822745700125</v>
      </c>
      <c r="N82" s="236">
        <f>N52/N$32</f>
        <v>0.14510164595974559</v>
      </c>
      <c r="P82" s="236">
        <f>P52/P$32</f>
        <v>0.14622032425775416</v>
      </c>
      <c r="R82" s="236">
        <f>R52/R$32</f>
        <v>0.14739627643872422</v>
      </c>
      <c r="T82" s="236">
        <f>T52/T$32</f>
        <v>0.14864592341985933</v>
      </c>
      <c r="V82" s="236">
        <f>V52/V$32</f>
        <v>0.14999267572864053</v>
      </c>
      <c r="X82" s="236">
        <f>X52/X$32</f>
        <v>0.1514712247142396</v>
      </c>
      <c r="Z82" s="236">
        <f>Z52/Z$32</f>
        <v>0.1531351113616666</v>
      </c>
      <c r="AB82" s="236">
        <f>AB52/AB$32</f>
        <v>0.1550702792817871</v>
      </c>
      <c r="AD82" s="236">
        <f>AD52/AD$32</f>
        <v>0.15741922499429667</v>
      </c>
      <c r="AF82" s="236">
        <f>AF52/AF$32</f>
        <v>0.16042197408637496</v>
      </c>
      <c r="AH82" s="236">
        <f>AH52/AH$32</f>
        <v>0.16447505762319958</v>
      </c>
      <c r="AJ82" s="236">
        <f>AJ52/AJ$32</f>
        <v>0.17019798435867334</v>
      </c>
      <c r="AL82" s="236">
        <f>AL52/AL$32</f>
        <v>0.17859245607092716</v>
      </c>
      <c r="AN82" s="236" t="e">
        <f>AN52/AN$32</f>
        <v>#DIV/0!</v>
      </c>
      <c r="AP82" s="236" t="e">
        <f>AP52/AP$32</f>
        <v>#DIV/0!</v>
      </c>
      <c r="AR82" s="236" t="e">
        <f>AR52/AR$32</f>
        <v>#DIV/0!</v>
      </c>
      <c r="AT82" s="236" t="e">
        <f>AT52/AT$32</f>
        <v>#DIV/0!</v>
      </c>
      <c r="AV82" s="236" t="e">
        <f>AV52/AV$32</f>
        <v>#DIV/0!</v>
      </c>
    </row>
    <row r="83" spans="1:48 16384:16384" x14ac:dyDescent="0.2">
      <c r="A83" t="s">
        <v>193</v>
      </c>
      <c r="B83" s="236">
        <f>B53/B$32</f>
        <v>0.18600714462930004</v>
      </c>
      <c r="D83" s="236">
        <f>D53/D$32</f>
        <v>0.18259569074011381</v>
      </c>
      <c r="F83" s="236">
        <f>F53/F$32</f>
        <v>0.17913327766119796</v>
      </c>
      <c r="H83" s="236">
        <f>H53/H$32</f>
        <v>0.17560503547892375</v>
      </c>
      <c r="J83" s="236">
        <f>J53/J$32</f>
        <v>0.17199362272838262</v>
      </c>
      <c r="L83" s="236">
        <f>L53/L$32</f>
        <v>0.1682782967236609</v>
      </c>
      <c r="N83" s="236">
        <f>N53/N$32</f>
        <v>0.16443345982425092</v>
      </c>
      <c r="P83" s="236">
        <f>P53/P$32</f>
        <v>0.1604265110618982</v>
      </c>
      <c r="R83" s="236">
        <f>R53/R$32</f>
        <v>0.15621444035526841</v>
      </c>
      <c r="T83" s="236">
        <f>T53/T$32</f>
        <v>0.15173838680307841</v>
      </c>
      <c r="V83" s="236">
        <f>V53/V$32</f>
        <v>0.14691451552963963</v>
      </c>
      <c r="X83" s="236">
        <f>X53/X$32</f>
        <v>0.14161857565340905</v>
      </c>
      <c r="Z83" s="236">
        <f>Z53/Z$32</f>
        <v>0.13565876667025978</v>
      </c>
      <c r="AB83" s="236">
        <f>AB53/AB$32</f>
        <v>0.12872727306630785</v>
      </c>
      <c r="AD83" s="236">
        <f>AD53/AD$32</f>
        <v>0.12031369202782237</v>
      </c>
      <c r="AF83" s="236">
        <f>AF53/AF$32</f>
        <v>0.1095582833115365</v>
      </c>
      <c r="AH83" s="236">
        <f>AH53/AH$32</f>
        <v>9.5040720912874743E-2</v>
      </c>
      <c r="AJ83" s="236">
        <f>AJ53/AJ$32</f>
        <v>7.4542025702879655E-2</v>
      </c>
      <c r="AL83" s="236">
        <f>AL53/AL$32</f>
        <v>4.4474243455317163E-2</v>
      </c>
      <c r="AN83" s="236" t="e">
        <f>AN53/AN$32</f>
        <v>#DIV/0!</v>
      </c>
      <c r="AP83" s="236" t="e">
        <f>AP53/AP$32</f>
        <v>#DIV/0!</v>
      </c>
      <c r="AR83" s="236" t="e">
        <f>AR53/AR$32</f>
        <v>#DIV/0!</v>
      </c>
      <c r="AT83" s="236" t="e">
        <f>AT53/AT$32</f>
        <v>#DIV/0!</v>
      </c>
      <c r="AV83" s="236" t="e">
        <f>AV53/AV$32</f>
        <v>#DIV/0!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9"/>
  <dimension ref="A1:XFD83"/>
  <sheetViews>
    <sheetView showGridLines="0" workbookViewId="0">
      <pane xSplit="1" ySplit="1" topLeftCell="B2" activePane="bottomRight" state="frozen"/>
      <selection pane="topRight" activeCell="B1" sqref="B1"/>
      <selection pane="bottomLeft" activeCell="A2" sqref="A2"/>
      <selection pane="bottomRight" activeCell="J26" sqref="J26"/>
    </sheetView>
  </sheetViews>
  <sheetFormatPr baseColWidth="10" defaultRowHeight="10" x14ac:dyDescent="0.2"/>
  <sheetData>
    <row r="1" spans="1:49" x14ac:dyDescent="0.2">
      <c r="B1" s="94">
        <v>0</v>
      </c>
      <c r="D1" s="94">
        <v>0.05</v>
      </c>
      <c r="F1" s="94">
        <v>0.1</v>
      </c>
      <c r="H1" s="94">
        <v>0.15000000000000002</v>
      </c>
      <c r="J1" s="94">
        <v>0.2</v>
      </c>
      <c r="L1" s="94">
        <v>0.25</v>
      </c>
      <c r="N1" s="94">
        <v>0.3</v>
      </c>
      <c r="P1" s="94">
        <v>0.35</v>
      </c>
      <c r="R1" s="94">
        <v>0.39999999999999997</v>
      </c>
      <c r="T1" s="94">
        <v>0.44999999999999996</v>
      </c>
      <c r="V1" s="94">
        <v>0.49999999999999994</v>
      </c>
      <c r="X1" s="94">
        <v>0.54999999999999993</v>
      </c>
      <c r="Z1" s="94">
        <v>0.6</v>
      </c>
      <c r="AB1" s="94">
        <v>0.65</v>
      </c>
      <c r="AD1" s="94">
        <v>0.70000000000000007</v>
      </c>
      <c r="AF1" s="94">
        <v>0.75000000000000011</v>
      </c>
      <c r="AH1" s="94">
        <v>0.80000000000000016</v>
      </c>
      <c r="AJ1" s="94">
        <v>0.8500000000000002</v>
      </c>
      <c r="AL1" s="94">
        <v>0.90000000000000024</v>
      </c>
      <c r="AN1" s="94">
        <v>0.95000000000000029</v>
      </c>
      <c r="AP1" s="94">
        <v>0.9600000000000003</v>
      </c>
      <c r="AR1" s="94">
        <v>0.97000000000000031</v>
      </c>
      <c r="AT1" s="94">
        <v>0.98000000000000032</v>
      </c>
      <c r="AV1" s="94">
        <v>0.99000000000000032</v>
      </c>
    </row>
    <row r="2" spans="1:49" x14ac:dyDescent="0.2">
      <c r="A2" s="229" t="s">
        <v>155</v>
      </c>
      <c r="B2" s="226">
        <v>5.7716594496607888E-3</v>
      </c>
      <c r="C2" s="227"/>
      <c r="D2" s="226">
        <v>4.6308369179485276E-2</v>
      </c>
      <c r="E2" s="227"/>
      <c r="F2" s="226">
        <v>9.0097377442061602E-2</v>
      </c>
      <c r="G2" s="227"/>
      <c r="H2" s="226">
        <v>0.13753501930758563</v>
      </c>
      <c r="I2" s="227"/>
      <c r="J2" s="226">
        <v>0.18908392661900802</v>
      </c>
      <c r="K2" s="227"/>
      <c r="L2" s="226">
        <v>0.24528687751224615</v>
      </c>
      <c r="M2" s="227"/>
      <c r="N2" s="226">
        <v>0.30678410509498916</v>
      </c>
      <c r="O2" s="227"/>
      <c r="P2" s="226">
        <v>0.37433399454448446</v>
      </c>
      <c r="Q2" s="227"/>
      <c r="R2" s="226">
        <v>0.44883731440878294</v>
      </c>
      <c r="S2" s="227"/>
      <c r="T2" s="226">
        <v>0.53136308269427079</v>
      </c>
      <c r="U2" s="227"/>
      <c r="V2" s="226">
        <v>0.62317436754993372</v>
      </c>
      <c r="W2" s="227"/>
      <c r="X2" s="226">
        <v>0.72574166746875091</v>
      </c>
      <c r="Y2" s="227"/>
      <c r="Z2" s="226">
        <v>0.84073006982909049</v>
      </c>
      <c r="AA2" s="227"/>
      <c r="AB2" s="226">
        <v>0.96992669435682388</v>
      </c>
      <c r="AC2" s="227"/>
      <c r="AD2" s="226">
        <v>1.1150661371661377</v>
      </c>
      <c r="AE2" s="227"/>
      <c r="AF2" s="226">
        <v>1.2775096204293364</v>
      </c>
      <c r="AG2" s="227"/>
      <c r="AH2" s="226">
        <v>1.4577777374579237</v>
      </c>
      <c r="AI2" s="227"/>
      <c r="AJ2" s="226">
        <v>1.6550524366209172</v>
      </c>
      <c r="AK2" s="227"/>
      <c r="AL2" s="226">
        <v>1.8668996397522606</v>
      </c>
      <c r="AM2" s="227"/>
      <c r="AN2" s="226">
        <v>2.0894622307346769</v>
      </c>
      <c r="AO2" s="227"/>
      <c r="AP2" s="226">
        <v>2.1348583236451972</v>
      </c>
      <c r="AQ2" s="227"/>
      <c r="AR2" s="226">
        <v>2.180460188330303</v>
      </c>
      <c r="AS2" s="227"/>
      <c r="AT2" s="226">
        <v>2.226230366474919</v>
      </c>
      <c r="AU2" s="227"/>
      <c r="AV2" s="226">
        <v>2.272131980964724</v>
      </c>
      <c r="AW2" s="227"/>
    </row>
    <row r="3" spans="1:49" x14ac:dyDescent="0.2">
      <c r="A3" t="s">
        <v>12</v>
      </c>
      <c r="B3" s="84">
        <v>1000</v>
      </c>
      <c r="C3" s="85">
        <v>1000</v>
      </c>
      <c r="D3" s="84">
        <v>998.77595225244193</v>
      </c>
      <c r="E3" s="85">
        <v>1018.7155607557377</v>
      </c>
      <c r="F3" s="84">
        <v>997.52823307215203</v>
      </c>
      <c r="G3" s="85">
        <v>1039.2494640388229</v>
      </c>
      <c r="H3" s="84">
        <v>996.25379150654464</v>
      </c>
      <c r="I3" s="85">
        <v>1061.8463066494385</v>
      </c>
      <c r="J3" s="84">
        <v>994.94945962432678</v>
      </c>
      <c r="K3" s="85">
        <v>1086.792236443182</v>
      </c>
      <c r="L3" s="84">
        <v>993.61213538225138</v>
      </c>
      <c r="M3" s="85">
        <v>1114.4228302967683</v>
      </c>
      <c r="N3" s="84">
        <v>992.23903100825203</v>
      </c>
      <c r="O3" s="85">
        <v>1145.1324924062503</v>
      </c>
      <c r="P3" s="84">
        <v>990.82810537047703</v>
      </c>
      <c r="Q3" s="85">
        <v>1179.3849472915092</v>
      </c>
      <c r="R3" s="84">
        <v>989.37871609449508</v>
      </c>
      <c r="S3" s="85">
        <v>1217.724375766516</v>
      </c>
      <c r="T3" s="84">
        <v>987.89253604117403</v>
      </c>
      <c r="U3" s="85">
        <v>1260.7859428163679</v>
      </c>
      <c r="V3" s="84">
        <v>986.37490645482023</v>
      </c>
      <c r="W3" s="85">
        <v>1309.3022085446237</v>
      </c>
      <c r="X3" s="84">
        <v>984.83650975096054</v>
      </c>
      <c r="Y3" s="85">
        <v>1364.0996033947251</v>
      </c>
      <c r="Z3" s="84">
        <v>983.2954164948743</v>
      </c>
      <c r="AA3" s="85">
        <v>1426.0742575867655</v>
      </c>
      <c r="AB3" s="84">
        <v>981.77903551929285</v>
      </c>
      <c r="AC3" s="85">
        <v>1496.1298853328071</v>
      </c>
      <c r="AD3" s="84">
        <v>980.3251388213281</v>
      </c>
      <c r="AE3" s="85">
        <v>1575.0566613693818</v>
      </c>
      <c r="AF3" s="84">
        <v>978.98049634605081</v>
      </c>
      <c r="AG3" s="85">
        <v>1663.3356667099297</v>
      </c>
      <c r="AH3" s="84">
        <v>977.79550716720416</v>
      </c>
      <c r="AI3" s="85">
        <v>1760.8868539713872</v>
      </c>
      <c r="AJ3" s="84">
        <v>976.81451548990344</v>
      </c>
      <c r="AK3" s="85">
        <v>1866.8402858033992</v>
      </c>
      <c r="AL3" s="84">
        <v>976.06459759733195</v>
      </c>
      <c r="AM3" s="85">
        <v>1979.4699087364336</v>
      </c>
      <c r="AN3" s="84">
        <v>975.54831858719558</v>
      </c>
      <c r="AO3" s="85">
        <v>2096.3968879361782</v>
      </c>
      <c r="AP3" s="84">
        <v>975.47159337569383</v>
      </c>
      <c r="AQ3" s="85">
        <v>2120.0672899286337</v>
      </c>
      <c r="AR3" s="84">
        <v>975.40316518779878</v>
      </c>
      <c r="AS3" s="85">
        <v>2143.7841460974068</v>
      </c>
      <c r="AT3" s="84">
        <v>975.34275276768153</v>
      </c>
      <c r="AU3" s="85">
        <v>2167.5274495764752</v>
      </c>
      <c r="AV3" s="84">
        <v>975.29005587720064</v>
      </c>
      <c r="AW3" s="85">
        <v>2191.2779813667134</v>
      </c>
    </row>
    <row r="4" spans="1:49"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v>1000</v>
      </c>
      <c r="U4" s="102">
        <v>1000</v>
      </c>
      <c r="V4" s="101">
        <v>1000</v>
      </c>
      <c r="W4" s="102">
        <v>1000</v>
      </c>
      <c r="X4" s="101">
        <v>1000</v>
      </c>
      <c r="Y4" s="102">
        <v>1000</v>
      </c>
      <c r="Z4" s="101">
        <v>1000</v>
      </c>
      <c r="AA4" s="102">
        <v>1000</v>
      </c>
      <c r="AB4" s="101">
        <v>1000</v>
      </c>
      <c r="AC4" s="102">
        <v>1000</v>
      </c>
      <c r="AD4" s="101">
        <v>1000</v>
      </c>
      <c r="AE4" s="102">
        <v>1000</v>
      </c>
      <c r="AF4" s="101">
        <v>1000</v>
      </c>
      <c r="AG4" s="102">
        <v>1000</v>
      </c>
      <c r="AH4" s="101">
        <v>1000</v>
      </c>
      <c r="AI4" s="102">
        <v>1000</v>
      </c>
      <c r="AJ4" s="101">
        <v>1000</v>
      </c>
      <c r="AK4" s="102">
        <v>1000</v>
      </c>
      <c r="AL4" s="101">
        <v>1000</v>
      </c>
      <c r="AM4" s="102">
        <v>1000</v>
      </c>
      <c r="AN4" s="101">
        <v>1000</v>
      </c>
      <c r="AO4" s="102">
        <v>1000</v>
      </c>
      <c r="AP4" s="101">
        <v>1000</v>
      </c>
      <c r="AQ4" s="102">
        <v>1000</v>
      </c>
      <c r="AR4" s="101">
        <v>1000</v>
      </c>
      <c r="AS4" s="102">
        <v>1000</v>
      </c>
      <c r="AT4" s="101">
        <v>1000</v>
      </c>
      <c r="AU4" s="102">
        <v>1000</v>
      </c>
      <c r="AV4" s="101">
        <v>1000</v>
      </c>
      <c r="AW4" s="102">
        <v>1000</v>
      </c>
    </row>
    <row r="5" spans="1:49" x14ac:dyDescent="0.2">
      <c r="A5" t="s">
        <v>128</v>
      </c>
      <c r="B5" s="41">
        <v>1000</v>
      </c>
      <c r="C5" s="42">
        <v>1000</v>
      </c>
      <c r="D5" s="41">
        <v>998.71528470076896</v>
      </c>
      <c r="E5" s="42">
        <v>1016.2852875822523</v>
      </c>
      <c r="F5" s="41">
        <v>997.40504302513853</v>
      </c>
      <c r="G5" s="42">
        <v>1033.8146750971132</v>
      </c>
      <c r="H5" s="41">
        <v>996.06602649702961</v>
      </c>
      <c r="I5" s="42">
        <v>1052.6999702071619</v>
      </c>
      <c r="J5" s="41">
        <v>994.69485545238092</v>
      </c>
      <c r="K5" s="42">
        <v>1073.0601249147398</v>
      </c>
      <c r="L5" s="41">
        <v>993.2882105975732</v>
      </c>
      <c r="M5" s="42">
        <v>1095.0191755476201</v>
      </c>
      <c r="N5" s="41">
        <v>991.84309414833911</v>
      </c>
      <c r="O5" s="42">
        <v>1118.7030430426014</v>
      </c>
      <c r="P5" s="41">
        <v>990.35728568126365</v>
      </c>
      <c r="Q5" s="42">
        <v>1144.2335936027014</v>
      </c>
      <c r="R5" s="41">
        <v>988.83003133134775</v>
      </c>
      <c r="S5" s="42">
        <v>1171.7189578742716</v>
      </c>
      <c r="T5" s="41">
        <v>987.26301489535126</v>
      </c>
      <c r="U5" s="42">
        <v>1201.2412205018131</v>
      </c>
      <c r="V5" s="41">
        <v>985.66179352363406</v>
      </c>
      <c r="W5" s="42">
        <v>1232.8314490550601</v>
      </c>
      <c r="X5" s="41">
        <v>984.03757818331576</v>
      </c>
      <c r="Y5" s="42">
        <v>1266.4428051780658</v>
      </c>
      <c r="Z5" s="41">
        <v>982.40941694291905</v>
      </c>
      <c r="AA5" s="42">
        <v>1301.9084700257654</v>
      </c>
      <c r="AB5" s="41">
        <v>980.80628498187309</v>
      </c>
      <c r="AC5" s="42">
        <v>1338.8937138134979</v>
      </c>
      <c r="AD5" s="41">
        <v>979.26820160010493</v>
      </c>
      <c r="AE5" s="42">
        <v>1376.8480550035611</v>
      </c>
      <c r="AF5" s="41">
        <v>977.84481391600184</v>
      </c>
      <c r="AG5" s="42">
        <v>1414.9796236067291</v>
      </c>
      <c r="AH5" s="41">
        <v>976.58972111391006</v>
      </c>
      <c r="AI5" s="42">
        <v>1452.2879037491596</v>
      </c>
      <c r="AJ5" s="41">
        <v>975.55019032202438</v>
      </c>
      <c r="AK5" s="42">
        <v>1487.6820900821911</v>
      </c>
      <c r="AL5" s="41">
        <v>974.75521338523924</v>
      </c>
      <c r="AM5" s="42">
        <v>1520.1747215813236</v>
      </c>
      <c r="AN5" s="41">
        <v>974.20775762508993</v>
      </c>
      <c r="AO5" s="42">
        <v>1549.080012934664</v>
      </c>
      <c r="AP5" s="41">
        <v>974.12638830499725</v>
      </c>
      <c r="AQ5" s="42">
        <v>1554.398925002132</v>
      </c>
      <c r="AR5" s="41">
        <v>974.05381584430575</v>
      </c>
      <c r="AS5" s="42">
        <v>1559.5618133356945</v>
      </c>
      <c r="AT5" s="41">
        <v>973.98974275549028</v>
      </c>
      <c r="AU5" s="42">
        <v>1564.5689419633388</v>
      </c>
      <c r="AV5" s="41">
        <v>973.93385128981026</v>
      </c>
      <c r="AW5" s="42">
        <v>1569.4213510238606</v>
      </c>
    </row>
    <row r="6" spans="1:49" x14ac:dyDescent="0.2">
      <c r="A6" t="s">
        <v>77</v>
      </c>
      <c r="B6" s="41">
        <v>999.99999999999943</v>
      </c>
      <c r="C6" s="42">
        <v>999.99999999999909</v>
      </c>
      <c r="D6" s="41">
        <v>998.61715270851357</v>
      </c>
      <c r="E6" s="42">
        <v>1020.1729943609539</v>
      </c>
      <c r="F6" s="41">
        <v>997.2071091035001</v>
      </c>
      <c r="G6" s="42">
        <v>1042.2423394674113</v>
      </c>
      <c r="H6" s="41">
        <v>995.76639076611218</v>
      </c>
      <c r="I6" s="42">
        <v>1066.4584050737931</v>
      </c>
      <c r="J6" s="41">
        <v>994.29138140035946</v>
      </c>
      <c r="K6" s="42">
        <v>1093.1137805713493</v>
      </c>
      <c r="L6" s="41">
        <v>992.77853315150446</v>
      </c>
      <c r="M6" s="42">
        <v>1122.5512582576903</v>
      </c>
      <c r="N6" s="41">
        <v>991.22464747260051</v>
      </c>
      <c r="O6" s="42">
        <v>1155.1733635522928</v>
      </c>
      <c r="P6" s="41">
        <v>989.6273649280871</v>
      </c>
      <c r="Q6" s="42">
        <v>1191.4529765573811</v>
      </c>
      <c r="R6" s="41">
        <v>987.98590509690973</v>
      </c>
      <c r="S6" s="42">
        <v>1231.9445803831661</v>
      </c>
      <c r="T6" s="41">
        <v>986.30210798568112</v>
      </c>
      <c r="U6" s="42">
        <v>1277.2948500744133</v>
      </c>
      <c r="V6" s="41">
        <v>984.58197338327625</v>
      </c>
      <c r="W6" s="42">
        <v>1328.2489629450859</v>
      </c>
      <c r="X6" s="41">
        <v>982.83756713315313</v>
      </c>
      <c r="Y6" s="42">
        <v>1385.6466705988748</v>
      </c>
      <c r="Z6" s="41">
        <v>981.0893574275641</v>
      </c>
      <c r="AA6" s="42">
        <v>1450.397166997011</v>
      </c>
      <c r="AB6" s="41">
        <v>979.36844729944357</v>
      </c>
      <c r="AC6" s="42">
        <v>1523.4150685315365</v>
      </c>
      <c r="AD6" s="41">
        <v>977.71776077474476</v>
      </c>
      <c r="AE6" s="42">
        <v>1605.4960726131155</v>
      </c>
      <c r="AF6" s="41">
        <v>976.19051227977764</v>
      </c>
      <c r="AG6" s="42">
        <v>1697.1167645873604</v>
      </c>
      <c r="AH6" s="41">
        <v>974.84411411649785</v>
      </c>
      <c r="AI6" s="42">
        <v>1798.1773730179857</v>
      </c>
      <c r="AJ6" s="41">
        <v>973.72915500171405</v>
      </c>
      <c r="AK6" s="42">
        <v>1907.7694500548416</v>
      </c>
      <c r="AL6" s="41">
        <v>972.87661397707666</v>
      </c>
      <c r="AM6" s="42">
        <v>2024.1108863936852</v>
      </c>
      <c r="AN6" s="41">
        <v>972.28957724522331</v>
      </c>
      <c r="AO6" s="42">
        <v>2144.7568339123363</v>
      </c>
      <c r="AP6" s="41">
        <v>972.20232912338918</v>
      </c>
      <c r="AQ6" s="42">
        <v>2169.166060051904</v>
      </c>
      <c r="AR6" s="41">
        <v>972.1245143346265</v>
      </c>
      <c r="AS6" s="42">
        <v>2193.6189354284102</v>
      </c>
      <c r="AT6" s="41">
        <v>972.05581359270161</v>
      </c>
      <c r="AU6" s="42">
        <v>2218.0950000401176</v>
      </c>
      <c r="AV6" s="41">
        <v>971.99588593734245</v>
      </c>
      <c r="AW6" s="42">
        <v>2242.5746106196648</v>
      </c>
    </row>
    <row r="7" spans="1:49" x14ac:dyDescent="0.2">
      <c r="A7" t="s">
        <v>13</v>
      </c>
      <c r="B7" s="33">
        <v>1015.9116825427475</v>
      </c>
      <c r="C7" s="34">
        <v>1015.9116825427475</v>
      </c>
      <c r="D7" s="33">
        <v>1014.6065252615173</v>
      </c>
      <c r="E7" s="34">
        <v>1014.6065252615173</v>
      </c>
      <c r="F7" s="33">
        <v>1013.2754354362899</v>
      </c>
      <c r="G7" s="34">
        <v>1013.2754354362899</v>
      </c>
      <c r="H7" s="33">
        <v>1011.9151129022662</v>
      </c>
      <c r="I7" s="34">
        <v>1011.9151129022662</v>
      </c>
      <c r="J7" s="33">
        <v>1010.5221242192432</v>
      </c>
      <c r="K7" s="34">
        <v>1010.5221242192432</v>
      </c>
      <c r="L7" s="33">
        <v>1009.0930972780554</v>
      </c>
      <c r="M7" s="34">
        <v>1009.0930972780554</v>
      </c>
      <c r="N7" s="33">
        <v>1007.6249865946438</v>
      </c>
      <c r="O7" s="34">
        <v>1007.6249865946438</v>
      </c>
      <c r="P7" s="33">
        <v>1006.1155364149209</v>
      </c>
      <c r="Q7" s="34">
        <v>1006.1155364149209</v>
      </c>
      <c r="R7" s="33">
        <v>1004.5639808786271</v>
      </c>
      <c r="S7" s="34">
        <v>1004.5639808786271</v>
      </c>
      <c r="T7" s="33">
        <v>1002.9720305745618</v>
      </c>
      <c r="U7" s="34">
        <v>1002.9720305745618</v>
      </c>
      <c r="V7" s="33">
        <v>1001.3453310766972</v>
      </c>
      <c r="W7" s="34">
        <v>1001.3453310766972</v>
      </c>
      <c r="X7" s="33">
        <v>999.69527173750271</v>
      </c>
      <c r="Y7" s="34">
        <v>999.69527173750271</v>
      </c>
      <c r="Z7" s="33">
        <v>998.04120371232034</v>
      </c>
      <c r="AA7" s="34">
        <v>998.04120371232034</v>
      </c>
      <c r="AB7" s="33">
        <v>996.4125632244361</v>
      </c>
      <c r="AC7" s="34">
        <v>996.4125632244361</v>
      </c>
      <c r="AD7" s="33">
        <v>994.850006348173</v>
      </c>
      <c r="AE7" s="34">
        <v>994.850006348173</v>
      </c>
      <c r="AF7" s="33">
        <v>993.40397017110524</v>
      </c>
      <c r="AG7" s="34">
        <v>993.40397017110524</v>
      </c>
      <c r="AH7" s="33">
        <v>992.12890673078482</v>
      </c>
      <c r="AI7" s="34">
        <v>992.12890673078482</v>
      </c>
      <c r="AJ7" s="33">
        <v>991.07283525494529</v>
      </c>
      <c r="AK7" s="34">
        <v>991.07283525494529</v>
      </c>
      <c r="AL7" s="33">
        <v>990.26520889751316</v>
      </c>
      <c r="AM7" s="34">
        <v>990.26520889751316</v>
      </c>
      <c r="AN7" s="33">
        <v>989.70904219510214</v>
      </c>
      <c r="AO7" s="34">
        <v>989.70904219510214</v>
      </c>
      <c r="AP7" s="33">
        <v>989.62637815221944</v>
      </c>
      <c r="AQ7" s="34">
        <v>989.62637815221944</v>
      </c>
      <c r="AR7" s="33">
        <v>989.5526509415721</v>
      </c>
      <c r="AS7" s="34">
        <v>989.5526509415721</v>
      </c>
      <c r="AT7" s="33">
        <v>989.48755834210783</v>
      </c>
      <c r="AU7" s="34">
        <v>989.48755834210783</v>
      </c>
      <c r="AV7" s="33">
        <v>989.43077754916908</v>
      </c>
      <c r="AW7" s="34">
        <v>989.43077754916908</v>
      </c>
    </row>
    <row r="8" spans="1:49" x14ac:dyDescent="0.2">
      <c r="B8" s="35">
        <v>1005.7716594496609</v>
      </c>
      <c r="C8" s="36">
        <v>1005.7716594496609</v>
      </c>
      <c r="D8" s="35">
        <v>1063.3478018712906</v>
      </c>
      <c r="E8" s="36">
        <v>1063.3478018712906</v>
      </c>
      <c r="F8" s="35">
        <v>1126.9586660844802</v>
      </c>
      <c r="G8" s="36">
        <v>1126.9586660844802</v>
      </c>
      <c r="H8" s="35">
        <v>1197.4830809346988</v>
      </c>
      <c r="I8" s="36">
        <v>1197.4830809346988</v>
      </c>
      <c r="J8" s="35">
        <v>1275.9585468319021</v>
      </c>
      <c r="K8" s="36">
        <v>1275.9585468319021</v>
      </c>
      <c r="L8" s="35">
        <v>1363.6130099337299</v>
      </c>
      <c r="M8" s="36">
        <v>1363.6130099337299</v>
      </c>
      <c r="N8" s="35">
        <v>1461.903354969467</v>
      </c>
      <c r="O8" s="36">
        <v>1461.903354969467</v>
      </c>
      <c r="P8" s="35">
        <v>1572.5591253879909</v>
      </c>
      <c r="Q8" s="36">
        <v>1572.5591253879909</v>
      </c>
      <c r="R8" s="35">
        <v>1697.6301481684175</v>
      </c>
      <c r="S8" s="36">
        <v>1697.6301481684175</v>
      </c>
      <c r="T8" s="35">
        <v>1839.5364584870849</v>
      </c>
      <c r="U8" s="36">
        <v>1839.5364584870849</v>
      </c>
      <c r="V8" s="35">
        <v>2001.1004076156155</v>
      </c>
      <c r="W8" s="36">
        <v>2001.1004076156155</v>
      </c>
      <c r="X8" s="35">
        <v>2185.5531183617977</v>
      </c>
      <c r="Y8" s="36">
        <v>2185.5531183617977</v>
      </c>
      <c r="Z8" s="35">
        <v>2396.4620689416115</v>
      </c>
      <c r="AA8" s="36">
        <v>2396.4620689416115</v>
      </c>
      <c r="AB8" s="35">
        <v>2637.5224677477554</v>
      </c>
      <c r="AC8" s="36">
        <v>2637.5224677477554</v>
      </c>
      <c r="AD8" s="35">
        <v>2912.1246971610917</v>
      </c>
      <c r="AE8" s="36">
        <v>2912.1246971610917</v>
      </c>
      <c r="AF8" s="35">
        <v>3222.629705475807</v>
      </c>
      <c r="AG8" s="36">
        <v>3222.629705475807</v>
      </c>
      <c r="AH8" s="35">
        <v>3569.4008782141204</v>
      </c>
      <c r="AI8" s="36">
        <v>3569.4008782141204</v>
      </c>
      <c r="AJ8" s="35">
        <v>3949.8739581900199</v>
      </c>
      <c r="AK8" s="36">
        <v>3949.8739581900199</v>
      </c>
      <c r="AL8" s="35">
        <v>4358.1883616619898</v>
      </c>
      <c r="AM8" s="36">
        <v>4358.1883616619898</v>
      </c>
      <c r="AN8" s="35">
        <v>4785.8241923476289</v>
      </c>
      <c r="AO8" s="36">
        <v>4785.8241923476289</v>
      </c>
      <c r="AP8" s="35">
        <v>4872.82040830808</v>
      </c>
      <c r="AQ8" s="36">
        <v>4872.82040830808</v>
      </c>
      <c r="AR8" s="35">
        <v>4960.1242585543914</v>
      </c>
      <c r="AS8" s="36">
        <v>4960.1242585543914</v>
      </c>
      <c r="AT8" s="35">
        <v>5047.6598310056588</v>
      </c>
      <c r="AU8" s="36">
        <v>5047.6598310056588</v>
      </c>
      <c r="AV8" s="35">
        <v>5135.3537942940384</v>
      </c>
      <c r="AW8" s="36">
        <v>5135.3537942940384</v>
      </c>
    </row>
    <row r="9" spans="1:49" x14ac:dyDescent="0.2">
      <c r="A9" t="s">
        <v>14</v>
      </c>
      <c r="B9" s="41">
        <v>1015.9116825427475</v>
      </c>
      <c r="C9" s="42">
        <v>1005.7716594496609</v>
      </c>
      <c r="D9" s="41">
        <v>1014.6065252615173</v>
      </c>
      <c r="E9" s="42">
        <v>1063.3478018712906</v>
      </c>
      <c r="F9" s="41">
        <v>1013.2754354362899</v>
      </c>
      <c r="G9" s="42">
        <v>1126.9586660844802</v>
      </c>
      <c r="H9" s="41">
        <v>1011.9151129022662</v>
      </c>
      <c r="I9" s="42">
        <v>1197.4830809346988</v>
      </c>
      <c r="J9" s="41">
        <v>1010.5221242192432</v>
      </c>
      <c r="K9" s="42">
        <v>1275.9585468319021</v>
      </c>
      <c r="L9" s="41">
        <v>1009.0930972780554</v>
      </c>
      <c r="M9" s="42">
        <v>1363.6130099337299</v>
      </c>
      <c r="N9" s="41">
        <v>1007.6249865946438</v>
      </c>
      <c r="O9" s="42">
        <v>1461.903354969467</v>
      </c>
      <c r="P9" s="41">
        <v>1006.1155364149209</v>
      </c>
      <c r="Q9" s="42">
        <v>1572.5591253879909</v>
      </c>
      <c r="R9" s="41">
        <v>1004.5639808786271</v>
      </c>
      <c r="S9" s="42">
        <v>1697.6301481684175</v>
      </c>
      <c r="T9" s="41">
        <v>1002.9720305745618</v>
      </c>
      <c r="U9" s="42">
        <v>1839.5364584870849</v>
      </c>
      <c r="V9" s="41">
        <v>1001.3453310766972</v>
      </c>
      <c r="W9" s="42">
        <v>2001.1004076156155</v>
      </c>
      <c r="X9" s="41">
        <v>999.69527173750271</v>
      </c>
      <c r="Y9" s="42">
        <v>2185.5531183617977</v>
      </c>
      <c r="Z9" s="41">
        <v>998.04120371232034</v>
      </c>
      <c r="AA9" s="42">
        <v>2396.4620689416115</v>
      </c>
      <c r="AB9" s="41">
        <v>996.4125632244361</v>
      </c>
      <c r="AC9" s="42">
        <v>2637.5224677477554</v>
      </c>
      <c r="AD9" s="41">
        <v>994.850006348173</v>
      </c>
      <c r="AE9" s="42">
        <v>2912.1246971610917</v>
      </c>
      <c r="AF9" s="41">
        <v>993.40397017110524</v>
      </c>
      <c r="AG9" s="42">
        <v>3222.629705475807</v>
      </c>
      <c r="AH9" s="41">
        <v>992.12890673078482</v>
      </c>
      <c r="AI9" s="42">
        <v>3569.4008782141204</v>
      </c>
      <c r="AJ9" s="41">
        <v>991.07283525494529</v>
      </c>
      <c r="AK9" s="42">
        <v>3949.8739581900199</v>
      </c>
      <c r="AL9" s="41">
        <v>990.26520889751316</v>
      </c>
      <c r="AM9" s="42">
        <v>4358.1883616619898</v>
      </c>
      <c r="AN9" s="41">
        <v>989.70904219510214</v>
      </c>
      <c r="AO9" s="42">
        <v>4785.8241923476289</v>
      </c>
      <c r="AP9" s="41">
        <v>989.62637815221944</v>
      </c>
      <c r="AQ9" s="42">
        <v>4872.82040830808</v>
      </c>
      <c r="AR9" s="41">
        <v>989.5526509415721</v>
      </c>
      <c r="AS9" s="42">
        <v>4960.1242585543914</v>
      </c>
      <c r="AT9" s="41">
        <v>989.48755834210783</v>
      </c>
      <c r="AU9" s="42">
        <v>5047.6598310056588</v>
      </c>
      <c r="AV9" s="41">
        <v>989.43077754916908</v>
      </c>
      <c r="AW9" s="42">
        <v>5135.3537942940384</v>
      </c>
    </row>
    <row r="10" spans="1:49" x14ac:dyDescent="0.2">
      <c r="A10" t="s">
        <v>15</v>
      </c>
      <c r="B10" s="41">
        <v>1015.9116825427475</v>
      </c>
      <c r="C10" s="42">
        <v>1005.7716594496609</v>
      </c>
      <c r="D10" s="41">
        <v>1014.6065252615173</v>
      </c>
      <c r="E10" s="42">
        <v>1063.3478018712906</v>
      </c>
      <c r="F10" s="41">
        <v>1013.2754354362899</v>
      </c>
      <c r="G10" s="42">
        <v>1126.9586660844802</v>
      </c>
      <c r="H10" s="41">
        <v>1011.9151129022662</v>
      </c>
      <c r="I10" s="42">
        <v>1197.4830809346988</v>
      </c>
      <c r="J10" s="41">
        <v>1010.5221242192432</v>
      </c>
      <c r="K10" s="42">
        <v>1275.9585468319021</v>
      </c>
      <c r="L10" s="41">
        <v>1009.0930972780554</v>
      </c>
      <c r="M10" s="42">
        <v>1363.6130099337299</v>
      </c>
      <c r="N10" s="41">
        <v>1007.6249865946438</v>
      </c>
      <c r="O10" s="42">
        <v>1461.903354969467</v>
      </c>
      <c r="P10" s="41">
        <v>1006.1155364149209</v>
      </c>
      <c r="Q10" s="42">
        <v>1572.5591253879909</v>
      </c>
      <c r="R10" s="41">
        <v>1004.5639808786271</v>
      </c>
      <c r="S10" s="42">
        <v>1697.6301481684175</v>
      </c>
      <c r="T10" s="41">
        <v>1002.9720305745618</v>
      </c>
      <c r="U10" s="42">
        <v>1839.5364584870849</v>
      </c>
      <c r="V10" s="41">
        <v>1001.3453310766972</v>
      </c>
      <c r="W10" s="42">
        <v>2001.1004076156155</v>
      </c>
      <c r="X10" s="41">
        <v>999.69527173750271</v>
      </c>
      <c r="Y10" s="42">
        <v>2185.5531183617977</v>
      </c>
      <c r="Z10" s="41">
        <v>998.04120371232034</v>
      </c>
      <c r="AA10" s="42">
        <v>2396.4620689416115</v>
      </c>
      <c r="AB10" s="41">
        <v>996.4125632244361</v>
      </c>
      <c r="AC10" s="42">
        <v>2637.5224677477554</v>
      </c>
      <c r="AD10" s="41">
        <v>994.850006348173</v>
      </c>
      <c r="AE10" s="42">
        <v>2912.1246971610917</v>
      </c>
      <c r="AF10" s="41">
        <v>993.40397017110524</v>
      </c>
      <c r="AG10" s="42">
        <v>3222.629705475807</v>
      </c>
      <c r="AH10" s="41">
        <v>992.12890673078482</v>
      </c>
      <c r="AI10" s="42">
        <v>3569.4008782141204</v>
      </c>
      <c r="AJ10" s="41">
        <v>991.07283525494529</v>
      </c>
      <c r="AK10" s="42">
        <v>3949.8739581900199</v>
      </c>
      <c r="AL10" s="41">
        <v>990.26520889751316</v>
      </c>
      <c r="AM10" s="42">
        <v>4358.1883616619898</v>
      </c>
      <c r="AN10" s="41">
        <v>989.70904219510214</v>
      </c>
      <c r="AO10" s="42">
        <v>4785.8241923476289</v>
      </c>
      <c r="AP10" s="41">
        <v>989.62637815221944</v>
      </c>
      <c r="AQ10" s="42">
        <v>4872.82040830808</v>
      </c>
      <c r="AR10" s="41">
        <v>989.5526509415721</v>
      </c>
      <c r="AS10" s="42">
        <v>4960.1242585543914</v>
      </c>
      <c r="AT10" s="41">
        <v>989.48755834210783</v>
      </c>
      <c r="AU10" s="42">
        <v>5047.6598310056588</v>
      </c>
      <c r="AV10" s="41">
        <v>989.43077754916908</v>
      </c>
      <c r="AW10" s="42">
        <v>5135.3537942940384</v>
      </c>
    </row>
    <row r="11" spans="1:49" x14ac:dyDescent="0.2">
      <c r="A11" t="s">
        <v>29</v>
      </c>
      <c r="B11" s="41">
        <v>1015.9116825427475</v>
      </c>
      <c r="C11" s="42">
        <v>1005.7716594496609</v>
      </c>
      <c r="D11" s="41">
        <v>1014.6065252615173</v>
      </c>
      <c r="E11" s="42">
        <v>1063.3478018712906</v>
      </c>
      <c r="F11" s="41">
        <v>1013.2754354362899</v>
      </c>
      <c r="G11" s="42">
        <v>1126.9586660844802</v>
      </c>
      <c r="H11" s="41">
        <v>1011.9151129022662</v>
      </c>
      <c r="I11" s="42">
        <v>1197.4830809346988</v>
      </c>
      <c r="J11" s="41">
        <v>1010.5221242192432</v>
      </c>
      <c r="K11" s="42">
        <v>1275.9585468319021</v>
      </c>
      <c r="L11" s="41">
        <v>1009.0930972780554</v>
      </c>
      <c r="M11" s="42">
        <v>1363.6130099337299</v>
      </c>
      <c r="N11" s="41">
        <v>1007.6249865946438</v>
      </c>
      <c r="O11" s="42">
        <v>1461.903354969467</v>
      </c>
      <c r="P11" s="41">
        <v>1006.1155364149209</v>
      </c>
      <c r="Q11" s="42">
        <v>1572.5591253879909</v>
      </c>
      <c r="R11" s="41">
        <v>1004.5639808786271</v>
      </c>
      <c r="S11" s="42">
        <v>1697.6301481684175</v>
      </c>
      <c r="T11" s="41">
        <v>1002.9720305745618</v>
      </c>
      <c r="U11" s="42">
        <v>1839.5364584870849</v>
      </c>
      <c r="V11" s="41">
        <v>1001.3453310766972</v>
      </c>
      <c r="W11" s="42">
        <v>2001.1004076156155</v>
      </c>
      <c r="X11" s="41">
        <v>999.69527173750271</v>
      </c>
      <c r="Y11" s="42">
        <v>2185.5531183617977</v>
      </c>
      <c r="Z11" s="41">
        <v>998.04120371232034</v>
      </c>
      <c r="AA11" s="42">
        <v>2396.4620689416115</v>
      </c>
      <c r="AB11" s="41">
        <v>996.4125632244361</v>
      </c>
      <c r="AC11" s="42">
        <v>2637.5224677477554</v>
      </c>
      <c r="AD11" s="41">
        <v>994.850006348173</v>
      </c>
      <c r="AE11" s="42">
        <v>2912.1246971610917</v>
      </c>
      <c r="AF11" s="41">
        <v>993.40397017110524</v>
      </c>
      <c r="AG11" s="42">
        <v>3222.629705475807</v>
      </c>
      <c r="AH11" s="41">
        <v>992.12890673078482</v>
      </c>
      <c r="AI11" s="42">
        <v>3569.4008782141204</v>
      </c>
      <c r="AJ11" s="41">
        <v>991.07283525494529</v>
      </c>
      <c r="AK11" s="42">
        <v>3949.8739581900199</v>
      </c>
      <c r="AL11" s="41">
        <v>990.26520889751316</v>
      </c>
      <c r="AM11" s="42">
        <v>4358.1883616619898</v>
      </c>
      <c r="AN11" s="41">
        <v>989.70904219510214</v>
      </c>
      <c r="AO11" s="42">
        <v>4785.8241923476289</v>
      </c>
      <c r="AP11" s="41">
        <v>989.62637815221944</v>
      </c>
      <c r="AQ11" s="42">
        <v>4872.82040830808</v>
      </c>
      <c r="AR11" s="41">
        <v>989.5526509415721</v>
      </c>
      <c r="AS11" s="42">
        <v>4960.1242585543914</v>
      </c>
      <c r="AT11" s="41">
        <v>989.48755834210783</v>
      </c>
      <c r="AU11" s="42">
        <v>5047.6598310056588</v>
      </c>
      <c r="AV11" s="41">
        <v>989.43077754916908</v>
      </c>
      <c r="AW11" s="42">
        <v>5135.3537942940384</v>
      </c>
    </row>
    <row r="12" spans="1:49"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v>1000</v>
      </c>
      <c r="AA12" s="42">
        <v>1000</v>
      </c>
      <c r="AB12" s="41">
        <v>1000</v>
      </c>
      <c r="AC12" s="42">
        <v>1000</v>
      </c>
      <c r="AD12" s="41">
        <v>1000</v>
      </c>
      <c r="AE12" s="42">
        <v>1000</v>
      </c>
      <c r="AF12" s="41">
        <v>1000</v>
      </c>
      <c r="AG12" s="42">
        <v>1000</v>
      </c>
      <c r="AH12" s="41">
        <v>1000</v>
      </c>
      <c r="AI12" s="42">
        <v>1000</v>
      </c>
      <c r="AJ12" s="41">
        <v>1000</v>
      </c>
      <c r="AK12" s="42">
        <v>1000</v>
      </c>
      <c r="AL12" s="41">
        <v>1000</v>
      </c>
      <c r="AM12" s="42">
        <v>1000</v>
      </c>
      <c r="AN12" s="41">
        <v>1000</v>
      </c>
      <c r="AO12" s="42">
        <v>1000</v>
      </c>
      <c r="AP12" s="41">
        <v>1000</v>
      </c>
      <c r="AQ12" s="42">
        <v>1000</v>
      </c>
      <c r="AR12" s="41">
        <v>1000</v>
      </c>
      <c r="AS12" s="42">
        <v>1000</v>
      </c>
      <c r="AT12" s="41">
        <v>1000</v>
      </c>
      <c r="AU12" s="42">
        <v>1000</v>
      </c>
      <c r="AV12" s="41">
        <v>1000</v>
      </c>
      <c r="AW12" s="42">
        <v>1000</v>
      </c>
    </row>
    <row r="13" spans="1:49" x14ac:dyDescent="0.2">
      <c r="A13" t="s">
        <v>17</v>
      </c>
      <c r="B13" s="97">
        <v>1000</v>
      </c>
      <c r="C13" s="98">
        <v>1000</v>
      </c>
      <c r="D13" s="97">
        <v>996.74862556699895</v>
      </c>
      <c r="E13" s="98">
        <v>996.74862556699895</v>
      </c>
      <c r="F13" s="97">
        <v>993.32141914539602</v>
      </c>
      <c r="G13" s="98">
        <v>993.32141914539602</v>
      </c>
      <c r="H13" s="97">
        <v>989.70473359304981</v>
      </c>
      <c r="I13" s="98">
        <v>989.70473359304981</v>
      </c>
      <c r="J13" s="97">
        <v>985.88442293709511</v>
      </c>
      <c r="K13" s="98">
        <v>985.88442293709511</v>
      </c>
      <c r="L13" s="97">
        <v>981.8463007449385</v>
      </c>
      <c r="M13" s="98">
        <v>981.8463007449385</v>
      </c>
      <c r="N13" s="97">
        <v>977.57663777951973</v>
      </c>
      <c r="O13" s="98">
        <v>977.57663777951973</v>
      </c>
      <c r="P13" s="97">
        <v>973.06312046626874</v>
      </c>
      <c r="Q13" s="98">
        <v>973.06312046626874</v>
      </c>
      <c r="R13" s="97">
        <v>968.29628676721211</v>
      </c>
      <c r="S13" s="98">
        <v>968.29628676721211</v>
      </c>
      <c r="T13" s="97">
        <v>963.27132449234853</v>
      </c>
      <c r="U13" s="98">
        <v>963.27132449234853</v>
      </c>
      <c r="V13" s="97">
        <v>957.9913209725654</v>
      </c>
      <c r="W13" s="98">
        <v>957.9913209725654</v>
      </c>
      <c r="X13" s="97">
        <v>952.47073911410826</v>
      </c>
      <c r="Y13" s="98">
        <v>952.47073911410826</v>
      </c>
      <c r="Z13" s="97">
        <v>946.74047721543025</v>
      </c>
      <c r="AA13" s="98">
        <v>946.74047721543025</v>
      </c>
      <c r="AB13" s="97">
        <v>940.8532997714675</v>
      </c>
      <c r="AC13" s="98">
        <v>940.8532997714675</v>
      </c>
      <c r="AD13" s="97">
        <v>934.88857081804315</v>
      </c>
      <c r="AE13" s="98">
        <v>934.88857081804315</v>
      </c>
      <c r="AF13" s="97">
        <v>928.95351626788863</v>
      </c>
      <c r="AG13" s="98">
        <v>928.95351626788863</v>
      </c>
      <c r="AH13" s="97">
        <v>923.17712893872181</v>
      </c>
      <c r="AI13" s="98">
        <v>923.17712893872181</v>
      </c>
      <c r="AJ13" s="97">
        <v>917.69400919183443</v>
      </c>
      <c r="AK13" s="98">
        <v>917.69400919183443</v>
      </c>
      <c r="AL13" s="97">
        <v>912.62049743128762</v>
      </c>
      <c r="AM13" s="98">
        <v>912.62049743128762</v>
      </c>
      <c r="AN13" s="97">
        <v>908.03231612830575</v>
      </c>
      <c r="AO13" s="98">
        <v>908.03231612830575</v>
      </c>
      <c r="AP13" s="97">
        <v>907.17600420585632</v>
      </c>
      <c r="AQ13" s="98">
        <v>907.17600420585632</v>
      </c>
      <c r="AR13" s="97">
        <v>906.3402216735002</v>
      </c>
      <c r="AS13" s="98">
        <v>906.3402216735002</v>
      </c>
      <c r="AT13" s="97">
        <v>905.52486517708928</v>
      </c>
      <c r="AU13" s="98">
        <v>905.52486517708928</v>
      </c>
      <c r="AV13" s="97">
        <v>904.72976156063635</v>
      </c>
      <c r="AW13" s="98">
        <v>904.72976156063635</v>
      </c>
    </row>
    <row r="14" spans="1:49" x14ac:dyDescent="0.2">
      <c r="A14" t="s">
        <v>36</v>
      </c>
      <c r="B14" s="41">
        <v>1457.0034251455234</v>
      </c>
      <c r="C14" s="42">
        <v>1457.0034251455236</v>
      </c>
      <c r="D14" s="41">
        <v>1452.2661614602102</v>
      </c>
      <c r="E14" s="42">
        <v>1452.2661614602105</v>
      </c>
      <c r="F14" s="41">
        <v>1447.2727099652539</v>
      </c>
      <c r="G14" s="42">
        <v>1447.2727099652541</v>
      </c>
      <c r="H14" s="41">
        <v>1442.0031867278112</v>
      </c>
      <c r="I14" s="42">
        <v>1442.0031867278115</v>
      </c>
      <c r="J14" s="41">
        <v>1436.4369810169653</v>
      </c>
      <c r="K14" s="42">
        <v>1436.4369810169655</v>
      </c>
      <c r="L14" s="41">
        <v>1430.553423151837</v>
      </c>
      <c r="M14" s="42">
        <v>1430.5534231518373</v>
      </c>
      <c r="N14" s="41">
        <v>1424.3325095870048</v>
      </c>
      <c r="O14" s="42">
        <v>1424.332509587005</v>
      </c>
      <c r="P14" s="41">
        <v>1417.7562994021446</v>
      </c>
      <c r="Q14" s="42">
        <v>1417.7562994021448</v>
      </c>
      <c r="R14" s="41">
        <v>1410.8110063755198</v>
      </c>
      <c r="S14" s="42">
        <v>1410.81100637552</v>
      </c>
      <c r="T14" s="41">
        <v>1403.4896191298167</v>
      </c>
      <c r="U14" s="42">
        <v>1403.4896191298169</v>
      </c>
      <c r="V14" s="41">
        <v>1395.7966359167121</v>
      </c>
      <c r="W14" s="42">
        <v>1395.7966359167124</v>
      </c>
      <c r="X14" s="41">
        <v>1387.7531292401438</v>
      </c>
      <c r="Y14" s="42">
        <v>1387.7531292401441</v>
      </c>
      <c r="Z14" s="41">
        <v>1379.4041180267891</v>
      </c>
      <c r="AA14" s="42">
        <v>1379.4041180267893</v>
      </c>
      <c r="AB14" s="41">
        <v>1370.826480326496</v>
      </c>
      <c r="AC14" s="42">
        <v>1370.826480326496</v>
      </c>
      <c r="AD14" s="41">
        <v>1362.135849811292</v>
      </c>
      <c r="AE14" s="42">
        <v>1362.1358498112922</v>
      </c>
      <c r="AF14" s="41">
        <v>1353.4884550032914</v>
      </c>
      <c r="AG14" s="42">
        <v>1353.4884550032916</v>
      </c>
      <c r="AH14" s="41">
        <v>1345.072238879728</v>
      </c>
      <c r="AI14" s="42">
        <v>1345.0722388797283</v>
      </c>
      <c r="AJ14" s="41">
        <v>1337.0833146280302</v>
      </c>
      <c r="AK14" s="42">
        <v>1337.0833146280304</v>
      </c>
      <c r="AL14" s="41">
        <v>1329.6911906153973</v>
      </c>
      <c r="AM14" s="42">
        <v>1329.6911906153975</v>
      </c>
      <c r="AN14" s="41">
        <v>1323.0061947417641</v>
      </c>
      <c r="AO14" s="42">
        <v>1323.0061947417641</v>
      </c>
      <c r="AP14" s="41">
        <v>1321.7585453377624</v>
      </c>
      <c r="AQ14" s="42">
        <v>1321.7585453377626</v>
      </c>
      <c r="AR14" s="41">
        <v>1320.5408073254425</v>
      </c>
      <c r="AS14" s="42">
        <v>1320.5408073254428</v>
      </c>
      <c r="AT14" s="41">
        <v>1319.3528301174572</v>
      </c>
      <c r="AU14" s="42">
        <v>1319.3528301174574</v>
      </c>
      <c r="AV14" s="41">
        <v>1318.1943614249396</v>
      </c>
      <c r="AW14" s="42">
        <v>1318.1943614249399</v>
      </c>
    </row>
    <row r="15" spans="1:49" x14ac:dyDescent="0.2">
      <c r="A15" t="s">
        <v>18</v>
      </c>
      <c r="B15" s="154">
        <v>1000</v>
      </c>
      <c r="C15" s="155">
        <v>1000</v>
      </c>
      <c r="D15" s="154">
        <v>995.84129829428002</v>
      </c>
      <c r="E15" s="155">
        <v>995.84129829428002</v>
      </c>
      <c r="F15" s="154">
        <v>991.46026338943807</v>
      </c>
      <c r="G15" s="155">
        <v>991.46026338943807</v>
      </c>
      <c r="H15" s="154">
        <v>986.82654541140346</v>
      </c>
      <c r="I15" s="155">
        <v>986.82654541140346</v>
      </c>
      <c r="J15" s="154">
        <v>981.90506481234661</v>
      </c>
      <c r="K15" s="155">
        <v>981.90506481234661</v>
      </c>
      <c r="L15" s="154">
        <v>976.65532324064804</v>
      </c>
      <c r="M15" s="155">
        <v>976.65532324064804</v>
      </c>
      <c r="N15" s="154">
        <v>971.03072203301122</v>
      </c>
      <c r="O15" s="155">
        <v>971.03072203301122</v>
      </c>
      <c r="P15" s="154">
        <v>964.97795441768767</v>
      </c>
      <c r="Q15" s="155">
        <v>964.97795441768767</v>
      </c>
      <c r="R15" s="154">
        <v>958.4366638328172</v>
      </c>
      <c r="S15" s="155">
        <v>958.4366638328172</v>
      </c>
      <c r="T15" s="154">
        <v>951.33964718518234</v>
      </c>
      <c r="U15" s="155">
        <v>951.33964718518234</v>
      </c>
      <c r="V15" s="154">
        <v>943.61419595235247</v>
      </c>
      <c r="W15" s="155">
        <v>943.61419595235247</v>
      </c>
      <c r="X15" s="154">
        <v>935.18534213317071</v>
      </c>
      <c r="Y15" s="155">
        <v>935.18534213317071</v>
      </c>
      <c r="Z15" s="154">
        <v>925.98235303380068</v>
      </c>
      <c r="AA15" s="155">
        <v>925.98235303380068</v>
      </c>
      <c r="AB15" s="154">
        <v>915.95001301642208</v>
      </c>
      <c r="AC15" s="155">
        <v>915.95001301642208</v>
      </c>
      <c r="AD15" s="154">
        <v>905.06599431461996</v>
      </c>
      <c r="AE15" s="155">
        <v>905.06599431461996</v>
      </c>
      <c r="AF15" s="154">
        <v>893.36360912621171</v>
      </c>
      <c r="AG15" s="155">
        <v>893.36360912621171</v>
      </c>
      <c r="AH15" s="154">
        <v>880.95442572927698</v>
      </c>
      <c r="AI15" s="155">
        <v>880.95442572927698</v>
      </c>
      <c r="AJ15" s="154">
        <v>868.03907065118779</v>
      </c>
      <c r="AK15" s="155">
        <v>868.03907065118779</v>
      </c>
      <c r="AL15" s="154">
        <v>854.89267905592726</v>
      </c>
      <c r="AM15" s="155">
        <v>854.89267905592726</v>
      </c>
      <c r="AN15" s="154">
        <v>841.8216961891336</v>
      </c>
      <c r="AO15" s="155">
        <v>841.8216961891336</v>
      </c>
      <c r="AP15" s="154">
        <v>839.24234971814224</v>
      </c>
      <c r="AQ15" s="155">
        <v>839.24234971814224</v>
      </c>
      <c r="AR15" s="154">
        <v>836.67950033744751</v>
      </c>
      <c r="AS15" s="155">
        <v>836.67950033744751</v>
      </c>
      <c r="AT15" s="154">
        <v>834.13501303089777</v>
      </c>
      <c r="AU15" s="155">
        <v>834.13501303089777</v>
      </c>
      <c r="AV15" s="154">
        <v>831.61060545474402</v>
      </c>
      <c r="AW15" s="155">
        <v>831.61060545474402</v>
      </c>
    </row>
    <row r="16" spans="1:49" s="29" customFormat="1" x14ac:dyDescent="0.2">
      <c r="A16" t="s">
        <v>61</v>
      </c>
      <c r="B16" s="41">
        <v>1000</v>
      </c>
      <c r="C16" s="42">
        <v>1000</v>
      </c>
      <c r="D16" s="41">
        <v>996.32498494640527</v>
      </c>
      <c r="E16" s="42">
        <v>996.10024776857051</v>
      </c>
      <c r="F16" s="41">
        <v>992.45229193600676</v>
      </c>
      <c r="G16" s="42">
        <v>991.99137876144709</v>
      </c>
      <c r="H16" s="41">
        <v>988.36044716107824</v>
      </c>
      <c r="I16" s="42">
        <v>987.6477985612737</v>
      </c>
      <c r="J16" s="41">
        <v>984.02548783584996</v>
      </c>
      <c r="K16" s="42">
        <v>983.04038452128771</v>
      </c>
      <c r="L16" s="41">
        <v>979.42087737116185</v>
      </c>
      <c r="M16" s="42">
        <v>978.13612107066967</v>
      </c>
      <c r="N16" s="41">
        <v>974.51744247820147</v>
      </c>
      <c r="O16" s="42">
        <v>972.89775066690936</v>
      </c>
      <c r="P16" s="41">
        <v>969.28358443036711</v>
      </c>
      <c r="Q16" s="42">
        <v>967.28360647068621</v>
      </c>
      <c r="R16" s="41">
        <v>963.68586112101116</v>
      </c>
      <c r="S16" s="42">
        <v>961.24776819577471</v>
      </c>
      <c r="T16" s="41">
        <v>957.69000615589766</v>
      </c>
      <c r="U16" s="42">
        <v>954.74070642814752</v>
      </c>
      <c r="V16" s="41">
        <v>951.26323492838287</v>
      </c>
      <c r="W16" s="42">
        <v>947.71114692907179</v>
      </c>
      <c r="X16" s="41">
        <v>944.37754254580034</v>
      </c>
      <c r="Y16" s="42">
        <v>940.10935319130533</v>
      </c>
      <c r="Z16" s="41">
        <v>937.0153389055348</v>
      </c>
      <c r="AA16" s="42">
        <v>931.89317276104373</v>
      </c>
      <c r="AB16" s="41">
        <v>929.17750346525793</v>
      </c>
      <c r="AC16" s="42">
        <v>923.03760473539853</v>
      </c>
      <c r="AD16" s="41">
        <v>920.89392904146086</v>
      </c>
      <c r="AE16" s="42">
        <v>913.54852664483576</v>
      </c>
      <c r="AF16" s="41">
        <v>912.23481563323082</v>
      </c>
      <c r="AG16" s="42">
        <v>903.47931210808076</v>
      </c>
      <c r="AH16" s="41">
        <v>903.31817194662415</v>
      </c>
      <c r="AI16" s="42">
        <v>892.9453307669072</v>
      </c>
      <c r="AJ16" s="41">
        <v>894.30671151682725</v>
      </c>
      <c r="AK16" s="42">
        <v>882.12724697031013</v>
      </c>
      <c r="AL16" s="41">
        <v>885.38901484079906</v>
      </c>
      <c r="AM16" s="42">
        <v>871.25408963942994</v>
      </c>
      <c r="AN16" s="41">
        <v>876.74805128619255</v>
      </c>
      <c r="AO16" s="42">
        <v>860.56625297497624</v>
      </c>
      <c r="AP16" s="41">
        <v>875.06683167610299</v>
      </c>
      <c r="AQ16" s="42">
        <v>858.4702717972807</v>
      </c>
      <c r="AR16" s="41">
        <v>873.4036284212001</v>
      </c>
      <c r="AS16" s="42">
        <v>856.39167878411558</v>
      </c>
      <c r="AT16" s="41">
        <v>871.75927563663231</v>
      </c>
      <c r="AU16" s="42">
        <v>854.33178468843994</v>
      </c>
      <c r="AV16" s="41">
        <v>870.13450307587618</v>
      </c>
      <c r="AW16" s="42">
        <v>852.29177574075186</v>
      </c>
    </row>
    <row r="17" spans="1:49" x14ac:dyDescent="0.2">
      <c r="A17" t="s">
        <v>62</v>
      </c>
      <c r="B17" s="35">
        <v>1000.0000000000002</v>
      </c>
      <c r="C17" s="36">
        <v>999.99999999999977</v>
      </c>
      <c r="D17" s="35">
        <v>998.83237283306028</v>
      </c>
      <c r="E17" s="36">
        <v>1028.5248802372362</v>
      </c>
      <c r="F17" s="35">
        <v>997.64280397855794</v>
      </c>
      <c r="G17" s="36">
        <v>1059.8848517938693</v>
      </c>
      <c r="H17" s="35">
        <v>996.42842693510249</v>
      </c>
      <c r="I17" s="36">
        <v>1094.4745894841901</v>
      </c>
      <c r="J17" s="35">
        <v>995.18626832199061</v>
      </c>
      <c r="K17" s="36">
        <v>1132.7578229050009</v>
      </c>
      <c r="L17" s="35">
        <v>993.91343255354468</v>
      </c>
      <c r="M17" s="36">
        <v>1175.2807864179522</v>
      </c>
      <c r="N17" s="35">
        <v>992.60732798067977</v>
      </c>
      <c r="O17" s="36">
        <v>1222.6884661493016</v>
      </c>
      <c r="P17" s="35">
        <v>991.26608021736911</v>
      </c>
      <c r="Q17" s="36">
        <v>1275.7428414511683</v>
      </c>
      <c r="R17" s="35">
        <v>989.88915591265754</v>
      </c>
      <c r="S17" s="36">
        <v>1335.3424632022588</v>
      </c>
      <c r="T17" s="35">
        <v>988.47820515961791</v>
      </c>
      <c r="U17" s="36">
        <v>1402.5426621120289</v>
      </c>
      <c r="V17" s="35">
        <v>987.03838351904903</v>
      </c>
      <c r="W17" s="36">
        <v>1478.5669814547496</v>
      </c>
      <c r="X17" s="35">
        <v>985.57987674858737</v>
      </c>
      <c r="Y17" s="36">
        <v>1564.8068473703734</v>
      </c>
      <c r="Z17" s="35">
        <v>984.11984522791636</v>
      </c>
      <c r="AA17" s="36">
        <v>1662.7854592459082</v>
      </c>
      <c r="AB17" s="35">
        <v>982.68424046436837</v>
      </c>
      <c r="AC17" s="36">
        <v>1774.0612801035622</v>
      </c>
      <c r="AD17" s="35">
        <v>981.30874464306282</v>
      </c>
      <c r="AE17" s="36">
        <v>1900.0335219958313</v>
      </c>
      <c r="AF17" s="35">
        <v>980.0374429980094</v>
      </c>
      <c r="AG17" s="36">
        <v>2041.6221003857347</v>
      </c>
      <c r="AH17" s="35">
        <v>978.9177515886106</v>
      </c>
      <c r="AI17" s="36">
        <v>2198.8473171791879</v>
      </c>
      <c r="AJ17" s="35">
        <v>977.99129156956644</v>
      </c>
      <c r="AK17" s="36">
        <v>2370.4364739807502</v>
      </c>
      <c r="AL17" s="35">
        <v>977.28335214802382</v>
      </c>
      <c r="AM17" s="36">
        <v>2553.6865952535709</v>
      </c>
      <c r="AN17" s="35">
        <v>976.7961193467986</v>
      </c>
      <c r="AO17" s="36">
        <v>2744.7700197604372</v>
      </c>
      <c r="AP17" s="35">
        <v>976.72372098558435</v>
      </c>
      <c r="AQ17" s="36">
        <v>2783.5500983551387</v>
      </c>
      <c r="AR17" s="35">
        <v>976.65915403801523</v>
      </c>
      <c r="AS17" s="36">
        <v>2822.4379512097053</v>
      </c>
      <c r="AT17" s="35">
        <v>976.6021522374183</v>
      </c>
      <c r="AU17" s="36">
        <v>2861.4003864534925</v>
      </c>
      <c r="AV17" s="35">
        <v>976.55243176463</v>
      </c>
      <c r="AW17" s="36">
        <v>2900.4054293472936</v>
      </c>
    </row>
    <row r="18" spans="1:49" x14ac:dyDescent="0.2">
      <c r="A18" t="s">
        <v>19</v>
      </c>
      <c r="B18" s="33">
        <v>27857.010133999996</v>
      </c>
      <c r="C18" s="34">
        <v>1236.7674480000003</v>
      </c>
      <c r="D18" s="33">
        <v>27677.157906247878</v>
      </c>
      <c r="E18" s="34">
        <v>1153.8178913876386</v>
      </c>
      <c r="F18" s="33">
        <v>27471.988644763929</v>
      </c>
      <c r="G18" s="34">
        <v>1071.3438845759351</v>
      </c>
      <c r="H18" s="33">
        <v>27237.042741818143</v>
      </c>
      <c r="I18" s="34">
        <v>989.43104463572331</v>
      </c>
      <c r="J18" s="33">
        <v>26966.813668112871</v>
      </c>
      <c r="K18" s="34">
        <v>908.18683353181973</v>
      </c>
      <c r="L18" s="33">
        <v>26654.429623186497</v>
      </c>
      <c r="M18" s="34">
        <v>827.74982211018016</v>
      </c>
      <c r="N18" s="33">
        <v>26291.260618057575</v>
      </c>
      <c r="O18" s="34">
        <v>748.29664140692296</v>
      </c>
      <c r="P18" s="33">
        <v>25866.3699435696</v>
      </c>
      <c r="Q18" s="34">
        <v>670.05407437426106</v>
      </c>
      <c r="R18" s="33">
        <v>25365.782205147065</v>
      </c>
      <c r="S18" s="34">
        <v>593.3137531185298</v>
      </c>
      <c r="T18" s="33">
        <v>24771.546216188541</v>
      </c>
      <c r="U18" s="34">
        <v>518.45051886671081</v>
      </c>
      <c r="V18" s="33">
        <v>24060.450445227605</v>
      </c>
      <c r="W18" s="34">
        <v>445.93932974932432</v>
      </c>
      <c r="X18" s="33">
        <v>23202.522726873063</v>
      </c>
      <c r="Y18" s="34">
        <v>376.37441611489589</v>
      </c>
      <c r="Z18" s="33">
        <v>22159.243737404115</v>
      </c>
      <c r="AA18" s="34">
        <v>310.47914923969677</v>
      </c>
      <c r="AB18" s="33">
        <v>20881.862800786399</v>
      </c>
      <c r="AC18" s="34">
        <v>249.097531900973</v>
      </c>
      <c r="AD18" s="33">
        <v>19310.499645554082</v>
      </c>
      <c r="AE18" s="34">
        <v>193.14801738875542</v>
      </c>
      <c r="AF18" s="33">
        <v>17375.300705912981</v>
      </c>
      <c r="AG18" s="34">
        <v>143.52195156131526</v>
      </c>
      <c r="AH18" s="33">
        <v>15001.238905385861</v>
      </c>
      <c r="AI18" s="34">
        <v>100.92450288298836</v>
      </c>
      <c r="AJ18" s="33">
        <v>12117.435312771222</v>
      </c>
      <c r="AK18" s="34">
        <v>65.686883270039104</v>
      </c>
      <c r="AL18" s="33">
        <v>8669.3819099038628</v>
      </c>
      <c r="AM18" s="34">
        <v>37.631740869046396</v>
      </c>
      <c r="AN18" s="33">
        <v>4629.368573542778</v>
      </c>
      <c r="AO18" s="34">
        <v>16.078007228287639</v>
      </c>
      <c r="AP18" s="33">
        <v>3750.0554473375582</v>
      </c>
      <c r="AQ18" s="34">
        <v>12.460644792858053</v>
      </c>
      <c r="AR18" s="33">
        <v>2847.2435854642881</v>
      </c>
      <c r="AS18" s="34">
        <v>9.0534696084587587</v>
      </c>
      <c r="AT18" s="33">
        <v>1921.13522103789</v>
      </c>
      <c r="AU18" s="34">
        <v>5.8471618687026483</v>
      </c>
      <c r="AV18" s="33">
        <v>971.96396876049482</v>
      </c>
      <c r="AW18" s="34">
        <v>2.8324343090348081</v>
      </c>
    </row>
    <row r="19" spans="1:49" x14ac:dyDescent="0.2">
      <c r="A19" t="s">
        <v>3</v>
      </c>
      <c r="B19" s="41">
        <v>1886.3937399999918</v>
      </c>
      <c r="C19" s="42">
        <v>262.78711299999759</v>
      </c>
      <c r="D19" s="41">
        <v>1868.4404782829888</v>
      </c>
      <c r="E19" s="42">
        <v>266.31170322566919</v>
      </c>
      <c r="F19" s="41">
        <v>1848.7535202343142</v>
      </c>
      <c r="G19" s="42">
        <v>270.15772298664996</v>
      </c>
      <c r="H19" s="41">
        <v>1827.0384113429886</v>
      </c>
      <c r="I19" s="42">
        <v>274.30989670600286</v>
      </c>
      <c r="J19" s="41">
        <v>1802.9352818966183</v>
      </c>
      <c r="K19" s="42">
        <v>278.73421668683233</v>
      </c>
      <c r="L19" s="41">
        <v>1776.0000559796695</v>
      </c>
      <c r="M19" s="42">
        <v>283.36894360879552</v>
      </c>
      <c r="N19" s="41">
        <v>1745.6815086473168</v>
      </c>
      <c r="O19" s="42">
        <v>288.11205124407837</v>
      </c>
      <c r="P19" s="41">
        <v>1711.2894698809046</v>
      </c>
      <c r="Q19" s="42">
        <v>292.80348366122706</v>
      </c>
      <c r="R19" s="41">
        <v>1671.9526467561075</v>
      </c>
      <c r="S19" s="42">
        <v>297.20064157024149</v>
      </c>
      <c r="T19" s="41">
        <v>1626.5649028123021</v>
      </c>
      <c r="U19" s="42">
        <v>300.94541222704913</v>
      </c>
      <c r="V19" s="41">
        <v>1573.7113890014766</v>
      </c>
      <c r="W19" s="42">
        <v>303.52106684807507</v>
      </c>
      <c r="X19" s="41">
        <v>1511.5821795055799</v>
      </c>
      <c r="Y19" s="42">
        <v>304.19969695815445</v>
      </c>
      <c r="Z19" s="41">
        <v>1437.8679648550187</v>
      </c>
      <c r="AA19" s="42">
        <v>301.9853734883315</v>
      </c>
      <c r="AB19" s="41">
        <v>1349.6588494873731</v>
      </c>
      <c r="AC19" s="42">
        <v>295.56750976569668</v>
      </c>
      <c r="AD19" s="41">
        <v>1243.3834831285642</v>
      </c>
      <c r="AE19" s="42">
        <v>283.3148358944826</v>
      </c>
      <c r="AF19" s="41">
        <v>1114.8602310499857</v>
      </c>
      <c r="AG19" s="42">
        <v>263.35685889947428</v>
      </c>
      <c r="AH19" s="41">
        <v>959.55438096072214</v>
      </c>
      <c r="AI19" s="42">
        <v>233.8002476075651</v>
      </c>
      <c r="AJ19" s="41">
        <v>773.10243292344592</v>
      </c>
      <c r="AK19" s="42">
        <v>193.07940478503744</v>
      </c>
      <c r="AL19" s="41">
        <v>552.0264835486546</v>
      </c>
      <c r="AM19" s="42">
        <v>140.33887735749425</v>
      </c>
      <c r="AN19" s="41">
        <v>294.37746081008305</v>
      </c>
      <c r="AO19" s="42">
        <v>75.660542799014593</v>
      </c>
      <c r="AP19" s="41">
        <v>238.41463371277553</v>
      </c>
      <c r="AQ19" s="42">
        <v>61.364047711258792</v>
      </c>
      <c r="AR19" s="41">
        <v>180.9846435217251</v>
      </c>
      <c r="AS19" s="42">
        <v>46.637542322430903</v>
      </c>
      <c r="AT19" s="41">
        <v>122.0973010245505</v>
      </c>
      <c r="AU19" s="42">
        <v>31.492916692471592</v>
      </c>
      <c r="AV19" s="41">
        <v>61.764385472078565</v>
      </c>
      <c r="AW19" s="42">
        <v>15.942715254833645</v>
      </c>
    </row>
    <row r="20" spans="1:49" x14ac:dyDescent="0.2">
      <c r="A20" t="s">
        <v>127</v>
      </c>
      <c r="B20" s="82">
        <v>26548.356269999993</v>
      </c>
      <c r="C20" s="83">
        <v>1408.5418709999938</v>
      </c>
      <c r="D20" s="82">
        <v>26363.384569404523</v>
      </c>
      <c r="E20" s="83">
        <v>1338.1147774499941</v>
      </c>
      <c r="F20" s="82">
        <v>26154.184616988889</v>
      </c>
      <c r="G20" s="83">
        <v>1267.6876838999945</v>
      </c>
      <c r="H20" s="82">
        <v>25916.521679911657</v>
      </c>
      <c r="I20" s="83">
        <v>1197.2605903499946</v>
      </c>
      <c r="J20" s="82">
        <v>25645.176037710262</v>
      </c>
      <c r="K20" s="83">
        <v>1126.8334967999949</v>
      </c>
      <c r="L20" s="82">
        <v>25333.646372258241</v>
      </c>
      <c r="M20" s="83">
        <v>1056.4064032499953</v>
      </c>
      <c r="N20" s="82">
        <v>24973.784192765987</v>
      </c>
      <c r="O20" s="83">
        <v>985.97930969999561</v>
      </c>
      <c r="P20" s="82">
        <v>24555.284304603789</v>
      </c>
      <c r="Q20" s="83">
        <v>915.55221614999596</v>
      </c>
      <c r="R20" s="82">
        <v>24065.005663614291</v>
      </c>
      <c r="S20" s="83">
        <v>845.12512259999642</v>
      </c>
      <c r="T20" s="82">
        <v>23486.102519778407</v>
      </c>
      <c r="U20" s="83">
        <v>774.69802904999653</v>
      </c>
      <c r="V20" s="82">
        <v>22796.83380354178</v>
      </c>
      <c r="W20" s="83">
        <v>704.27093549999688</v>
      </c>
      <c r="X20" s="82">
        <v>21969.171889418656</v>
      </c>
      <c r="Y20" s="83">
        <v>633.84384194999723</v>
      </c>
      <c r="Z20" s="82">
        <v>20967.143373260213</v>
      </c>
      <c r="AA20" s="83">
        <v>563.41674839999746</v>
      </c>
      <c r="AB20" s="82">
        <v>19745.258187746844</v>
      </c>
      <c r="AC20" s="83">
        <v>492.98965484999781</v>
      </c>
      <c r="AD20" s="82">
        <v>18247.655764433817</v>
      </c>
      <c r="AE20" s="83">
        <v>422.56256129999809</v>
      </c>
      <c r="AF20" s="82">
        <v>16409.140768808327</v>
      </c>
      <c r="AG20" s="83">
        <v>352.13546774999827</v>
      </c>
      <c r="AH20" s="82">
        <v>14159.586970830645</v>
      </c>
      <c r="AI20" s="83">
        <v>281.70837419999856</v>
      </c>
      <c r="AJ20" s="82">
        <v>11432.549608462961</v>
      </c>
      <c r="AK20" s="83">
        <v>211.28128064999879</v>
      </c>
      <c r="AL20" s="82">
        <v>8176.6248195679264</v>
      </c>
      <c r="AM20" s="83">
        <v>140.85418709999902</v>
      </c>
      <c r="AN20" s="82">
        <v>4365.2254483449451</v>
      </c>
      <c r="AO20" s="83">
        <v>70.427093549999285</v>
      </c>
      <c r="AP20" s="82">
        <v>3535.9619478264162</v>
      </c>
      <c r="AQ20" s="83">
        <v>56.341674839999335</v>
      </c>
      <c r="AR20" s="82">
        <v>2684.6094413282217</v>
      </c>
      <c r="AS20" s="83">
        <v>42.256256129999379</v>
      </c>
      <c r="AT20" s="82">
        <v>1811.3508862322476</v>
      </c>
      <c r="AU20" s="83">
        <v>28.170837419999433</v>
      </c>
      <c r="AV20" s="82">
        <v>916.39876094083252</v>
      </c>
      <c r="AW20" s="83">
        <v>14.08541870999948</v>
      </c>
    </row>
    <row r="21" spans="1:49" x14ac:dyDescent="0.2">
      <c r="A21" t="s">
        <v>76</v>
      </c>
      <c r="B21" s="82">
        <v>24661.962529999968</v>
      </c>
      <c r="C21" s="83">
        <v>1145.7547579999991</v>
      </c>
      <c r="D21" s="82">
        <v>24494.94741940009</v>
      </c>
      <c r="E21" s="83">
        <v>1071.9698395212199</v>
      </c>
      <c r="F21" s="82">
        <v>24305.444567952563</v>
      </c>
      <c r="G21" s="83">
        <v>998.22891587099059</v>
      </c>
      <c r="H21" s="82">
        <v>24089.513947786723</v>
      </c>
      <c r="I21" s="83">
        <v>924.59895175938027</v>
      </c>
      <c r="J21" s="82">
        <v>23842.295964172907</v>
      </c>
      <c r="K21" s="83">
        <v>851.17020545294235</v>
      </c>
      <c r="L21" s="82">
        <v>23557.733609206298</v>
      </c>
      <c r="M21" s="83">
        <v>778.06366184142701</v>
      </c>
      <c r="N21" s="82">
        <v>23228.229782484705</v>
      </c>
      <c r="O21" s="83">
        <v>705.44046106555311</v>
      </c>
      <c r="P21" s="82">
        <v>22844.169476555759</v>
      </c>
      <c r="Q21" s="83">
        <v>633.51400297569489</v>
      </c>
      <c r="R21" s="82">
        <v>22393.282681738063</v>
      </c>
      <c r="S21" s="83">
        <v>562.56494038105177</v>
      </c>
      <c r="T21" s="82">
        <v>21859.829056824514</v>
      </c>
      <c r="U21" s="83">
        <v>492.9588731098076</v>
      </c>
      <c r="V21" s="82">
        <v>21223.480897821766</v>
      </c>
      <c r="W21" s="83">
        <v>425.16597698904565</v>
      </c>
      <c r="X21" s="82">
        <v>20458.017879648127</v>
      </c>
      <c r="Y21" s="83">
        <v>359.77946561829037</v>
      </c>
      <c r="Z21" s="82">
        <v>19529.771662893178</v>
      </c>
      <c r="AA21" s="83">
        <v>297.52656146772944</v>
      </c>
      <c r="AB21" s="82">
        <v>18396.155736328499</v>
      </c>
      <c r="AC21" s="83">
        <v>239.26066760740872</v>
      </c>
      <c r="AD21" s="82">
        <v>17004.872190815371</v>
      </c>
      <c r="AE21" s="83">
        <v>185.91735523225063</v>
      </c>
      <c r="AF21" s="82">
        <v>15294.896623784047</v>
      </c>
      <c r="AG21" s="83">
        <v>138.41569735661102</v>
      </c>
      <c r="AH21" s="82">
        <v>13200.626155127831</v>
      </c>
      <c r="AI21" s="83">
        <v>97.49951568454803</v>
      </c>
      <c r="AJ21" s="82">
        <v>10659.969931234979</v>
      </c>
      <c r="AK21" s="83">
        <v>63.550650039362601</v>
      </c>
      <c r="AL21" s="82">
        <v>7624.9969221584324</v>
      </c>
      <c r="AM21" s="83">
        <v>36.45259085319411</v>
      </c>
      <c r="AN21" s="82">
        <v>4071.0701085215255</v>
      </c>
      <c r="AO21" s="83">
        <v>15.589953402448961</v>
      </c>
      <c r="AP21" s="82">
        <v>3297.7283757361606</v>
      </c>
      <c r="AQ21" s="83">
        <v>12.084547752478116</v>
      </c>
      <c r="AR21" s="82">
        <v>2503.7630375179328</v>
      </c>
      <c r="AS21" s="83">
        <v>8.781698380649944</v>
      </c>
      <c r="AT21" s="82">
        <v>1689.3473190879713</v>
      </c>
      <c r="AU21" s="83">
        <v>5.6725707157246585</v>
      </c>
      <c r="AV21" s="82">
        <v>854.68200134109532</v>
      </c>
      <c r="AW21" s="83">
        <v>2.7482883144006838</v>
      </c>
    </row>
    <row r="22" spans="1:49" x14ac:dyDescent="0.2">
      <c r="A22" t="s">
        <v>28</v>
      </c>
      <c r="B22" s="41">
        <v>6533.6044688320644</v>
      </c>
      <c r="C22" s="42">
        <v>379.90788307663382</v>
      </c>
      <c r="D22" s="41">
        <v>6464.6044143167628</v>
      </c>
      <c r="E22" s="42">
        <v>363.06094128081475</v>
      </c>
      <c r="F22" s="41">
        <v>6389.0866117931128</v>
      </c>
      <c r="G22" s="42">
        <v>346.04824459006306</v>
      </c>
      <c r="H22" s="41">
        <v>6306.0152022396005</v>
      </c>
      <c r="I22" s="42">
        <v>328.86415659388166</v>
      </c>
      <c r="J22" s="41">
        <v>6214.1300718789771</v>
      </c>
      <c r="K22" s="42">
        <v>311.50208103660282</v>
      </c>
      <c r="L22" s="41">
        <v>6111.882936466418</v>
      </c>
      <c r="M22" s="42">
        <v>293.95405237352486</v>
      </c>
      <c r="N22" s="41">
        <v>5997.3597363428426</v>
      </c>
      <c r="O22" s="42">
        <v>276.21039906389927</v>
      </c>
      <c r="P22" s="41">
        <v>5868.1741964930197</v>
      </c>
      <c r="Q22" s="42">
        <v>258.25925455052976</v>
      </c>
      <c r="R22" s="41">
        <v>5721.3285194518285</v>
      </c>
      <c r="S22" s="42">
        <v>240.08604001901074</v>
      </c>
      <c r="T22" s="41">
        <v>5553.0371553285258</v>
      </c>
      <c r="U22" s="42">
        <v>221.67289888721925</v>
      </c>
      <c r="V22" s="41">
        <v>5358.4967220045855</v>
      </c>
      <c r="W22" s="42">
        <v>202.99861789305669</v>
      </c>
      <c r="X22" s="41">
        <v>5131.6225926324269</v>
      </c>
      <c r="Y22" s="42">
        <v>184.03884455234456</v>
      </c>
      <c r="Z22" s="41">
        <v>4864.757919475046</v>
      </c>
      <c r="AA22" s="42">
        <v>164.76756503345518</v>
      </c>
      <c r="AB22" s="41">
        <v>4548.4353901566574</v>
      </c>
      <c r="AC22" s="42">
        <v>145.16042799297927</v>
      </c>
      <c r="AD22" s="41">
        <v>4171.3358242516815</v>
      </c>
      <c r="AE22" s="42">
        <v>125.20082165271251</v>
      </c>
      <c r="AF22" s="41">
        <v>3720.6830871712245</v>
      </c>
      <c r="AG22" s="42">
        <v>104.88879348470614</v>
      </c>
      <c r="AH22" s="41">
        <v>3183.3415534749456</v>
      </c>
      <c r="AI22" s="42">
        <v>84.250909164793683</v>
      </c>
      <c r="AJ22" s="41">
        <v>2547.6991218568846</v>
      </c>
      <c r="AK22" s="42">
        <v>63.346806468839766</v>
      </c>
      <c r="AL22" s="41">
        <v>1805.915584425517</v>
      </c>
      <c r="AM22" s="42">
        <v>42.266586925688038</v>
      </c>
      <c r="AN22" s="41">
        <v>955.59387912547777</v>
      </c>
      <c r="AO22" s="42">
        <v>21.116761230476428</v>
      </c>
      <c r="AP22" s="41">
        <v>772.70319589982171</v>
      </c>
      <c r="AQ22" s="42">
        <v>16.887761817390487</v>
      </c>
      <c r="AR22" s="41">
        <v>585.63802205555726</v>
      </c>
      <c r="AS22" s="42">
        <v>12.660897780171613</v>
      </c>
      <c r="AT22" s="41">
        <v>394.45620988903005</v>
      </c>
      <c r="AU22" s="42">
        <v>8.4368847920280139</v>
      </c>
      <c r="AV22" s="41">
        <v>199.22063629380034</v>
      </c>
      <c r="AW22" s="42">
        <v>4.2163772831496944</v>
      </c>
    </row>
    <row r="23" spans="1:49" x14ac:dyDescent="0.2">
      <c r="A23" t="s">
        <v>7</v>
      </c>
      <c r="B23" s="116">
        <v>3278.5018080150408</v>
      </c>
      <c r="C23" s="8">
        <v>0</v>
      </c>
      <c r="D23" s="116">
        <v>3260.7478421344208</v>
      </c>
      <c r="E23" s="8">
        <v>0</v>
      </c>
      <c r="F23" s="116">
        <v>3239.9853679844987</v>
      </c>
      <c r="G23" s="8">
        <v>0</v>
      </c>
      <c r="H23" s="116">
        <v>3215.6774956470681</v>
      </c>
      <c r="I23" s="8">
        <v>0</v>
      </c>
      <c r="J23" s="116">
        <v>3187.1610724956004</v>
      </c>
      <c r="K23" s="8">
        <v>0</v>
      </c>
      <c r="L23" s="116">
        <v>3153.6083505605502</v>
      </c>
      <c r="M23" s="8">
        <v>0</v>
      </c>
      <c r="N23" s="116">
        <v>3113.9798855596191</v>
      </c>
      <c r="O23" s="8">
        <v>0</v>
      </c>
      <c r="P23" s="116">
        <v>3066.9587140545232</v>
      </c>
      <c r="Q23" s="8">
        <v>0</v>
      </c>
      <c r="R23" s="116">
        <v>3010.8625212889742</v>
      </c>
      <c r="S23" s="8">
        <v>0</v>
      </c>
      <c r="T23" s="116">
        <v>2943.5308519090127</v>
      </c>
      <c r="U23" s="8">
        <v>0</v>
      </c>
      <c r="V23" s="116">
        <v>2862.1708299350566</v>
      </c>
      <c r="W23" s="8">
        <v>0</v>
      </c>
      <c r="X23" s="116">
        <v>2763.1753811767644</v>
      </c>
      <c r="Y23" s="8">
        <v>0</v>
      </c>
      <c r="Z23" s="116">
        <v>2641.9056479913452</v>
      </c>
      <c r="AA23" s="8">
        <v>0</v>
      </c>
      <c r="AB23" s="116">
        <v>2492.4819508016158</v>
      </c>
      <c r="AC23" s="8">
        <v>0</v>
      </c>
      <c r="AD23" s="116">
        <v>2307.6636894873745</v>
      </c>
      <c r="AE23" s="8">
        <v>0</v>
      </c>
      <c r="AF23" s="116">
        <v>2078.9693232897212</v>
      </c>
      <c r="AG23" s="8">
        <v>0</v>
      </c>
      <c r="AH23" s="116">
        <v>1797.2296557181346</v>
      </c>
      <c r="AI23" s="8">
        <v>0</v>
      </c>
      <c r="AJ23" s="116">
        <v>1453.6905994058554</v>
      </c>
      <c r="AK23" s="8">
        <v>0</v>
      </c>
      <c r="AL23" s="116">
        <v>1041.4867531067439</v>
      </c>
      <c r="AM23" s="8">
        <v>0</v>
      </c>
      <c r="AN23" s="116">
        <v>556.93165027218424</v>
      </c>
      <c r="AO23" s="8">
        <v>0</v>
      </c>
      <c r="AP23" s="116">
        <v>451.2746164750539</v>
      </c>
      <c r="AQ23" s="8">
        <v>0</v>
      </c>
      <c r="AR23" s="116">
        <v>342.72890512435282</v>
      </c>
      <c r="AS23" s="8">
        <v>0</v>
      </c>
      <c r="AT23" s="116">
        <v>231.31652634376735</v>
      </c>
      <c r="AU23" s="8">
        <v>0</v>
      </c>
      <c r="AV23" s="116">
        <v>117.06339842215475</v>
      </c>
      <c r="AW23" s="8">
        <v>0</v>
      </c>
    </row>
    <row r="24" spans="1:49" x14ac:dyDescent="0.2">
      <c r="A24" t="s">
        <v>8</v>
      </c>
      <c r="B24" s="97">
        <v>3196.3846373657216</v>
      </c>
      <c r="C24" s="8">
        <v>0</v>
      </c>
      <c r="D24" s="97">
        <v>3206.2711554709167</v>
      </c>
      <c r="E24" s="8">
        <v>0</v>
      </c>
      <c r="F24" s="97">
        <v>3213.4173828253056</v>
      </c>
      <c r="G24" s="8">
        <v>0</v>
      </c>
      <c r="H24" s="97">
        <v>3217.2593444910976</v>
      </c>
      <c r="I24" s="8">
        <v>0</v>
      </c>
      <c r="J24" s="97">
        <v>3217.0886069802209</v>
      </c>
      <c r="K24" s="8">
        <v>0</v>
      </c>
      <c r="L24" s="97">
        <v>3212.0057883308054</v>
      </c>
      <c r="M24" s="8">
        <v>0</v>
      </c>
      <c r="N24" s="97">
        <v>3200.8630000108456</v>
      </c>
      <c r="O24" s="8">
        <v>0</v>
      </c>
      <c r="P24" s="97">
        <v>3182.1819508255917</v>
      </c>
      <c r="Q24" s="8">
        <v>0</v>
      </c>
      <c r="R24" s="97">
        <v>3154.042892222601</v>
      </c>
      <c r="S24" s="8">
        <v>0</v>
      </c>
      <c r="T24" s="97">
        <v>3113.9402707773052</v>
      </c>
      <c r="U24" s="8">
        <v>0</v>
      </c>
      <c r="V24" s="97">
        <v>3058.5775876167077</v>
      </c>
      <c r="W24" s="8">
        <v>0</v>
      </c>
      <c r="X24" s="97">
        <v>2983.6200942076089</v>
      </c>
      <c r="Y24" s="8">
        <v>0</v>
      </c>
      <c r="Z24" s="97">
        <v>2883.3813548164781</v>
      </c>
      <c r="AA24" s="8">
        <v>0</v>
      </c>
      <c r="AB24" s="97">
        <v>2750.4915678824245</v>
      </c>
      <c r="AC24" s="8">
        <v>0</v>
      </c>
      <c r="AD24" s="97">
        <v>2575.636413252259</v>
      </c>
      <c r="AE24" s="8">
        <v>0</v>
      </c>
      <c r="AF24" s="97">
        <v>2347.5558599551014</v>
      </c>
      <c r="AG24" s="8">
        <v>0</v>
      </c>
      <c r="AH24" s="97">
        <v>2053.575327298121</v>
      </c>
      <c r="AI24" s="8">
        <v>0</v>
      </c>
      <c r="AJ24" s="97">
        <v>1680.8910855435026</v>
      </c>
      <c r="AK24" s="8">
        <v>0</v>
      </c>
      <c r="AL24" s="97">
        <v>1218.4899142635293</v>
      </c>
      <c r="AM24" s="8">
        <v>0</v>
      </c>
      <c r="AN24" s="97">
        <v>659.05693281114077</v>
      </c>
      <c r="AO24" s="8">
        <v>0</v>
      </c>
      <c r="AP24" s="97">
        <v>535.21413816095435</v>
      </c>
      <c r="AQ24" s="8">
        <v>0</v>
      </c>
      <c r="AR24" s="97">
        <v>407.37407968748198</v>
      </c>
      <c r="AS24" s="8">
        <v>0</v>
      </c>
      <c r="AT24" s="97">
        <v>275.54670618902639</v>
      </c>
      <c r="AU24" s="8">
        <v>0</v>
      </c>
      <c r="AV24" s="97">
        <v>139.74780498816884</v>
      </c>
      <c r="AW24" s="8">
        <v>0</v>
      </c>
    </row>
    <row r="25" spans="1:49" x14ac:dyDescent="0.2">
      <c r="A25" t="s">
        <v>0</v>
      </c>
      <c r="B25" s="41">
        <v>3195.0476040000012</v>
      </c>
      <c r="C25" s="42">
        <v>91.012690000004397</v>
      </c>
      <c r="D25" s="41">
        <v>3182.2051054400249</v>
      </c>
      <c r="E25" s="42">
        <v>81.817328282345812</v>
      </c>
      <c r="F25" s="41">
        <v>3166.5221959396868</v>
      </c>
      <c r="G25" s="42">
        <v>72.996692274360569</v>
      </c>
      <c r="H25" s="41">
        <v>3147.4787662868498</v>
      </c>
      <c r="I25" s="42">
        <v>64.576739841195021</v>
      </c>
      <c r="J25" s="41">
        <v>3124.4273040943781</v>
      </c>
      <c r="K25" s="42">
        <v>56.584313521892135</v>
      </c>
      <c r="L25" s="41">
        <v>3096.552520141588</v>
      </c>
      <c r="M25" s="42">
        <v>49.047062243096526</v>
      </c>
      <c r="N25" s="41">
        <v>3062.8210846218212</v>
      </c>
      <c r="O25" s="42">
        <v>41.992934576482448</v>
      </c>
      <c r="P25" s="41">
        <v>3021.9110831293619</v>
      </c>
      <c r="Q25" s="42">
        <v>35.449702597084851</v>
      </c>
      <c r="R25" s="41">
        <v>2972.1174216867798</v>
      </c>
      <c r="S25" s="42">
        <v>29.444238099732377</v>
      </c>
      <c r="T25" s="41">
        <v>2911.2301369757506</v>
      </c>
      <c r="U25" s="42">
        <v>24.001506516826218</v>
      </c>
      <c r="V25" s="41">
        <v>2836.3678518555225</v>
      </c>
      <c r="W25" s="42">
        <v>19.142994764869428</v>
      </c>
      <c r="X25" s="41">
        <v>2743.7829756504998</v>
      </c>
      <c r="Y25" s="42">
        <v>14.884759919419356</v>
      </c>
      <c r="Z25" s="41">
        <v>2628.6316699396261</v>
      </c>
      <c r="AA25" s="42">
        <v>11.234715098676517</v>
      </c>
      <c r="AB25" s="41">
        <v>2484.7606504699211</v>
      </c>
      <c r="AC25" s="42">
        <v>8.1892613822892475</v>
      </c>
      <c r="AD25" s="41">
        <v>2304.6026818973901</v>
      </c>
      <c r="AE25" s="42">
        <v>5.7294349862488758</v>
      </c>
      <c r="AF25" s="41">
        <v>2079.34753128586</v>
      </c>
      <c r="AG25" s="42">
        <v>3.8174418961156333</v>
      </c>
      <c r="AH25" s="41">
        <v>1799.5912952554406</v>
      </c>
      <c r="AI25" s="42">
        <v>2.3952321987634373</v>
      </c>
      <c r="AJ25" s="41">
        <v>1456.5631948915304</v>
      </c>
      <c r="AK25" s="42">
        <v>1.3870056559264168</v>
      </c>
      <c r="AL25" s="41">
        <v>1043.6955802571567</v>
      </c>
      <c r="AM25" s="42">
        <v>0.70675746765062186</v>
      </c>
      <c r="AN25" s="41">
        <v>557.91369323175593</v>
      </c>
      <c r="AO25" s="42">
        <v>0.26921491171202983</v>
      </c>
      <c r="AP25" s="41">
        <v>452.01335497565168</v>
      </c>
      <c r="AQ25" s="42">
        <v>0.20401172587962407</v>
      </c>
      <c r="AR25" s="41">
        <v>343.24097991380131</v>
      </c>
      <c r="AS25" s="42">
        <v>0.14496622941887394</v>
      </c>
      <c r="AT25" s="41">
        <v>231.62543215257745</v>
      </c>
      <c r="AU25" s="42">
        <v>9.1586151314834274E-2</v>
      </c>
      <c r="AV25" s="41">
        <v>117.19940435184189</v>
      </c>
      <c r="AW25" s="42">
        <v>4.3408902058629219E-2</v>
      </c>
    </row>
    <row r="26" spans="1:49" x14ac:dyDescent="0.2">
      <c r="A26" t="s">
        <v>27</v>
      </c>
      <c r="B26" s="33">
        <v>5036.2953101960647</v>
      </c>
      <c r="C26" s="34">
        <v>74.905331803938267</v>
      </c>
      <c r="D26" s="33">
        <v>5008.596247615038</v>
      </c>
      <c r="E26" s="34">
        <v>70.193748240206673</v>
      </c>
      <c r="F26" s="33">
        <v>4976.6430248665656</v>
      </c>
      <c r="G26" s="34">
        <v>65.490460616128289</v>
      </c>
      <c r="H26" s="33">
        <v>4939.6315304569971</v>
      </c>
      <c r="I26" s="34">
        <v>60.798036732651504</v>
      </c>
      <c r="J26" s="33">
        <v>4896.5612458432515</v>
      </c>
      <c r="K26" s="34">
        <v>56.120069739484578</v>
      </c>
      <c r="L26" s="33">
        <v>4846.1741716646175</v>
      </c>
      <c r="M26" s="34">
        <v>51.461690586891429</v>
      </c>
      <c r="N26" s="33">
        <v>4786.8794202528334</v>
      </c>
      <c r="O26" s="34">
        <v>46.830042822810626</v>
      </c>
      <c r="P26" s="33">
        <v>4716.6475054141074</v>
      </c>
      <c r="Q26" s="34">
        <v>42.235058094135347</v>
      </c>
      <c r="R26" s="33">
        <v>4632.8689125213377</v>
      </c>
      <c r="S26" s="34">
        <v>37.690452175403088</v>
      </c>
      <c r="T26" s="33">
        <v>4532.1731189451248</v>
      </c>
      <c r="U26" s="34">
        <v>33.215026130835959</v>
      </c>
      <c r="V26" s="33">
        <v>4410.1785034973982</v>
      </c>
      <c r="W26" s="34">
        <v>28.834048873123994</v>
      </c>
      <c r="X26" s="33">
        <v>4261.2008478598818</v>
      </c>
      <c r="Y26" s="34">
        <v>24.580923439274176</v>
      </c>
      <c r="Z26" s="33">
        <v>4077.903411736424</v>
      </c>
      <c r="AA26" s="34">
        <v>20.498510557787199</v>
      </c>
      <c r="AB26" s="33">
        <v>3850.9641318579274</v>
      </c>
      <c r="AC26" s="34">
        <v>16.639528370680271</v>
      </c>
      <c r="AD26" s="33">
        <v>3568.890403497333</v>
      </c>
      <c r="AE26" s="34">
        <v>13.064749422626177</v>
      </c>
      <c r="AF26" s="33">
        <v>3218.226337266085</v>
      </c>
      <c r="AG26" s="34">
        <v>9.8375307577804936</v>
      </c>
      <c r="AH26" s="33">
        <v>2784.4617152262836</v>
      </c>
      <c r="AI26" s="34">
        <v>7.0139643344375919</v>
      </c>
      <c r="AJ26" s="33">
        <v>2253.8176819025271</v>
      </c>
      <c r="AK26" s="34">
        <v>4.6299391552823002</v>
      </c>
      <c r="AL26" s="33">
        <v>1615.6042773365423</v>
      </c>
      <c r="AM26" s="34">
        <v>2.6901375101068017</v>
      </c>
      <c r="AN26" s="33">
        <v>864.24824538807195</v>
      </c>
      <c r="AO26" s="34">
        <v>1.1652814730486598</v>
      </c>
      <c r="AP26" s="33">
        <v>700.32471930126223</v>
      </c>
      <c r="AQ26" s="34">
        <v>0.90553755316205153</v>
      </c>
      <c r="AR26" s="33">
        <v>531.89800370850196</v>
      </c>
      <c r="AS26" s="34">
        <v>0.65968539030845963</v>
      </c>
      <c r="AT26" s="33">
        <v>359.00508262513586</v>
      </c>
      <c r="AU26" s="34">
        <v>0.42717986868657692</v>
      </c>
      <c r="AV26" s="33">
        <v>181.68903065301006</v>
      </c>
      <c r="AW26" s="34">
        <v>0.20747058274857413</v>
      </c>
    </row>
    <row r="27" spans="1:49" x14ac:dyDescent="0.2">
      <c r="A27" t="s">
        <v>2</v>
      </c>
      <c r="B27" s="35">
        <v>6425.1981590000305</v>
      </c>
      <c r="C27" s="36">
        <v>273.22915400000028</v>
      </c>
      <c r="D27" s="35">
        <v>6393.3528027110542</v>
      </c>
      <c r="E27" s="36">
        <v>256.11288697774552</v>
      </c>
      <c r="F27" s="35">
        <v>6356.2434403544967</v>
      </c>
      <c r="G27" s="36">
        <v>239.02139245746559</v>
      </c>
      <c r="H27" s="35">
        <v>6312.8982368008683</v>
      </c>
      <c r="I27" s="36">
        <v>221.96445265991088</v>
      </c>
      <c r="J27" s="35">
        <v>6262.1062594566274</v>
      </c>
      <c r="K27" s="36">
        <v>204.9554636437343</v>
      </c>
      <c r="L27" s="35">
        <v>6202.3414237441239</v>
      </c>
      <c r="M27" s="36">
        <v>188.01347887012506</v>
      </c>
      <c r="N27" s="35">
        <v>6131.6666026319735</v>
      </c>
      <c r="O27" s="36">
        <v>171.16468726335029</v>
      </c>
      <c r="P27" s="35">
        <v>6047.5982454155528</v>
      </c>
      <c r="Q27" s="36">
        <v>154.44521042970968</v>
      </c>
      <c r="R27" s="35">
        <v>5946.9223282338262</v>
      </c>
      <c r="S27" s="36">
        <v>137.90467266386125</v>
      </c>
      <c r="T27" s="35">
        <v>5825.4523039991418</v>
      </c>
      <c r="U27" s="36">
        <v>121.61096805101086</v>
      </c>
      <c r="V27" s="35">
        <v>5677.6912442598996</v>
      </c>
      <c r="W27" s="36">
        <v>105.65501194006212</v>
      </c>
      <c r="X27" s="35">
        <v>5496.4175004585013</v>
      </c>
      <c r="Y27" s="36">
        <v>90.156860955445325</v>
      </c>
      <c r="Z27" s="35">
        <v>5272.1676859683139</v>
      </c>
      <c r="AA27" s="36">
        <v>75.270541277226712</v>
      </c>
      <c r="AB27" s="35">
        <v>4992.6933983543422</v>
      </c>
      <c r="AC27" s="36">
        <v>61.185737394674241</v>
      </c>
      <c r="AD27" s="35">
        <v>4642.5470197747072</v>
      </c>
      <c r="AE27" s="36">
        <v>48.121515888432505</v>
      </c>
      <c r="AF27" s="35">
        <v>4203.1158084337894</v>
      </c>
      <c r="AG27" s="36">
        <v>36.306987309743398</v>
      </c>
      <c r="AH27" s="35">
        <v>3653.5541360173306</v>
      </c>
      <c r="AI27" s="36">
        <v>25.946412321548184</v>
      </c>
      <c r="AJ27" s="35">
        <v>2972.9615684643459</v>
      </c>
      <c r="AK27" s="36">
        <v>17.172640212409725</v>
      </c>
      <c r="AL27" s="35">
        <v>2143.5691925385977</v>
      </c>
      <c r="AM27" s="36">
        <v>10.006966382605414</v>
      </c>
      <c r="AN27" s="35">
        <v>1153.8319480184721</v>
      </c>
      <c r="AO27" s="36">
        <v>4.3482001977393061</v>
      </c>
      <c r="AP27" s="35">
        <v>936.17554661005477</v>
      </c>
      <c r="AQ27" s="36">
        <v>3.3811312297558676</v>
      </c>
      <c r="AR27" s="35">
        <v>711.93932099140784</v>
      </c>
      <c r="AS27" s="36">
        <v>2.4647386193916576</v>
      </c>
      <c r="AT27" s="35">
        <v>481.1431999156249</v>
      </c>
      <c r="AU27" s="36">
        <v>1.5970711881394604</v>
      </c>
      <c r="AV27" s="35">
        <v>243.81665102564514</v>
      </c>
      <c r="AW27" s="36">
        <v>0.77615863455843237</v>
      </c>
    </row>
    <row r="28" spans="1:49" x14ac:dyDescent="0.2">
      <c r="A28" t="s">
        <v>35</v>
      </c>
      <c r="B28" s="41">
        <v>13763.097676000029</v>
      </c>
      <c r="C28" s="42">
        <v>382.36647899999997</v>
      </c>
      <c r="D28" s="41">
        <v>13690.893842775524</v>
      </c>
      <c r="E28" s="42">
        <v>358.38540948752473</v>
      </c>
      <c r="F28" s="41">
        <v>13607.22579957485</v>
      </c>
      <c r="G28" s="42">
        <v>334.44118187585957</v>
      </c>
      <c r="H28" s="41">
        <v>13509.94973906114</v>
      </c>
      <c r="I28" s="42">
        <v>310.54731977246053</v>
      </c>
      <c r="J28" s="41">
        <v>13396.396402692186</v>
      </c>
      <c r="K28" s="42">
        <v>286.72245392713029</v>
      </c>
      <c r="L28" s="41">
        <v>13263.205960358368</v>
      </c>
      <c r="M28" s="42">
        <v>262.9931121729976</v>
      </c>
      <c r="N28" s="41">
        <v>13106.122137301896</v>
      </c>
      <c r="O28" s="42">
        <v>239.3958893597696</v>
      </c>
      <c r="P28" s="41">
        <v>12919.702652477346</v>
      </c>
      <c r="Q28" s="42">
        <v>215.98137454259529</v>
      </c>
      <c r="R28" s="41">
        <v>12696.928887192567</v>
      </c>
      <c r="S28" s="42">
        <v>192.81917241978812</v>
      </c>
      <c r="T28" s="41">
        <v>12428.699879422866</v>
      </c>
      <c r="U28" s="42">
        <v>170.00456639173245</v>
      </c>
      <c r="V28" s="41">
        <v>12103.129769471252</v>
      </c>
      <c r="W28" s="42">
        <v>147.66528600033888</v>
      </c>
      <c r="X28" s="41">
        <v>11704.70854460904</v>
      </c>
      <c r="Y28" s="42">
        <v>125.970056439294</v>
      </c>
      <c r="Z28" s="41">
        <v>11213.275345937989</v>
      </c>
      <c r="AA28" s="42">
        <v>105.13535850100736</v>
      </c>
      <c r="AB28" s="41">
        <v>10602.991520131996</v>
      </c>
      <c r="AC28" s="42">
        <v>85.427703778511955</v>
      </c>
      <c r="AD28" s="41">
        <v>9841.6600560194056</v>
      </c>
      <c r="AE28" s="42">
        <v>67.15473715249027</v>
      </c>
      <c r="AF28" s="41">
        <v>8891.0692317576486</v>
      </c>
      <c r="AG28" s="42">
        <v>50.637933722648775</v>
      </c>
      <c r="AH28" s="41">
        <v>7709.2624231422187</v>
      </c>
      <c r="AI28" s="42">
        <v>36.16335106367216</v>
      </c>
      <c r="AJ28" s="41">
        <v>6255.3358278495371</v>
      </c>
      <c r="AK28" s="42">
        <v>23.916206097606143</v>
      </c>
      <c r="AL28" s="41">
        <v>4496.0760955573023</v>
      </c>
      <c r="AM28" s="42">
        <v>13.924680059643217</v>
      </c>
      <c r="AN28" s="41">
        <v>2412.0116913190786</v>
      </c>
      <c r="AO28" s="42">
        <v>6.0449545346579399</v>
      </c>
      <c r="AP28" s="41">
        <v>1955.665882634494</v>
      </c>
      <c r="AQ28" s="42">
        <v>4.6996275229620617</v>
      </c>
      <c r="AR28" s="41">
        <v>1486.2063911259791</v>
      </c>
      <c r="AS28" s="42">
        <v>3.4252291645375128</v>
      </c>
      <c r="AT28" s="41">
        <v>1003.7091495014067</v>
      </c>
      <c r="AU28" s="42">
        <v>2.2190137356788733</v>
      </c>
      <c r="AV28" s="41">
        <v>508.26851131127688</v>
      </c>
      <c r="AW28" s="42">
        <v>1.0782085789295932</v>
      </c>
    </row>
    <row r="29" spans="1:49" x14ac:dyDescent="0.2">
      <c r="A29" t="s">
        <v>53</v>
      </c>
      <c r="B29" s="35">
        <v>14362.768558000025</v>
      </c>
      <c r="C29" s="36">
        <v>817.26650999999993</v>
      </c>
      <c r="D29" s="35">
        <v>14269.474479138762</v>
      </c>
      <c r="E29" s="36">
        <v>759.89969966048147</v>
      </c>
      <c r="F29" s="35">
        <v>14163.117043585389</v>
      </c>
      <c r="G29" s="36">
        <v>703.09813106520562</v>
      </c>
      <c r="H29" s="35">
        <v>14041.397295252498</v>
      </c>
      <c r="I29" s="36">
        <v>646.93519783672366</v>
      </c>
      <c r="J29" s="35">
        <v>13901.477030874499</v>
      </c>
      <c r="K29" s="36">
        <v>591.49920891611157</v>
      </c>
      <c r="L29" s="35">
        <v>13739.814915896777</v>
      </c>
      <c r="M29" s="36">
        <v>536.89910552230356</v>
      </c>
      <c r="N29" s="35">
        <v>13551.964363879328</v>
      </c>
      <c r="O29" s="36">
        <v>483.26843042918995</v>
      </c>
      <c r="P29" s="35">
        <v>13332.291322814926</v>
      </c>
      <c r="Q29" s="36">
        <v>430.77239365088167</v>
      </c>
      <c r="R29" s="35">
        <v>13073.597729528099</v>
      </c>
      <c r="S29" s="36">
        <v>379.61623416120528</v>
      </c>
      <c r="T29" s="35">
        <v>12766.639644268065</v>
      </c>
      <c r="U29" s="36">
        <v>330.05538094160511</v>
      </c>
      <c r="V29" s="35">
        <v>12399.466377779339</v>
      </c>
      <c r="W29" s="36">
        <v>282.40413279975979</v>
      </c>
      <c r="X29" s="35">
        <v>11956.649153432641</v>
      </c>
      <c r="Y29" s="36">
        <v>237.04490423067034</v>
      </c>
      <c r="Z29" s="35">
        <v>11418.36212257955</v>
      </c>
      <c r="AA29" s="36">
        <v>194.43084730883203</v>
      </c>
      <c r="AB29" s="35">
        <v>10759.515906411123</v>
      </c>
      <c r="AC29" s="36">
        <v>155.07625990813432</v>
      </c>
      <c r="AD29" s="35">
        <v>9949.294829122</v>
      </c>
      <c r="AE29" s="36">
        <v>119.52345374617036</v>
      </c>
      <c r="AF29" s="35">
        <v>8951.7500947697899</v>
      </c>
      <c r="AG29" s="36">
        <v>88.27659646259076</v>
      </c>
      <c r="AH29" s="35">
        <v>7728.2661659434552</v>
      </c>
      <c r="AI29" s="36">
        <v>61.703529588324407</v>
      </c>
      <c r="AJ29" s="35">
        <v>6242.3534003971945</v>
      </c>
      <c r="AK29" s="36">
        <v>39.925641887615903</v>
      </c>
      <c r="AL29" s="35">
        <v>4465.935408978884</v>
      </c>
      <c r="AM29" s="36">
        <v>22.746439408767465</v>
      </c>
      <c r="AN29" s="35">
        <v>2384.7168515829558</v>
      </c>
      <c r="AO29" s="36">
        <v>9.6682198418456586</v>
      </c>
      <c r="AP29" s="35">
        <v>1931.7520126154318</v>
      </c>
      <c r="AQ29" s="36">
        <v>7.4856390832472135</v>
      </c>
      <c r="AR29" s="35">
        <v>1466.6857693550987</v>
      </c>
      <c r="AS29" s="36">
        <v>5.4335733353136622</v>
      </c>
      <c r="AT29" s="35">
        <v>989.62191316808094</v>
      </c>
      <c r="AU29" s="36">
        <v>3.505951182083181</v>
      </c>
      <c r="AV29" s="35">
        <v>500.68039597941123</v>
      </c>
      <c r="AW29" s="36">
        <v>1.6967547394349316</v>
      </c>
    </row>
    <row r="30" spans="1:49" x14ac:dyDescent="0.2">
      <c r="A30" t="s">
        <v>48</v>
      </c>
      <c r="B30" s="119">
        <v>2924829.9599999995</v>
      </c>
      <c r="D30" s="119">
        <v>2951750.465564359</v>
      </c>
      <c r="F30" s="119">
        <v>2976166.8013100629</v>
      </c>
      <c r="H30" s="119">
        <v>2997530.1910224347</v>
      </c>
      <c r="J30" s="119">
        <v>3015145.8849132415</v>
      </c>
      <c r="L30" s="119">
        <v>3028126.4740173696</v>
      </c>
      <c r="N30" s="119">
        <v>3035332.0085869585</v>
      </c>
      <c r="P30" s="119">
        <v>3035286.1035573171</v>
      </c>
      <c r="R30" s="119">
        <v>3026061.4291079016</v>
      </c>
      <c r="T30" s="119">
        <v>3005127.0867107389</v>
      </c>
      <c r="V30" s="119">
        <v>2969135.3861324401</v>
      </c>
      <c r="X30" s="119">
        <v>2913651.5641846675</v>
      </c>
      <c r="Z30" s="119">
        <v>2832808.7397338729</v>
      </c>
      <c r="AB30" s="119">
        <v>2718921.7752041444</v>
      </c>
      <c r="AD30" s="119">
        <v>2562145.3286669934</v>
      </c>
      <c r="AF30" s="119">
        <v>2350367.4285415714</v>
      </c>
      <c r="AH30" s="119">
        <v>2069638.4678839357</v>
      </c>
      <c r="AJ30" s="119">
        <v>1705417.1921512317</v>
      </c>
      <c r="AL30" s="119">
        <v>1244589.29425472</v>
      </c>
      <c r="AN30" s="119">
        <v>677636.20031835756</v>
      </c>
      <c r="AP30" s="119">
        <v>551017.46489648987</v>
      </c>
      <c r="AR30" s="119">
        <v>419943.80632821145</v>
      </c>
      <c r="AT30" s="119">
        <v>284412.27864372061</v>
      </c>
      <c r="AV30" s="119">
        <v>144427.0881618376</v>
      </c>
    </row>
    <row r="31" spans="1:49" x14ac:dyDescent="0.2">
      <c r="A31" t="s">
        <v>47</v>
      </c>
      <c r="B31" s="80">
        <v>1</v>
      </c>
      <c r="D31" s="80">
        <v>0.98755014238399486</v>
      </c>
      <c r="F31" s="80">
        <v>0.97402792407145244</v>
      </c>
      <c r="H31" s="80">
        <v>0.95927484684485664</v>
      </c>
      <c r="J31" s="80">
        <v>0.94309994748299208</v>
      </c>
      <c r="L31" s="80">
        <v>0.92527091613971868</v>
      </c>
      <c r="N31" s="80">
        <v>0.90550348050905749</v>
      </c>
      <c r="P31" s="80">
        <v>0.88344696199351991</v>
      </c>
      <c r="R31" s="80">
        <v>0.85866562387470258</v>
      </c>
      <c r="T31" s="80">
        <v>0.8306154625383283</v>
      </c>
      <c r="V31" s="80">
        <v>0.79861453011935857</v>
      </c>
      <c r="X31" s="80">
        <v>0.76181008900230651</v>
      </c>
      <c r="Z31" s="80">
        <v>0.71914419658787154</v>
      </c>
      <c r="AB31" s="80">
        <v>0.66932958133524556</v>
      </c>
      <c r="AD31" s="80">
        <v>0.61085604387615666</v>
      </c>
      <c r="AF31" s="80">
        <v>0.54205907298262268</v>
      </c>
      <c r="AH31" s="80">
        <v>0.46128268259274002</v>
      </c>
      <c r="AJ31" s="80">
        <v>0.36713963053806725</v>
      </c>
      <c r="AL31" s="80">
        <v>0.2588029914906691</v>
      </c>
      <c r="AN31" s="80">
        <v>0.13619980152950534</v>
      </c>
      <c r="AP31" s="80">
        <v>0.1100148911785061</v>
      </c>
      <c r="AR31" s="80">
        <v>8.3292825746948407E-2</v>
      </c>
      <c r="AT31" s="80">
        <v>5.6042938978986809E-2</v>
      </c>
      <c r="AV31" s="80">
        <v>2.8275134168512409E-2</v>
      </c>
    </row>
    <row r="32" spans="1:49" x14ac:dyDescent="0.2">
      <c r="A32" t="s">
        <v>64</v>
      </c>
      <c r="B32" s="86">
        <v>14734457.915000005</v>
      </c>
      <c r="D32" s="86">
        <v>14635839.802030755</v>
      </c>
      <c r="F32" s="86">
        <v>14523568.714094566</v>
      </c>
      <c r="H32" s="86">
        <v>14395254.555745337</v>
      </c>
      <c r="J32" s="86">
        <v>14247957.772231532</v>
      </c>
      <c r="L32" s="86">
        <v>14078026.32298615</v>
      </c>
      <c r="N32" s="86">
        <v>13880896.370231809</v>
      </c>
      <c r="P32" s="86">
        <v>13650814.521302575</v>
      </c>
      <c r="R32" s="86">
        <v>13380468.148503141</v>
      </c>
      <c r="T32" s="86">
        <v>13060511.771418091</v>
      </c>
      <c r="V32" s="86">
        <v>12678918.466346323</v>
      </c>
      <c r="X32" s="86">
        <v>12220215.636297479</v>
      </c>
      <c r="Z32" s="86">
        <v>11664565.207349773</v>
      </c>
      <c r="AB32" s="86">
        <v>10986870.29129504</v>
      </c>
      <c r="AD32" s="86">
        <v>10156238.812148022</v>
      </c>
      <c r="AF32" s="86">
        <v>9136434.6665300094</v>
      </c>
      <c r="AH32" s="86">
        <v>7888137.2810822213</v>
      </c>
      <c r="AJ32" s="86">
        <v>6373534.4139609663</v>
      </c>
      <c r="AL32" s="86">
        <v>4562554.3641247051</v>
      </c>
      <c r="AN32" s="86">
        <v>2438440.8100155685</v>
      </c>
      <c r="AP32" s="86">
        <v>1975672.4741952352</v>
      </c>
      <c r="AR32" s="86">
        <v>1500349.440830563</v>
      </c>
      <c r="AT32" s="86">
        <v>1012557.6994186529</v>
      </c>
      <c r="AV32" s="86">
        <v>512400.23935181554</v>
      </c>
    </row>
    <row r="33" spans="1:49 16319:16321" x14ac:dyDescent="0.2">
      <c r="A33" t="s">
        <v>54</v>
      </c>
      <c r="B33" s="117">
        <v>7019665.6909999885</v>
      </c>
      <c r="D33" s="117">
        <v>6945089.8758564703</v>
      </c>
      <c r="F33" s="117">
        <v>6863886.5867289267</v>
      </c>
      <c r="H33" s="117">
        <v>6774961.3487847243</v>
      </c>
      <c r="J33" s="117">
        <v>6676979.6630643979</v>
      </c>
      <c r="L33" s="117">
        <v>6568298.4526990708</v>
      </c>
      <c r="N33" s="117">
        <v>6446882.4330046792</v>
      </c>
      <c r="P33" s="117">
        <v>6310189.1769401077</v>
      </c>
      <c r="R33" s="117">
        <v>6155017.8531055916</v>
      </c>
      <c r="T33" s="117">
        <v>5977316.3308973983</v>
      </c>
      <c r="V33" s="117">
        <v>5771926.29118028</v>
      </c>
      <c r="X33" s="117">
        <v>5532285.5128070619</v>
      </c>
      <c r="Z33" s="117">
        <v>5250088.0695164623</v>
      </c>
      <c r="AB33" s="117">
        <v>4914982.0560260946</v>
      </c>
      <c r="AD33" s="117">
        <v>4514453.8760768706</v>
      </c>
      <c r="AF33" s="117">
        <v>4034159.0921997083</v>
      </c>
      <c r="AH33" s="117">
        <v>3459010.4443629282</v>
      </c>
      <c r="AJ33" s="117">
        <v>2775167.293281009</v>
      </c>
      <c r="AL33" s="117">
        <v>1972541.1206891173</v>
      </c>
      <c r="AN33" s="117">
        <v>1046821.0095976212</v>
      </c>
      <c r="AP33" s="117">
        <v>846978.49557941174</v>
      </c>
      <c r="AR33" s="117">
        <v>642319.2834317619</v>
      </c>
      <c r="AT33" s="117">
        <v>432896.03645952058</v>
      </c>
      <c r="AV33" s="117">
        <v>218767.61815121293</v>
      </c>
    </row>
    <row r="34" spans="1:49 16319:16321" x14ac:dyDescent="0.2">
      <c r="A34" t="s">
        <v>75</v>
      </c>
      <c r="B34" s="117">
        <v>1136879.4410000162</v>
      </c>
      <c r="D34" s="117">
        <v>1129270.2522137125</v>
      </c>
      <c r="F34" s="117">
        <v>1120607.6449930831</v>
      </c>
      <c r="H34" s="117">
        <v>1110707.1980790533</v>
      </c>
      <c r="J34" s="117">
        <v>1099342.1190328193</v>
      </c>
      <c r="L34" s="117">
        <v>1086230.5827962195</v>
      </c>
      <c r="N34" s="117">
        <v>1071020.4593069083</v>
      </c>
      <c r="P34" s="117">
        <v>1053267.832184315</v>
      </c>
      <c r="R34" s="117">
        <v>1032408.3714601632</v>
      </c>
      <c r="T34" s="117">
        <v>1007721.3284532258</v>
      </c>
      <c r="V34" s="117">
        <v>978278.39077084023</v>
      </c>
      <c r="X34" s="117">
        <v>942885.85910618468</v>
      </c>
      <c r="Z34" s="117">
        <v>900013.0466949523</v>
      </c>
      <c r="AB34" s="117">
        <v>847723.55259914044</v>
      </c>
      <c r="AD34" s="117">
        <v>783633.79786059225</v>
      </c>
      <c r="AF34" s="117">
        <v>704947.88323251565</v>
      </c>
      <c r="AH34" s="117">
        <v>608631.89888591669</v>
      </c>
      <c r="AJ34" s="117">
        <v>491768.36283897335</v>
      </c>
      <c r="AL34" s="117">
        <v>352036.97681865853</v>
      </c>
      <c r="AN34" s="117">
        <v>188144.90453437041</v>
      </c>
      <c r="AP34" s="117">
        <v>152438.68527749696</v>
      </c>
      <c r="AR34" s="117">
        <v>115763.76029906416</v>
      </c>
      <c r="AT34" s="117">
        <v>78126.800586870188</v>
      </c>
      <c r="AV34" s="117">
        <v>39535.712526988311</v>
      </c>
    </row>
    <row r="35" spans="1:49 16319:16321" x14ac:dyDescent="0.2">
      <c r="A35" t="s">
        <v>78</v>
      </c>
      <c r="B35" s="233">
        <v>1</v>
      </c>
      <c r="D35" s="233">
        <v>1.0018497371945652</v>
      </c>
      <c r="F35" s="233">
        <v>1.0038871067647672</v>
      </c>
      <c r="H35" s="233">
        <v>1.0061363712969853</v>
      </c>
      <c r="J35" s="233">
        <v>1.0086262398281336</v>
      </c>
      <c r="L35" s="233">
        <v>1.0113908833679155</v>
      </c>
      <c r="N35" s="233">
        <v>1.0144711819522907</v>
      </c>
      <c r="P35" s="233">
        <v>1.0179162281426022</v>
      </c>
      <c r="R35" s="233">
        <v>1.0217850607927792</v>
      </c>
      <c r="T35" s="233">
        <v>1.0261486179871169</v>
      </c>
      <c r="V35" s="233">
        <v>1.0310913097978309</v>
      </c>
      <c r="X35" s="233">
        <v>1.0367119704917669</v>
      </c>
      <c r="Z35" s="233">
        <v>1.0431224516412021</v>
      </c>
      <c r="AB35" s="233">
        <v>1.050441812180019</v>
      </c>
      <c r="AD35" s="233">
        <v>1.0587829124726704</v>
      </c>
      <c r="AF35" s="233">
        <v>1.0682286347217713</v>
      </c>
      <c r="AH35" s="233">
        <v>1.0787988021593964</v>
      </c>
      <c r="AJ35" s="233">
        <v>1.090417103905218</v>
      </c>
      <c r="AL35" s="233">
        <v>1.1028963999711239</v>
      </c>
      <c r="AN35" s="233">
        <v>1.1159586981206873</v>
      </c>
      <c r="AP35" s="233">
        <v>1.1186131994979387</v>
      </c>
      <c r="AR35" s="233">
        <v>1.1212757227971102</v>
      </c>
      <c r="AT35" s="233">
        <v>1.1239437728897803</v>
      </c>
      <c r="AV35" s="233">
        <v>1.1266149394526308</v>
      </c>
    </row>
    <row r="36" spans="1:49 16319:16321" x14ac:dyDescent="0.2">
      <c r="A36" t="s">
        <v>21</v>
      </c>
      <c r="B36" s="37">
        <v>0.47195767671988198</v>
      </c>
      <c r="C36" s="38">
        <v>0.31738834428178964</v>
      </c>
      <c r="D36" s="37">
        <v>0.47197774525731917</v>
      </c>
      <c r="E36" s="38">
        <v>0.31959862910903158</v>
      </c>
      <c r="F36" s="37">
        <v>0.47199848051469218</v>
      </c>
      <c r="G36" s="38">
        <v>0.32198664544495886</v>
      </c>
      <c r="H36" s="37">
        <v>0.47201995243850053</v>
      </c>
      <c r="I36" s="38">
        <v>0.32457249135828392</v>
      </c>
      <c r="J36" s="37">
        <v>0.47204223592445227</v>
      </c>
      <c r="K36" s="38">
        <v>0.32737898896647522</v>
      </c>
      <c r="L36" s="37">
        <v>0.47206540970467253</v>
      </c>
      <c r="M36" s="38">
        <v>0.33043202034428087</v>
      </c>
      <c r="N36" s="37">
        <v>0.47208955034730676</v>
      </c>
      <c r="O36" s="38">
        <v>0.33376088730574727</v>
      </c>
      <c r="P36" s="37">
        <v>0.47211472483972627</v>
      </c>
      <c r="Q36" s="38">
        <v>0.33739858885181784</v>
      </c>
      <c r="R36" s="37">
        <v>0.4721409790263672</v>
      </c>
      <c r="S36" s="38">
        <v>0.34138193231287706</v>
      </c>
      <c r="T36" s="37">
        <v>0.47216831478805482</v>
      </c>
      <c r="U36" s="38">
        <v>0.34575139856846221</v>
      </c>
      <c r="V36" s="37">
        <v>0.4721966693009092</v>
      </c>
      <c r="W36" s="38">
        <v>0.35055015752084701</v>
      </c>
      <c r="X36" s="37">
        <v>0.47222586899288399</v>
      </c>
      <c r="Y36" s="38">
        <v>0.35582217904684221</v>
      </c>
      <c r="Z36" s="37">
        <v>0.47225558548257912</v>
      </c>
      <c r="AA36" s="38">
        <v>0.36160825940917235</v>
      </c>
      <c r="AB36" s="37">
        <v>0.4722852846638631</v>
      </c>
      <c r="AC36" s="38">
        <v>0.36793922797534651</v>
      </c>
      <c r="AD36" s="37">
        <v>0.47231419222388954</v>
      </c>
      <c r="AE36" s="38">
        <v>0.3748254406102271</v>
      </c>
      <c r="AF36" s="37">
        <v>0.47234130676209229</v>
      </c>
      <c r="AG36" s="38">
        <v>0.38224293213170685</v>
      </c>
      <c r="AH36" s="37">
        <v>0.47236550634756952</v>
      </c>
      <c r="AI36" s="38">
        <v>0.3901195632214311</v>
      </c>
      <c r="AJ36" s="37">
        <v>0.47238575755629147</v>
      </c>
      <c r="AK36" s="38">
        <v>0.39832825552360496</v>
      </c>
      <c r="AL36" s="37">
        <v>0.47240137239962859</v>
      </c>
      <c r="AM36" s="38">
        <v>0.40669575793317048</v>
      </c>
      <c r="AN36" s="37">
        <v>0.47241218990670686</v>
      </c>
      <c r="AO36" s="38">
        <v>0.41502919385193543</v>
      </c>
      <c r="AP36" s="37">
        <v>0.47241380223594459</v>
      </c>
      <c r="AQ36" s="38">
        <v>0.41667552549293391</v>
      </c>
      <c r="AR36" s="37">
        <v>0.47241524125027501</v>
      </c>
      <c r="AS36" s="38">
        <v>0.41831198707258499</v>
      </c>
      <c r="AT36" s="37">
        <v>0.47241651249408934</v>
      </c>
      <c r="AU36" s="38">
        <v>0.41993739682031983</v>
      </c>
      <c r="AV36" s="37">
        <v>0.47241762200847315</v>
      </c>
      <c r="AW36" s="38">
        <v>0.42155066485846387</v>
      </c>
    </row>
    <row r="37" spans="1:49 16319:16321" x14ac:dyDescent="0.2">
      <c r="B37" s="39">
        <v>2.1403217525954466E-2</v>
      </c>
      <c r="C37" s="40">
        <v>0.3496246130199252</v>
      </c>
      <c r="D37" s="39">
        <v>2.0802724893298874E-2</v>
      </c>
      <c r="E37" s="40">
        <v>0.34606291398067751</v>
      </c>
      <c r="F37" s="39">
        <v>2.019423433109736E-2</v>
      </c>
      <c r="G37" s="40">
        <v>0.34243323873625081</v>
      </c>
      <c r="H37" s="39">
        <v>1.9577797810034134E-2</v>
      </c>
      <c r="I37" s="40">
        <v>0.33873534290877344</v>
      </c>
      <c r="J37" s="39">
        <v>1.8953539258501215E-2</v>
      </c>
      <c r="K37" s="40">
        <v>0.33496951415855863</v>
      </c>
      <c r="L37" s="39">
        <v>1.8321680403659966E-2</v>
      </c>
      <c r="M37" s="40">
        <v>0.33113676358341504</v>
      </c>
      <c r="N37" s="39">
        <v>1.7682568537724926E-2</v>
      </c>
      <c r="O37" s="40">
        <v>0.32723903880469285</v>
      </c>
      <c r="P37" s="39">
        <v>1.703672226736494E-2</v>
      </c>
      <c r="Q37" s="40">
        <v>0.32327955586602425</v>
      </c>
      <c r="R37" s="39">
        <v>1.6384896577095732E-2</v>
      </c>
      <c r="S37" s="40">
        <v>0.31926326200238098</v>
      </c>
      <c r="T37" s="39">
        <v>1.5728160622215517E-2</v>
      </c>
      <c r="U37" s="40">
        <v>0.31519739145424586</v>
      </c>
      <c r="V37" s="39">
        <v>1.5068045551958538E-2</v>
      </c>
      <c r="W37" s="40">
        <v>0.31109246523874995</v>
      </c>
      <c r="X37" s="39">
        <v>1.4406703295620946E-2</v>
      </c>
      <c r="Y37" s="40">
        <v>0.30696337575507915</v>
      </c>
      <c r="Z37" s="39">
        <v>1.3747150745275076E-2</v>
      </c>
      <c r="AA37" s="40">
        <v>0.30283100244235811</v>
      </c>
      <c r="AB37" s="39">
        <v>1.3093552919221764E-2</v>
      </c>
      <c r="AC37" s="40">
        <v>0.29872405541520897</v>
      </c>
      <c r="AD37" s="39">
        <v>1.2451501995023215E-2</v>
      </c>
      <c r="AE37" s="40">
        <v>0.29468083634494124</v>
      </c>
      <c r="AF37" s="39">
        <v>1.1828150819603409E-2</v>
      </c>
      <c r="AG37" s="40">
        <v>0.29074996946771509</v>
      </c>
      <c r="AH37" s="39">
        <v>1.1231958356190022E-2</v>
      </c>
      <c r="AI37" s="40">
        <v>0.28698851424450583</v>
      </c>
      <c r="AJ37" s="39">
        <v>1.0671823140386543E-2</v>
      </c>
      <c r="AK37" s="40">
        <v>0.28345603805110808</v>
      </c>
      <c r="AL37" s="39">
        <v>1.0155625013115753E-2</v>
      </c>
      <c r="AM37" s="40">
        <v>0.28020488696320911</v>
      </c>
      <c r="AN37" s="39">
        <v>9.6886609033805995E-3</v>
      </c>
      <c r="AO37" s="40">
        <v>0.27726994299176821</v>
      </c>
      <c r="AP37" s="39">
        <v>9.6013975313451183E-3</v>
      </c>
      <c r="AQ37" s="40">
        <v>0.27672233748462177</v>
      </c>
      <c r="AR37" s="39">
        <v>9.5161831408849956E-3</v>
      </c>
      <c r="AS37" s="40">
        <v>0.2761878931062246</v>
      </c>
      <c r="AT37" s="39">
        <v>9.4330094622528098E-3</v>
      </c>
      <c r="AU37" s="40">
        <v>0.27566655332441653</v>
      </c>
      <c r="AV37" s="39">
        <v>9.3518626953904508E-3</v>
      </c>
      <c r="AW37" s="40">
        <v>0.27515822556833563</v>
      </c>
    </row>
    <row r="38" spans="1:49 16319:16321" x14ac:dyDescent="0.2">
      <c r="A38" t="s">
        <v>22</v>
      </c>
      <c r="B38" s="37">
        <v>0.18079094942242827</v>
      </c>
      <c r="C38" s="38">
        <v>6.0565413429233668E-2</v>
      </c>
      <c r="D38" s="37">
        <v>0.18096497713316118</v>
      </c>
      <c r="E38" s="38">
        <v>6.0836071934877167E-2</v>
      </c>
      <c r="F38" s="37">
        <v>0.18115335912586356</v>
      </c>
      <c r="G38" s="38">
        <v>6.1129261630173078E-2</v>
      </c>
      <c r="H38" s="37">
        <v>0.18135711638301244</v>
      </c>
      <c r="I38" s="38">
        <v>6.1447472324901012E-2</v>
      </c>
      <c r="J38" s="37">
        <v>0.18157730112672638</v>
      </c>
      <c r="K38" s="38">
        <v>6.179352933497282E-2</v>
      </c>
      <c r="L38" s="37">
        <v>0.181814964348326</v>
      </c>
      <c r="M38" s="38">
        <v>6.2170584894479707E-2</v>
      </c>
      <c r="N38" s="37">
        <v>0.18207112583126084</v>
      </c>
      <c r="O38" s="38">
        <v>6.2582190312604244E-2</v>
      </c>
      <c r="P38" s="37">
        <v>0.18234671180007112</v>
      </c>
      <c r="Q38" s="38">
        <v>6.3032312927247133E-2</v>
      </c>
      <c r="R38" s="37">
        <v>0.18264246200068945</v>
      </c>
      <c r="S38" s="38">
        <v>6.3525330362388291E-2</v>
      </c>
      <c r="T38" s="37">
        <v>0.18295883023980505</v>
      </c>
      <c r="U38" s="38">
        <v>6.4065952144172239E-2</v>
      </c>
      <c r="V38" s="37">
        <v>0.18329575805477732</v>
      </c>
      <c r="W38" s="38">
        <v>6.46591295038553E-2</v>
      </c>
      <c r="X38" s="37">
        <v>0.18365248029364398</v>
      </c>
      <c r="Y38" s="38">
        <v>6.5309761734098193E-2</v>
      </c>
      <c r="Z38" s="37">
        <v>0.18402719244669211</v>
      </c>
      <c r="AA38" s="38">
        <v>6.6022180903239649E-2</v>
      </c>
      <c r="AB38" s="37">
        <v>0.18441669541631614</v>
      </c>
      <c r="AC38" s="38">
        <v>6.6799250252287529E-2</v>
      </c>
      <c r="AD38" s="37">
        <v>0.18481605701585302</v>
      </c>
      <c r="AE38" s="38">
        <v>6.7641126216327258E-2</v>
      </c>
      <c r="AF38" s="37">
        <v>0.18521845415722168</v>
      </c>
      <c r="AG38" s="38">
        <v>6.8543735998306266E-2</v>
      </c>
      <c r="AH38" s="37">
        <v>0.18561545034967641</v>
      </c>
      <c r="AI38" s="38">
        <v>6.9497140278902997E-2</v>
      </c>
      <c r="AJ38" s="37">
        <v>0.18599791323227502</v>
      </c>
      <c r="AK38" s="38">
        <v>7.0484987638225999E-2</v>
      </c>
      <c r="AL38" s="37">
        <v>0.18635749285550371</v>
      </c>
      <c r="AM38" s="38">
        <v>7.1485864006880076E-2</v>
      </c>
      <c r="AN38" s="37">
        <v>0.1866881479965371</v>
      </c>
      <c r="AO38" s="38">
        <v>7.2476735238585041E-2</v>
      </c>
      <c r="AP38" s="37">
        <v>0.18675049719557468</v>
      </c>
      <c r="AQ38" s="38">
        <v>7.2671805369259032E-2</v>
      </c>
      <c r="AR38" s="37">
        <v>0.18681155571793748</v>
      </c>
      <c r="AS38" s="38">
        <v>7.2865477970137343E-2</v>
      </c>
      <c r="AT38" s="37">
        <v>0.18687132414926211</v>
      </c>
      <c r="AU38" s="38">
        <v>7.3057643738766276E-2</v>
      </c>
      <c r="AV38" s="37">
        <v>0.1869298003759445</v>
      </c>
      <c r="AW38" s="38">
        <v>7.3248153394693441E-2</v>
      </c>
    </row>
    <row r="39" spans="1:49 16319:16321" x14ac:dyDescent="0.2">
      <c r="A39" t="s">
        <v>23</v>
      </c>
      <c r="B39" s="39">
        <v>0.23064923795098732</v>
      </c>
      <c r="C39" s="40">
        <v>0.22092201281804777</v>
      </c>
      <c r="D39" s="39">
        <v>0.23099744649965706</v>
      </c>
      <c r="E39" s="40">
        <v>0.2219699390080799</v>
      </c>
      <c r="F39" s="39">
        <v>0.23137179920049128</v>
      </c>
      <c r="G39" s="40">
        <v>0.22310426735863273</v>
      </c>
      <c r="H39" s="39">
        <v>0.23177619893030524</v>
      </c>
      <c r="I39" s="40">
        <v>0.22433544395368255</v>
      </c>
      <c r="J39" s="39">
        <v>0.23221528269991001</v>
      </c>
      <c r="K39" s="40">
        <v>0.2256754404230783</v>
      </c>
      <c r="L39" s="39">
        <v>0.2326945844059162</v>
      </c>
      <c r="M39" s="40">
        <v>0.22713804805275928</v>
      </c>
      <c r="N39" s="39">
        <v>0.23322071511552295</v>
      </c>
      <c r="O39" s="40">
        <v>0.22873908259367839</v>
      </c>
      <c r="P39" s="39">
        <v>0.23380158323758107</v>
      </c>
      <c r="Q39" s="40">
        <v>0.23049663651988148</v>
      </c>
      <c r="R39" s="39">
        <v>0.23444663681718098</v>
      </c>
      <c r="S39" s="40">
        <v>0.23243127592950169</v>
      </c>
      <c r="T39" s="39">
        <v>0.23516708457190008</v>
      </c>
      <c r="U39" s="40">
        <v>0.23456619990822306</v>
      </c>
      <c r="V39" s="39">
        <v>0.23597609933300606</v>
      </c>
      <c r="W39" s="40">
        <v>0.23692687523088382</v>
      </c>
      <c r="X39" s="39">
        <v>0.23688878856662315</v>
      </c>
      <c r="Y39" s="40">
        <v>0.23954035421983391</v>
      </c>
      <c r="Z39" s="39">
        <v>0.23792182388738559</v>
      </c>
      <c r="AA39" s="40">
        <v>0.24243348212448299</v>
      </c>
      <c r="AB39" s="39">
        <v>0.23909233797697016</v>
      </c>
      <c r="AC39" s="40">
        <v>0.24562964124027614</v>
      </c>
      <c r="AD39" s="39">
        <v>0.24041568602517105</v>
      </c>
      <c r="AE39" s="40">
        <v>0.24914320394796874</v>
      </c>
      <c r="AF39" s="39">
        <v>0.24190175926011045</v>
      </c>
      <c r="AG39" s="40">
        <v>0.25297166680619149</v>
      </c>
      <c r="AH39" s="39">
        <v>0.24355016002748969</v>
      </c>
      <c r="AI39" s="40">
        <v>0.25708734331473887</v>
      </c>
      <c r="AJ39" s="39">
        <v>0.24534577587808376</v>
      </c>
      <c r="AK39" s="40">
        <v>0.26143180125951349</v>
      </c>
      <c r="AL39" s="39">
        <v>0.24725744174331435</v>
      </c>
      <c r="AM39" s="40">
        <v>0.2659182421942255</v>
      </c>
      <c r="AN39" s="39">
        <v>0.24924175504467641</v>
      </c>
      <c r="AO39" s="40">
        <v>0.27044397579875973</v>
      </c>
      <c r="AP39" s="39">
        <v>0.2496431212169716</v>
      </c>
      <c r="AQ39" s="40">
        <v>0.27134480486064394</v>
      </c>
      <c r="AR39" s="39">
        <v>0.25004510489583381</v>
      </c>
      <c r="AS39" s="40">
        <v>0.27224243588213126</v>
      </c>
      <c r="AT39" s="39">
        <v>0.25044733689057458</v>
      </c>
      <c r="AU39" s="40">
        <v>0.27313613407692677</v>
      </c>
      <c r="AV39" s="39">
        <v>0.25084947473575009</v>
      </c>
      <c r="AW39" s="40">
        <v>0.27402529057167063</v>
      </c>
    </row>
    <row r="40" spans="1:49 16319:16321"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49 16319:16321" x14ac:dyDescent="0.2">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row>
    <row r="42" spans="1:49 16319:16321" x14ac:dyDescent="0.2">
      <c r="A42" t="s">
        <v>107</v>
      </c>
      <c r="B42" s="177">
        <f>10.8%+(1-10.8%)*(1-SUM(B26:C26)/SUM($B$26:$C$26))</f>
        <v>0.10800000000000001</v>
      </c>
      <c r="C42" s="135"/>
      <c r="D42" s="177">
        <f>10.8%+(1-10.8%)*(1-SUM(D26:E26)/SUM($B$26:$C$26))</f>
        <v>0.11365626325125297</v>
      </c>
      <c r="E42" s="135"/>
      <c r="F42" s="177">
        <f>10.8%+(1-10.8%)*(1-SUM(F26:G26)/SUM($B$26:$C$26))</f>
        <v>0.12005350913192347</v>
      </c>
      <c r="G42" s="135"/>
      <c r="H42" s="177">
        <f>10.8%+(1-10.8%)*(1-SUM(H26:I26)/SUM($B$26:$C$26))</f>
        <v>0.12733162199090917</v>
      </c>
      <c r="I42" s="135"/>
      <c r="J42" s="177">
        <f>10.8%+(1-10.8%)*(1-SUM(J26:K26)/SUM($B$26:$C$26))</f>
        <v>0.13566458393401543</v>
      </c>
      <c r="K42" s="135"/>
      <c r="L42" s="177">
        <f>10.8%+(1-10.8%)*(1-SUM(L26:M26)/SUM($B$26:$C$26))</f>
        <v>0.14527104390508039</v>
      </c>
      <c r="M42" s="135"/>
      <c r="N42" s="177">
        <f>10.8%+(1-10.8%)*(1-SUM(N26:O26)/SUM($B$26:$C$26))</f>
        <v>0.15642739484076951</v>
      </c>
      <c r="O42" s="135"/>
      <c r="P42" s="177">
        <f>10.8%+(1-10.8%)*(1-SUM(P26:Q26)/SUM($B$26:$C$26))</f>
        <v>0.1694860867390402</v>
      </c>
      <c r="Q42" s="135"/>
      <c r="R42" s="177">
        <f>10.8%+(1-10.8%)*(1-SUM(R26:S26)/SUM($B$26:$C$26))</f>
        <v>0.18490013499464381</v>
      </c>
      <c r="S42" s="135"/>
      <c r="T42" s="177">
        <f>10.8%+(1-10.8%)*(1-SUM(T26:U26)/SUM($B$26:$C$26))</f>
        <v>0.2032544776379071</v>
      </c>
      <c r="U42" s="135"/>
      <c r="V42" s="177">
        <f>10.8%+(1-10.8%)*(1-SUM(V26:W26)/SUM($B$26:$C$26))</f>
        <v>0.2253093795267013</v>
      </c>
      <c r="W42" s="135"/>
      <c r="X42" s="177">
        <f>10.8%+(1-10.8%)*(1-SUM(X26:Y26)/SUM($B$26:$C$26))</f>
        <v>0.25205101349671399</v>
      </c>
      <c r="Y42" s="162"/>
      <c r="Z42" s="177">
        <f>10.8%+(1-10.8%)*(1-SUM(Z26:AA26)/SUM($B$26:$C$26))</f>
        <v>0.28475229779750172</v>
      </c>
      <c r="AA42" s="135"/>
      <c r="AB42" s="177">
        <f>10.8%+(1-10.8%)*(1-SUM(AB26:AC26)/SUM($B$26:$C$26))</f>
        <v>0.32503090632458959</v>
      </c>
      <c r="AC42" s="135"/>
      <c r="AD42" s="177">
        <f>10.8%+(1-10.8%)*(1-SUM(AD26:AE26)/SUM($B$26:$C$26))</f>
        <v>0.37488190736445726</v>
      </c>
      <c r="AE42" s="135"/>
      <c r="AF42" s="177">
        <f>10.8%+(1-10.8%)*(1-SUM(AF26:AG26)/SUM($B$26:$C$26))</f>
        <v>0.43664254801185598</v>
      </c>
      <c r="AG42" s="135"/>
      <c r="AH42" s="177">
        <f>10.8%+(1-10.8%)*(1-SUM(AH26:AI26)/SUM($B$26:$C$26))</f>
        <v>0.51283534328368052</v>
      </c>
      <c r="AI42" s="135"/>
      <c r="AJ42" s="177">
        <f>10.8%+(1-10.8%)*(1-SUM(AJ26:AK26)/SUM($B$26:$C$26))</f>
        <v>0.60585869757691968</v>
      </c>
      <c r="AK42" s="135"/>
      <c r="AL42" s="177">
        <f>10.8%+(1-10.8%)*(1-SUM(AL26:AM26)/SUM($B$26:$C$26))</f>
        <v>0.7175773914681689</v>
      </c>
      <c r="AM42" s="135"/>
      <c r="AN42" s="177">
        <f>10.8%+(1-10.8%)*(1-SUM(AN26:AO26)/SUM($B$26:$C$26))</f>
        <v>0.84896917181907816</v>
      </c>
      <c r="AO42" s="135"/>
      <c r="AP42" s="177">
        <f>10.8%+(1-10.8%)*(1-SUM(AP26:AQ26)/SUM($B$26:$C$26))</f>
        <v>0.87762221972382004</v>
      </c>
      <c r="AQ42" s="135"/>
      <c r="AR42" s="177">
        <f>10.8%+(1-10.8%)*(1-SUM(AR26:AS26)/SUM($B$26:$C$26))</f>
        <v>0.90705873395526582</v>
      </c>
      <c r="AS42" s="135"/>
      <c r="AT42" s="177">
        <f>10.8%+(1-10.8%)*(1-SUM(AT26:AU26)/SUM($B$26:$C$26))</f>
        <v>0.93727235524468977</v>
      </c>
      <c r="AU42" s="135"/>
      <c r="AV42" s="177">
        <f>10.8%+(1-10.8%)*(1-SUM(AV26:AW26)/SUM($B$26:$C$26))</f>
        <v>0.96825566232539673</v>
      </c>
    </row>
    <row r="43" spans="1:49 16319:16321" x14ac:dyDescent="0.2">
      <c r="A43" t="s">
        <v>108</v>
      </c>
      <c r="B43" s="162">
        <f>SUM(B15:C15*B27:C27)/SUM(B15:C15*B27:C27,B13:C13*B26:C26)</f>
        <v>0.56058995943839174</v>
      </c>
      <c r="C43" s="135"/>
      <c r="D43" s="162">
        <f t="array" ref="D43">SUM(D15:E15*D27:E27)/SUM(D15:E15*D27:E27,D13:E13*D26:E26)</f>
        <v>0.56673757498886679</v>
      </c>
      <c r="E43" s="135"/>
      <c r="F43" s="162">
        <f t="array" ref="F43">SUM(F15:G15*F27:G27)/SUM(F15:G15*F27:G27,F13:G13*F26:G26)</f>
        <v>0.56626961600345904</v>
      </c>
      <c r="G43" s="135"/>
      <c r="H43" s="162">
        <f t="array" ref="H43">SUM(H15:I15*H27:I27)/SUM(H15:I15*H27:I27,H13:I13*H26:I26)</f>
        <v>0.56579502436646378</v>
      </c>
      <c r="I43" s="135"/>
      <c r="J43" s="162">
        <f t="array" ref="J43">SUM(J15:K15*J27:K27)/SUM(J15:K15*J27:K27,J13:K13*J26:K26)</f>
        <v>0.56531175349486251</v>
      </c>
      <c r="K43" s="135"/>
      <c r="L43" s="162">
        <f t="array" ref="L43">SUM(L15:M15*L27:M27)/SUM(L15:M15*L27:M27,L13:M13*L26:M26)</f>
        <v>0.5648172611031832</v>
      </c>
      <c r="M43" s="135"/>
      <c r="N43" s="162">
        <f t="array" ref="N43">SUM(N15:O15*N27:O27)/SUM(N15:O15*N27:O27,N13:O13*N26:O26)</f>
        <v>0.56430838172691522</v>
      </c>
      <c r="O43" s="135"/>
      <c r="P43" s="162">
        <f t="array" ref="P43">SUM(P15:Q15*P27:Q27)/SUM(P15:Q15*P27:Q27,P13:Q13*P26:Q26)</f>
        <v>0.56378119150873496</v>
      </c>
      <c r="Q43" s="135"/>
      <c r="R43" s="162">
        <f t="array" ref="R43">SUM(R15:S15*R27:S27)/SUM(R15:S15*R27:S27,R13:S13*R26:S26)</f>
        <v>0.5632308568614165</v>
      </c>
      <c r="S43" s="135"/>
      <c r="T43" s="162">
        <f t="array" ref="T43">SUM(T15:U15*T27:U27)/SUM(T15:U15*T27:U27,T13:U13*T26:U26)</f>
        <v>0.56265148697840617</v>
      </c>
      <c r="U43" s="135"/>
      <c r="V43" s="162">
        <f t="array" ref="V43">SUM(V15:W15*V27:W27)/SUM(V15:W15*V27:W27,V13:W13*V26:W26)</f>
        <v>0.5620359957028126</v>
      </c>
      <c r="W43" s="135"/>
      <c r="X43" s="162">
        <f t="array" ref="X43">SUM(X15:Y15*X27:Y27)/SUM(X15:Y15*X27:Y27,X13:Y13*X26:Y26)</f>
        <v>0.56137607290913705</v>
      </c>
      <c r="Y43" s="135"/>
      <c r="Z43" s="162">
        <f t="array" ref="Z43">SUM(Z15:AA15*Z27:AA27)/SUM(Z15:AA15*Z27:AA27,Z13:AA13*Z26:AA26)</f>
        <v>0.56066236370096167</v>
      </c>
      <c r="AA43" s="135"/>
      <c r="AB43" s="162">
        <f t="array" ref="AB43">SUM(AB15:AC15*AB27:AC27)/SUM(AB15:AC15*AB27:AC27,AB13:AC13*AB26:AC26)</f>
        <v>0.55988504978385045</v>
      </c>
      <c r="AC43" s="135"/>
      <c r="AD43" s="162">
        <f t="array" ref="AD43">SUM(AD15:AE15*AD27:AE27)/SUM(AD15:AE15*AD27:AE27,AD13:AE13*AD26:AE26)</f>
        <v>0.55903506762906507</v>
      </c>
      <c r="AE43" s="135"/>
      <c r="AF43" s="162">
        <f t="array" ref="AF43">SUM(AF15:AG15*AF27:AG27)/SUM(AF15:AG15*AF27:AG27,AF13:AG13*AF26:AG26)</f>
        <v>0.55810617034048615</v>
      </c>
      <c r="AG43" s="135"/>
      <c r="AH43" s="162">
        <f t="array" ref="AH43">SUM(AH15:AI15*AH27:AI27)/SUM(AH15:AI15*AH27:AI27,AH13:AI13*AH26:AI26)</f>
        <v>0.55709769929336983</v>
      </c>
      <c r="AI43" s="135"/>
      <c r="AJ43" s="162">
        <f t="array" ref="AJ43">SUM(AJ15:AK15*AJ27:AK27)/SUM(AJ15:AK15*AJ27:AK27,AJ13:AK13*AJ26:AK26)</f>
        <v>0.55601717442872334</v>
      </c>
      <c r="AK43" s="135"/>
      <c r="AL43" s="162">
        <f t="array" ref="AL43">SUM(AL15:AM15*AL27:AM27)/SUM(AL15:AM15*AL27:AM27,AL13:AM13*AL26:AM26)</f>
        <v>0.55488120311201361</v>
      </c>
      <c r="AM43" s="135"/>
      <c r="AN43" s="162">
        <f t="array" ref="AN43">SUM(AN15:AO15*AN27:AO27)/SUM(AN15:AO15*AN27:AO27,AN13:AO13*AN26:AO26)</f>
        <v>0.5537134344319169</v>
      </c>
      <c r="AO43" s="135"/>
      <c r="AP43" s="162">
        <f t="array" ref="AP43">SUM(AP15:AQ15*AP27:AQ27)/SUM(AP15:AQ15*AP27:AQ27,AP13:AQ13*AP26:AQ26)</f>
        <v>0.5534783824165489</v>
      </c>
      <c r="AQ43" s="135"/>
      <c r="AR43" s="162">
        <f t="array" ref="AR43">SUM(AR15:AS15*AR27:AS27)/SUM(AR15:AS15*AR27:AS27,AR13:AS13*AR26:AS26)</f>
        <v>0.55324332293559231</v>
      </c>
      <c r="AS43" s="135"/>
      <c r="AT43" s="162">
        <f t="array" ref="AT43">SUM(AT15:AU15*AT27:AU27)/SUM(AT15:AU15*AT27:AU27,AT13:AU13*AT26:AU26)</f>
        <v>0.55300844438211905</v>
      </c>
      <c r="AU43" s="135"/>
      <c r="AV43" s="162">
        <f t="array" ref="AV43">SUM(AV15:AW15*AV27:AW27)/SUM(AV15:AW15*AV27:AW27,AV13:AW13*AV26:AW26)</f>
        <v>0.55277395382276551</v>
      </c>
    </row>
    <row r="44" spans="1:49 16319:16321" x14ac:dyDescent="0.2">
      <c r="A44" t="s">
        <v>142</v>
      </c>
      <c r="B44" s="193">
        <f>(SUM(B11:C11*B24:C24)+B34)/B32</f>
        <v>0.29754226190682465</v>
      </c>
      <c r="D44" s="193">
        <f>(SUM(D11:E11*D24:E24)+D34)/D32</f>
        <v>0.29942756600166021</v>
      </c>
      <c r="F44" s="193">
        <f>(SUM(F11:G11*F24:G24)+F34)/F32</f>
        <v>0.30135048960566652</v>
      </c>
      <c r="H44" s="193">
        <f>(SUM(H11:I11*H24:I24)+H34)/H32</f>
        <v>0.30331527198683572</v>
      </c>
      <c r="J44" s="193">
        <f>(SUM(J11:K11*J24:K24)+J34)/J32</f>
        <v>0.30532665814313764</v>
      </c>
      <c r="L44" s="193">
        <f>(SUM(L11:M11*L24:M24)+L34)/L32</f>
        <v>0.30738992476184557</v>
      </c>
      <c r="N44" s="193">
        <f>(SUM(N11:O11*N24:O24)+N34)/N32</f>
        <v>0.30951099137932553</v>
      </c>
      <c r="P44" s="193">
        <f>(SUM(P11:Q11*P24:Q24)+P34)/P32</f>
        <v>0.31169645781716154</v>
      </c>
      <c r="R44" s="193">
        <f>(SUM(R11:S11*R24:S24)+R34)/R32</f>
        <v>0.31395360823777918</v>
      </c>
      <c r="T44" s="193">
        <f>(SUM(T11:U11*T24:U24)+T34)/T32</f>
        <v>0.31629054031120191</v>
      </c>
      <c r="V44" s="193">
        <f>(SUM(V11:W11*V24:W24)+V34)/V32</f>
        <v>0.31871573183411611</v>
      </c>
      <c r="X44" s="193">
        <f>(SUM(X11:Y11*X24:Y24)+X34)/X32</f>
        <v>0.3212379287552346</v>
      </c>
      <c r="Z44" s="193">
        <f>(SUM(Z11:AA11*Z24:AA24)+Z34)/Z32</f>
        <v>0.32386517436906398</v>
      </c>
      <c r="AB44" s="193">
        <f>(SUM(AB11:AC11*AB24:AC24)+AB34)/AB32</f>
        <v>0.32660328289514201</v>
      </c>
      <c r="AD44" s="193">
        <f>(SUM(AD11:AE11*AD24:AE24)+AD34)/AD32</f>
        <v>0.32945323183351916</v>
      </c>
      <c r="AF44" s="193">
        <f>(SUM(AF11:AG11*AF24:AG24)+AF34)/AF32</f>
        <v>0.33240747682857424</v>
      </c>
      <c r="AH44" s="193">
        <f>(SUM(AH11:AI11*AH24:AI24)+AH34)/AH32</f>
        <v>0.33544590426860427</v>
      </c>
      <c r="AJ44" s="193">
        <f>(SUM(AJ11:AK11*AJ24:AK24)+AJ34)/AJ32</f>
        <v>0.33853333434853394</v>
      </c>
      <c r="AL44" s="193">
        <f>(SUM(AL11:AM11*AL24:AM24)+AL34)/AL32</f>
        <v>0.34162116698534167</v>
      </c>
      <c r="AN44" s="193">
        <f>(SUM(AN11:AO11*AN24:AO24)+AN34)/AN32</f>
        <v>0.34465446395377569</v>
      </c>
      <c r="AP44" s="193">
        <f>(SUM(AP11:AQ11*AP24:AQ24)+AP34)/AP32</f>
        <v>0.3452498950462064</v>
      </c>
      <c r="AR44" s="193">
        <f>(SUM(AR11:AS11*AR24:AS24)+AR34)/AR32</f>
        <v>0.34584067328438683</v>
      </c>
      <c r="AT44" s="193">
        <f>(SUM(AT11:AU11*AT24:AU24)+AT34)/AT32</f>
        <v>0.34642651801912538</v>
      </c>
      <c r="AV44" s="193">
        <f>(SUM(AV11:AW11*AV24:AW24)+AV34)/AV32</f>
        <v>0.34700704297512902</v>
      </c>
    </row>
    <row r="45" spans="1:49 16319:16321" x14ac:dyDescent="0.2">
      <c r="A45" t="s">
        <v>82</v>
      </c>
      <c r="B45" s="193">
        <f>SUM(B11:C11*B24:C24)/B32</f>
        <v>0.22038438833194082</v>
      </c>
      <c r="D45" s="193">
        <f>SUM(D11:E11*D24:E24)/D32</f>
        <v>0.22226969412764422</v>
      </c>
      <c r="F45" s="193">
        <f>SUM(F11:G11*F24:G24)/F32</f>
        <v>0.22419261835150453</v>
      </c>
      <c r="H45" s="193">
        <f>SUM(H11:I11*H24:I24)/H32</f>
        <v>0.22615740070516707</v>
      </c>
      <c r="J45" s="193">
        <f>SUM(J11:K11*J24:K24)/J32</f>
        <v>0.22816878495127746</v>
      </c>
      <c r="L45" s="193">
        <f>SUM(L11:M11*L24:M24)/L32</f>
        <v>0.23023205064829477</v>
      </c>
      <c r="N45" s="193">
        <f>SUM(N11:O11*N24:O24)/N32</f>
        <v>0.23235311693515351</v>
      </c>
      <c r="P45" s="193">
        <f>SUM(P11:Q11*P24:Q24)/P32</f>
        <v>0.2345385834250765</v>
      </c>
      <c r="R45" s="193">
        <f>SUM(R11:S11*R24:S24)/R32</f>
        <v>0.2367957420105308</v>
      </c>
      <c r="T45" s="193">
        <f>SUM(T11:U11*T24:U24)/T32</f>
        <v>0.2391326657891219</v>
      </c>
      <c r="V45" s="193">
        <f>SUM(V11:W11*V24:W24)/V32</f>
        <v>0.24155785804799737</v>
      </c>
      <c r="X45" s="193">
        <f>SUM(X11:Y11*X24:Y24)/X32</f>
        <v>0.24408005469075836</v>
      </c>
      <c r="Z45" s="193">
        <f>SUM(Z11:AA11*Z24:AA24)/Z32</f>
        <v>0.24670730086959916</v>
      </c>
      <c r="AB45" s="193">
        <f>SUM(AB11:AC11*AB24:AC24)/AB32</f>
        <v>0.2494454089853356</v>
      </c>
      <c r="AD45" s="193">
        <f>SUM(AD11:AE11*AD24:AE24)/AD32</f>
        <v>0.25229535751066684</v>
      </c>
      <c r="AF45" s="193">
        <f>SUM(AF11:AG11*AF24:AG24)/AF32</f>
        <v>0.25524960190664336</v>
      </c>
      <c r="AH45" s="193">
        <f>SUM(AH11:AI11*AH24:AI24)/AH32</f>
        <v>0.2582880307176999</v>
      </c>
      <c r="AJ45" s="193">
        <f>SUM(AJ11:AK11*AJ24:AK24)/AJ32</f>
        <v>0.26137546072636053</v>
      </c>
      <c r="AL45" s="193">
        <f>SUM(AL11:AM11*AL24:AM24)/AL32</f>
        <v>0.26446329691441828</v>
      </c>
      <c r="AN45" s="193">
        <f>SUM(AN11:AO11*AN24:AO24)/AN32</f>
        <v>0.26749659169311202</v>
      </c>
      <c r="AP45" s="193">
        <f>SUM(AP11:AQ11*AP24:AQ24)/AP32</f>
        <v>0.2680920223377804</v>
      </c>
      <c r="AR45" s="193">
        <f>SUM(AR11:AS11*AR24:AS24)/AR32</f>
        <v>0.26868280782407133</v>
      </c>
      <c r="AT45" s="193">
        <f>SUM(AT11:AU11*AT24:AU24)/AT32</f>
        <v>0.26926864283657953</v>
      </c>
      <c r="AV45" s="193">
        <f>SUM(AV11:AW11*AV24:AW24)/AV32</f>
        <v>0.26984917010410764</v>
      </c>
      <c r="XCQ45" s="193"/>
    </row>
    <row r="46" spans="1:49 16319:16321" x14ac:dyDescent="0.2">
      <c r="A46" t="s">
        <v>139</v>
      </c>
      <c r="B46" s="193">
        <f>B34/B32</f>
        <v>7.7157873574883795E-2</v>
      </c>
      <c r="D46" s="193">
        <f>D34/D32</f>
        <v>7.7157871874015987E-2</v>
      </c>
      <c r="F46" s="193">
        <f>F34/F32</f>
        <v>7.7157871254161958E-2</v>
      </c>
      <c r="H46" s="193">
        <f>H34/H32</f>
        <v>7.7157871281668677E-2</v>
      </c>
      <c r="J46" s="193">
        <f>J34/J32</f>
        <v>7.7157873191860182E-2</v>
      </c>
      <c r="L46" s="193">
        <f>L34/L32</f>
        <v>7.7157874113550781E-2</v>
      </c>
      <c r="N46" s="193">
        <f>N34/N32</f>
        <v>7.7157874444171964E-2</v>
      </c>
      <c r="P46" s="193">
        <f>P34/P32</f>
        <v>7.7157874392085074E-2</v>
      </c>
      <c r="R46" s="193">
        <f>R34/R32</f>
        <v>7.7157866227248378E-2</v>
      </c>
      <c r="T46" s="193">
        <f>T34/T32</f>
        <v>7.7157874522079992E-2</v>
      </c>
      <c r="V46" s="193">
        <f>V34/V32</f>
        <v>7.7157873786118769E-2</v>
      </c>
      <c r="X46" s="193">
        <f>X34/X32</f>
        <v>7.7157874064476273E-2</v>
      </c>
      <c r="Z46" s="193">
        <f>Z34/Z32</f>
        <v>7.7157873499464805E-2</v>
      </c>
      <c r="AB46" s="193">
        <f>AB34/AB32</f>
        <v>7.7157873909806385E-2</v>
      </c>
      <c r="AD46" s="193">
        <f>AD34/AD32</f>
        <v>7.7157874322852343E-2</v>
      </c>
      <c r="AF46" s="193">
        <f>AF34/AF32</f>
        <v>7.7157874921930866E-2</v>
      </c>
      <c r="AH46" s="193">
        <f>AH34/AH32</f>
        <v>7.7157873550904379E-2</v>
      </c>
      <c r="AJ46" s="193">
        <f>AJ34/AJ32</f>
        <v>7.7157873622173412E-2</v>
      </c>
      <c r="AL46" s="193">
        <f>AL34/AL32</f>
        <v>7.7157870070923396E-2</v>
      </c>
      <c r="AN46" s="193">
        <f>AN34/AN32</f>
        <v>7.7157872260663632E-2</v>
      </c>
      <c r="AP46" s="193">
        <f>AP34/AP32</f>
        <v>7.7157872708425973E-2</v>
      </c>
      <c r="AR46" s="193">
        <f>AR34/AR32</f>
        <v>7.71578654603155E-2</v>
      </c>
      <c r="AT46" s="193">
        <f>AT34/AT32</f>
        <v>7.715787518254584E-2</v>
      </c>
      <c r="AV46" s="193">
        <f>AV34/AV32</f>
        <v>7.7157872871021382E-2</v>
      </c>
      <c r="XCS46" s="193"/>
    </row>
    <row r="48" spans="1:49 16319:16321" x14ac:dyDescent="0.2">
      <c r="A48" t="s">
        <v>159</v>
      </c>
      <c r="B48" s="191">
        <f>B24/$B$24</f>
        <v>1</v>
      </c>
      <c r="C48" s="191"/>
      <c r="D48" s="191">
        <f>D24/$B$24</f>
        <v>1.003093031417315</v>
      </c>
      <c r="E48" s="191"/>
      <c r="F48" s="191">
        <f>F24/$B$24</f>
        <v>1.0053287533860822</v>
      </c>
      <c r="G48" s="191"/>
      <c r="H48" s="191">
        <f>H24/$B$24</f>
        <v>1.006530724394477</v>
      </c>
      <c r="I48" s="191"/>
      <c r="J48" s="191">
        <f>J24/$B$24</f>
        <v>1.0064773085730891</v>
      </c>
      <c r="K48" s="191"/>
      <c r="L48" s="191">
        <f>L24/$B$24</f>
        <v>1.0048871311613981</v>
      </c>
      <c r="M48" s="191"/>
      <c r="N48" s="191">
        <f>N24/$B$24</f>
        <v>1.0014010712580619</v>
      </c>
      <c r="O48" s="191"/>
      <c r="P48" s="191">
        <f>P24/$B$24</f>
        <v>0.99555664034481317</v>
      </c>
      <c r="Q48" s="191"/>
      <c r="R48" s="191">
        <f>R24/$B$24</f>
        <v>0.98675323844066021</v>
      </c>
      <c r="S48" s="191"/>
      <c r="T48" s="191">
        <f>T24/$B$24</f>
        <v>0.97420699448225279</v>
      </c>
      <c r="U48" s="191"/>
      <c r="V48" s="191">
        <f>V24/$B$24</f>
        <v>0.95688658738436849</v>
      </c>
      <c r="W48" s="191"/>
      <c r="X48" s="191">
        <f>X24/$B$24</f>
        <v>0.93343587606106715</v>
      </c>
      <c r="Y48" s="191"/>
      <c r="Z48" s="191">
        <f>Z24/$B$24</f>
        <v>0.90207583940611002</v>
      </c>
      <c r="AA48" s="191"/>
      <c r="AB48" s="191">
        <f>AB24/$B$24</f>
        <v>0.86050080948618979</v>
      </c>
      <c r="AC48" s="191"/>
      <c r="AD48" s="191">
        <f>AD24/$B$24</f>
        <v>0.80579676899428221</v>
      </c>
      <c r="AE48" s="191"/>
      <c r="AF48" s="191">
        <f>AF24/$B$24</f>
        <v>0.73444097825780552</v>
      </c>
      <c r="AG48" s="191"/>
      <c r="AH48" s="191">
        <f>AH24/$B$24</f>
        <v>0.64246815082635389</v>
      </c>
      <c r="AI48" s="191"/>
      <c r="AJ48" s="191">
        <f>AJ24/$B$24</f>
        <v>0.52587259552367183</v>
      </c>
      <c r="AK48" s="191"/>
      <c r="AL48" s="191">
        <f>AL24/$B$24</f>
        <v>0.3812087882100883</v>
      </c>
      <c r="AM48" s="191"/>
      <c r="AN48" s="191">
        <f>AN24/$B$24</f>
        <v>0.20618824315032938</v>
      </c>
      <c r="AO48" s="191"/>
      <c r="AP48" s="191">
        <f>AP24/$B$24</f>
        <v>0.16744359608800002</v>
      </c>
      <c r="AQ48" s="191"/>
      <c r="AR48" s="191">
        <f>AR24/$B$24</f>
        <v>0.1274483911996325</v>
      </c>
      <c r="AS48" s="191"/>
      <c r="AT48" s="191">
        <f>AT24/$B$24</f>
        <v>8.6205741001219527E-2</v>
      </c>
      <c r="AU48" s="191"/>
      <c r="AV48" s="191">
        <f>AV24/$B$24</f>
        <v>4.3720584611287902E-2</v>
      </c>
    </row>
    <row r="49" spans="1:48 16321:16384" x14ac:dyDescent="0.2">
      <c r="A49" t="s">
        <v>160</v>
      </c>
      <c r="B49" s="191">
        <f>B13/B35/$B$13*$B$35</f>
        <v>1</v>
      </c>
      <c r="C49" s="191"/>
      <c r="D49" s="191">
        <f>D13/D35/$B$13*$B$35</f>
        <v>0.99490830666697527</v>
      </c>
      <c r="E49" s="191"/>
      <c r="F49" s="191">
        <f>F13/F35/$B$13*$B$35</f>
        <v>0.98947522331129312</v>
      </c>
      <c r="G49" s="191"/>
      <c r="H49" s="191">
        <f>H13/H35/$B$13*$B$35</f>
        <v>0.98366857796547602</v>
      </c>
      <c r="I49" s="191"/>
      <c r="J49" s="191">
        <f>J13/J35/$B$13*$B$35</f>
        <v>0.9774526816842346</v>
      </c>
      <c r="K49" s="191"/>
      <c r="L49" s="191">
        <f>L13/L35/$B$13*$B$35</f>
        <v>0.9707881659714056</v>
      </c>
      <c r="M49" s="191"/>
      <c r="N49" s="191">
        <f>N13/N35/$B$13*$B$35</f>
        <v>0.96363174742749269</v>
      </c>
      <c r="O49" s="191"/>
      <c r="P49" s="191">
        <f>P13/P35/$B$13*$B$35</f>
        <v>0.95593634678741968</v>
      </c>
      <c r="Q49" s="191"/>
      <c r="R49" s="191">
        <f>R13/R35/$B$13*$B$35</f>
        <v>0.94765163821825071</v>
      </c>
      <c r="S49" s="191"/>
      <c r="T49" s="191">
        <f>T13/T35/$B$13*$B$35</f>
        <v>0.93872496401339234</v>
      </c>
      <c r="U49" s="191"/>
      <c r="V49" s="191">
        <f>V13/V35/$B$13*$B$35</f>
        <v>0.9291042528138479</v>
      </c>
      <c r="W49" s="191"/>
      <c r="X49" s="191">
        <f>X13/X35/$B$13*$B$35</f>
        <v>0.91874191311044806</v>
      </c>
      <c r="Y49" s="191"/>
      <c r="Z49" s="191">
        <f>Z13/Z35/$B$13*$B$35</f>
        <v>0.90760243509845961</v>
      </c>
      <c r="AA49" s="191"/>
      <c r="AB49" s="191">
        <f>AB13/AB35/$B$13*$B$35</f>
        <v>0.89567388584702412</v>
      </c>
      <c r="AC49" s="191"/>
      <c r="AD49" s="191">
        <f>AD13/AD35/$B$13*$B$35</f>
        <v>0.88298418854788108</v>
      </c>
      <c r="AE49" s="191"/>
      <c r="AF49" s="191">
        <f>AF13/AF35/$B$13*$B$35</f>
        <v>0.86962049702949773</v>
      </c>
      <c r="AG49" s="191"/>
      <c r="AH49" s="191">
        <f>AH13/AH35/$B$13*$B$35</f>
        <v>0.85574541526263126</v>
      </c>
      <c r="AI49" s="191"/>
      <c r="AJ49" s="191">
        <f>AJ13/AJ35/$B$13*$B$35</f>
        <v>0.84159905957564918</v>
      </c>
      <c r="AK49" s="191"/>
      <c r="AL49" s="191">
        <f>AL13/AL35/$B$13*$B$35</f>
        <v>0.82747617768557591</v>
      </c>
      <c r="AM49" s="191"/>
      <c r="AN49" s="191">
        <f>AN13/AN35/$B$13*$B$35</f>
        <v>0.81367914212010117</v>
      </c>
      <c r="AO49" s="191"/>
      <c r="AP49" s="191">
        <f>AP13/AP35/$B$13*$B$35</f>
        <v>0.81098274596886522</v>
      </c>
      <c r="AQ49" s="191"/>
      <c r="AR49" s="191">
        <f>AR13/AR35/$B$13*$B$35</f>
        <v>0.80831164293164526</v>
      </c>
      <c r="AS49" s="191"/>
      <c r="AT49" s="191">
        <f>AT13/AT35/$B$13*$B$35</f>
        <v>0.8056674070526566</v>
      </c>
      <c r="AU49" s="191"/>
      <c r="AV49" s="191">
        <f>AV13/AV35/$B$13*$B$35</f>
        <v>0.80305145074696238</v>
      </c>
    </row>
    <row r="51" spans="1:48 16321:16384" x14ac:dyDescent="0.2">
      <c r="A51" t="s">
        <v>166</v>
      </c>
      <c r="B51" s="29">
        <f>B30-B10*B23</f>
        <v>-405838.32800000021</v>
      </c>
      <c r="D51" s="29">
        <f>D30-D10*D23</f>
        <v>-356625.57229763642</v>
      </c>
      <c r="F51" s="29">
        <f>F30-F10*F23</f>
        <v>-306830.78324163798</v>
      </c>
      <c r="H51" s="29">
        <f>H30-H10*H23</f>
        <v>-256462.46504254453</v>
      </c>
      <c r="J51" s="29">
        <f>J30-J10*J23</f>
        <v>-205550.8922938942</v>
      </c>
      <c r="L51" s="29">
        <f>L30-L10*L23</f>
        <v>-154157.94405171555</v>
      </c>
      <c r="N51" s="29">
        <f>N30-N10*N23</f>
        <v>-102391.93185604317</v>
      </c>
      <c r="P51" s="29">
        <f>P30-P10*P23</f>
        <v>-50428.708196065854</v>
      </c>
      <c r="R51" s="29">
        <f>R30-R10*R23</f>
        <v>1457.3888435894623</v>
      </c>
      <c r="T51" s="29">
        <f>T30-T10*T23</f>
        <v>52847.971112686675</v>
      </c>
      <c r="V51" s="29">
        <f>V30-V10*V23</f>
        <v>103113.98883305537</v>
      </c>
      <c r="X51" s="29">
        <f>X30-X10*X23</f>
        <v>151318.20064078458</v>
      </c>
      <c r="Z51" s="29">
        <f>Z30-Z10*Z23</f>
        <v>196078.04671821324</v>
      </c>
      <c r="AB51" s="29">
        <f>AB30-AB10*AB23</f>
        <v>235381.44581526378</v>
      </c>
      <c r="AD51" s="29">
        <f>AD30-AD10*AD23</f>
        <v>266366.09253103053</v>
      </c>
      <c r="AF51" s="29">
        <f>AF30-AF10*AF23</f>
        <v>285111.04892162629</v>
      </c>
      <c r="AH51" s="29">
        <f>AH30-AH10*AH23</f>
        <v>286554.9744121579</v>
      </c>
      <c r="AJ51" s="29">
        <f>AJ30-AJ10*AJ23</f>
        <v>264703.92821460962</v>
      </c>
      <c r="AL51" s="29">
        <f>AL30-AL10*AL23</f>
        <v>213241.19712547748</v>
      </c>
      <c r="AN51" s="29">
        <f>AN30-AN10*AN23</f>
        <v>126435.91015933652</v>
      </c>
      <c r="AP51" s="29">
        <f>AP30-AP10*AP23</f>
        <v>104424.20064225036</v>
      </c>
      <c r="AQ51" s="29"/>
      <c r="AR51" s="29">
        <f>AR30-AR10*AR23</f>
        <v>80795.509708105586</v>
      </c>
      <c r="AT51" s="29">
        <f>AT30-AT10*AT23</f>
        <v>55527.453787648381</v>
      </c>
      <c r="AV51" s="29">
        <f>AV30-AV10*AV23</f>
        <v>28600.958838456849</v>
      </c>
      <c r="XFD51" s="29"/>
    </row>
    <row r="52" spans="1:48 16321:16384" x14ac:dyDescent="0.2">
      <c r="A52" t="s">
        <v>167</v>
      </c>
      <c r="B52" s="29">
        <f t="array" ref="B52">Calibration!sL*SUM(B13:C13*B26:C26)</f>
        <v>2049247.8195702801</v>
      </c>
      <c r="D52" s="29">
        <f t="array" ref="D52">Calibration!sL*SUM(D13:E13*D26:E26)</f>
        <v>2029632.7074944517</v>
      </c>
      <c r="F52" s="29">
        <f t="array" ref="F52">Calibration!sL*SUM(F13:G13*F26:G26)</f>
        <v>2008055.4045917906</v>
      </c>
      <c r="H52" s="29">
        <f t="array" ref="H52">Calibration!sL*SUM(H13:I13*H26:I26)</f>
        <v>1984195.744566161</v>
      </c>
      <c r="J52" s="29">
        <f t="array" ref="J52">Calibration!sL*SUM(J13:K13*J26:K26)</f>
        <v>1957663.0356412195</v>
      </c>
      <c r="L52" s="29">
        <f t="array" ref="L52">Calibration!sL*SUM(L13:M13*L26:M26)</f>
        <v>1927975.6853758639</v>
      </c>
      <c r="N52" s="29">
        <f t="array" ref="N52">Calibration!sL*SUM(N13:O13*N26:O26)</f>
        <v>1894536.2050930599</v>
      </c>
      <c r="P52" s="29">
        <f t="array" ref="P52">Calibration!sL*SUM(P13:Q13*P26:Q26)</f>
        <v>1856596.6077525583</v>
      </c>
      <c r="R52" s="29">
        <f t="array" ref="R52">Calibration!sL*SUM(R13:S13*R26:S26)</f>
        <v>1813212.5441012264</v>
      </c>
      <c r="T52" s="29">
        <f t="array" ref="T52">Calibration!sL*SUM(T13:U13*T26:U26)</f>
        <v>1763185.0335446727</v>
      </c>
      <c r="V52" s="29">
        <f t="array" ref="V52">Calibration!sL*SUM(V13:W13*V26:W26)</f>
        <v>1704980.8272195975</v>
      </c>
      <c r="X52" s="29">
        <f t="array" ref="X52">Calibration!sL*SUM(X13:Y13*X26:Y26)</f>
        <v>1636640.3264669254</v>
      </c>
      <c r="Z52" s="29">
        <f t="array" ref="Z52">Calibration!sL*SUM(Z13:AA13*Z26:AA26)</f>
        <v>1555668.4500186164</v>
      </c>
      <c r="AB52" s="29">
        <f t="array" ref="AB52">Calibration!sL*SUM(AB13:AC13*AB26:AC26)</f>
        <v>1458933.2658728065</v>
      </c>
      <c r="AD52" s="29">
        <f t="array" ref="AD52">Calibration!sL*SUM(AD13:AE13*AD26:AE26)</f>
        <v>1342615.1595810088</v>
      </c>
      <c r="AF52" s="29">
        <f t="array" ref="AF52">Calibration!sL*SUM(AF13:AG13*AF26:AG26)</f>
        <v>1202285.6226706072</v>
      </c>
      <c r="AH52" s="29">
        <f t="array" ref="AH52">Calibration!sL*SUM(AH13:AI13*AH26:AI26)</f>
        <v>1033214.3683792263</v>
      </c>
      <c r="AJ52" s="29">
        <f t="array" ref="AJ52">Calibration!sL*SUM(AJ13:AK13*AJ26:AK26)</f>
        <v>830958.76134532678</v>
      </c>
      <c r="AL52" s="29">
        <f t="array" ref="AL52">Calibration!sL*SUM(AL13:AM13*AL26:AM26)</f>
        <v>592133.05555190379</v>
      </c>
      <c r="AN52" s="29">
        <f t="array" ref="AN52">Calibration!sL*SUM(AN13:AO13*AN26:AO26)</f>
        <v>315062.37039822596</v>
      </c>
      <c r="AP52" s="29">
        <f t="array" ref="AP52">Calibration!sL*SUM(AP13:AQ13*AP26:AQ26)</f>
        <v>255049.07512123694</v>
      </c>
      <c r="AQ52" s="29"/>
      <c r="AR52" s="29">
        <f t="array" ref="AR52">Calibration!sL*SUM(AR13:AS13*AR26:AS26)</f>
        <v>193521.60845892542</v>
      </c>
      <c r="AT52" s="29">
        <f t="array" ref="AT52">Calibration!sL*SUM(AT13:AU13*AT26:AU26)</f>
        <v>130493.53283604969</v>
      </c>
      <c r="AV52" s="29">
        <f t="array" ref="AV52">Calibration!sL*SUM(AV13:AW13*AV26:AW26)</f>
        <v>65980.37422187753</v>
      </c>
    </row>
    <row r="53" spans="1:48 16321:16384" x14ac:dyDescent="0.2">
      <c r="A53" t="s">
        <v>168</v>
      </c>
      <c r="B53" s="29">
        <f t="array" ref="B53">Calibration!sK*SUM(B15:C15*B27:C27)</f>
        <v>2740714.4444297408</v>
      </c>
      <c r="D53" s="29">
        <f t="array" ref="D53">Calibration!sK*SUM(D15:E15*D27:E27)</f>
        <v>2709366.9070970295</v>
      </c>
      <c r="F53" s="29">
        <f t="array" ref="F53">Calibration!sK*SUM(F15:G15*F27:G27)</f>
        <v>2675460.1814171784</v>
      </c>
      <c r="H53" s="29">
        <f t="array" ref="H53">Calibration!sK*SUM(H15:I15*H27:I27)</f>
        <v>2638567.6265585143</v>
      </c>
      <c r="J53" s="29">
        <f t="array" ref="J53">Calibration!sK*SUM(J15:K15*J27:K27)</f>
        <v>2598169.2936797007</v>
      </c>
      <c r="L53" s="29">
        <f t="array" ref="L53">Calibration!sK*SUM(L15:M15*L27:M27)</f>
        <v>2553625.6941108499</v>
      </c>
      <c r="N53" s="29">
        <f t="array" ref="N53">Calibration!sK*SUM(N15:O15*N27:O27)</f>
        <v>2504145.6914702235</v>
      </c>
      <c r="P53" s="29">
        <f t="array" ref="P53">Calibration!sK*SUM(P15:Q15*P27:Q27)</f>
        <v>2448742.5978567228</v>
      </c>
      <c r="R53" s="29">
        <f t="array" ref="R53">Calibration!sK*SUM(R15:S15*R27:S27)</f>
        <v>2386176.6610930758</v>
      </c>
      <c r="T53" s="29">
        <f t="array" ref="T53">Calibration!sK*SUM(T15:U15*T27:U27)</f>
        <v>2314883.2639167663</v>
      </c>
      <c r="V53" s="29">
        <f t="array" ref="V53">Calibration!sK*SUM(V15:W15*V27:W27)</f>
        <v>2232875.9723013034</v>
      </c>
      <c r="X53" s="29">
        <f t="array" ref="X53">Calibration!sK*SUM(X15:Y15*X27:Y27)</f>
        <v>2137638.2636495931</v>
      </c>
      <c r="Z53" s="29">
        <f t="array" ref="Z53">Calibration!sK*SUM(Z15:AA15*Z27:AA27)</f>
        <v>2025999.9306513881</v>
      </c>
      <c r="AB53" s="29">
        <f t="array" ref="AB53">Calibration!sK*SUM(AB15:AC15*AB27:AC27)</f>
        <v>1894033.0992966332</v>
      </c>
      <c r="AD53" s="29">
        <f t="array" ref="AD53">Calibration!sK*SUM(AD15:AE15*AD27:AE27)</f>
        <v>1737024.4519646484</v>
      </c>
      <c r="AF53" s="29">
        <f t="array" ref="AF53">Calibration!sK*SUM(AF15:AG15*AF27:AG27)</f>
        <v>1549622.5514826411</v>
      </c>
      <c r="AH53" s="29">
        <f t="array" ref="AH53">Calibration!sK*SUM(AH15:AI15*AH27:AI27)</f>
        <v>1326273.9921236187</v>
      </c>
      <c r="AJ53" s="29">
        <f t="array" ref="AJ53">Calibration!sK*SUM(AJ15:AK15*AJ27:AK27)</f>
        <v>1061991.142393965</v>
      </c>
      <c r="AL53" s="29">
        <f t="array" ref="AL53">Calibration!sK*SUM(AL15:AM15*AL27:AM27)</f>
        <v>753290.98895672674</v>
      </c>
      <c r="AN53" s="29">
        <f t="array" ref="AN53">Calibration!sK*SUM(AN15:AO15*AN27:AO27)</f>
        <v>398921.24966291053</v>
      </c>
      <c r="AP53" s="29">
        <f t="array" ref="AP53">Calibration!sK*SUM(AP15:AQ15*AP27:AQ27)</f>
        <v>322627.44905271375</v>
      </c>
      <c r="AQ53" s="29"/>
      <c r="AR53" s="29">
        <f t="array" ref="AR53">Calibration!sK*SUM(AR15:AS15*AR27:AS27)</f>
        <v>244564.81813119396</v>
      </c>
      <c r="AT53" s="29">
        <f t="array" ref="AT53">Calibration!sK*SUM(AT15:AU15*AT27:AU27)</f>
        <v>164755.84117726877</v>
      </c>
      <c r="AV53" s="29">
        <f t="array" ref="AV53">Calibration!sK*SUM(AV15:AW15*AV27:AW27)</f>
        <v>83225.16113589576</v>
      </c>
      <c r="XFD53" s="29"/>
    </row>
    <row r="55" spans="1:48 16321:16384" x14ac:dyDescent="0.2">
      <c r="A55" t="s">
        <v>169</v>
      </c>
      <c r="B55" s="193">
        <f>B30/B32</f>
        <v>0.19850271905982084</v>
      </c>
      <c r="D55" s="193">
        <f>D30/D32</f>
        <v>0.20167961015498387</v>
      </c>
      <c r="F55" s="193">
        <f>F30/F32</f>
        <v>0.20491980035332549</v>
      </c>
      <c r="H55" s="193">
        <f>H30/H32</f>
        <v>0.20823044006721511</v>
      </c>
      <c r="J55" s="193">
        <f>J30/J32</f>
        <v>0.21161951299361589</v>
      </c>
      <c r="L55" s="193">
        <f>L30/L32</f>
        <v>0.21509595198533915</v>
      </c>
      <c r="N55" s="193">
        <f>N30/N32</f>
        <v>0.21866974060092842</v>
      </c>
      <c r="P55" s="193">
        <f>P30/P32</f>
        <v>0.22235201414689551</v>
      </c>
      <c r="R55" s="193">
        <f>R30/R32</f>
        <v>0.22615512368649252</v>
      </c>
      <c r="T55" s="193">
        <f>T30/T32</f>
        <v>0.23009259815432537</v>
      </c>
      <c r="V55" s="193">
        <f>V30/V32</f>
        <v>0.23417891628638685</v>
      </c>
      <c r="X55" s="193">
        <f>X30/X32</f>
        <v>0.23842881753496251</v>
      </c>
      <c r="Z55" s="193">
        <f>Z30/Z32</f>
        <v>0.24285592213492338</v>
      </c>
      <c r="AB55" s="193">
        <f>AB30/AB32</f>
        <v>0.24747008958123057</v>
      </c>
      <c r="AD55" s="193">
        <f>AD30/AD32</f>
        <v>0.2522730487198051</v>
      </c>
      <c r="AF55" s="193">
        <f>AF30/AF32</f>
        <v>0.25725214641459632</v>
      </c>
      <c r="AH55" s="193">
        <f>AH30/AH32</f>
        <v>0.26237353561879051</v>
      </c>
      <c r="AJ55" s="193">
        <f>AJ30/AJ32</f>
        <v>0.26757793735538404</v>
      </c>
      <c r="AL55" s="193">
        <f>AL30/AL32</f>
        <v>0.27278344430061074</v>
      </c>
      <c r="AN55" s="193">
        <f>AN30/AN32</f>
        <v>0.27789733404028416</v>
      </c>
      <c r="AP55" s="193">
        <f>AP30/AP32</f>
        <v>0.27890122077088703</v>
      </c>
      <c r="AR55" s="193">
        <f>AR30/AR32</f>
        <v>0.27989733251457677</v>
      </c>
      <c r="AT55" s="193">
        <f>AT30/AT32</f>
        <v>0.280885009127887</v>
      </c>
      <c r="AV55" s="193">
        <f>AV30/AV32</f>
        <v>0.28186381869090721</v>
      </c>
      <c r="XCS55" s="193"/>
      <c r="XFD55" s="193"/>
    </row>
    <row r="56" spans="1:48 16321:16384" x14ac:dyDescent="0.2">
      <c r="A56" t="s">
        <v>170</v>
      </c>
      <c r="B56" s="193">
        <f>(Model!$C$52*B5*B20+B2*C5*C20)/B32</f>
        <v>2.9221206744340551E-2</v>
      </c>
      <c r="D56" s="193">
        <f>(Model!$C$52*D5*D20+D2*E5*E20)/D32</f>
        <v>3.2927521655106783E-2</v>
      </c>
      <c r="F56" s="193">
        <f>(Model!$C$52*F5*F20+F2*G5*G20)/F32</f>
        <v>3.6709618260137716E-2</v>
      </c>
      <c r="H56" s="193">
        <f>(Model!$C$52*H5*H20+H2*I5*I20)/H32</f>
        <v>4.0575614817269609E-2</v>
      </c>
      <c r="J56" s="193">
        <f>(Model!$C$52*J5*J20+J2*K5*K20)/J32</f>
        <v>4.4534510989575754E-2</v>
      </c>
      <c r="L56" s="193">
        <f>(Model!$C$52*L5*L20+L2*M5*M20)/L32</f>
        <v>4.8596276277653144E-2</v>
      </c>
      <c r="N56" s="193">
        <f>(Model!$C$52*N5*N20+N2*O5*O20)/N32</f>
        <v>5.2771950975792833E-2</v>
      </c>
      <c r="P56" s="193">
        <f>(Model!$C$52*P5*P20+P2*Q5*Q20)/P32</f>
        <v>5.7073716410989107E-2</v>
      </c>
      <c r="R56" s="193">
        <f>(Model!$C$52*R5*R20+R2*S5*S20)/R32</f>
        <v>6.1514913753778586E-2</v>
      </c>
      <c r="T56" s="193">
        <f>(Model!$C$52*T5*T20+T2*U5*U20)/T32</f>
        <v>6.6109937394297519E-2</v>
      </c>
      <c r="V56" s="193">
        <f>(Model!$C$52*V5*V20+V2*W5*W20)/V32</f>
        <v>7.087390770711291E-2</v>
      </c>
      <c r="X56" s="193">
        <f>(Model!$C$52*X5*X20+X2*Y5*Y20)/X32</f>
        <v>7.5821818595072712E-2</v>
      </c>
      <c r="Z56" s="193">
        <f>(Model!$C$52*Z5*Z20+Z2*AA5*AA20)/Z32</f>
        <v>8.0966905087029195E-2</v>
      </c>
      <c r="AB56" s="193">
        <f>(Model!$C$52*AB5*AB20+AB2*AC5*AC20)/AB32</f>
        <v>8.6317623607602645E-2</v>
      </c>
      <c r="AD56" s="193">
        <f>(Model!$C$52*AD5*AD20+AD2*AE5*AE20)/AD32</f>
        <v>9.1872774626906364E-2</v>
      </c>
      <c r="AF56" s="193">
        <f>(Model!$C$52*AF5*AF20+AF2*AG5*AG20)/AF32</f>
        <v>9.7614674092546108E-2</v>
      </c>
      <c r="AH56" s="193">
        <f>(Model!$C$52*AH5*AH20+AH2*AI5*AI20)/AH32</f>
        <v>0.10350186300513464</v>
      </c>
      <c r="AJ56" s="193">
        <f>(Model!$C$52*AJ5*AJ20+AJ2*AK5*AK20)/AJ32</f>
        <v>0.1094649238610486</v>
      </c>
      <c r="AL56" s="193">
        <f>(Model!$C$52*AL5*AL20+AL2*AM5*AM20)/AL32</f>
        <v>0.11541024533311756</v>
      </c>
      <c r="AN56" s="193">
        <f>(Model!$C$52*AN5*AN20+AN2*AO5*AO20)/AN32</f>
        <v>0.12123365299406212</v>
      </c>
      <c r="AP56" s="193">
        <f>(Model!$C$52*AP5*AP20+AP2*AQ5*AQ20)/AP32</f>
        <v>0.12237493898600219</v>
      </c>
      <c r="AR56" s="193">
        <f>(Model!$C$52*AR5*AR20+AR2*AS5*AS20)/AR32</f>
        <v>0.12350679892302206</v>
      </c>
      <c r="AT56" s="193">
        <f>(Model!$C$52*AT5*AT20+AT2*AU5*AU20)/AT32</f>
        <v>0.12462852163805456</v>
      </c>
      <c r="AV56" s="193">
        <f>(Model!$C$52*AV5*AV20+AV2*AW5*AW20)/AV32</f>
        <v>0.12573962818401951</v>
      </c>
      <c r="XFD56" s="193"/>
    </row>
    <row r="57" spans="1:48 16321:16384" x14ac:dyDescent="0.2">
      <c r="A57" t="s">
        <v>171</v>
      </c>
      <c r="B57" s="193">
        <f t="array" ref="B57">SUM(Model!tauL*B13:C13*B26:C26)/B32</f>
        <v>0.15852881819439493</v>
      </c>
      <c r="D57" s="193">
        <f t="array" ref="D57">SUM(Model!tauL*D13:E13*D26:E26)/D32</f>
        <v>0.15806936503295654</v>
      </c>
      <c r="F57" s="193">
        <f t="array" ref="F57">SUM(Model!tauL*F13:G13*F26:G26)/F32</f>
        <v>0.1575978362673098</v>
      </c>
      <c r="H57" s="193">
        <f t="array" ref="H57">SUM(Model!tauL*H13:I13*H26:I26)/H32</f>
        <v>0.15711334242064751</v>
      </c>
      <c r="J57" s="193">
        <f t="array" ref="J57">SUM(Model!tauL*J13:K13*J26:K26)/J32</f>
        <v>0.15661495294709082</v>
      </c>
      <c r="L57" s="193">
        <f t="array" ref="L57">SUM(Model!tauL*L13:M13*L26:M26)/L32</f>
        <v>0.15610171794888081</v>
      </c>
      <c r="N57" s="193">
        <f t="array" ref="N57">SUM(Model!tauL*N13:O13*N26:O26)/N32</f>
        <v>0.15557266819393353</v>
      </c>
      <c r="P57" s="193">
        <f t="array" ref="P57">SUM(Model!tauL*P13:Q13*P26:Q26)/P32</f>
        <v>0.15502683829206815</v>
      </c>
      <c r="R57" s="193">
        <f t="array" ref="R57">SUM(Model!tauL*R13:S13*R26:S26)/R32</f>
        <v>0.15446330014349641</v>
      </c>
      <c r="T57" s="193">
        <f t="array" ref="T57">SUM(Model!tauL*T13:U13*T26:U26)/T32</f>
        <v>0.15388121221877937</v>
      </c>
      <c r="V57" s="193">
        <f t="array" ref="V57">SUM(Model!tauL*V13:W13*V26:W26)/V32</f>
        <v>0.15327989478676982</v>
      </c>
      <c r="X57" s="193">
        <f t="array" ref="X57">SUM(Model!tauL*X13:Y13*X26:Y26)/X32</f>
        <v>0.15265895369542873</v>
      </c>
      <c r="Y57" s="193"/>
      <c r="Z57" s="193">
        <f t="array" ref="Z57">SUM(Model!tauL*Z13:AA13*Z26:AA26)/Z32</f>
        <v>0.15201848210259769</v>
      </c>
      <c r="AB57" s="193">
        <f t="array" ref="AB57">SUM(Model!tauL*AB13:AC13*AB26:AC26)/AB32</f>
        <v>0.15135937740453181</v>
      </c>
      <c r="AD57" s="193">
        <f t="array" ref="AD57">SUM(Model!tauL*AD13:AE13*AD26:AE26)/AD32</f>
        <v>0.15068379356444328</v>
      </c>
      <c r="AF57" s="193">
        <f t="array" ref="AF57">SUM(Model!tauL*AF13:AG13*AF26:AG26)/AF32</f>
        <v>0.14999569815409874</v>
      </c>
      <c r="AH57" s="193">
        <f t="array" ref="AH57">SUM(Model!tauL*AH13:AI13*AH26:AI26)/AH32</f>
        <v>0.14930139990722102</v>
      </c>
      <c r="AJ57" s="193">
        <f t="array" ref="AJ57">SUM(Model!tauL*AJ13:AK13*AJ26:AK26)/AJ32</f>
        <v>0.1486096595139941</v>
      </c>
      <c r="AL57" s="193">
        <f t="array" ref="AL57">SUM(Model!tauL*AL13:AM13*AL26:AM26)/AL32</f>
        <v>0.14793098766847207</v>
      </c>
      <c r="AN57" s="193">
        <f t="array" ref="AN57">SUM(Model!tauL*AN13:AO13*AN26:AO26)/AN32</f>
        <v>0.14727608165474343</v>
      </c>
      <c r="AP57" s="193">
        <f t="array" ref="AP57">SUM(Model!tauL*AP13:AQ13*AP26:AQ26)/AP32</f>
        <v>0.14714879394354399</v>
      </c>
      <c r="AR57" s="193">
        <f t="array" ref="AR57">SUM(Model!tauL*AR13:AS13*AR26:AS26)/AR32</f>
        <v>0.1470228872788866</v>
      </c>
      <c r="AT57" s="193">
        <f t="array" ref="AT57">SUM(Model!tauL*AT13:AU13*AT26:AU26)/AT32</f>
        <v>0.14689841557387759</v>
      </c>
      <c r="AV57" s="193">
        <f t="array" ref="AV57">SUM(Model!tauL*AV13:AW13*AV26:AW26)/AV32</f>
        <v>0.14677542734034876</v>
      </c>
      <c r="XFD57" s="193"/>
    </row>
    <row r="58" spans="1:48 16321:16384" x14ac:dyDescent="0.2">
      <c r="A58" t="s">
        <v>172</v>
      </c>
      <c r="B58" s="193">
        <f t="array" ref="B58">SUM(Model!tauY/(1+Model!tauY)*B3:C3*B18:C18)/B32</f>
        <v>1.075269412108535E-2</v>
      </c>
      <c r="D58" s="193">
        <f t="array" ref="D58">SUM(Model!tauY/(1+Model!tauY)*D3:E3*D18:E18)/D32</f>
        <v>1.0682723466920549E-2</v>
      </c>
      <c r="F58" s="193">
        <f t="array" ref="F58">SUM(Model!tauY/(1+Model!tauY)*F3:G3*F18:G18)/F32</f>
        <v>1.0612345825877953E-2</v>
      </c>
      <c r="H58" s="193">
        <f t="array" ref="H58">SUM(Model!tauY/(1+Model!tauY)*H3:I3*H18:I18)/H32</f>
        <v>1.0541482829298E-2</v>
      </c>
      <c r="J58" s="193">
        <f t="array" ref="J58">SUM(Model!tauY/(1+Model!tauY)*J3:K3*J18:K18)/J32</f>
        <v>1.0470049056949329E-2</v>
      </c>
      <c r="L58" s="193">
        <f t="array" ref="L58">SUM(Model!tauY/(1+Model!tauY)*L3:M3*L18:M18)/L32</f>
        <v>1.039795775880516E-2</v>
      </c>
      <c r="N58" s="193">
        <f t="array" ref="N58">SUM(Model!tauY/(1+Model!tauY)*N3:O3*N18:O18)/N32</f>
        <v>1.0325121431202025E-2</v>
      </c>
      <c r="P58" s="193">
        <f t="array" ref="P58">SUM(Model!tauY/(1+Model!tauY)*P3:Q3*P18:Q18)/P32</f>
        <v>1.025145944383828E-2</v>
      </c>
      <c r="R58" s="193">
        <f t="array" ref="R58">SUM(Model!tauY/(1+Model!tauY)*R3:S3*R18:S18)/R32</f>
        <v>1.0176909789217562E-2</v>
      </c>
      <c r="T58" s="193">
        <f t="array" ref="T58">SUM(Model!tauY/(1+Model!tauY)*T3:U3*T18:U18)/T32</f>
        <v>1.0101448541248489E-2</v>
      </c>
      <c r="V58" s="193">
        <f t="array" ref="V58">SUM(Model!tauY/(1+Model!tauY)*V3:W3*V18:W18)/V32</f>
        <v>1.0025113792504115E-2</v>
      </c>
      <c r="X58" s="193">
        <f t="array" ref="X58">SUM(Model!tauY/(1+Model!tauY)*X3:Y3*X18:Y18)/X32</f>
        <v>9.9480452444610581E-3</v>
      </c>
      <c r="Y58" s="193"/>
      <c r="Z58" s="193">
        <f t="array" ref="Z58">SUM(Model!tauY/(1+Model!tauY)*Z3:AA3*Z18:AA18)/Z32</f>
        <v>9.8705349452964958E-3</v>
      </c>
      <c r="AB58" s="193">
        <f t="array" ref="AB58">SUM(Model!tauY/(1+Model!tauY)*AB3:AC3*AB18:AC18)/AB32</f>
        <v>9.7930885690961419E-3</v>
      </c>
      <c r="AD58" s="193">
        <f t="array" ref="AD58">SUM(Model!tauY/(1+Model!tauY)*AD3:AE3*AD18:AE18)/AD32</f>
        <v>9.7164805284554647E-3</v>
      </c>
      <c r="AF58" s="193">
        <f t="array" ref="AF58">SUM(Model!tauY/(1+Model!tauY)*AF3:AG3*AF18:AG18)/AF32</f>
        <v>9.6417741679514796E-3</v>
      </c>
      <c r="AH58" s="193">
        <f t="array" ref="AH58">SUM(Model!tauY/(1+Model!tauY)*AH3:AI3*AH18:AI18)/AH32</f>
        <v>9.570272706434936E-3</v>
      </c>
      <c r="AJ58" s="193">
        <f t="array" ref="AJ58">SUM(Model!tauY/(1+Model!tauY)*AJ3:AK3*AJ18:AK18)/AJ32</f>
        <v>9.5033539803413315E-3</v>
      </c>
      <c r="AL58" s="193">
        <f t="array" ref="AL58">SUM(Model!tauY/(1+Model!tauY)*AL3:AM3*AL18:AM18)/AL32</f>
        <v>9.4422112990211055E-3</v>
      </c>
      <c r="AN58" s="193">
        <f t="array" ref="AN58">SUM(Model!tauY/(1+Model!tauY)*AN3:AO3*AN18:AO18)/AN32</f>
        <v>9.3875993914786324E-3</v>
      </c>
      <c r="AP58" s="193">
        <f t="array" ref="AP58">SUM(Model!tauY/(1+Model!tauY)*AP3:AQ3*AP18:AQ18)/AP32</f>
        <v>9.377487841340848E-3</v>
      </c>
      <c r="AR58" s="193">
        <f t="array" ref="AR58">SUM(Model!tauY/(1+Model!tauY)*AR3:AS3*AR18:AS18)/AR32</f>
        <v>9.3676463126681746E-3</v>
      </c>
      <c r="AT58" s="193">
        <f t="array" ref="AT58">SUM(Model!tauY/(1+Model!tauY)*AT3:AU3*AT18:AU18)/AT32</f>
        <v>9.358071915954877E-3</v>
      </c>
      <c r="AV58" s="193">
        <f t="array" ref="AV58">SUM(Model!tauY/(1+Model!tauY)*AV3:AW3*AV18:AW18)/AV32</f>
        <v>9.3487631665389002E-3</v>
      </c>
      <c r="XFD58" s="193"/>
    </row>
    <row r="59" spans="1:48 16321:16384" x14ac:dyDescent="0.2">
      <c r="A59" t="s">
        <v>173</v>
      </c>
      <c r="B59" s="193">
        <f>(B2*C5*C20)/B32</f>
        <v>5.5174232040962052E-4</v>
      </c>
      <c r="D59" s="193">
        <f>(D2*E5*E20)/D32</f>
        <v>4.3027968798466714E-3</v>
      </c>
      <c r="F59" s="193">
        <f>(F2*G5*G20)/F32</f>
        <v>8.1300603542011976E-3</v>
      </c>
      <c r="H59" s="193">
        <f>(H2*I5*I20)/H32</f>
        <v>1.2041684428093414E-2</v>
      </c>
      <c r="J59" s="193">
        <f>(J2*K5*K20)/J32</f>
        <v>1.6046702405990355E-2</v>
      </c>
      <c r="L59" s="193">
        <f>(L2*M5*M20)/L32</f>
        <v>2.0155115497665087E-2</v>
      </c>
      <c r="N59" s="193">
        <f>(N2*O5*O20)/N32</f>
        <v>2.4377993871358545E-2</v>
      </c>
      <c r="P59" s="193">
        <f>(P2*Q5*Q20)/P32</f>
        <v>2.8727545103457132E-2</v>
      </c>
      <c r="R59" s="193">
        <f>(R2*S5*S20)/R32</f>
        <v>3.3217130689390084E-2</v>
      </c>
      <c r="T59" s="193">
        <f>(T2*U5*U20)/T32</f>
        <v>3.7861155173209413E-2</v>
      </c>
      <c r="V59" s="193">
        <f>(V2*W5*W20)/V32</f>
        <v>4.2674735987711605E-2</v>
      </c>
      <c r="X59" s="193">
        <f>(X2*Y5*Y20)/X32</f>
        <v>4.7672842233146676E-2</v>
      </c>
      <c r="Z59" s="193">
        <f>(Z2*AA5*AA20)/Z32</f>
        <v>5.2868651226031842E-2</v>
      </c>
      <c r="AB59" s="193">
        <f>(AB2*AC5*AC20)/AB32</f>
        <v>5.8270510546354112E-2</v>
      </c>
      <c r="AD59" s="193">
        <f>(AD2*AE5*AE20)/AD32</f>
        <v>6.387703580169532E-2</v>
      </c>
      <c r="AF59" s="193">
        <f>(AF2*AG5*AG20)/AF32</f>
        <v>6.9670252165120045E-2</v>
      </c>
      <c r="AH59" s="193">
        <f>(AH2*AI5*AI20)/AH32</f>
        <v>7.5608275158266791E-2</v>
      </c>
      <c r="AJ59" s="193">
        <f>(AJ2*AK5*AK20)/AJ32</f>
        <v>8.162112531475868E-2</v>
      </c>
      <c r="AL59" s="193">
        <f>(AL2*AM5*AM20)/AL32</f>
        <v>8.7614540529197607E-2</v>
      </c>
      <c r="AN59" s="193">
        <f>(AN2*AO5*AO20)/AN32</f>
        <v>9.3483706549135862E-2</v>
      </c>
      <c r="AP59" s="193">
        <f>(AP2*AQ5*AQ20)/AP32</f>
        <v>9.4633815390200229E-2</v>
      </c>
      <c r="AR59" s="193">
        <f>(AR2*AS5*AS20)/AR32</f>
        <v>9.5774380128186398E-2</v>
      </c>
      <c r="AT59" s="193">
        <f>(AT2*AU5*AU20)/AT32</f>
        <v>9.6904687219926081E-2</v>
      </c>
      <c r="AV59" s="193">
        <f>(AV2*AW5*AW20)/AV32</f>
        <v>9.8024254669688921E-2</v>
      </c>
      <c r="XFD59" s="193"/>
    </row>
    <row r="60" spans="1:48 16321:16384" x14ac:dyDescent="0.2">
      <c r="A60" t="s">
        <v>174</v>
      </c>
      <c r="B60" s="193">
        <f>Model!$C$52*B5*B20/B32</f>
        <v>2.8669464423930927E-2</v>
      </c>
      <c r="D60" s="193">
        <f>Model!$C$52*D5*D20/D32</f>
        <v>2.8624724775260107E-2</v>
      </c>
      <c r="F60" s="193">
        <f>Model!$C$52*F5*F20/F32</f>
        <v>2.8579557905936519E-2</v>
      </c>
      <c r="H60" s="193">
        <f>Model!$C$52*H5*H20/H32</f>
        <v>2.8533930389176197E-2</v>
      </c>
      <c r="J60" s="193">
        <f>Model!$C$52*J5*J20/J32</f>
        <v>2.8487808583585399E-2</v>
      </c>
      <c r="L60" s="193">
        <f>Model!$C$52*L5*L20/L32</f>
        <v>2.8441160779988064E-2</v>
      </c>
      <c r="N60" s="193">
        <f>Model!$C$52*N5*N20/N32</f>
        <v>2.8393957104434289E-2</v>
      </c>
      <c r="P60" s="193">
        <f>Model!$C$52*P5*P20/P32</f>
        <v>2.8346171307531969E-2</v>
      </c>
      <c r="R60" s="193">
        <f>Model!$C$52*R5*R20/R32</f>
        <v>2.8297783064388505E-2</v>
      </c>
      <c r="T60" s="193">
        <f>Model!$C$52*T5*T20/T32</f>
        <v>2.8248782221088103E-2</v>
      </c>
      <c r="V60" s="193">
        <f>Model!$C$52*V5*V20/V32</f>
        <v>2.8199171719401301E-2</v>
      </c>
      <c r="X60" s="193">
        <f>Model!$C$52*X5*X20/X32</f>
        <v>2.8148976361926033E-2</v>
      </c>
      <c r="Z60" s="193">
        <f>Model!$C$52*Z5*Z20/Z32</f>
        <v>2.8098253860997353E-2</v>
      </c>
      <c r="AB60" s="193">
        <f>Model!$C$52*AB5*AB20/AB32</f>
        <v>2.8047113061248529E-2</v>
      </c>
      <c r="AD60" s="193">
        <f>Model!$C$52*AD5*AD20/AD32</f>
        <v>2.7995738825211048E-2</v>
      </c>
      <c r="AF60" s="193">
        <f>Model!$C$52*AF5*AF20/AF32</f>
        <v>2.7944421927426057E-2</v>
      </c>
      <c r="AH60" s="193">
        <f>Model!$C$52*AH5*AH20/AH32</f>
        <v>2.7893587846867841E-2</v>
      </c>
      <c r="AJ60" s="193">
        <f>Model!$C$52*AJ5*AJ20/AJ32</f>
        <v>2.7843798546289916E-2</v>
      </c>
      <c r="AL60" s="193">
        <f>Model!$C$52*AL5*AL20/AL32</f>
        <v>2.7795704803919945E-2</v>
      </c>
      <c r="AN60" s="193">
        <f>Model!$C$52*AN5*AN20/AN32</f>
        <v>2.7749946444926274E-2</v>
      </c>
      <c r="AP60" s="193">
        <f>Model!$C$52*AP5*AP20/AP32</f>
        <v>2.7741123595801942E-2</v>
      </c>
      <c r="AR60" s="193">
        <f>Model!$C$52*AR5*AR20/AR32</f>
        <v>2.7732418794835657E-2</v>
      </c>
      <c r="AT60" s="193">
        <f>Model!$C$52*AT5*AT20/AT32</f>
        <v>2.7723834418128489E-2</v>
      </c>
      <c r="AV60" s="193">
        <f>Model!$C$52*AV5*AV20/AV32</f>
        <v>2.7715373514330587E-2</v>
      </c>
      <c r="XFD60" s="193"/>
    </row>
    <row r="62" spans="1:48 16321:16384" x14ac:dyDescent="0.2">
      <c r="A62" t="s">
        <v>175</v>
      </c>
      <c r="B62">
        <f>B13/B15</f>
        <v>1</v>
      </c>
      <c r="D62">
        <f>D13/D15</f>
        <v>1.0009111163337703</v>
      </c>
      <c r="F62">
        <f>F13/F15</f>
        <v>1.0018771864336704</v>
      </c>
      <c r="H62">
        <f>H13/H15</f>
        <v>1.0029166100111813</v>
      </c>
      <c r="J62">
        <f>J13/J15</f>
        <v>1.0040526913113632</v>
      </c>
      <c r="L62">
        <f>L13/L15</f>
        <v>1.0053150557630364</v>
      </c>
      <c r="N62">
        <f>N13/N15</f>
        <v>1.0067412035458605</v>
      </c>
      <c r="P62">
        <f>P13/P15</f>
        <v>1.0083786018235619</v>
      </c>
      <c r="R62">
        <f>R13/R15</f>
        <v>1.0102871929950654</v>
      </c>
      <c r="T62">
        <f>T13/T15</f>
        <v>1.0125419741965653</v>
      </c>
      <c r="V62">
        <f>V13/V15</f>
        <v>1.0152362322248689</v>
      </c>
      <c r="X62">
        <f>X13/X15</f>
        <v>1.018483391689512</v>
      </c>
      <c r="Z62">
        <f>Z13/Z15</f>
        <v>1.0224174079707022</v>
      </c>
      <c r="AB62">
        <f>AB13/AB15</f>
        <v>1.0271884779749427</v>
      </c>
      <c r="AD62">
        <f>AD13/AD15</f>
        <v>1.0329507203792436</v>
      </c>
      <c r="AF62">
        <f>AF13/AF15</f>
        <v>1.0398380981473905</v>
      </c>
      <c r="AH62">
        <f>AH13/AH15</f>
        <v>1.0479283626669924</v>
      </c>
      <c r="AJ62">
        <f>AJ13/AJ15</f>
        <v>1.0572035755296088</v>
      </c>
      <c r="AL62">
        <f>AL13/AL15</f>
        <v>1.067526392247399</v>
      </c>
      <c r="AN62">
        <f>AN13/AN15</f>
        <v>1.0786515959839273</v>
      </c>
      <c r="AP62">
        <f>AP13/AP15</f>
        <v>1.0809464089967926</v>
      </c>
      <c r="AR62">
        <f>AR13/AR15</f>
        <v>1.0832585491911266</v>
      </c>
      <c r="AT62">
        <f>AT13/AT15</f>
        <v>1.0855854879976692</v>
      </c>
      <c r="AV62">
        <f>AV13/AV15</f>
        <v>1.0879247518325106</v>
      </c>
    </row>
    <row r="65" spans="1:48 16384:16384" x14ac:dyDescent="0.2">
      <c r="A65" t="s">
        <v>176</v>
      </c>
      <c r="B65" s="191">
        <f>SQRT((B9:C9*$B$22:$C$22+B10:C10*$B$23:$C$23+B11:C11*$B$24:$C$24+B4:C4*($B$25:$C$25-$B$19:$C$19))/($B$9:$C$9*$B$22:$C$22+$B$10:$C$10*$B$23:$C$23+$B$11:$C$11*$B$24:$C$24+$B$4:$C$4*($B$25:$C$25-$B$19:$C$19))*(B9:C9*B22:C22+B10:C10*B23:C23+B11:C11*B24:C24+B4:C4*(B25:C25-B19:C19))/($B$9:$C$9*B22:C22+$B$10:$C$10*B23:C23+$B$11:$C$11*B24:C24+$B$4:$C$4*(B25:C25-B19:C19)))</f>
        <v>1</v>
      </c>
      <c r="C65" s="191"/>
      <c r="D65" s="191">
        <f t="array" ref="D65">SQRT((D9:E9*$B$22:$C$22+D10:E10*$B$23:$C$23+D11:E11*$B$24:$C$24+D4:E4*($B$25:$C$25-$B$19:$C$19))/($B$9:$C$9*$B$22:$C$22+$B$10:$C$10*$B$23:$C$23+$B$11:$C$11*$B$24:$C$24+$B$4:$C$4*($B$25:$C$25-$B$19:$C$19))*(D9:E9*D22:E22+D10:E10*D23:E23+D11:E11*D24:E24+D4:E4*(D25:E25-D19:E19))/($B$9:$C$9*D22:E22+$B$10:$C$10*D23:E23+$B$11:$C$11*D24:E24+$B$4:$C$4*(D25:E25-D19:E19)))</f>
        <v>0.99883155963012049</v>
      </c>
      <c r="E65" s="191"/>
      <c r="F65" s="191">
        <f t="array" ref="F65">SQRT((F9:G9*$B$22:$C$22+F10:G10*$B$23:$C$23+F11:G11*$B$24:$C$24+F4:G4*($B$25:$C$25-$B$19:$C$19))/($B$9:$C$9*$B$22:$C$22+$B$10:$C$10*$B$23:$C$23+$B$11:$C$11*$B$24:$C$24+$B$4:$C$4*($B$25:$C$25-$B$19:$C$19))*(F9:G9*F22:G22+F10:G10*F23:G23+F11:G11*F24:G24+F4:G4*(F25:G25-F19:G19))/($B$9:$C$9*F22:G22+$B$10:$C$10*F23:G23+$B$11:$C$11*F24:G24+$B$4:$C$4*(F25:G25-F19:G19)))</f>
        <v>0.99764097553592834</v>
      </c>
      <c r="G65" s="191"/>
      <c r="H65" s="191">
        <f t="array" ref="H65">SQRT((H9:I9*$B$22:$C$22+H10:I10*$B$23:$C$23+H11:I11*$B$24:$C$24+H4:I4*($B$25:$C$25-$B$19:$C$19))/($B$9:$C$9*$B$22:$C$22+$B$10:$C$10*$B$23:$C$23+$B$11:$C$11*$B$24:$C$24+$B$4:$C$4*($B$25:$C$25-$B$19:$C$19))*(H9:I9*H22:I22+H10:I10*H23:I23+H11:I11*H24:I24+H4:I4*(H25:I25-H19:I19))/($B$9:$C$9*H22:I22+$B$10:$C$10*H23:I23+$B$11:$C$11*H24:I24+$B$4:$C$4*(H25:I25-H19:I19)))</f>
        <v>0.99642536735743603</v>
      </c>
      <c r="I65" s="191"/>
      <c r="J65" s="191">
        <f t="array" ref="J65">SQRT((J9:K9*$B$22:$C$22+J10:K10*$B$23:$C$23+J11:K11*$B$24:$C$24+J4:K4*($B$25:$C$25-$B$19:$C$19))/($B$9:$C$9*$B$22:$C$22+$B$10:$C$10*$B$23:$C$23+$B$11:$C$11*$B$24:$C$24+$B$4:$C$4*($B$25:$C$25-$B$19:$C$19))*(J9:K9*J22:K22+J10:K10*J23:K23+J11:K11*J24:K24+J4:K4*(J25:K25-J19:K19))/($B$9:$C$9*J22:K22+$B$10:$C$10*J23:K23+$B$11:$C$11*J24:K24+$B$4:$C$4*(J25:K25-J19:K19)))</f>
        <v>0.99518174948966209</v>
      </c>
      <c r="K65" s="191"/>
      <c r="L65" s="191">
        <f t="array" ref="L65">SQRT((L9:M9*$B$22:$C$22+L10:M10*$B$23:$C$23+L11:M11*$B$24:$C$24+L4:M4*($B$25:$C$25-$B$19:$C$19))/($B$9:$C$9*$B$22:$C$22+$B$10:$C$10*$B$23:$C$23+$B$11:$C$11*$B$24:$C$24+$B$4:$C$4*($B$25:$C$25-$B$19:$C$19))*(L9:M9*L22:M22+L10:M10*L23:M23+L11:M11*L24:M24+L4:M4*(L25:M25-L19:M19))/($B$9:$C$9*L22:M22+$B$10:$C$10*L23:M23+$B$11:$C$11*L24:M24+$B$4:$C$4*(L25:M25-L19:M19)))</f>
        <v>0.99390720598045101</v>
      </c>
      <c r="M65" s="191"/>
      <c r="N65" s="191">
        <f t="array" ref="N65">SQRT((N9:O9*$B$22:$C$22+N10:O10*$B$23:$C$23+N11:O11*$B$24:$C$24+N4:O4*($B$25:$C$25-$B$19:$C$19))/($B$9:$C$9*$B$22:$C$22+$B$10:$C$10*$B$23:$C$23+$B$11:$C$11*$B$24:$C$24+$B$4:$C$4*($B$25:$C$25-$B$19:$C$19))*(N9:O9*N22:O22+N10:O10*N23:O23+N11:O11*N24:O24+N4:O4*(N25:O25-N19:O19))/($B$9:$C$9*N22:O22+$B$10:$C$10*N23:O23+$B$11:$C$11*N24:O24+$B$4:$C$4*(N25:O25-N19:O19)))</f>
        <v>0.99259912741406686</v>
      </c>
      <c r="O65" s="191"/>
      <c r="P65" s="191">
        <f t="array" ref="P65">SQRT((P9:Q9*$B$22:$C$22+P10:Q10*$B$23:$C$23+P11:Q11*$B$24:$C$24+P4:Q4*($B$25:$C$25-$B$19:$C$19))/($B$9:$C$9*$B$22:$C$22+$B$10:$C$10*$B$23:$C$23+$B$11:$C$11*$B$24:$C$24+$B$4:$C$4*($B$25:$C$25-$B$19:$C$19))*(P9:Q9*P22:Q22+P10:Q10*P23:Q23+P11:Q11*P24:Q24+P4:Q4*(P25:Q25-P19:Q19))/($B$9:$C$9*P22:Q22+$B$10:$C$10*P23:Q23+$B$11:$C$11*P24:Q24+$B$4:$C$4*(P25:Q25-P19:Q19)))</f>
        <v>0.99125562225635266</v>
      </c>
      <c r="Q65" s="191"/>
      <c r="R65" s="191">
        <f t="array" ref="R65">SQRT((R9:S9*$B$22:$C$22+R10:S10*$B$23:$C$23+R11:S11*$B$24:$C$24+R4:S4*($B$25:$C$25-$B$19:$C$19))/($B$9:$C$9*$B$22:$C$22+$B$10:$C$10*$B$23:$C$23+$B$11:$C$11*$B$24:$C$24+$B$4:$C$4*($B$25:$C$25-$B$19:$C$19))*(R9:S9*R22:S22+R10:S10*R23:S23+R11:S11*R24:S24+R4:S4*(R25:S25-R19:S19))/($B$9:$C$9*R22:S22+$B$10:$C$10*R23:S23+$B$11:$C$11*R24:S24+$B$4:$C$4*(R25:S25-R19:S19)))</f>
        <v>0.98987613594881352</v>
      </c>
      <c r="S65" s="191"/>
      <c r="T65" s="191">
        <f t="array" ref="T65">SQRT((T9:U9*$B$22:$C$22+T10:U10*$B$23:$C$23+T11:U11*$B$24:$C$24+T4:U4*($B$25:$C$25-$B$19:$C$19))/($B$9:$C$9*$B$22:$C$22+$B$10:$C$10*$B$23:$C$23+$B$11:$C$11*$B$24:$C$24+$B$4:$C$4*($B$25:$C$25-$B$19:$C$19))*(T9:U9*T22:U22+T10:U10*T23:U23+T11:U11*T24:U24+T4:U4*(T25:U25-T19:U19))/($B$9:$C$9*T22:U22+$B$10:$C$10*T23:U23+$B$11:$C$11*T24:U24+$B$4:$C$4*(T25:U25-T19:U19)))</f>
        <v>0.98846231954711172</v>
      </c>
      <c r="U65" s="191"/>
      <c r="V65" s="191">
        <f t="array" ref="V65">SQRT((V9:W9*$B$22:$C$22+V10:W10*$B$23:$C$23+V11:W11*$B$24:$C$24+V4:W4*($B$25:$C$25-$B$19:$C$19))/($B$9:$C$9*$B$22:$C$22+$B$10:$C$10*$B$23:$C$23+$B$11:$C$11*$B$24:$C$24+$B$4:$C$4*($B$25:$C$25-$B$19:$C$19))*(V9:W9*V22:W22+V10:W10*V23:W23+V11:W11*V24:W24+V4:W4*(V25:W25-V19:W19))/($B$9:$C$9*V22:W22+$B$10:$C$10*V23:W23+$B$11:$C$11*V24:W24+$B$4:$C$4*(V25:W25-V19:W19)))</f>
        <v>0.98701930954838402</v>
      </c>
      <c r="W65" s="191"/>
      <c r="X65" s="191">
        <f t="array" ref="X65">SQRT((X9:Y9*$B$22:$C$22+X10:Y10*$B$23:$C$23+X11:Y11*$B$24:$C$24+X4:Y4*($B$25:$C$25-$B$19:$C$19))/($B$9:$C$9*$B$22:$C$22+$B$10:$C$10*$B$23:$C$23+$B$11:$C$11*$B$24:$C$24+$B$4:$C$4*($B$25:$C$25-$B$19:$C$19))*(X9:Y9*X22:Y22+X10:Y10*X23:Y23+X11:Y11*X24:Y24+X4:Y4*(X25:Y25-X19:Y19))/($B$9:$C$9*X22:Y22+$B$10:$C$10*X23:Y23+$B$11:$C$11*X24:Y24+$B$4:$C$4*(X25:Y25-X19:Y19)))</f>
        <v>0.98555730745719383</v>
      </c>
      <c r="Y65" s="191"/>
      <c r="Z65" s="191">
        <f t="array" ref="Z65">SQRT((Z9:AA9*$B$22:$C$22+Z10:AA10*$B$23:$C$23+Z11:AA11*$B$24:$C$24+Z4:AA4*($B$25:$C$25-$B$19:$C$19))/($B$9:$C$9*$B$22:$C$22+$B$10:$C$10*$B$23:$C$23+$B$11:$C$11*$B$24:$C$24+$B$4:$C$4*($B$25:$C$25-$B$19:$C$19))*(Z9:AA9*Z22:AA22+Z10:AA10*Z23:AA23+Z11:AA11*Z24:AA24+Z4:AA4*(Z25:AA25-Z19:AA19))/($B$9:$C$9*Z22:AA22+$B$10:$C$10*Z23:AA23+$B$11:$C$11*Z24:AA24+$B$4:$C$4*(Z25:AA25-Z19:AA19)))</f>
        <v>0.98409350801566742</v>
      </c>
      <c r="AA65" s="191"/>
      <c r="AB65" s="191">
        <f t="array" ref="AB65">SQRT((AB9:AC9*$B$22:$C$22+AB10:AC10*$B$23:$C$23+AB11:AC11*$B$24:$C$24+AB4:AC4*($B$25:$C$25-$B$19:$C$19))/($B$9:$C$9*$B$22:$C$22+$B$10:$C$10*$B$23:$C$23+$B$11:$C$11*$B$24:$C$24+$B$4:$C$4*($B$25:$C$25-$B$19:$C$19))*(AB9:AC9*AB22:AC22+AB10:AC10*AB23:AC23+AB11:AC11*AB24:AC24+AB4:AC4*(AB25:AC25-AB19:AC19))/($B$9:$C$9*AB22:AC22+$B$10:$C$10*AB23:AC23+$B$11:$C$11*AB24:AC24+$B$4:$C$4*(AB25:AC25-AB19:AC19)))</f>
        <v>0.9826539292530585</v>
      </c>
      <c r="AC65" s="191"/>
      <c r="AD65" s="191">
        <f t="array" ref="AD65">SQRT((AD9:AE9*$B$22:$C$22+AD10:AE10*$B$23:$C$23+AD11:AE11*$B$24:$C$24+AD4:AE4*($B$25:$C$25-$B$19:$C$19))/($B$9:$C$9*$B$22:$C$22+$B$10:$C$10*$B$23:$C$23+$B$11:$C$11*$B$24:$C$24+$B$4:$C$4*($B$25:$C$25-$B$19:$C$19))*(AD9:AE9*AD22:AE22+AD10:AE10*AD23:AE23+AD11:AE11*AD24:AE24+AD4:AE4*(AD25:AE25-AD19:AE19))/($B$9:$C$9*AD22:AE22+$B$10:$C$10*AD23:AE23+$B$11:$C$11*AD24:AE24+$B$4:$C$4*(AD25:AE25-AD19:AE19)))</f>
        <v>0.98127436049859385</v>
      </c>
      <c r="AE65" s="191"/>
      <c r="AF65" s="191">
        <f t="array" ref="AF65">SQRT((AF9:AG9*$B$22:$C$22+AF10:AG10*$B$23:$C$23+AF11:AG11*$B$24:$C$24+AF4:AG4*($B$25:$C$25-$B$19:$C$19))/($B$9:$C$9*$B$22:$C$22+$B$10:$C$10*$B$23:$C$23+$B$11:$C$11*$B$24:$C$24+$B$4:$C$4*($B$25:$C$25-$B$19:$C$19))*(AF9:AG9*AF22:AG22+AF10:AG10*AF23:AG23+AF11:AG11*AF24:AG24+AF4:AG4*(AF25:AG25-AF19:AG19))/($B$9:$C$9*AF22:AG22+$B$10:$C$10*AF23:AG23+$B$11:$C$11*AF24:AG24+$B$4:$C$4*(AF25:AG25-AF19:AG19)))</f>
        <v>0.97999904676040339</v>
      </c>
      <c r="AG65" s="191"/>
      <c r="AH65" s="191">
        <f t="array" ref="AH65">SQRT((AH9:AI9*$B$22:$C$22+AH10:AI10*$B$23:$C$23+AH11:AI11*$B$24:$C$24+AH4:AI4*($B$25:$C$25-$B$19:$C$19))/($B$9:$C$9*$B$22:$C$22+$B$10:$C$10*$B$23:$C$23+$B$11:$C$11*$B$24:$C$24+$B$4:$C$4*($B$25:$C$25-$B$19:$C$19))*(AH9:AI9*AH22:AI22+AH10:AI10*AH23:AI23+AH11:AI11*AH24:AI24+AH4:AI4*(AH25:AI25-AH19:AI19))/($B$9:$C$9*AH22:AI22+$B$10:$C$10*AH23:AI23+$B$11:$C$11*AH24:AI24+$B$4:$C$4*(AH25:AI25-AH19:AI19)))</f>
        <v>0.97887559370138344</v>
      </c>
      <c r="AI65" s="191"/>
      <c r="AJ65" s="191">
        <f t="array" ref="AJ65">SQRT((AJ9:AK9*$B$22:$C$22+AJ10:AK10*$B$23:$C$23+AJ11:AK11*$B$24:$C$24+AJ4:AK4*($B$25:$C$25-$B$19:$C$19))/($B$9:$C$9*$B$22:$C$22+$B$10:$C$10*$B$23:$C$23+$B$11:$C$11*$B$24:$C$24+$B$4:$C$4*($B$25:$C$25-$B$19:$C$19))*(AJ9:AK9*AJ22:AK22+AJ10:AK10*AJ23:AK23+AJ11:AK11*AJ24:AK24+AJ4:AK4*(AJ25:AK25-AJ19:AK19))/($B$9:$C$9*AJ22:AK22+$B$10:$C$10*AJ23:AK23+$B$11:$C$11*AJ24:AK24+$B$4:$C$4*(AJ25:AK25-AJ19:AK19)))</f>
        <v>0.97794581144952564</v>
      </c>
      <c r="AK65" s="191"/>
      <c r="AL65" s="191">
        <f t="array" ref="AL65">SQRT((AL9:AM9*$B$22:$C$22+AL10:AM10*$B$23:$C$23+AL11:AM11*$B$24:$C$24+AL4:AM4*($B$25:$C$25-$B$19:$C$19))/($B$9:$C$9*$B$22:$C$22+$B$10:$C$10*$B$23:$C$23+$B$11:$C$11*$B$24:$C$24+$B$4:$C$4*($B$25:$C$25-$B$19:$C$19))*(AL9:AM9*AL22:AM22+AL10:AM10*AL23:AM23+AL11:AM11*AL24:AM24+AL4:AM4*(AL25:AM25-AL19:AM19))/($B$9:$C$9*AL22:AM22+$B$10:$C$10*AL23:AM23+$B$11:$C$11*AL24:AM24+$B$4:$C$4*(AL25:AM25-AL19:AM19)))</f>
        <v>0.97723513823928898</v>
      </c>
      <c r="AM65" s="191"/>
      <c r="AN65" s="191">
        <f t="array" ref="AN65">SQRT((AN9:AO9*$B$22:$C$22+AN10:AO10*$B$23:$C$23+AN11:AO11*$B$24:$C$24+AN4:AO4*($B$25:$C$25-$B$19:$C$19))/($B$9:$C$9*$B$22:$C$22+$B$10:$C$10*$B$23:$C$23+$B$11:$C$11*$B$24:$C$24+$B$4:$C$4*($B$25:$C$25-$B$19:$C$19))*(AN9:AO9*AN22:AO22+AN10:AO10*AN23:AO23+AN11:AO11*AN24:AO24+AN4:AO4*(AN25:AO25-AN19:AO19))/($B$9:$C$9*AN22:AO22+$B$10:$C$10*AN23:AO23+$B$11:$C$11*AN24:AO24+$B$4:$C$4*(AN25:AO25-AN19:AO19)))</f>
        <v>0.97674583302616125</v>
      </c>
      <c r="AO65" s="191"/>
      <c r="AP65" s="191">
        <f t="array" ref="AP65">SQRT((AP9:AQ9*$B$22:$C$22+AP10:AQ10*$B$23:$C$23+AP11:AQ11*$B$24:$C$24+AP4:AQ4*($B$25:$C$25-$B$19:$C$19))/($B$9:$C$9*$B$22:$C$22+$B$10:$C$10*$B$23:$C$23+$B$11:$C$11*$B$24:$C$24+$B$4:$C$4*($B$25:$C$25-$B$19:$C$19))*(AP9:AQ9*AP22:AQ22+AP10:AQ10*AP23:AQ23+AP11:AQ11*AP24:AQ24+AP4:AQ4*(AP25:AQ25-AP19:AQ19))/($B$9:$C$9*AP22:AQ22+$B$10:$C$10*AP23:AQ23+$B$11:$C$11*AP24:AQ24+$B$4:$C$4*(AP25:AQ25-AP19:AQ19)))</f>
        <v>0.97667309942515113</v>
      </c>
      <c r="AQ65" s="191"/>
      <c r="AR65" s="191">
        <f t="array" ref="AR65">SQRT((AR9:AS9*$B$22:$C$22+AR10:AS10*$B$23:$C$23+AR11:AS11*$B$24:$C$24+AR4:AS4*($B$25:$C$25-$B$19:$C$19))/($B$9:$C$9*$B$22:$C$22+$B$10:$C$10*$B$23:$C$23+$B$11:$C$11*$B$24:$C$24+$B$4:$C$4*($B$25:$C$25-$B$19:$C$19))*(AR9:AS9*AR22:AS22+AR10:AS10*AR23:AS23+AR11:AS11*AR24:AS24+AR4:AS4*(AR25:AS25-AR19:AS19))/($B$9:$C$9*AR22:AS22+$B$10:$C$10*AR23:AS23+$B$11:$C$11*AR24:AS24+$B$4:$C$4*(AR25:AS25-AR19:AS19)))</f>
        <v>0.97660822268596748</v>
      </c>
      <c r="AS65" s="191"/>
      <c r="AT65" s="191">
        <f t="array" ref="AT65">SQRT((AT9:AU9*$B$22:$C$22+AT10:AU10*$B$23:$C$23+AT11:AU11*$B$24:$C$24+AT4:AU4*($B$25:$C$25-$B$19:$C$19))/($B$9:$C$9*$B$22:$C$22+$B$10:$C$10*$B$23:$C$23+$B$11:$C$11*$B$24:$C$24+$B$4:$C$4*($B$25:$C$25-$B$19:$C$19))*(AT9:AU9*AT22:AU22+AT10:AU10*AT23:AU23+AT11:AU11*AT24:AU24+AT4:AU4*(AT25:AU25-AT19:AU19))/($B$9:$C$9*AT22:AU22+$B$10:$C$10*AT23:AU23+$B$11:$C$11*AT24:AU24+$B$4:$C$4*(AT25:AU25-AT19:AU19)))</f>
        <v>0.97655093608154808</v>
      </c>
      <c r="AU65" s="191"/>
      <c r="AV65" s="191">
        <f t="array" ref="AV65">SQRT((AV9:AW9*$B$22:$C$22+AV10:AW10*$B$23:$C$23+AV11:AW11*$B$24:$C$24+AV4:AW4*($B$25:$C$25-$B$19:$C$19))/($B$9:$C$9*$B$22:$C$22+$B$10:$C$10*$B$23:$C$23+$B$11:$C$11*$B$24:$C$24+$B$4:$C$4*($B$25:$C$25-$B$19:$C$19))*(AV9:AW9*AV22:AW22+AV10:AW10*AV23:AW23+AV11:AW11*AV24:AW24+AV4:AW4*(AV25:AW25-AV19:AW19))/($B$9:$C$9*AV22:AW22+$B$10:$C$10*AV23:AW23+$B$11:$C$11*AV24:AW24+$B$4:$C$4*(AV25:AW25-AV19:AW19)))</f>
        <v>0.97650095498608602</v>
      </c>
    </row>
    <row r="66" spans="1:48 16384:16384" x14ac:dyDescent="0.2">
      <c r="A66" t="s">
        <v>182</v>
      </c>
      <c r="B66" s="191">
        <f t="array" ref="B66">SQRT((B9:C9*$B$22:$C$22)/($B$9:$C$9*$B$22:$C$22)*(B9:C9*B22:C22)/($B$9:$C$9*B22:C22))</f>
        <v>1</v>
      </c>
      <c r="C66" s="191"/>
      <c r="D66" s="191">
        <f t="array" ref="D66">SQRT((D9:E9*$B$22:$C$22)/($B$9:$C$9*$B$22:$C$22)*(D9:E9*D22:E22)/($B$9:$C$9*D22:E22))</f>
        <v>0.99871528470076898</v>
      </c>
      <c r="E66" s="191"/>
      <c r="F66" s="191">
        <f t="array" ref="F66">SQRT((F9:G9*$B$22:$C$22)/($B$9:$C$9*$B$22:$C$22)*(F9:G9*F22:G22)/($B$9:$C$9*F22:G22))</f>
        <v>0.99740504302513844</v>
      </c>
      <c r="G66" s="191"/>
      <c r="H66" s="191">
        <f t="array" ref="H66">SQRT((H9:I9*$B$22:$C$22)/($B$9:$C$9*$B$22:$C$22)*(H9:I9*H22:I22)/($B$9:$C$9*H22:I22))</f>
        <v>0.99606602649702958</v>
      </c>
      <c r="I66" s="191"/>
      <c r="J66" s="191">
        <f t="array" ref="J66">SQRT((J9:K9*$B$22:$C$22)/($B$9:$C$9*$B$22:$C$22)*(J9:K9*J22:K22)/($B$9:$C$9*J22:K22))</f>
        <v>0.9946948554523809</v>
      </c>
      <c r="K66" s="191"/>
      <c r="L66" s="191">
        <f t="array" ref="L66">SQRT((L9:M9*$B$22:$C$22)/($B$9:$C$9*$B$22:$C$22)*(L9:M9*L22:M22)/($B$9:$C$9*L22:M22))</f>
        <v>0.99328821059757311</v>
      </c>
      <c r="M66" s="191"/>
      <c r="N66" s="191">
        <f t="array" ref="N66">SQRT((N9:O9*$B$22:$C$22)/($B$9:$C$9*$B$22:$C$22)*(N9:O9*N22:O22)/($B$9:$C$9*N22:O22))</f>
        <v>0.99184309414833904</v>
      </c>
      <c r="O66" s="191"/>
      <c r="P66" s="191">
        <f t="array" ref="P66">SQRT((P9:Q9*$B$22:$C$22)/($B$9:$C$9*$B$22:$C$22)*(P9:Q9*P22:Q22)/($B$9:$C$9*P22:Q22))</f>
        <v>0.99035728568126358</v>
      </c>
      <c r="Q66" s="191"/>
      <c r="R66" s="191">
        <f t="array" ref="R66">SQRT((R9:S9*$B$22:$C$22)/($B$9:$C$9*$B$22:$C$22)*(R9:S9*R22:S22)/($B$9:$C$9*R22:S22))</f>
        <v>0.98883003133134784</v>
      </c>
      <c r="S66" s="191"/>
      <c r="T66" s="191">
        <f t="array" ref="T66">SQRT((T9:U9*$B$22:$C$22)/($B$9:$C$9*$B$22:$C$22)*(T9:U9*T22:U22)/($B$9:$C$9*T22:U22))</f>
        <v>0.98726301489535118</v>
      </c>
      <c r="U66" s="191"/>
      <c r="V66" s="191">
        <f t="array" ref="V66">SQRT((V9:W9*$B$22:$C$22)/($B$9:$C$9*$B$22:$C$22)*(V9:W9*V22:W22)/($B$9:$C$9*V22:W22))</f>
        <v>0.98566179352363403</v>
      </c>
      <c r="W66" s="191"/>
      <c r="X66" s="191">
        <f t="array" ref="X66">SQRT((X9:Y9*$B$22:$C$22)/($B$9:$C$9*$B$22:$C$22)*(X9:Y9*X22:Y22)/($B$9:$C$9*X22:Y22))</f>
        <v>0.98403757818331572</v>
      </c>
      <c r="Y66" s="191"/>
      <c r="Z66" s="191">
        <f t="array" ref="Z66">SQRT((Z9:AA9*$B$22:$C$22)/($B$9:$C$9*$B$22:$C$22)*(Z9:AA9*Z22:AA22)/($B$9:$C$9*Z22:AA22))</f>
        <v>0.98240941694291906</v>
      </c>
      <c r="AA66" s="191"/>
      <c r="AB66" s="191">
        <f t="array" ref="AB66">SQRT((AB9:AC9*$B$22:$C$22)/($B$9:$C$9*$B$22:$C$22)*(AB9:AC9*AB22:AC22)/($B$9:$C$9*AB22:AC22))</f>
        <v>0.98080628498187294</v>
      </c>
      <c r="AC66" s="191"/>
      <c r="AD66" s="191">
        <f t="array" ref="AD66">SQRT((AD9:AE9*$B$22:$C$22)/($B$9:$C$9*$B$22:$C$22)*(AD9:AE9*AD22:AE22)/($B$9:$C$9*AD22:AE22))</f>
        <v>0.97926820160010486</v>
      </c>
      <c r="AE66" s="191"/>
      <c r="AF66" s="191">
        <f t="array" ref="AF66">SQRT((AF9:AG9*$B$22:$C$22)/($B$9:$C$9*$B$22:$C$22)*(AF9:AG9*AF22:AG22)/($B$9:$C$9*AF22:AG22))</f>
        <v>0.97784481391600186</v>
      </c>
      <c r="AG66" s="191"/>
      <c r="AH66" s="191">
        <f t="array" ref="AH66">SQRT((AH9:AI9*$B$22:$C$22)/($B$9:$C$9*$B$22:$C$22)*(AH9:AI9*AH22:AI22)/($B$9:$C$9*AH22:AI22))</f>
        <v>0.97658972111390996</v>
      </c>
      <c r="AI66" s="191"/>
      <c r="AJ66" s="191">
        <f t="array" ref="AJ66">SQRT((AJ9:AK9*$B$22:$C$22)/($B$9:$C$9*$B$22:$C$22)*(AJ9:AK9*AJ22:AK22)/($B$9:$C$9*AJ22:AK22))</f>
        <v>0.97555019032202428</v>
      </c>
      <c r="AK66" s="191"/>
      <c r="AL66" s="191">
        <f t="array" ref="AL66">SQRT((AL9:AM9*$B$22:$C$22)/($B$9:$C$9*$B$22:$C$22)*(AL9:AM9*AL22:AM22)/($B$9:$C$9*AL22:AM22))</f>
        <v>0.97475521338523918</v>
      </c>
      <c r="AM66" s="191"/>
      <c r="AN66" s="191">
        <f t="array" ref="AN66">SQRT((AN9:AO9*$B$22:$C$22)/($B$9:$C$9*$B$22:$C$22)*(AN9:AO9*AN22:AO22)/($B$9:$C$9*AN22:AO22))</f>
        <v>0.97420775762508982</v>
      </c>
      <c r="AO66" s="191"/>
      <c r="AP66" s="191">
        <f t="array" ref="AP66">SQRT((AP9:AQ9*$B$22:$C$22)/($B$9:$C$9*$B$22:$C$22)*(AP9:AQ9*AP22:AQ22)/($B$9:$C$9*AP22:AQ22))</f>
        <v>0.9741263883049972</v>
      </c>
      <c r="AQ66" s="191"/>
      <c r="AR66" s="191">
        <f t="array" ref="AR66">SQRT((AR9:AS9*$B$22:$C$22)/($B$9:$C$9*$B$22:$C$22)*(AR9:AS9*AR22:AS22)/($B$9:$C$9*AR22:AS22))</f>
        <v>0.97405381584430573</v>
      </c>
      <c r="AS66" s="191"/>
      <c r="AT66" s="191">
        <f t="array" ref="AT66">SQRT((AT9:AU9*$B$22:$C$22)/($B$9:$C$9*$B$22:$C$22)*(AT9:AU9*AT22:AU22)/($B$9:$C$9*AT22:AU22))</f>
        <v>0.97398974275549022</v>
      </c>
      <c r="AU66" s="191"/>
      <c r="AV66" s="191">
        <f t="array" ref="AV66">SQRT((AV9:AW9*$B$22:$C$22)/($B$9:$C$9*$B$22:$C$22)*(AV9:AW9*AV22:AW22)/($B$9:$C$9*AV22:AW22))</f>
        <v>0.97393385128981014</v>
      </c>
      <c r="XFD66" s="191"/>
    </row>
    <row r="67" spans="1:48 16384:16384" x14ac:dyDescent="0.2">
      <c r="A67" t="s">
        <v>183</v>
      </c>
      <c r="B67" s="191">
        <f t="array" ref="B67">SQRT((B4:C4*$B$19:$C$19)/($B$4:$C$4*$B$19:$C$19)*(B4:C4*B19:C19)/($B$4:$C$4*B19:C19))</f>
        <v>1</v>
      </c>
      <c r="C67" s="191"/>
      <c r="D67" s="191">
        <f t="array" ref="D67">SQRT((D4:E4*$B$19:$C$19)/($B$4:$C$4*$B$19:$C$19)*(D4:E4*D19:E19)/($B$4:$C$4*D19:E19))</f>
        <v>1</v>
      </c>
      <c r="E67" s="191"/>
      <c r="F67" s="191">
        <f t="array" ref="F67">SQRT((F4:G4*$B$19:$C$19)/($B$4:$C$4*$B$19:$C$19)*(F4:G4*F19:G19)/($B$4:$C$4*F19:G19))</f>
        <v>1</v>
      </c>
      <c r="G67" s="191"/>
      <c r="H67" s="191">
        <f t="array" ref="H67">SQRT((H4:I4*$B$19:$C$19)/($B$4:$C$4*$B$19:$C$19)*(H4:I4*H19:I19)/($B$4:$C$4*H19:I19))</f>
        <v>1</v>
      </c>
      <c r="I67" s="191"/>
      <c r="J67" s="191">
        <f t="array" ref="J67">SQRT((J4:K4*$B$19:$C$19)/($B$4:$C$4*$B$19:$C$19)*(J4:K4*J19:K19)/($B$4:$C$4*J19:K19))</f>
        <v>1</v>
      </c>
      <c r="K67" s="191"/>
      <c r="L67" s="191">
        <f t="array" ref="L67">SQRT((L4:M4*$B$19:$C$19)/($B$4:$C$4*$B$19:$C$19)*(L4:M4*L19:M19)/($B$4:$C$4*L19:M19))</f>
        <v>1</v>
      </c>
      <c r="M67" s="191"/>
      <c r="N67" s="191">
        <f t="array" ref="N67">SQRT((N4:O4*$B$19:$C$19)/($B$4:$C$4*$B$19:$C$19)*(N4:O4*N19:O19)/($B$4:$C$4*N19:O19))</f>
        <v>1</v>
      </c>
      <c r="O67" s="191"/>
      <c r="P67" s="191">
        <f t="array" ref="P67">SQRT((P4:Q4*$B$19:$C$19)/($B$4:$C$4*$B$19:$C$19)*(P4:Q4*P19:Q19)/($B$4:$C$4*P19:Q19))</f>
        <v>1</v>
      </c>
      <c r="Q67" s="191"/>
      <c r="R67" s="191">
        <f t="array" ref="R67">SQRT((R4:S4*$B$19:$C$19)/($B$4:$C$4*$B$19:$C$19)*(R4:S4*R19:S19)/($B$4:$C$4*R19:S19))</f>
        <v>1</v>
      </c>
      <c r="S67" s="191"/>
      <c r="T67" s="191">
        <f t="array" ref="T67">SQRT((T4:U4*$B$19:$C$19)/($B$4:$C$4*$B$19:$C$19)*(T4:U4*T19:U19)/($B$4:$C$4*T19:U19))</f>
        <v>1</v>
      </c>
      <c r="U67" s="191"/>
      <c r="V67" s="191">
        <f t="array" ref="V67">SQRT((V4:W4*$B$19:$C$19)/($B$4:$C$4*$B$19:$C$19)*(V4:W4*V19:W19)/($B$4:$C$4*V19:W19))</f>
        <v>1</v>
      </c>
      <c r="W67" s="191"/>
      <c r="X67" s="191">
        <f t="array" ref="X67">SQRT((X4:Y4*$B$19:$C$19)/($B$4:$C$4*$B$19:$C$19)*(X4:Y4*X19:Y19)/($B$4:$C$4*X19:Y19))</f>
        <v>1</v>
      </c>
      <c r="Y67" s="191"/>
      <c r="Z67" s="191">
        <f t="array" ref="Z67">SQRT((Z4:AA4*$B$19:$C$19)/($B$4:$C$4*$B$19:$C$19)*(Z4:AA4*Z19:AA19)/($B$4:$C$4*Z19:AA19))</f>
        <v>1</v>
      </c>
      <c r="AA67" s="191"/>
      <c r="AB67" s="191">
        <f t="array" ref="AB67">SQRT((AB4:AC4*$B$19:$C$19)/($B$4:$C$4*$B$19:$C$19)*(AB4:AC4*AB19:AC19)/($B$4:$C$4*AB19:AC19))</f>
        <v>1</v>
      </c>
      <c r="AC67" s="191"/>
      <c r="AD67" s="191">
        <f t="array" ref="AD67">SQRT((AD4:AE4*$B$19:$C$19)/($B$4:$C$4*$B$19:$C$19)*(AD4:AE4*AD19:AE19)/($B$4:$C$4*AD19:AE19))</f>
        <v>1</v>
      </c>
      <c r="AE67" s="191"/>
      <c r="AF67" s="191">
        <f t="array" ref="AF67">SQRT((AF4:AG4*$B$19:$C$19)/($B$4:$C$4*$B$19:$C$19)*(AF4:AG4*AF19:AG19)/($B$4:$C$4*AF19:AG19))</f>
        <v>1</v>
      </c>
      <c r="AG67" s="191"/>
      <c r="AH67" s="191">
        <f t="array" ref="AH67">SQRT((AH4:AI4*$B$19:$C$19)/($B$4:$C$4*$B$19:$C$19)*(AH4:AI4*AH19:AI19)/($B$4:$C$4*AH19:AI19))</f>
        <v>1</v>
      </c>
      <c r="AI67" s="191"/>
      <c r="AJ67" s="191">
        <f t="array" ref="AJ67">SQRT((AJ4:AK4*$B$19:$C$19)/($B$4:$C$4*$B$19:$C$19)*(AJ4:AK4*AJ19:AK19)/($B$4:$C$4*AJ19:AK19))</f>
        <v>1</v>
      </c>
      <c r="AK67" s="191"/>
      <c r="AL67" s="191">
        <f t="array" ref="AL67">SQRT((AL4:AM4*$B$19:$C$19)/($B$4:$C$4*$B$19:$C$19)*(AL4:AM4*AL19:AM19)/($B$4:$C$4*AL19:AM19))</f>
        <v>1</v>
      </c>
      <c r="AM67" s="191"/>
      <c r="AN67" s="191">
        <f t="array" ref="AN67">SQRT((AN4:AO4*$B$19:$C$19)/($B$4:$C$4*$B$19:$C$19)*(AN4:AO4*AN19:AO19)/($B$4:$C$4*AN19:AO19))</f>
        <v>1</v>
      </c>
      <c r="AO67" s="191"/>
      <c r="AP67" s="191">
        <f t="array" ref="AP67">SQRT((AP4:AQ4*$B$19:$C$19)/($B$4:$C$4*$B$19:$C$19)*(AP4:AQ4*AP19:AQ19)/($B$4:$C$4*AP19:AQ19))</f>
        <v>1</v>
      </c>
      <c r="AQ67" s="191"/>
      <c r="AR67" s="191">
        <f t="array" ref="AR67">SQRT((AR4:AS4*$B$19:$C$19)/($B$4:$C$4*$B$19:$C$19)*(AR4:AS4*AR19:AS19)/($B$4:$C$4*AR19:AS19))</f>
        <v>1</v>
      </c>
      <c r="AS67" s="191"/>
      <c r="AT67" s="191">
        <f t="array" ref="AT67">SQRT((AT4:AU4*$B$19:$C$19)/($B$4:$C$4*$B$19:$C$19)*(AT4:AU4*AT19:AU19)/($B$4:$C$4*AT19:AU19))</f>
        <v>1</v>
      </c>
      <c r="AU67" s="191"/>
      <c r="AV67" s="191">
        <f t="array" ref="AV67">SQRT((AV4:AW4*$B$19:$C$19)/($B$4:$C$4*$B$19:$C$19)*(AV4:AW4*AV19:AW19)/($B$4:$C$4*AV19:AW19))</f>
        <v>1</v>
      </c>
      <c r="XFD67" s="191"/>
    </row>
    <row r="68" spans="1:48 16384:16384" x14ac:dyDescent="0.2">
      <c r="A68" t="s">
        <v>181</v>
      </c>
      <c r="B68" s="191">
        <f>B66/B67</f>
        <v>1</v>
      </c>
      <c r="C68" s="191"/>
      <c r="D68" s="191">
        <f>D66/D67</f>
        <v>0.99871528470076898</v>
      </c>
      <c r="E68" s="191"/>
      <c r="F68" s="191">
        <f>F66/F67</f>
        <v>0.99740504302513844</v>
      </c>
      <c r="G68" s="191"/>
      <c r="H68" s="191">
        <f>H66/H67</f>
        <v>0.99606602649702958</v>
      </c>
      <c r="I68" s="191"/>
      <c r="J68" s="191">
        <f>J66/J67</f>
        <v>0.9946948554523809</v>
      </c>
      <c r="K68" s="191"/>
      <c r="L68" s="191">
        <f>L66/L67</f>
        <v>0.99328821059757311</v>
      </c>
      <c r="M68" s="191"/>
      <c r="N68" s="191">
        <f>N66/N67</f>
        <v>0.99184309414833904</v>
      </c>
      <c r="O68" s="191"/>
      <c r="P68" s="191">
        <f>P66/P67</f>
        <v>0.99035728568126358</v>
      </c>
      <c r="Q68" s="191"/>
      <c r="R68" s="191">
        <f>R66/R67</f>
        <v>0.98883003133134784</v>
      </c>
      <c r="S68" s="191"/>
      <c r="T68" s="191">
        <f>T66/T67</f>
        <v>0.98726301489535118</v>
      </c>
      <c r="U68" s="191"/>
      <c r="V68" s="191">
        <f>V66/V67</f>
        <v>0.98566179352363403</v>
      </c>
      <c r="W68" s="191"/>
      <c r="X68" s="191">
        <f>X66/X67</f>
        <v>0.98403757818331572</v>
      </c>
      <c r="Y68" s="191"/>
      <c r="Z68" s="191">
        <f>Z66/Z67</f>
        <v>0.98240941694291906</v>
      </c>
      <c r="AA68" s="191"/>
      <c r="AB68" s="191">
        <f>AB66/AB67</f>
        <v>0.98080628498187294</v>
      </c>
      <c r="AC68" s="191"/>
      <c r="AD68" s="191">
        <f>AD66/AD67</f>
        <v>0.97926820160010486</v>
      </c>
      <c r="AE68" s="191"/>
      <c r="AF68" s="191">
        <f>AF66/AF67</f>
        <v>0.97784481391600186</v>
      </c>
      <c r="AG68" s="191"/>
      <c r="AH68" s="191">
        <f>AH66/AH67</f>
        <v>0.97658972111390996</v>
      </c>
      <c r="AI68" s="191"/>
      <c r="AJ68" s="191">
        <f>AJ66/AJ67</f>
        <v>0.97555019032202428</v>
      </c>
      <c r="AK68" s="191"/>
      <c r="AL68" s="191">
        <f>AL66/AL67</f>
        <v>0.97475521338523918</v>
      </c>
      <c r="AM68" s="191"/>
      <c r="AN68" s="191">
        <f>AN66/AN67</f>
        <v>0.97420775762508982</v>
      </c>
      <c r="AO68" s="191"/>
      <c r="AP68" s="191">
        <f>AP66/AP67</f>
        <v>0.9741263883049972</v>
      </c>
      <c r="AQ68" s="191"/>
      <c r="AR68" s="191">
        <f>AR66/AR67</f>
        <v>0.97405381584430573</v>
      </c>
      <c r="AS68" s="191"/>
      <c r="AT68" s="191">
        <f>AT66/AT67</f>
        <v>0.97398974275549022</v>
      </c>
      <c r="AU68" s="191"/>
      <c r="AV68" s="191">
        <f>AV66/AV67</f>
        <v>0.97393385128981014</v>
      </c>
      <c r="XFD68" s="191"/>
    </row>
    <row r="69" spans="1:48 16384:16384" x14ac:dyDescent="0.2">
      <c r="A69" t="s">
        <v>177</v>
      </c>
      <c r="B69" s="191">
        <f>B32/B65/($B$32)</f>
        <v>1</v>
      </c>
      <c r="C69" s="191"/>
      <c r="D69" s="191">
        <f>D32/D65/($B$32)</f>
        <v>0.99446895146260172</v>
      </c>
      <c r="E69" s="191"/>
      <c r="F69" s="191">
        <f>F32/F65/($B$32)</f>
        <v>0.98801810468372298</v>
      </c>
      <c r="G69" s="191"/>
      <c r="H69" s="191">
        <f>H32/H65/($B$32)</f>
        <v>0.98048377404495257</v>
      </c>
      <c r="I69" s="191"/>
      <c r="J69" s="191">
        <f>J32/J65/($B$32)</f>
        <v>0.97166386847099362</v>
      </c>
      <c r="K69" s="191"/>
      <c r="L69" s="191">
        <f>L32/L65/($B$32)</f>
        <v>0.96130626110489281</v>
      </c>
      <c r="M69" s="191"/>
      <c r="N69" s="191">
        <f>N32/N65/($B$32)</f>
        <v>0.94909450773781534</v>
      </c>
      <c r="O69" s="191"/>
      <c r="P69" s="191">
        <f>P32/P65/($B$32)</f>
        <v>0.93462789639971522</v>
      </c>
      <c r="Q69" s="191"/>
      <c r="R69" s="191">
        <f>R32/R65/($B$32)</f>
        <v>0.91739483678978917</v>
      </c>
      <c r="S69" s="191"/>
      <c r="T69" s="191">
        <f>T32/T65/($B$32)</f>
        <v>0.89673870206630035</v>
      </c>
      <c r="U69" s="191"/>
      <c r="V69" s="191">
        <f>V32/V65/($B$32)</f>
        <v>0.87181110626497749</v>
      </c>
      <c r="W69" s="191"/>
      <c r="X69" s="191">
        <f>X32/X65/($B$32)</f>
        <v>0.84151686549580718</v>
      </c>
      <c r="Y69" s="191"/>
      <c r="Z69" s="191">
        <f>Z32/Z65/($B$32)</f>
        <v>0.80444809168290921</v>
      </c>
      <c r="AA69" s="191"/>
      <c r="AB69" s="191">
        <f>AB32/AB65/($B$32)</f>
        <v>0.75882082240842508</v>
      </c>
      <c r="AC69" s="191"/>
      <c r="AD69" s="191">
        <f>AD32/AD65/($B$32)</f>
        <v>0.7024384730822586</v>
      </c>
      <c r="AE69" s="191"/>
      <c r="AF69" s="191">
        <f>AF32/AF65/($B$32)</f>
        <v>0.63272783016346279</v>
      </c>
      <c r="AG69" s="191"/>
      <c r="AH69" s="191">
        <f>AH32/AH65/($B$32)</f>
        <v>0.54690613755888251</v>
      </c>
      <c r="AI69" s="191"/>
      <c r="AJ69" s="191">
        <f>AJ32/AJ65/($B$32)</f>
        <v>0.44231470861974975</v>
      </c>
      <c r="AK69" s="191"/>
      <c r="AL69" s="191">
        <f>AL32/AL65/($B$32)</f>
        <v>0.31686539708554445</v>
      </c>
      <c r="AM69" s="191"/>
      <c r="AN69" s="191">
        <f>AN32/AN65/($B$32)</f>
        <v>0.16943241002610779</v>
      </c>
      <c r="AO69" s="191"/>
      <c r="AP69" s="191">
        <f>AP32/AP65/($B$32)</f>
        <v>0.13728767822306287</v>
      </c>
      <c r="AQ69" s="191"/>
      <c r="AR69" s="191">
        <f>AR32/AR65/($B$32)</f>
        <v>0.10426484009934342</v>
      </c>
      <c r="AS69" s="191"/>
      <c r="AT69" s="191">
        <f>AT32/AT65/($B$32)</f>
        <v>7.0370513000829304E-2</v>
      </c>
      <c r="AU69" s="191"/>
      <c r="AV69" s="191">
        <f>AV32/AV65/($B$32)</f>
        <v>3.5612502188033315E-2</v>
      </c>
    </row>
    <row r="70" spans="1:48 16384:16384" x14ac:dyDescent="0.2">
      <c r="A70" t="s">
        <v>178</v>
      </c>
      <c r="B70" s="138">
        <f>B18/$B$18</f>
        <v>1</v>
      </c>
      <c r="C70" s="138"/>
      <c r="D70" s="138">
        <f>D18/$B$18</f>
        <v>0.99354373542289787</v>
      </c>
      <c r="E70" s="138"/>
      <c r="F70" s="138">
        <f>F18/$B$18</f>
        <v>0.98617864992028914</v>
      </c>
      <c r="G70" s="138"/>
      <c r="H70" s="138">
        <f>H18/$B$18</f>
        <v>0.97774465424682555</v>
      </c>
      <c r="I70" s="138"/>
      <c r="J70" s="138">
        <f>J18/$B$18</f>
        <v>0.9680440771782387</v>
      </c>
      <c r="K70" s="138"/>
      <c r="L70" s="138">
        <f>L18/$B$18</f>
        <v>0.95683023752266483</v>
      </c>
      <c r="M70" s="138"/>
      <c r="N70" s="138">
        <f>N18/$B$18</f>
        <v>0.94379333932784859</v>
      </c>
      <c r="O70" s="138"/>
      <c r="P70" s="138">
        <f>P18/$B$18</f>
        <v>0.928540780907396</v>
      </c>
      <c r="Q70" s="138"/>
      <c r="R70" s="138">
        <f>R18/$B$18</f>
        <v>0.91057087904016154</v>
      </c>
      <c r="S70" s="138"/>
      <c r="T70" s="138">
        <f>T18/$B$18</f>
        <v>0.88923922908562292</v>
      </c>
      <c r="U70" s="138"/>
      <c r="V70" s="138">
        <f>V18/$B$18</f>
        <v>0.86371259261098443</v>
      </c>
      <c r="W70" s="138"/>
      <c r="X70" s="138">
        <f>X18/$B$18</f>
        <v>0.83291504060423038</v>
      </c>
      <c r="Y70" s="138"/>
      <c r="Z70" s="138">
        <f>Z18/$B$18</f>
        <v>0.79546382152327066</v>
      </c>
      <c r="AA70" s="138"/>
      <c r="AB70" s="138">
        <f>AB18/$B$18</f>
        <v>0.74960890276231396</v>
      </c>
      <c r="AC70" s="138"/>
      <c r="AD70" s="138">
        <f>AD18/$B$18</f>
        <v>0.69320072587349424</v>
      </c>
      <c r="AE70" s="138"/>
      <c r="AF70" s="138">
        <f>AF18/$B$18</f>
        <v>0.62373171500936153</v>
      </c>
      <c r="AG70" s="138"/>
      <c r="AH70" s="138">
        <f>AH18/$B$18</f>
        <v>0.5385085776695242</v>
      </c>
      <c r="AI70" s="138"/>
      <c r="AJ70" s="138">
        <f>AJ18/$B$18</f>
        <v>0.43498692984218246</v>
      </c>
      <c r="AK70" s="138"/>
      <c r="AL70" s="138">
        <f>AL18/$B$18</f>
        <v>0.3112100641167776</v>
      </c>
      <c r="AM70" s="138"/>
      <c r="AN70" s="138">
        <f>AN18/$B$18</f>
        <v>0.16618325338125745</v>
      </c>
      <c r="AO70" s="138"/>
      <c r="AP70" s="138">
        <f>AP18/$B$18</f>
        <v>0.13461801640946908</v>
      </c>
      <c r="AQ70" s="138"/>
      <c r="AR70" s="138">
        <f>AR18/$B$18</f>
        <v>0.10220923106134691</v>
      </c>
      <c r="AS70" s="138"/>
      <c r="AT70" s="138">
        <f>AT18/$B$18</f>
        <v>6.8964157021758371E-2</v>
      </c>
      <c r="AU70" s="138"/>
      <c r="AV70" s="138">
        <f>AV18/$B$18</f>
        <v>3.4891180499453341E-2</v>
      </c>
    </row>
    <row r="71" spans="1:48 16384:16384" x14ac:dyDescent="0.2">
      <c r="A71" t="s">
        <v>179</v>
      </c>
      <c r="B71" s="138">
        <f>C18/$C$18</f>
        <v>1</v>
      </c>
      <c r="D71" s="138">
        <f>E18/$C$18</f>
        <v>0.93293035263298618</v>
      </c>
      <c r="E71" s="138"/>
      <c r="F71" s="138">
        <f>G18/$C$18</f>
        <v>0.86624521554834366</v>
      </c>
      <c r="G71" s="138"/>
      <c r="H71" s="138">
        <f>I18/$C$18</f>
        <v>0.80001381523725479</v>
      </c>
      <c r="I71" s="138"/>
      <c r="J71" s="138">
        <f>K18/$C$18</f>
        <v>0.73432304108623303</v>
      </c>
      <c r="K71" s="138"/>
      <c r="L71" s="138">
        <f>M18/$C$18</f>
        <v>0.66928493586142634</v>
      </c>
      <c r="M71" s="138"/>
      <c r="N71" s="138">
        <f>O18/$C$18</f>
        <v>0.6050423162551759</v>
      </c>
      <c r="O71" s="138"/>
      <c r="P71" s="138">
        <f>Q18/$C$18</f>
        <v>0.54177854976521089</v>
      </c>
      <c r="Q71" s="138"/>
      <c r="R71" s="138">
        <f>S18/$C$18</f>
        <v>0.4797294382852561</v>
      </c>
      <c r="S71" s="138"/>
      <c r="T71" s="138">
        <f>U18/$C$18</f>
        <v>0.41919806322935393</v>
      </c>
      <c r="U71" s="138"/>
      <c r="V71" s="138">
        <f>W18/$C$18</f>
        <v>0.36056845647939806</v>
      </c>
      <c r="W71" s="138"/>
      <c r="X71" s="138">
        <f>Y18/$C$18</f>
        <v>0.30432108859554641</v>
      </c>
      <c r="Y71" s="138"/>
      <c r="Z71" s="138">
        <f>AA18/$C$18</f>
        <v>0.2510408482546807</v>
      </c>
      <c r="AA71" s="138"/>
      <c r="AB71" s="138">
        <f>AC18/$C$18</f>
        <v>0.20141016187302896</v>
      </c>
      <c r="AC71" s="138"/>
      <c r="AD71" s="138">
        <f>AE18/$C$18</f>
        <v>0.15617165353203522</v>
      </c>
      <c r="AE71" s="138"/>
      <c r="AF71" s="138">
        <f>AG18/$C$18</f>
        <v>0.11604602934319405</v>
      </c>
      <c r="AG71" s="138"/>
      <c r="AH71" s="138">
        <f>AI18/$C$18</f>
        <v>8.1603459927891267E-2</v>
      </c>
      <c r="AI71" s="138"/>
      <c r="AJ71" s="138">
        <f>AK18/$C$18</f>
        <v>5.3111749808957692E-2</v>
      </c>
      <c r="AK71" s="138"/>
      <c r="AL71" s="138">
        <f>AM18/$C$18</f>
        <v>3.0427499470414902E-2</v>
      </c>
      <c r="AM71" s="138"/>
      <c r="AN71" s="138">
        <f>AO18/$C$18</f>
        <v>1.3000024583673903E-2</v>
      </c>
      <c r="AO71" s="138"/>
      <c r="AP71" s="138">
        <f>AQ18/$C$18</f>
        <v>1.0075172024464578E-2</v>
      </c>
      <c r="AQ71" s="138"/>
      <c r="AR71" s="138">
        <f>AS18/$C$18</f>
        <v>7.3202683520651301E-3</v>
      </c>
      <c r="AS71" s="138"/>
      <c r="AT71" s="138">
        <f>AU18/$C$18</f>
        <v>4.7277779490058564E-3</v>
      </c>
      <c r="AU71" s="138"/>
      <c r="AV71" s="138">
        <f>AW18/$C$18</f>
        <v>2.2901915098227968E-3</v>
      </c>
      <c r="XFD71" s="138"/>
    </row>
    <row r="72" spans="1:48 16384:16384" x14ac:dyDescent="0.2">
      <c r="A72" t="s">
        <v>180</v>
      </c>
      <c r="B72" s="138">
        <f>C19/$C$19</f>
        <v>1</v>
      </c>
      <c r="D72" s="138">
        <f>E19/$C$19</f>
        <v>1.0134123404509248</v>
      </c>
      <c r="E72" s="138"/>
      <c r="F72" s="138">
        <f>G19/$C$19</f>
        <v>1.0280478365263386</v>
      </c>
      <c r="G72" s="138"/>
      <c r="H72" s="138">
        <f>I19/$C$19</f>
        <v>1.0438483591316952</v>
      </c>
      <c r="I72" s="138"/>
      <c r="J72" s="138">
        <f>K19/$C$19</f>
        <v>1.0606844966816729</v>
      </c>
      <c r="K72" s="138"/>
      <c r="L72" s="138">
        <f>M19/$C$19</f>
        <v>1.0783213087347936</v>
      </c>
      <c r="M72" s="138"/>
      <c r="N72" s="138">
        <f>O19/$C$19</f>
        <v>1.0963705485971871</v>
      </c>
      <c r="O72" s="138"/>
      <c r="P72" s="138">
        <f>Q19/$C$19</f>
        <v>1.1142231455666158</v>
      </c>
      <c r="Q72" s="138"/>
      <c r="R72" s="138">
        <f>S19/$C$19</f>
        <v>1.1309559216103728</v>
      </c>
      <c r="S72" s="138"/>
      <c r="T72" s="138">
        <f>U19/$C$19</f>
        <v>1.1452061282284109</v>
      </c>
      <c r="U72" s="138"/>
      <c r="V72" s="138">
        <f>W19/$C$19</f>
        <v>1.1550074255280465</v>
      </c>
      <c r="W72" s="138"/>
      <c r="X72" s="138">
        <f>Y19/$C$19</f>
        <v>1.1575898585185083</v>
      </c>
      <c r="Y72" s="138"/>
      <c r="Z72" s="138">
        <f>AA19/$C$19</f>
        <v>1.1491635569219647</v>
      </c>
      <c r="AA72" s="138"/>
      <c r="AB72" s="138">
        <f>AC19/$C$19</f>
        <v>1.1247412644839223</v>
      </c>
      <c r="AC72" s="138"/>
      <c r="AD72" s="138">
        <f>AE19/$C$19</f>
        <v>1.0781154093141745</v>
      </c>
      <c r="AE72" s="138"/>
      <c r="AF72" s="138">
        <f>AG19/$C$19</f>
        <v>1.0021680891919411</v>
      </c>
      <c r="AG72" s="138"/>
      <c r="AH72" s="138">
        <f>AI19/$C$19</f>
        <v>0.88969449429419789</v>
      </c>
      <c r="AI72" s="138"/>
      <c r="AJ72" s="138">
        <f>AK19/$C$19</f>
        <v>0.73473696095987484</v>
      </c>
      <c r="AK72" s="138"/>
      <c r="AL72" s="138">
        <f>AM19/$C$19</f>
        <v>0.53404018087255112</v>
      </c>
      <c r="AM72" s="138"/>
      <c r="AN72" s="138">
        <f>AO19/$C$19</f>
        <v>0.28791572743148669</v>
      </c>
      <c r="AO72" s="138"/>
      <c r="AP72" s="138">
        <f>AQ19/$C$19</f>
        <v>0.23351239339982152</v>
      </c>
      <c r="AQ72" s="138"/>
      <c r="AR72" s="138">
        <f>AS19/$C$19</f>
        <v>0.1774727146625007</v>
      </c>
      <c r="AS72" s="138"/>
      <c r="AT72" s="138">
        <f>AU19/$C$19</f>
        <v>0.11984193719755154</v>
      </c>
      <c r="AU72" s="138"/>
      <c r="AV72" s="138">
        <f>AW19/$C$19</f>
        <v>6.0667797110864383E-2</v>
      </c>
      <c r="XFD72" s="138"/>
    </row>
    <row r="73" spans="1:48 16384:16384" x14ac:dyDescent="0.2">
      <c r="A73" t="s">
        <v>184</v>
      </c>
      <c r="B73" s="193">
        <f t="array" ref="B73">SUM(B9:C9*B22:C22)/B32</f>
        <v>0.47641153352875065</v>
      </c>
      <c r="D73" s="193">
        <f t="array" ref="D73">SUM(D9:E9*D22:E22)/D32</f>
        <v>0.47452622943391515</v>
      </c>
      <c r="E73" s="138"/>
      <c r="F73" s="193">
        <f t="array" ref="F73">SUM(F9:G9*F22:G22)/F32</f>
        <v>0.47260330582990878</v>
      </c>
      <c r="G73" s="138"/>
      <c r="H73" s="193">
        <f t="array" ref="H73">SUM(H9:I9*H22:I22)/H32</f>
        <v>0.47063852344873935</v>
      </c>
      <c r="I73" s="138"/>
      <c r="J73" s="193">
        <f t="array" ref="J73">SUM(J9:K9*J22:K22)/J32</f>
        <v>0.4686271372924376</v>
      </c>
      <c r="K73" s="138"/>
      <c r="L73" s="193">
        <f t="array" ref="L73">SUM(L9:M9*L22:M22)/L32</f>
        <v>0.46656387067372979</v>
      </c>
      <c r="M73" s="138"/>
      <c r="N73" s="193">
        <f t="array" ref="N73">SUM(N9:O9*N22:O22)/N32</f>
        <v>0.46444280405624994</v>
      </c>
      <c r="O73" s="138"/>
      <c r="P73" s="193">
        <f t="array" ref="P73">SUM(P9:Q9*P22:Q22)/P32</f>
        <v>0.46225733761841359</v>
      </c>
      <c r="Q73" s="138"/>
      <c r="R73" s="193">
        <f t="array" ref="R73">SUM(R9:S9*R22:S22)/R32</f>
        <v>0.46000018719779606</v>
      </c>
      <c r="S73" s="138"/>
      <c r="T73" s="193">
        <f t="array" ref="T73">SUM(T9:U9*T22:U22)/T32</f>
        <v>0.45766325512437345</v>
      </c>
      <c r="U73" s="138"/>
      <c r="V73" s="193">
        <f t="array" ref="V73">SUM(V9:W9*V22:W22)/V32</f>
        <v>0.45523806360145902</v>
      </c>
      <c r="W73" s="138"/>
      <c r="X73" s="193">
        <f t="array" ref="X73">SUM(X9:Y9*X22:Y22)/X32</f>
        <v>0.45271586668034042</v>
      </c>
      <c r="Y73" s="138"/>
      <c r="Z73" s="193">
        <f t="array" ref="Z73">SUM(Z9:AA9*Z22:AA22)/Z32</f>
        <v>0.45008862106651121</v>
      </c>
      <c r="AA73" s="138"/>
      <c r="AB73" s="193">
        <f t="array" ref="AB73">SUM(AB9:AC9*AB22:AC22)/AB32</f>
        <v>0.44735051254043323</v>
      </c>
      <c r="AC73" s="138"/>
      <c r="AD73" s="193">
        <f t="array" ref="AD73">SUM(AD9:AE9*AD22:AE22)/AD32</f>
        <v>0.44450056360205603</v>
      </c>
      <c r="AE73" s="138"/>
      <c r="AF73" s="193">
        <f t="array" ref="AF73">SUM(AF9:AG9*AF22:AG22)/AF32</f>
        <v>0.44154631860700116</v>
      </c>
      <c r="AG73" s="138"/>
      <c r="AH73" s="193">
        <f t="array" ref="AH73">SUM(AH9:AI9*AH22:AI22)/AH32</f>
        <v>0.43850789116697092</v>
      </c>
      <c r="AI73" s="138"/>
      <c r="AJ73" s="193">
        <f t="array" ref="AJ73">SUM(AJ9:AK9*AJ22:AK22)/AJ32</f>
        <v>0.43542046108704141</v>
      </c>
      <c r="AK73" s="138"/>
      <c r="AL73" s="193">
        <f t="array" ref="AL73">SUM(AL9:AM9*AL22:AM22)/AL32</f>
        <v>0.43233262845023346</v>
      </c>
      <c r="AM73" s="138"/>
      <c r="AN73" s="193">
        <f t="array" ref="AN73">SUM(AN9:AO9*AN22:AO22)/AN32</f>
        <v>0.42929933148179955</v>
      </c>
      <c r="AO73" s="138"/>
      <c r="AP73" s="193">
        <f t="array" ref="AP73">SUM(AP9:AQ9*AP22:AQ22)/AP32</f>
        <v>0.42870390038936873</v>
      </c>
      <c r="AQ73" s="138"/>
      <c r="AR73" s="193">
        <f t="array" ref="AR73">SUM(AR9:AS9*AR22:AS22)/AR32</f>
        <v>0.42811312215118857</v>
      </c>
      <c r="AS73" s="138"/>
      <c r="AT73" s="193">
        <f t="array" ref="AT73">SUM(AT9:AU9*AT22:AU22)/AT32</f>
        <v>0.42752727741644986</v>
      </c>
      <c r="AU73" s="138"/>
      <c r="AV73" s="193">
        <f t="array" ref="AV73">SUM(AV9:AW9*AV22:AW22)/AV32</f>
        <v>0.42694675246044633</v>
      </c>
      <c r="XFD73" s="193"/>
    </row>
    <row r="74" spans="1:48 16384:16384" x14ac:dyDescent="0.2">
      <c r="A74" t="s">
        <v>185</v>
      </c>
      <c r="B74" s="193">
        <f t="array" ref="B74">SUM(B10:C10*B23:C23)/B32</f>
        <v>0.22604620456442484</v>
      </c>
      <c r="D74" s="193">
        <f t="array" ref="D74">SUM(D10:E10*D23:E23)/D32</f>
        <v>0.22604620456442484</v>
      </c>
      <c r="E74" s="138"/>
      <c r="F74" s="193">
        <f t="array" ref="F74">SUM(F10:G10*F23:G23)/F32</f>
        <v>0.22604620456442484</v>
      </c>
      <c r="G74" s="138"/>
      <c r="H74" s="193">
        <f t="array" ref="H74">SUM(H10:I10*H23:I23)/H32</f>
        <v>0.22604620456442484</v>
      </c>
      <c r="I74" s="138"/>
      <c r="J74" s="193">
        <f t="array" ref="J74">SUM(J10:K10*J23:K23)/J32</f>
        <v>0.22604620456442484</v>
      </c>
      <c r="K74" s="138"/>
      <c r="L74" s="193">
        <f t="array" ref="L74">SUM(L10:M10*L23:M23)/L32</f>
        <v>0.22604620456442484</v>
      </c>
      <c r="M74" s="138"/>
      <c r="N74" s="193">
        <f t="array" ref="N74">SUM(N10:O10*N23:O23)/N32</f>
        <v>0.22604620456442484</v>
      </c>
      <c r="O74" s="138"/>
      <c r="P74" s="193">
        <f t="array" ref="P74">SUM(P10:Q10*P23:Q23)/P32</f>
        <v>0.22604620456442484</v>
      </c>
      <c r="Q74" s="138"/>
      <c r="R74" s="193">
        <f t="array" ref="R74">SUM(R10:S10*R23:S23)/R32</f>
        <v>0.22604620456442484</v>
      </c>
      <c r="S74" s="138"/>
      <c r="T74" s="193">
        <f t="array" ref="T74">SUM(T10:U10*T23:U23)/T32</f>
        <v>0.22604620456442484</v>
      </c>
      <c r="U74" s="138"/>
      <c r="V74" s="193">
        <f t="array" ref="V74">SUM(V10:W10*V23:W23)/V32</f>
        <v>0.22604620456442484</v>
      </c>
      <c r="W74" s="138"/>
      <c r="X74" s="193">
        <f t="array" ref="X74">SUM(X10:Y10*X23:Y23)/X32</f>
        <v>0.22604620456442484</v>
      </c>
      <c r="Y74" s="138"/>
      <c r="Z74" s="193">
        <f t="array" ref="Z74">SUM(Z10:AA10*Z23:AA23)/Z32</f>
        <v>0.22604620456442484</v>
      </c>
      <c r="AA74" s="138"/>
      <c r="AB74" s="193">
        <f t="array" ref="AB74">SUM(AB10:AC10*AB23:AC23)/AB32</f>
        <v>0.22604620456442484</v>
      </c>
      <c r="AC74" s="138"/>
      <c r="AD74" s="193">
        <f t="array" ref="AD74">SUM(AD10:AE10*AD23:AE23)/AD32</f>
        <v>0.22604620456442484</v>
      </c>
      <c r="AE74" s="138"/>
      <c r="AF74" s="193">
        <f t="array" ref="AF74">SUM(AF10:AG10*AF23:AG23)/AF32</f>
        <v>0.22604620456442484</v>
      </c>
      <c r="AG74" s="138"/>
      <c r="AH74" s="193">
        <f t="array" ref="AH74">SUM(AH10:AI10*AH23:AI23)/AH32</f>
        <v>0.22604620456442484</v>
      </c>
      <c r="AI74" s="138"/>
      <c r="AJ74" s="193">
        <f t="array" ref="AJ74">SUM(AJ10:AK10*AJ23:AK23)/AJ32</f>
        <v>0.22604620456442481</v>
      </c>
      <c r="AK74" s="138"/>
      <c r="AL74" s="193">
        <f t="array" ref="AL74">SUM(AL10:AM10*AL23:AM23)/AL32</f>
        <v>0.22604620456442487</v>
      </c>
      <c r="AM74" s="138"/>
      <c r="AN74" s="193">
        <f t="array" ref="AN74">SUM(AN10:AO10*AN23:AO23)/AN32</f>
        <v>0.22604620456442484</v>
      </c>
      <c r="AO74" s="138"/>
      <c r="AP74" s="193">
        <f t="array" ref="AP74">SUM(AP10:AQ10*AP23:AQ23)/AP32</f>
        <v>0.22604620456442484</v>
      </c>
      <c r="AQ74" s="138"/>
      <c r="AR74" s="193">
        <f t="array" ref="AR74">SUM(AR10:AS10*AR23:AS23)/AR32</f>
        <v>0.22604620456442484</v>
      </c>
      <c r="AS74" s="138"/>
      <c r="AT74" s="193">
        <f t="array" ref="AT74">SUM(AT10:AU10*AT23:AU23)/AT32</f>
        <v>0.22604620456442484</v>
      </c>
      <c r="AU74" s="138"/>
      <c r="AV74" s="193">
        <f t="array" ref="AV74">SUM(AV10:AW10*AV23:AW23)/AV32</f>
        <v>0.22604620456442484</v>
      </c>
      <c r="XFD74" s="193"/>
    </row>
    <row r="75" spans="1:48 16384:16384" x14ac:dyDescent="0.2">
      <c r="A75" t="s">
        <v>186</v>
      </c>
      <c r="B75" s="193">
        <f t="array" ref="B75">SUM(B11:C11*B24:C24)/B32</f>
        <v>0.22038438833194082</v>
      </c>
      <c r="D75" s="193">
        <f t="array" ref="D75">SUM(D11:E11*D24:E24)/D32</f>
        <v>0.22226969412764422</v>
      </c>
      <c r="E75" s="138"/>
      <c r="F75" s="193">
        <f t="array" ref="F75">SUM(F11:G11*F24:G24)/F32</f>
        <v>0.22419261835150453</v>
      </c>
      <c r="G75" s="138"/>
      <c r="H75" s="193">
        <f t="array" ref="H75">SUM(H11:I11*H24:I24)/H32</f>
        <v>0.22615740070516707</v>
      </c>
      <c r="I75" s="138"/>
      <c r="J75" s="193">
        <f t="array" ref="J75">SUM(J11:K11*J24:K24)/J32</f>
        <v>0.22816878495127746</v>
      </c>
      <c r="K75" s="138"/>
      <c r="L75" s="193">
        <f t="array" ref="L75">SUM(L11:M11*L24:M24)/L32</f>
        <v>0.23023205064829477</v>
      </c>
      <c r="M75" s="138"/>
      <c r="N75" s="193">
        <f t="array" ref="N75">SUM(N11:O11*N24:O24)/N32</f>
        <v>0.23235311693515351</v>
      </c>
      <c r="O75" s="138"/>
      <c r="P75" s="193">
        <f t="array" ref="P75">SUM(P11:Q11*P24:Q24)/P32</f>
        <v>0.2345385834250765</v>
      </c>
      <c r="Q75" s="138"/>
      <c r="R75" s="193">
        <f t="array" ref="R75">SUM(R11:S11*R24:S24)/R32</f>
        <v>0.2367957420105308</v>
      </c>
      <c r="S75" s="138"/>
      <c r="T75" s="193">
        <f t="array" ref="T75">SUM(T11:U11*T24:U24)/T32</f>
        <v>0.2391326657891219</v>
      </c>
      <c r="U75" s="138"/>
      <c r="V75" s="193">
        <f t="array" ref="V75">SUM(V11:W11*V24:W24)/V32</f>
        <v>0.24155785804799737</v>
      </c>
      <c r="W75" s="138"/>
      <c r="X75" s="193">
        <f t="array" ref="X75">SUM(X11:Y11*X24:Y24)/X32</f>
        <v>0.24408005469075836</v>
      </c>
      <c r="Y75" s="138"/>
      <c r="Z75" s="193">
        <f t="array" ref="Z75">SUM(Z11:AA11*Z24:AA24)/Z32</f>
        <v>0.24670730086959916</v>
      </c>
      <c r="AA75" s="138"/>
      <c r="AB75" s="193">
        <f t="array" ref="AB75">SUM(AB11:AC11*AB24:AC24)/AB32</f>
        <v>0.2494454089853356</v>
      </c>
      <c r="AC75" s="138"/>
      <c r="AD75" s="193">
        <f t="array" ref="AD75">SUM(AD11:AE11*AD24:AE24)/AD32</f>
        <v>0.25229535751066684</v>
      </c>
      <c r="AE75" s="138"/>
      <c r="AF75" s="193">
        <f t="array" ref="AF75">SUM(AF11:AG11*AF24:AG24)/AF32</f>
        <v>0.25524960190664336</v>
      </c>
      <c r="AG75" s="138"/>
      <c r="AH75" s="193">
        <f t="array" ref="AH75">SUM(AH11:AI11*AH24:AI24)/AH32</f>
        <v>0.2582880307176999</v>
      </c>
      <c r="AI75" s="138"/>
      <c r="AJ75" s="193">
        <f t="array" ref="AJ75">SUM(AJ11:AK11*AJ24:AK24)/AJ32</f>
        <v>0.26137546072636053</v>
      </c>
      <c r="AK75" s="138"/>
      <c r="AL75" s="193">
        <f t="array" ref="AL75">SUM(AL11:AM11*AL24:AM24)/AL32</f>
        <v>0.26446329691441828</v>
      </c>
      <c r="AM75" s="138"/>
      <c r="AN75" s="193">
        <f t="array" ref="AN75">SUM(AN11:AO11*AN24:AO24)/AN32</f>
        <v>0.26749659169311202</v>
      </c>
      <c r="AO75" s="138"/>
      <c r="AP75" s="193">
        <f t="array" ref="AP75">SUM(AP11:AQ11*AP24:AQ24)/AP32</f>
        <v>0.2680920223377804</v>
      </c>
      <c r="AQ75" s="138"/>
      <c r="AR75" s="193">
        <f t="array" ref="AR75">SUM(AR11:AS11*AR24:AS24)/AR32</f>
        <v>0.26868280782407133</v>
      </c>
      <c r="AS75" s="138"/>
      <c r="AT75" s="193">
        <f t="array" ref="AT75">SUM(AT11:AU11*AT24:AU24)/AT32</f>
        <v>0.26926864283657953</v>
      </c>
      <c r="AU75" s="138"/>
      <c r="AV75" s="193">
        <f t="array" ref="AV75">SUM(AV11:AW11*AV24:AW24)/AV32</f>
        <v>0.26984917010410764</v>
      </c>
      <c r="XFD75" s="193"/>
    </row>
    <row r="76" spans="1:48 16384:16384" x14ac:dyDescent="0.2">
      <c r="A76" t="s">
        <v>187</v>
      </c>
      <c r="B76" s="193">
        <f t="array" ref="B76">SUM(B12:C12*B25:C25)/B32</f>
        <v>0.22301874374724867</v>
      </c>
      <c r="D76" s="193">
        <f t="array" ref="D76">SUM(D12:E12*D25:E25)/D32</f>
        <v>0.2230157256346493</v>
      </c>
      <c r="E76" s="138"/>
      <c r="F76" s="193">
        <f t="array" ref="F76">SUM(F12:G12*F25:G25)/F32</f>
        <v>0.22305253977076711</v>
      </c>
      <c r="G76" s="138"/>
      <c r="H76" s="193">
        <f t="array" ref="H76">SUM(H12:I12*H25:I25)/H32</f>
        <v>0.22313294243526044</v>
      </c>
      <c r="I76" s="138"/>
      <c r="J76" s="193">
        <f t="array" ref="J76">SUM(J12:K12*J25:K25)/J32</f>
        <v>0.22326088190799406</v>
      </c>
      <c r="K76" s="138"/>
      <c r="L76" s="193">
        <f t="array" ref="L76">SUM(L12:M12*L25:M25)/L32</f>
        <v>0.22344038221100995</v>
      </c>
      <c r="M76" s="138"/>
      <c r="N76" s="193">
        <f t="array" ref="N76">SUM(N12:O12*N25:O25)/N32</f>
        <v>0.22367532588577732</v>
      </c>
      <c r="O76" s="138"/>
      <c r="P76" s="193">
        <f t="array" ref="P76">SUM(P12:Q12*P25:Q25)/P32</f>
        <v>0.22396911048460352</v>
      </c>
      <c r="Q76" s="138"/>
      <c r="R76" s="193">
        <f t="array" ref="R76">SUM(R12:S12*R25:S25)/R32</f>
        <v>0.2243241138107932</v>
      </c>
      <c r="S76" s="138"/>
      <c r="T76" s="193">
        <f t="array" ref="T76">SUM(T12:U12*T25:U25)/T32</f>
        <v>0.22474093625611993</v>
      </c>
      <c r="U76" s="138"/>
      <c r="V76" s="193">
        <f t="array" ref="V76">SUM(V12:W12*V25:W25)/V32</f>
        <v>0.22521722607490377</v>
      </c>
      <c r="W76" s="138"/>
      <c r="X76" s="193">
        <f t="array" ref="X76">SUM(X12:Y12*X25:Y25)/X32</f>
        <v>0.22574624030167681</v>
      </c>
      <c r="Y76" s="138"/>
      <c r="Z76" s="193">
        <f t="array" ref="Z76">SUM(Z12:AA12*Z25:AA25)/Z32</f>
        <v>0.22631502658795533</v>
      </c>
      <c r="AA76" s="138"/>
      <c r="AB76" s="193">
        <f t="array" ref="AB76">SUM(AB12:AC12*AB25:AC25)/AB32</f>
        <v>0.22690264340586497</v>
      </c>
      <c r="AC76" s="138"/>
      <c r="AD76" s="193">
        <f t="array" ref="AD76">SUM(AD12:AE12*AD25:AE25)/AD32</f>
        <v>0.22747910517033315</v>
      </c>
      <c r="AE76" s="138"/>
      <c r="AF76" s="193">
        <f t="array" ref="AF76">SUM(AF12:AG12*AF25:AG25)/AF32</f>
        <v>0.22800633389448352</v>
      </c>
      <c r="AG76" s="138"/>
      <c r="AH76" s="193">
        <f t="array" ref="AH76">SUM(AH12:AI12*AH25:AI25)/AH32</f>
        <v>0.22844259211561016</v>
      </c>
      <c r="AI76" s="138"/>
      <c r="AJ76" s="193">
        <f t="array" ref="AJ76">SUM(AJ12:AK12*AJ25:AK25)/AJ32</f>
        <v>0.22875065950124573</v>
      </c>
      <c r="AK76" s="138"/>
      <c r="AL76" s="193">
        <f t="array" ref="AL76">SUM(AL12:AM12*AL25:AM25)/AL32</f>
        <v>0.22890737389058349</v>
      </c>
      <c r="AM76" s="138"/>
      <c r="AN76" s="193">
        <f t="array" ref="AN76">SUM(AN12:AO12*AN25:AO25)/AN32</f>
        <v>0.2289097630956661</v>
      </c>
      <c r="AO76" s="138"/>
      <c r="AP76" s="193">
        <f t="array" ref="AP76">SUM(AP12:AQ12*AP25:AQ25)/AP32</f>
        <v>0.22889288209865669</v>
      </c>
      <c r="AQ76" s="138"/>
      <c r="AR76" s="193">
        <f t="array" ref="AR76">SUM(AR12:AS12*AR25:AS25)/AR32</f>
        <v>0.22887064626299905</v>
      </c>
      <c r="AS76" s="138"/>
      <c r="AT76" s="193">
        <f t="array" ref="AT76">SUM(AT12:AU12*AT25:AU25)/AT32</f>
        <v>0.22884327326425907</v>
      </c>
      <c r="AU76" s="138"/>
      <c r="AV76" s="193">
        <f t="array" ref="AV76">SUM(AV12:AW12*AV25:AW25)/AV32</f>
        <v>0.22881100407410476</v>
      </c>
      <c r="XFD76" s="193"/>
    </row>
    <row r="77" spans="1:48 16384:16384" x14ac:dyDescent="0.2">
      <c r="A77" t="s">
        <v>188</v>
      </c>
      <c r="B77" s="193">
        <f t="array" ref="B77">SUM(B4:C4*B19:C19)/B32</f>
        <v>0.14586087017236485</v>
      </c>
      <c r="D77" s="193">
        <f t="array" ref="D77">SUM(D4:E4*D19:E19)/D32</f>
        <v>0.14585785376063329</v>
      </c>
      <c r="E77" s="138"/>
      <c r="F77" s="193">
        <f t="array" ref="F77">SUM(F4:G4*F19:G19)/F32</f>
        <v>0.14589466851660518</v>
      </c>
      <c r="G77" s="138"/>
      <c r="H77" s="193">
        <f t="array" ref="H77">SUM(H4:I4*H19:I19)/H32</f>
        <v>0.14597507115359176</v>
      </c>
      <c r="I77" s="138"/>
      <c r="J77" s="193">
        <f t="array" ref="J77">SUM(J4:K4*J19:K19)/J32</f>
        <v>0.14610300871613385</v>
      </c>
      <c r="K77" s="138"/>
      <c r="L77" s="193">
        <f t="array" ref="L77">SUM(L4:M4*L19:M19)/L32</f>
        <v>0.14628250809745919</v>
      </c>
      <c r="M77" s="138"/>
      <c r="N77" s="193">
        <f t="array" ref="N77">SUM(N4:O4*N19:O19)/N32</f>
        <v>0.14651745144160536</v>
      </c>
      <c r="O77" s="138"/>
      <c r="P77" s="193">
        <f t="array" ref="P77">SUM(P4:Q4*P19:Q19)/P32</f>
        <v>0.14681123609251845</v>
      </c>
      <c r="Q77" s="138"/>
      <c r="R77" s="193">
        <f t="array" ref="R77">SUM(R4:S4*R19:S19)/R32</f>
        <v>0.14716624758354482</v>
      </c>
      <c r="S77" s="138"/>
      <c r="T77" s="193">
        <f t="array" ref="T77">SUM(T4:U4*T19:U19)/T32</f>
        <v>0.14758306173403993</v>
      </c>
      <c r="U77" s="138"/>
      <c r="V77" s="193">
        <f t="array" ref="V77">SUM(V4:W4*V19:W19)/V32</f>
        <v>0.14805935228878497</v>
      </c>
      <c r="W77" s="138"/>
      <c r="X77" s="193">
        <f t="array" ref="X77">SUM(X4:Y4*X19:Y19)/X32</f>
        <v>0.14858836623720054</v>
      </c>
      <c r="Y77" s="138"/>
      <c r="Z77" s="193">
        <f t="array" ref="Z77">SUM(Z4:AA4*Z19:AA19)/Z32</f>
        <v>0.14915715308849051</v>
      </c>
      <c r="AA77" s="138"/>
      <c r="AB77" s="193">
        <f t="array" ref="AB77">SUM(AB4:AC4*AB19:AC19)/AB32</f>
        <v>0.14974476949605858</v>
      </c>
      <c r="AC77" s="138"/>
      <c r="AD77" s="193">
        <f t="array" ref="AD77">SUM(AD4:AE4*AD19:AE19)/AD32</f>
        <v>0.15032123084748081</v>
      </c>
      <c r="AE77" s="138"/>
      <c r="AF77" s="193">
        <f t="array" ref="AF77">SUM(AF4:AG4*AF19:AG19)/AF32</f>
        <v>0.15084845897255264</v>
      </c>
      <c r="AG77" s="138"/>
      <c r="AH77" s="193">
        <f t="array" ref="AH77">SUM(AH4:AI4*AH19:AI19)/AH32</f>
        <v>0.15128471856470577</v>
      </c>
      <c r="AI77" s="138"/>
      <c r="AJ77" s="193">
        <f t="array" ref="AJ77">SUM(AJ4:AK4*AJ19:AK19)/AJ32</f>
        <v>0.15159278587907232</v>
      </c>
      <c r="AK77" s="138"/>
      <c r="AL77" s="193">
        <f t="array" ref="AL77">SUM(AL4:AM4*AL19:AM19)/AL32</f>
        <v>0.1517495038196601</v>
      </c>
      <c r="AM77" s="138"/>
      <c r="AN77" s="193">
        <f t="array" ref="AN77">SUM(AN4:AO4*AN19:AO19)/AN32</f>
        <v>0.15175189083500251</v>
      </c>
      <c r="AO77" s="138"/>
      <c r="AP77" s="193">
        <f t="array" ref="AP77">SUM(AP4:AQ4*AP19:AQ19)/AP32</f>
        <v>0.15173500939023071</v>
      </c>
      <c r="AQ77" s="138"/>
      <c r="AR77" s="193">
        <f t="array" ref="AR77">SUM(AR4:AS4*AR19:AS19)/AR32</f>
        <v>0.15171278080268355</v>
      </c>
      <c r="AS77" s="138"/>
      <c r="AT77" s="193">
        <f t="array" ref="AT77">SUM(AT4:AU4*AT19:AU19)/AT32</f>
        <v>0.15168539808171322</v>
      </c>
      <c r="AU77" s="138"/>
      <c r="AV77" s="193">
        <f t="array" ref="AV77">SUM(AV4:AW4*AV19:AW19)/AV32</f>
        <v>0.15165313120308338</v>
      </c>
      <c r="XFD77" s="193"/>
    </row>
    <row r="78" spans="1:48 16384:16384" x14ac:dyDescent="0.2">
      <c r="A78" t="s">
        <v>189</v>
      </c>
      <c r="B78" s="193">
        <f t="array" ref="B78">SUM(B13:C13*B26:C26)/B32</f>
        <v>0.346887593115773</v>
      </c>
      <c r="D78" s="193">
        <f t="array" ref="D78">SUM(D13:E13*D26:E26)/D32</f>
        <v>0.34588223268266011</v>
      </c>
      <c r="E78" s="138"/>
      <c r="F78" s="193">
        <f t="array" ref="F78">SUM(F13:G13*F26:G26)/F32</f>
        <v>0.34485044880599314</v>
      </c>
      <c r="G78" s="138"/>
      <c r="H78" s="193">
        <f t="array" ref="H78">SUM(H13:I13*H26:I26)/H32</f>
        <v>0.3437902951616128</v>
      </c>
      <c r="I78" s="138"/>
      <c r="J78" s="193">
        <f t="array" ref="J78">SUM(J13:K13*J26:K26)/J32</f>
        <v>0.34269973555935612</v>
      </c>
      <c r="K78" s="138"/>
      <c r="L78" s="193">
        <f t="array" ref="L78">SUM(L13:M13*L26:M26)/L32</f>
        <v>0.34157669146390623</v>
      </c>
      <c r="M78" s="138"/>
      <c r="N78" s="193">
        <f t="array" ref="N78">SUM(N13:O13*N26:O26)/N32</f>
        <v>0.34041904203320722</v>
      </c>
      <c r="O78" s="138"/>
      <c r="P78" s="193">
        <f t="array" ref="P78">SUM(P13:Q13*P26:Q26)/P32</f>
        <v>0.33922467483192942</v>
      </c>
      <c r="Q78" s="138"/>
      <c r="R78" s="193">
        <f t="array" ref="R78">SUM(R13:S13*R26:S26)/R32</f>
        <v>0.33799155902236566</v>
      </c>
      <c r="S78" s="138"/>
      <c r="T78" s="193">
        <f t="array" ref="T78">SUM(T13:U13*T26:U26)/T32</f>
        <v>0.33671785319722514</v>
      </c>
      <c r="U78" s="138"/>
      <c r="V78" s="193">
        <f t="array" ref="V78">SUM(V13:W13*V26:W26)/V32</f>
        <v>0.33540206999096561</v>
      </c>
      <c r="W78" s="138"/>
      <c r="X78" s="193">
        <f t="array" ref="X78">SUM(X13:Y13*X26:Y26)/X32</f>
        <v>0.3340433469329418</v>
      </c>
      <c r="Y78" s="138"/>
      <c r="Z78" s="193">
        <f t="array" ref="Z78">SUM(Z13:AA13*Z26:AA26)/Z32</f>
        <v>0.33264188786810639</v>
      </c>
      <c r="AA78" s="138"/>
      <c r="AB78" s="193">
        <f t="array" ref="AB78">SUM(AB13:AC13*AB26:AC26)/AB32</f>
        <v>0.33119965644969623</v>
      </c>
      <c r="AC78" s="138"/>
      <c r="AD78" s="193">
        <f t="array" ref="AD78">SUM(AD13:AE13*AD26:AE26)/AD32</f>
        <v>0.32972136590980938</v>
      </c>
      <c r="AE78" s="138"/>
      <c r="AF78" s="193">
        <f t="array" ref="AF78">SUM(AF13:AG13*AF26:AG26)/AF32</f>
        <v>0.32821569795967215</v>
      </c>
      <c r="AG78" s="138"/>
      <c r="AH78" s="193">
        <f t="array" ref="AH78">SUM(AH13:AI13*AH26:AI26)/AH32</f>
        <v>0.32669645716479928</v>
      </c>
      <c r="AI78" s="138"/>
      <c r="AJ78" s="193">
        <f t="array" ref="AJ78">SUM(AJ13:AK13*AJ26:AK26)/AJ32</f>
        <v>0.32518281338191818</v>
      </c>
      <c r="AK78" s="138"/>
      <c r="AL78" s="193">
        <f t="array" ref="AL78">SUM(AL13:AM13*AL26:AM26)/AL32</f>
        <v>0.32369776576918763</v>
      </c>
      <c r="AM78" s="138"/>
      <c r="AN78" s="193">
        <f t="array" ref="AN78">SUM(AN13:AO13*AN26:AO26)/AN32</f>
        <v>0.32226472177499849</v>
      </c>
      <c r="AO78" s="138"/>
      <c r="AP78" s="193">
        <f t="array" ref="AP78">SUM(AP13:AQ13*AP26:AQ26)/AP32</f>
        <v>0.32198619495398201</v>
      </c>
      <c r="AQ78" s="138"/>
      <c r="AR78" s="193">
        <f t="array" ref="AR78">SUM(AR13:AS13*AR26:AS26)/AR32</f>
        <v>0.32171069009399694</v>
      </c>
      <c r="AS78" s="138"/>
      <c r="AT78" s="193">
        <f t="array" ref="AT78">SUM(AT13:AU13*AT26:AU26)/AT32</f>
        <v>0.32143832516594556</v>
      </c>
      <c r="AU78" s="138"/>
      <c r="AV78" s="193">
        <f t="array" ref="AV78">SUM(AV13:AW13*AV26:AW26)/AV32</f>
        <v>0.32116920632183704</v>
      </c>
      <c r="XFD78" s="193"/>
    </row>
    <row r="79" spans="1:48 16384:16384" x14ac:dyDescent="0.2">
      <c r="A79" t="s">
        <v>190</v>
      </c>
      <c r="B79" s="193">
        <f t="array" ref="B79">SUM(B15:C15*B27:C27)/B32</f>
        <v>0.45460968782440808</v>
      </c>
      <c r="D79" s="193">
        <f t="array" ref="D79">SUM(D15:E15*D27:E27)/D32</f>
        <v>0.45243816787774443</v>
      </c>
      <c r="F79" s="193">
        <f t="array" ref="F79">SUM(F15:G15*F27:G27)/F32</f>
        <v>0.45022977045008594</v>
      </c>
      <c r="H79" s="193">
        <f t="array" ref="H79">SUM(H15:I15*H27:I27)/H32</f>
        <v>0.44797929398231179</v>
      </c>
      <c r="J79" s="193">
        <f t="array" ref="J79">SUM(J15:K15*J27:K27)/J32</f>
        <v>0.44568076084154173</v>
      </c>
      <c r="L79" s="193">
        <f t="array" ref="L79">SUM(L15:M15*L27:M27)/L32</f>
        <v>0.44332735213350116</v>
      </c>
      <c r="N79" s="193">
        <f t="array" ref="N79">SUM(N15:O15*N27:O27)/N32</f>
        <v>0.4409112102734547</v>
      </c>
      <c r="P79" s="193">
        <f t="array" ref="P79">SUM(P15:Q15*P27:Q27)/P32</f>
        <v>0.43842330418390951</v>
      </c>
      <c r="R79" s="193">
        <f t="array" ref="R79">SUM(R15:S15*R27:S27)/R32</f>
        <v>0.43585330692578472</v>
      </c>
      <c r="T79" s="193">
        <f t="array" ref="T79">SUM(T15:U15*T27:U27)/T32</f>
        <v>0.43318953912675401</v>
      </c>
      <c r="V79" s="193">
        <f t="array" ref="V79">SUM(V15:W15*V27:W27)/V32</f>
        <v>0.43041901735888255</v>
      </c>
      <c r="X79" s="193">
        <f t="array" ref="X79">SUM(X15:Y15*X27:Y27)/X32</f>
        <v>0.42752784492714824</v>
      </c>
      <c r="Z79" s="193">
        <f t="array" ref="Z79">SUM(Z15:AA15*Z27:AA27)/Z32</f>
        <v>0.42450218626646502</v>
      </c>
      <c r="AB79" s="193">
        <f t="array" ref="AB79">SUM(AB15:AC15*AB27:AC27)/AB32</f>
        <v>0.42133023667717268</v>
      </c>
      <c r="AD79" s="193">
        <f t="array" ref="AD79">SUM(AD15:AE15*AD27:AE27)/AD32</f>
        <v>0.41800558856023762</v>
      </c>
      <c r="AF79" s="193">
        <f t="array" ref="AF79">SUM(AF15:AG15*AF27:AG27)/AF32</f>
        <v>0.41453216573547719</v>
      </c>
      <c r="AH79" s="193">
        <f t="array" ref="AH79">SUM(AH15:AI15*AH27:AI27)/AH32</f>
        <v>0.4109300050223923</v>
      </c>
      <c r="AJ79" s="193">
        <f t="array" ref="AJ79">SUM(AJ15:AK15*AJ27:AK27)/AJ32</f>
        <v>0.40723924137549838</v>
      </c>
      <c r="AL79" s="193">
        <f t="array" ref="AL79">SUM(AL15:AM15*AL27:AM27)/AL32</f>
        <v>0.4035188065982242</v>
      </c>
      <c r="AN79" s="193">
        <f t="array" ref="AN79">SUM(AN15:AO15*AN27:AO27)/AN32</f>
        <v>0.39983795089852042</v>
      </c>
      <c r="AP79" s="193">
        <f t="array" ref="AP79">SUM(AP15:AQ15*AP27:AQ27)/AP32</f>
        <v>0.39911258789230541</v>
      </c>
      <c r="AR79" s="193">
        <f t="array" ref="AR79">SUM(AR15:AS15*AR27:AS27)/AR32</f>
        <v>0.39839201146588765</v>
      </c>
      <c r="AT79" s="193">
        <f t="array" ref="AT79">SUM(AT15:AU15*AT27:AU27)/AT32</f>
        <v>0.39767665838585375</v>
      </c>
      <c r="AV79" s="193">
        <f t="array" ref="AV79">SUM(AV15:AW15*AV27:AW27)/AV32</f>
        <v>0.39696697797937541</v>
      </c>
      <c r="XFD79" s="193"/>
    </row>
    <row r="80" spans="1:48 16384:16384" x14ac:dyDescent="0.2">
      <c r="A80" t="s">
        <v>169</v>
      </c>
      <c r="B80" s="236">
        <f>B55</f>
        <v>0.19850271905982084</v>
      </c>
      <c r="D80" s="236">
        <f>D55</f>
        <v>0.20167961015498387</v>
      </c>
      <c r="F80" s="236">
        <f>F55</f>
        <v>0.20491980035332549</v>
      </c>
      <c r="H80" s="236">
        <f>H55</f>
        <v>0.20823044006721511</v>
      </c>
      <c r="J80" s="236">
        <f>J55</f>
        <v>0.21161951299361589</v>
      </c>
      <c r="L80" s="236">
        <f>L55</f>
        <v>0.21509595198533915</v>
      </c>
      <c r="N80" s="236">
        <f>N55</f>
        <v>0.21866974060092842</v>
      </c>
      <c r="P80" s="236">
        <f>P55</f>
        <v>0.22235201414689551</v>
      </c>
      <c r="R80" s="236">
        <f>R55</f>
        <v>0.22615512368649252</v>
      </c>
      <c r="T80" s="236">
        <f>T55</f>
        <v>0.23009259815432537</v>
      </c>
      <c r="V80" s="236">
        <f>V55</f>
        <v>0.23417891628638685</v>
      </c>
      <c r="X80" s="236">
        <f>X55</f>
        <v>0.23842881753496251</v>
      </c>
      <c r="Z80" s="236">
        <f>Z55</f>
        <v>0.24285592213492338</v>
      </c>
      <c r="AB80" s="236">
        <f>AB55</f>
        <v>0.24747008958123057</v>
      </c>
      <c r="AD80" s="236">
        <f>AD55</f>
        <v>0.2522730487198051</v>
      </c>
      <c r="AF80" s="236">
        <f>AF55</f>
        <v>0.25725214641459632</v>
      </c>
      <c r="AH80" s="236">
        <f>AH55</f>
        <v>0.26237353561879051</v>
      </c>
      <c r="AJ80" s="236">
        <f>AJ55</f>
        <v>0.26757793735538404</v>
      </c>
      <c r="AL80" s="236">
        <f>AL55</f>
        <v>0.27278344430061074</v>
      </c>
      <c r="AN80" s="236">
        <f>AN55</f>
        <v>0.27789733404028416</v>
      </c>
      <c r="AP80" s="236">
        <f>AP55</f>
        <v>0.27890122077088703</v>
      </c>
      <c r="AR80" s="236">
        <f>AR55</f>
        <v>0.27989733251457677</v>
      </c>
      <c r="AT80" s="236">
        <f>AT55</f>
        <v>0.280885009127887</v>
      </c>
      <c r="AV80" s="236">
        <f>AV55</f>
        <v>0.28186381869090721</v>
      </c>
      <c r="XFD80" s="236"/>
    </row>
    <row r="81" spans="1:48 16384:16384" x14ac:dyDescent="0.2">
      <c r="A81" t="s">
        <v>191</v>
      </c>
      <c r="B81" s="236">
        <f>B51/B$32</f>
        <v>-2.7543485504603994E-2</v>
      </c>
      <c r="D81" s="236">
        <f>D51/D$32</f>
        <v>-2.4366594409440983E-2</v>
      </c>
      <c r="F81" s="236">
        <f>F51/F$32</f>
        <v>-2.1126404211099334E-2</v>
      </c>
      <c r="H81" s="236">
        <f>H51/H$32</f>
        <v>-1.781576449720974E-2</v>
      </c>
      <c r="J81" s="236">
        <f>J51/J$32</f>
        <v>-1.4426691570808928E-2</v>
      </c>
      <c r="L81" s="236">
        <f>L51/L$32</f>
        <v>-1.0950252579085705E-2</v>
      </c>
      <c r="N81" s="236">
        <f>N51/N$32</f>
        <v>-7.3764639634964178E-3</v>
      </c>
      <c r="P81" s="236">
        <f>P51/P$32</f>
        <v>-3.6941904175293045E-3</v>
      </c>
      <c r="R81" s="236">
        <f>R51/R$32</f>
        <v>1.0891912206767585E-4</v>
      </c>
      <c r="T81" s="236">
        <f>T51/T$32</f>
        <v>4.046393589900537E-3</v>
      </c>
      <c r="V81" s="236">
        <f>V51/V$32</f>
        <v>8.1327117219620118E-3</v>
      </c>
      <c r="X81" s="236">
        <f>X51/X$32</f>
        <v>1.2382612970537683E-2</v>
      </c>
      <c r="Z81" s="236">
        <f>Z51/Z$32</f>
        <v>1.6809717570498525E-2</v>
      </c>
      <c r="AB81" s="236">
        <f>AB51/AB$32</f>
        <v>2.1423885016805727E-2</v>
      </c>
      <c r="AD81" s="236">
        <f>AD51/AD$32</f>
        <v>2.6226844155380263E-2</v>
      </c>
      <c r="AF81" s="236">
        <f>AF51/AF$32</f>
        <v>3.1205941850171476E-2</v>
      </c>
      <c r="AH81" s="236">
        <f>AH51/AH$32</f>
        <v>3.632733105436569E-2</v>
      </c>
      <c r="AJ81" s="236">
        <f>AJ51/AJ$32</f>
        <v>4.1531732790959203E-2</v>
      </c>
      <c r="AL81" s="236">
        <f>AL51/AL$32</f>
        <v>4.6737239736185883E-2</v>
      </c>
      <c r="AN81" s="236">
        <f>AN51/AN$32</f>
        <v>5.185112947585932E-2</v>
      </c>
      <c r="AP81" s="236">
        <f>AP51/AP$32</f>
        <v>5.2855016206462165E-2</v>
      </c>
      <c r="AR81" s="236">
        <f>AR51/AR$32</f>
        <v>5.3851127950151956E-2</v>
      </c>
      <c r="AT81" s="236">
        <f>AT51/AT$32</f>
        <v>5.4838804563462171E-2</v>
      </c>
      <c r="AV81" s="236">
        <f>AV51/AV$32</f>
        <v>5.5817614126482375E-2</v>
      </c>
      <c r="XFD81" s="236"/>
    </row>
    <row r="82" spans="1:48 16384:16384" x14ac:dyDescent="0.2">
      <c r="A82" t="s">
        <v>192</v>
      </c>
      <c r="B82" s="236">
        <f>B52/B$32</f>
        <v>0.13907860278212886</v>
      </c>
      <c r="D82" s="236">
        <f>D52/D$32</f>
        <v>0.13867552084116386</v>
      </c>
      <c r="F82" s="236">
        <f>F52/F$32</f>
        <v>0.13826184487584309</v>
      </c>
      <c r="H82" s="236">
        <f>H52/H$32</f>
        <v>0.13783679454103451</v>
      </c>
      <c r="J82" s="236">
        <f>J52/J$32</f>
        <v>0.13739955346138058</v>
      </c>
      <c r="L82" s="236">
        <f>L52/L$32</f>
        <v>0.13694928828396399</v>
      </c>
      <c r="N82" s="236">
        <f>N52/N$32</f>
        <v>0.13648514869370942</v>
      </c>
      <c r="P82" s="236">
        <f>P52/P$32</f>
        <v>0.13600628774607362</v>
      </c>
      <c r="R82" s="236">
        <f>R52/R$32</f>
        <v>0.13551189121167398</v>
      </c>
      <c r="T82" s="236">
        <f>T52/T$32</f>
        <v>0.13500122080998889</v>
      </c>
      <c r="V82" s="236">
        <f>V52/V$32</f>
        <v>0.134473680207435</v>
      </c>
      <c r="X82" s="236">
        <f>X52/X$32</f>
        <v>0.13392892361126943</v>
      </c>
      <c r="Z82" s="236">
        <f>Z52/Z$32</f>
        <v>0.13336703274961323</v>
      </c>
      <c r="AB82" s="236">
        <f>AB52/AB$32</f>
        <v>0.13278879491539347</v>
      </c>
      <c r="AD82" s="236">
        <f>AD52/AD$32</f>
        <v>0.13219609979779992</v>
      </c>
      <c r="AF82" s="236">
        <f>AF52/AF$32</f>
        <v>0.13159242817934272</v>
      </c>
      <c r="AH82" s="236">
        <f>AH52/AH$32</f>
        <v>0.13098331476268038</v>
      </c>
      <c r="AJ82" s="236">
        <f>AJ52/AJ$32</f>
        <v>0.13037644537152662</v>
      </c>
      <c r="AL82" s="236">
        <f>AL52/AL$32</f>
        <v>0.12978104112201641</v>
      </c>
      <c r="AN82" s="236">
        <f>AN52/AN$32</f>
        <v>0.12920648682721744</v>
      </c>
      <c r="AP82" s="236">
        <f>AP52/AP$32</f>
        <v>0.12909481629799388</v>
      </c>
      <c r="AR82" s="236">
        <f>AR52/AR$32</f>
        <v>0.12898435737197048</v>
      </c>
      <c r="AT82" s="236">
        <f>AT52/AT$32</f>
        <v>0.12887515734754759</v>
      </c>
      <c r="AV82" s="236">
        <f>AV52/AV$32</f>
        <v>0.12876725878454401</v>
      </c>
    </row>
    <row r="83" spans="1:48 16384:16384" x14ac:dyDescent="0.2">
      <c r="A83" t="s">
        <v>193</v>
      </c>
      <c r="B83" s="236">
        <f>B53/B$32</f>
        <v>0.18600714462930004</v>
      </c>
      <c r="D83" s="236">
        <f>D53/D$32</f>
        <v>0.18511865009079279</v>
      </c>
      <c r="F83" s="236">
        <f>F53/F$32</f>
        <v>0.18421506683964989</v>
      </c>
      <c r="H83" s="236">
        <f>H53/H$32</f>
        <v>0.18329426661687112</v>
      </c>
      <c r="J83" s="236">
        <f>J53/J$32</f>
        <v>0.18235380362674758</v>
      </c>
      <c r="L83" s="236">
        <f>L53/L$32</f>
        <v>0.18139088786482602</v>
      </c>
      <c r="N83" s="236">
        <f>N53/N$32</f>
        <v>0.18040230433824675</v>
      </c>
      <c r="P83" s="236">
        <f>P53/P$32</f>
        <v>0.17938435791031912</v>
      </c>
      <c r="R83" s="236">
        <f>R53/R$32</f>
        <v>0.17833282323234817</v>
      </c>
      <c r="T83" s="236">
        <f>T53/T$32</f>
        <v>0.17724292159689387</v>
      </c>
      <c r="V83" s="236">
        <f>V53/V$32</f>
        <v>0.17610934073186371</v>
      </c>
      <c r="X83" s="236">
        <f>X53/X$32</f>
        <v>0.17492639469472257</v>
      </c>
      <c r="Z83" s="236">
        <f>Z53/Z$32</f>
        <v>0.17368842255473163</v>
      </c>
      <c r="AB83" s="236">
        <f>AB53/AB$32</f>
        <v>0.17239059432578233</v>
      </c>
      <c r="AD83" s="236">
        <f>AD53/AD$32</f>
        <v>0.17103028828811792</v>
      </c>
      <c r="AF83" s="236">
        <f>AF53/AF$32</f>
        <v>0.16960910990361006</v>
      </c>
      <c r="AH83" s="236">
        <f>AH53/AH$32</f>
        <v>0.16813525739522361</v>
      </c>
      <c r="AJ83" s="236">
        <f>AJ53/AJ$32</f>
        <v>0.16662515229661534</v>
      </c>
      <c r="AL83" s="236">
        <f>AL53/AL$32</f>
        <v>0.16510290702064664</v>
      </c>
      <c r="AN83" s="236">
        <f>AN53/AN$32</f>
        <v>0.16359685583689176</v>
      </c>
      <c r="AP83" s="236">
        <f>AP53/AP$32</f>
        <v>0.16330006783342563</v>
      </c>
      <c r="AR83" s="236">
        <f>AR53/AR$32</f>
        <v>0.16300523829689159</v>
      </c>
      <c r="AT83" s="236">
        <f>AT53/AT$32</f>
        <v>0.1627125459337885</v>
      </c>
      <c r="AV83" s="236">
        <f>AV53/AV$32</f>
        <v>0.16242217458987782</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euil6"/>
  <dimension ref="A1:XFD83"/>
  <sheetViews>
    <sheetView showGridLines="0" workbookViewId="0">
      <pane xSplit="1" ySplit="1" topLeftCell="B2" activePane="bottomRight" state="frozen"/>
      <selection pane="topRight" activeCell="B1" sqref="B1"/>
      <selection pane="bottomLeft" activeCell="A2" sqref="A2"/>
      <selection pane="bottomRight" sqref="A1:XFD1048576"/>
    </sheetView>
  </sheetViews>
  <sheetFormatPr baseColWidth="10" defaultRowHeight="10" x14ac:dyDescent="0.2"/>
  <sheetData>
    <row r="1" spans="1:49" x14ac:dyDescent="0.2">
      <c r="B1" s="94">
        <v>0</v>
      </c>
      <c r="D1" s="94">
        <v>0.05</v>
      </c>
      <c r="F1" s="94">
        <v>0.1</v>
      </c>
      <c r="H1" s="94">
        <v>0.15000000000000002</v>
      </c>
      <c r="J1" s="94">
        <v>0.2</v>
      </c>
      <c r="L1" s="94">
        <v>0.25</v>
      </c>
      <c r="N1" s="94">
        <v>0.3</v>
      </c>
      <c r="P1" s="94">
        <v>0.35</v>
      </c>
      <c r="R1" s="94">
        <v>0.39999999999999997</v>
      </c>
      <c r="T1" s="94">
        <v>0.44999999999999996</v>
      </c>
      <c r="V1" s="94">
        <v>0.49999999999999994</v>
      </c>
      <c r="X1" s="94">
        <v>0.54999999999999993</v>
      </c>
      <c r="Z1" s="94">
        <v>0.6</v>
      </c>
      <c r="AB1" s="94">
        <v>0.65</v>
      </c>
      <c r="AD1" s="94">
        <v>0.70000000000000007</v>
      </c>
      <c r="AF1" s="94">
        <v>0.75000000000000011</v>
      </c>
      <c r="AH1" s="94">
        <v>0.80000000000000016</v>
      </c>
      <c r="AJ1" s="94">
        <v>0.8500000000000002</v>
      </c>
      <c r="AL1" s="94">
        <v>0.90000000000000024</v>
      </c>
      <c r="AN1" s="94">
        <v>0.95000000000000029</v>
      </c>
      <c r="AP1" s="94">
        <v>0.9600000000000003</v>
      </c>
      <c r="AR1" s="94">
        <v>0.97000000000000031</v>
      </c>
      <c r="AT1" s="94">
        <v>0.98000000000000032</v>
      </c>
      <c r="AV1" s="94">
        <v>0.99000000000000032</v>
      </c>
    </row>
    <row r="2" spans="1:49" x14ac:dyDescent="0.2">
      <c r="A2" s="229" t="s">
        <v>155</v>
      </c>
      <c r="B2" s="226">
        <v>5.7716594496607888E-3</v>
      </c>
      <c r="C2" s="227"/>
      <c r="D2" s="226">
        <v>4.2247839491710133E-2</v>
      </c>
      <c r="E2" s="227"/>
      <c r="F2" s="226">
        <v>8.10265021341013E-2</v>
      </c>
      <c r="G2" s="227"/>
      <c r="H2" s="226">
        <v>0.12226979430751463</v>
      </c>
      <c r="I2" s="227"/>
      <c r="J2" s="226">
        <v>0.16614144861941321</v>
      </c>
      <c r="K2" s="227"/>
      <c r="L2" s="226">
        <v>0.2128022377042765</v>
      </c>
      <c r="M2" s="227"/>
      <c r="N2" s="226">
        <v>0.26240964051165938</v>
      </c>
      <c r="O2" s="227"/>
      <c r="P2" s="226">
        <v>0.31512270304422552</v>
      </c>
      <c r="Q2" s="227"/>
      <c r="R2" s="226">
        <v>0.37112682732226737</v>
      </c>
      <c r="S2" s="227"/>
      <c r="T2" s="226">
        <v>0.43069845870087142</v>
      </c>
      <c r="U2" s="227"/>
      <c r="V2" s="226">
        <v>0.49437955586841248</v>
      </c>
      <c r="W2" s="227"/>
      <c r="X2" s="226">
        <v>0.56337511521148032</v>
      </c>
      <c r="Y2" s="227"/>
      <c r="Z2" s="226">
        <v>0.64044030923865947</v>
      </c>
      <c r="AA2" s="227"/>
      <c r="AB2" s="226">
        <v>0.73182164154811413</v>
      </c>
      <c r="AC2" s="227"/>
      <c r="AD2" s="226">
        <v>0.85153591246490912</v>
      </c>
      <c r="AE2" s="227"/>
      <c r="AF2" s="226">
        <v>1.0315589751327912</v>
      </c>
      <c r="AG2" s="227"/>
      <c r="AH2" s="226">
        <v>1.3510019356085934</v>
      </c>
      <c r="AI2" s="227"/>
      <c r="AJ2" s="226">
        <v>2.044472381892418</v>
      </c>
      <c r="AK2" s="227"/>
      <c r="AL2" s="226">
        <v>4.0245275050213163</v>
      </c>
      <c r="AM2" s="227"/>
      <c r="AN2" s="226">
        <v>12.906857178683266</v>
      </c>
      <c r="AO2" s="227"/>
      <c r="AP2" s="226">
        <v>18.289600474582755</v>
      </c>
      <c r="AQ2" s="227"/>
      <c r="AR2" s="226">
        <v>28.10520146708409</v>
      </c>
      <c r="AS2" s="227"/>
      <c r="AT2" s="226">
        <v>49.793341534314187</v>
      </c>
      <c r="AU2" s="227"/>
      <c r="AV2" s="226">
        <v>122.72830654694103</v>
      </c>
      <c r="AW2" s="227"/>
    </row>
    <row r="3" spans="1:49" x14ac:dyDescent="0.2">
      <c r="A3" t="s">
        <v>12</v>
      </c>
      <c r="B3" s="84">
        <v>1000</v>
      </c>
      <c r="C3" s="85">
        <v>1000</v>
      </c>
      <c r="D3" s="84">
        <v>999.37292652366148</v>
      </c>
      <c r="E3" s="85">
        <v>1017.8416328595982</v>
      </c>
      <c r="F3" s="84">
        <v>999.14087372655592</v>
      </c>
      <c r="G3" s="85">
        <v>1037.4411221292921</v>
      </c>
      <c r="H3" s="84">
        <v>999.40371470905632</v>
      </c>
      <c r="I3" s="85">
        <v>1059.022188169014</v>
      </c>
      <c r="J3" s="84">
        <v>1000.294022389589</v>
      </c>
      <c r="K3" s="85">
        <v>1082.8464943069373</v>
      </c>
      <c r="L3" s="84">
        <v>1001.991071902256</v>
      </c>
      <c r="M3" s="85">
        <v>1109.224600490697</v>
      </c>
      <c r="N3" s="84">
        <v>1004.7398330771227</v>
      </c>
      <c r="O3" s="85">
        <v>1138.5332693437749</v>
      </c>
      <c r="P3" s="84">
        <v>1008.8801728611174</v>
      </c>
      <c r="Q3" s="85">
        <v>1171.2443787075219</v>
      </c>
      <c r="R3" s="84">
        <v>1014.8889308169751</v>
      </c>
      <c r="S3" s="85">
        <v>1207.9760438222229</v>
      </c>
      <c r="T3" s="84">
        <v>1023.4505948973226</v>
      </c>
      <c r="U3" s="85">
        <v>1249.5896612835525</v>
      </c>
      <c r="V3" s="84">
        <v>1035.5569352168964</v>
      </c>
      <c r="W3" s="85">
        <v>1297.3722470018954</v>
      </c>
      <c r="X3" s="84">
        <v>1052.6720543836252</v>
      </c>
      <c r="Y3" s="85">
        <v>1353.3934660391433</v>
      </c>
      <c r="Z3" s="84">
        <v>1076.9893565866603</v>
      </c>
      <c r="AA3" s="85">
        <v>1421.202422867362</v>
      </c>
      <c r="AB3" s="84">
        <v>1111.8528520396255</v>
      </c>
      <c r="AC3" s="85">
        <v>1507.2125857189528</v>
      </c>
      <c r="AD3" s="84">
        <v>1162.5053401242506</v>
      </c>
      <c r="AE3" s="85">
        <v>1623.5576604805437</v>
      </c>
      <c r="AF3" s="84">
        <v>1237.6958123856466</v>
      </c>
      <c r="AG3" s="85">
        <v>1794.6136341253641</v>
      </c>
      <c r="AH3" s="84">
        <v>1354.0535245175247</v>
      </c>
      <c r="AI3" s="85">
        <v>2075.0369297716029</v>
      </c>
      <c r="AJ3" s="84">
        <v>1549.9688001322943</v>
      </c>
      <c r="AK3" s="85">
        <v>2612.921487159128</v>
      </c>
      <c r="AL3" s="84">
        <v>1932.8572030927073</v>
      </c>
      <c r="AM3" s="85">
        <v>3929.3387189871396</v>
      </c>
      <c r="AN3" s="84">
        <v>2907.7838958251546</v>
      </c>
      <c r="AO3" s="85">
        <v>8914.7719699974095</v>
      </c>
      <c r="AP3" s="84">
        <v>3315.0007994547891</v>
      </c>
      <c r="AQ3" s="85">
        <v>11707.328633606556</v>
      </c>
      <c r="AR3" s="84">
        <v>3916.2253976987085</v>
      </c>
      <c r="AS3" s="85">
        <v>16617.37888391711</v>
      </c>
      <c r="AT3" s="84">
        <v>4926.2984367496829</v>
      </c>
      <c r="AU3" s="85">
        <v>27039.068471077382</v>
      </c>
      <c r="AV3" s="84">
        <v>7173.9586117612007</v>
      </c>
      <c r="AW3" s="85">
        <v>60443.412305817888</v>
      </c>
    </row>
    <row r="4" spans="1:49"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v>1000</v>
      </c>
      <c r="U4" s="102">
        <v>1000</v>
      </c>
      <c r="V4" s="101">
        <v>1000</v>
      </c>
      <c r="W4" s="102">
        <v>1000</v>
      </c>
      <c r="X4" s="101">
        <v>1000</v>
      </c>
      <c r="Y4" s="102">
        <v>1000</v>
      </c>
      <c r="Z4" s="101">
        <v>1000</v>
      </c>
      <c r="AA4" s="102">
        <v>1000</v>
      </c>
      <c r="AB4" s="101">
        <v>1000</v>
      </c>
      <c r="AC4" s="102">
        <v>1000</v>
      </c>
      <c r="AD4" s="101">
        <v>1000</v>
      </c>
      <c r="AE4" s="102">
        <v>1000</v>
      </c>
      <c r="AF4" s="101">
        <v>1000</v>
      </c>
      <c r="AG4" s="102">
        <v>1000</v>
      </c>
      <c r="AH4" s="101">
        <v>1000</v>
      </c>
      <c r="AI4" s="102">
        <v>1000</v>
      </c>
      <c r="AJ4" s="101">
        <v>1000</v>
      </c>
      <c r="AK4" s="102">
        <v>1000</v>
      </c>
      <c r="AL4" s="101">
        <v>1000</v>
      </c>
      <c r="AM4" s="102">
        <v>1000</v>
      </c>
      <c r="AN4" s="101">
        <v>1000</v>
      </c>
      <c r="AO4" s="102">
        <v>1000</v>
      </c>
      <c r="AP4" s="101">
        <v>1000</v>
      </c>
      <c r="AQ4" s="102">
        <v>1000</v>
      </c>
      <c r="AR4" s="101">
        <v>1000</v>
      </c>
      <c r="AS4" s="102">
        <v>1000</v>
      </c>
      <c r="AT4" s="101">
        <v>1000</v>
      </c>
      <c r="AU4" s="102">
        <v>1000</v>
      </c>
      <c r="AV4" s="101">
        <v>1000</v>
      </c>
      <c r="AW4" s="102">
        <v>1000</v>
      </c>
    </row>
    <row r="5" spans="1:49" x14ac:dyDescent="0.2">
      <c r="A5" t="s">
        <v>128</v>
      </c>
      <c r="B5" s="41">
        <v>1000</v>
      </c>
      <c r="C5" s="42">
        <v>1000</v>
      </c>
      <c r="D5" s="41">
        <v>999.34192971028074</v>
      </c>
      <c r="E5" s="42">
        <v>1015.5312743736964</v>
      </c>
      <c r="F5" s="41">
        <v>999.09836216115218</v>
      </c>
      <c r="G5" s="42">
        <v>1032.2850657093561</v>
      </c>
      <c r="H5" s="41">
        <v>999.37424320811544</v>
      </c>
      <c r="I5" s="42">
        <v>1050.3628095928477</v>
      </c>
      <c r="J5" s="41">
        <v>1000.3084960215356</v>
      </c>
      <c r="K5" s="42">
        <v>1069.873650292363</v>
      </c>
      <c r="L5" s="41">
        <v>1002.0883470679867</v>
      </c>
      <c r="M5" s="42">
        <v>1090.9351858261991</v>
      </c>
      <c r="N5" s="41">
        <v>1004.9685534062543</v>
      </c>
      <c r="O5" s="42">
        <v>1113.6772907677068</v>
      </c>
      <c r="P5" s="41">
        <v>1009.3007027362339</v>
      </c>
      <c r="Q5" s="42">
        <v>1138.2493491759094</v>
      </c>
      <c r="R5" s="41">
        <v>1015.5748205592417</v>
      </c>
      <c r="S5" s="42">
        <v>1164.8388982823988</v>
      </c>
      <c r="T5" s="41">
        <v>1024.4884538949955</v>
      </c>
      <c r="U5" s="42">
        <v>1193.7008976754889</v>
      </c>
      <c r="V5" s="41">
        <v>1037.0415132336507</v>
      </c>
      <c r="W5" s="42">
        <v>1225.2252626295997</v>
      </c>
      <c r="X5" s="41">
        <v>1054.6900228284612</v>
      </c>
      <c r="Y5" s="42">
        <v>1260.0449723255322</v>
      </c>
      <c r="Z5" s="41">
        <v>1079.5772893375558</v>
      </c>
      <c r="AA5" s="42">
        <v>1299.2158995870948</v>
      </c>
      <c r="AB5" s="41">
        <v>1114.8986401135678</v>
      </c>
      <c r="AC5" s="42">
        <v>1344.454923294908</v>
      </c>
      <c r="AD5" s="41">
        <v>1165.5272904470967</v>
      </c>
      <c r="AE5" s="42">
        <v>1398.3377971113646</v>
      </c>
      <c r="AF5" s="41">
        <v>1239.3438501407388</v>
      </c>
      <c r="AG5" s="42">
        <v>1464.1031492087659</v>
      </c>
      <c r="AH5" s="41">
        <v>1350.8575262986135</v>
      </c>
      <c r="AI5" s="42">
        <v>1544.1331392978134</v>
      </c>
      <c r="AJ5" s="41">
        <v>1532.4038644667717</v>
      </c>
      <c r="AK5" s="42">
        <v>1634.5503283149412</v>
      </c>
      <c r="AL5" s="41">
        <v>1869.1367485701765</v>
      </c>
      <c r="AM5" s="42">
        <v>1712.8263459219893</v>
      </c>
      <c r="AN5" s="41">
        <v>2643.4820543206874</v>
      </c>
      <c r="AO5" s="42">
        <v>1746.7556972256702</v>
      </c>
      <c r="AP5" s="41">
        <v>2937.622198680157</v>
      </c>
      <c r="AQ5" s="42">
        <v>1748.6032129469681</v>
      </c>
      <c r="AR5" s="41">
        <v>3344.8729173068637</v>
      </c>
      <c r="AS5" s="42">
        <v>1749.5560408342706</v>
      </c>
      <c r="AT5" s="41">
        <v>3965.459358632711</v>
      </c>
      <c r="AU5" s="42">
        <v>1749.9500673830403</v>
      </c>
      <c r="AV5" s="41">
        <v>5117.6158164992266</v>
      </c>
      <c r="AW5" s="42">
        <v>1750.0585741682369</v>
      </c>
    </row>
    <row r="6" spans="1:49" x14ac:dyDescent="0.2">
      <c r="A6" t="s">
        <v>77</v>
      </c>
      <c r="B6" s="41">
        <v>999.99999999999943</v>
      </c>
      <c r="C6" s="42">
        <v>999.99999999999909</v>
      </c>
      <c r="D6" s="41">
        <v>999.29162925820549</v>
      </c>
      <c r="E6" s="42">
        <v>1019.2322792482822</v>
      </c>
      <c r="F6" s="41">
        <v>999.02946261450745</v>
      </c>
      <c r="G6" s="42">
        <v>1040.3013093633992</v>
      </c>
      <c r="H6" s="41">
        <v>999.32641168548219</v>
      </c>
      <c r="I6" s="42">
        <v>1063.4357353325975</v>
      </c>
      <c r="J6" s="41">
        <v>1000.3321014223981</v>
      </c>
      <c r="K6" s="42">
        <v>1088.902794788756</v>
      </c>
      <c r="L6" s="41">
        <v>1002.2484442094714</v>
      </c>
      <c r="M6" s="42">
        <v>1117.0196171470411</v>
      </c>
      <c r="N6" s="41">
        <v>1005.3506321584147</v>
      </c>
      <c r="O6" s="42">
        <v>1148.1711340330569</v>
      </c>
      <c r="P6" s="41">
        <v>1010.0192485944084</v>
      </c>
      <c r="Q6" s="42">
        <v>1182.8400526073187</v>
      </c>
      <c r="R6" s="41">
        <v>1016.7861377782318</v>
      </c>
      <c r="S6" s="42">
        <v>1221.6598786234288</v>
      </c>
      <c r="T6" s="41">
        <v>1026.4110522960866</v>
      </c>
      <c r="U6" s="42">
        <v>1265.5155519691621</v>
      </c>
      <c r="V6" s="41">
        <v>1039.9881184448598</v>
      </c>
      <c r="W6" s="42">
        <v>1315.7321982647713</v>
      </c>
      <c r="X6" s="41">
        <v>1059.1205812632397</v>
      </c>
      <c r="Y6" s="42">
        <v>1374.4440604534939</v>
      </c>
      <c r="Z6" s="41">
        <v>1086.1887799994438</v>
      </c>
      <c r="AA6" s="42">
        <v>1445.3127855532532</v>
      </c>
      <c r="AB6" s="41">
        <v>1124.7839148123569</v>
      </c>
      <c r="AC6" s="42">
        <v>1534.9515271513881</v>
      </c>
      <c r="AD6" s="41">
        <v>1180.4734832248548</v>
      </c>
      <c r="AE6" s="42">
        <v>1655.8547762646963</v>
      </c>
      <c r="AF6" s="41">
        <v>1262.456157503997</v>
      </c>
      <c r="AG6" s="42">
        <v>1833.0800170689306</v>
      </c>
      <c r="AH6" s="41">
        <v>1388.1103787615275</v>
      </c>
      <c r="AI6" s="42">
        <v>2122.7263626305039</v>
      </c>
      <c r="AJ6" s="41">
        <v>1597.458071199138</v>
      </c>
      <c r="AK6" s="42">
        <v>2676.661265358417</v>
      </c>
      <c r="AL6" s="41">
        <v>2002.2466631839984</v>
      </c>
      <c r="AM6" s="42">
        <v>4029.1109094852845</v>
      </c>
      <c r="AN6" s="41">
        <v>3023.575616240204</v>
      </c>
      <c r="AO6" s="42">
        <v>9144.514659737446</v>
      </c>
      <c r="AP6" s="41">
        <v>3448.7583234911053</v>
      </c>
      <c r="AQ6" s="42">
        <v>12009.270557895008</v>
      </c>
      <c r="AR6" s="41">
        <v>4075.928874782343</v>
      </c>
      <c r="AS6" s="42">
        <v>17046.124627224046</v>
      </c>
      <c r="AT6" s="41">
        <v>5128.8192382373954</v>
      </c>
      <c r="AU6" s="42">
        <v>27736.818554928603</v>
      </c>
      <c r="AV6" s="41">
        <v>7470.497281067248</v>
      </c>
      <c r="AW6" s="42">
        <v>62003.240082804979</v>
      </c>
    </row>
    <row r="7" spans="1:49" x14ac:dyDescent="0.2">
      <c r="A7" t="s">
        <v>13</v>
      </c>
      <c r="B7" s="33">
        <v>1015.9116825427475</v>
      </c>
      <c r="C7" s="34">
        <v>1015.9116825427475</v>
      </c>
      <c r="D7" s="33">
        <v>1015.2431412474873</v>
      </c>
      <c r="E7" s="34">
        <v>1015.2431412474873</v>
      </c>
      <c r="F7" s="33">
        <v>1014.9956981288393</v>
      </c>
      <c r="G7" s="34">
        <v>1014.9956981288393</v>
      </c>
      <c r="H7" s="33">
        <v>1015.2759689074414</v>
      </c>
      <c r="I7" s="34">
        <v>1015.2759689074414</v>
      </c>
      <c r="J7" s="33">
        <v>1016.2250872550434</v>
      </c>
      <c r="K7" s="34">
        <v>1016.2250872550434</v>
      </c>
      <c r="L7" s="33">
        <v>1018.033258726319</v>
      </c>
      <c r="M7" s="34">
        <v>1018.033258726319</v>
      </c>
      <c r="N7" s="33">
        <v>1020.9592939934987</v>
      </c>
      <c r="O7" s="34">
        <v>1020.9592939934987</v>
      </c>
      <c r="P7" s="33">
        <v>1025.3603751083447</v>
      </c>
      <c r="Q7" s="34">
        <v>1025.3603751083447</v>
      </c>
      <c r="R7" s="33">
        <v>1031.734324702388</v>
      </c>
      <c r="S7" s="34">
        <v>1031.734324702388</v>
      </c>
      <c r="T7" s="33">
        <v>1040.7897889420829</v>
      </c>
      <c r="U7" s="34">
        <v>1040.7897889420829</v>
      </c>
      <c r="V7" s="33">
        <v>1053.542588575875</v>
      </c>
      <c r="W7" s="34">
        <v>1053.542588575875</v>
      </c>
      <c r="X7" s="33">
        <v>1071.4719156527108</v>
      </c>
      <c r="Y7" s="34">
        <v>1071.4719156527108</v>
      </c>
      <c r="Z7" s="33">
        <v>1096.7551804458549</v>
      </c>
      <c r="AA7" s="34">
        <v>1096.7551804458549</v>
      </c>
      <c r="AB7" s="33">
        <v>1132.6385533423957</v>
      </c>
      <c r="AC7" s="34">
        <v>1132.6385533423957</v>
      </c>
      <c r="AD7" s="33">
        <v>1184.0727906875995</v>
      </c>
      <c r="AE7" s="34">
        <v>1184.0727906875995</v>
      </c>
      <c r="AF7" s="33">
        <v>1259.0638960454846</v>
      </c>
      <c r="AG7" s="34">
        <v>1259.0638960454846</v>
      </c>
      <c r="AH7" s="33">
        <v>1372.3519424175581</v>
      </c>
      <c r="AI7" s="34">
        <v>1372.3519424175581</v>
      </c>
      <c r="AJ7" s="33">
        <v>1556.7869882854463</v>
      </c>
      <c r="AK7" s="34">
        <v>1556.7869882854463</v>
      </c>
      <c r="AL7" s="33">
        <v>1898.8778591424082</v>
      </c>
      <c r="AM7" s="34">
        <v>1898.8778591424082</v>
      </c>
      <c r="AN7" s="33">
        <v>2685.5443015764881</v>
      </c>
      <c r="AO7" s="34">
        <v>2685.5443015764881</v>
      </c>
      <c r="AP7" s="33">
        <v>2984.3647105360833</v>
      </c>
      <c r="AQ7" s="34">
        <v>2984.3647105360833</v>
      </c>
      <c r="AR7" s="33">
        <v>3398.0954733128838</v>
      </c>
      <c r="AS7" s="34">
        <v>3398.0954733128838</v>
      </c>
      <c r="AT7" s="33">
        <v>4028.5564890834416</v>
      </c>
      <c r="AU7" s="34">
        <v>4028.5564890834416</v>
      </c>
      <c r="AV7" s="33">
        <v>5199.0456947471057</v>
      </c>
      <c r="AW7" s="34">
        <v>5199.0456947471057</v>
      </c>
    </row>
    <row r="8" spans="1:49" x14ac:dyDescent="0.2">
      <c r="B8" s="35">
        <v>1005.7716594496609</v>
      </c>
      <c r="C8" s="36">
        <v>1005.7716594496609</v>
      </c>
      <c r="D8" s="35">
        <v>1058.4352766522481</v>
      </c>
      <c r="E8" s="36">
        <v>1058.4352766522481</v>
      </c>
      <c r="F8" s="35">
        <v>1115.9275137890561</v>
      </c>
      <c r="G8" s="36">
        <v>1115.9275137890561</v>
      </c>
      <c r="H8" s="35">
        <v>1178.7904542700282</v>
      </c>
      <c r="I8" s="36">
        <v>1178.7904542700282</v>
      </c>
      <c r="J8" s="35">
        <v>1247.6240083916757</v>
      </c>
      <c r="K8" s="36">
        <v>1247.6240083916757</v>
      </c>
      <c r="L8" s="35">
        <v>1323.0886345603449</v>
      </c>
      <c r="M8" s="36">
        <v>1323.0886345603449</v>
      </c>
      <c r="N8" s="35">
        <v>1405.9169482840596</v>
      </c>
      <c r="O8" s="36">
        <v>1405.9169482840596</v>
      </c>
      <c r="P8" s="35">
        <v>1496.9375608265525</v>
      </c>
      <c r="Q8" s="36">
        <v>1496.9375608265525</v>
      </c>
      <c r="R8" s="35">
        <v>1597.1418629435109</v>
      </c>
      <c r="S8" s="36">
        <v>1597.1418629435109</v>
      </c>
      <c r="T8" s="35">
        <v>1707.8260344541688</v>
      </c>
      <c r="U8" s="36">
        <v>1707.8260344541688</v>
      </c>
      <c r="V8" s="35">
        <v>1830.9515838071802</v>
      </c>
      <c r="W8" s="36">
        <v>1830.9515838071802</v>
      </c>
      <c r="X8" s="35">
        <v>1969.9229537810754</v>
      </c>
      <c r="Y8" s="36">
        <v>1969.9229537810754</v>
      </c>
      <c r="Z8" s="35">
        <v>2131.2861320864367</v>
      </c>
      <c r="AA8" s="36">
        <v>2131.2861320864367</v>
      </c>
      <c r="AB8" s="35">
        <v>2328.3561322480314</v>
      </c>
      <c r="AC8" s="36">
        <v>2328.3561322480314</v>
      </c>
      <c r="AD8" s="35">
        <v>2589.0726491087612</v>
      </c>
      <c r="AE8" s="36">
        <v>2589.0726491087612</v>
      </c>
      <c r="AF8" s="35">
        <v>2974.411893295252</v>
      </c>
      <c r="AG8" s="36">
        <v>2974.411893295252</v>
      </c>
      <c r="AH8" s="35">
        <v>3630.259999326533</v>
      </c>
      <c r="AI8" s="36">
        <v>3630.259999326533</v>
      </c>
      <c r="AJ8" s="35">
        <v>4976.3433313680225</v>
      </c>
      <c r="AK8" s="36">
        <v>4976.3433313680225</v>
      </c>
      <c r="AL8" s="35">
        <v>8606.1430864101912</v>
      </c>
      <c r="AM8" s="36">
        <v>8606.1430864101912</v>
      </c>
      <c r="AN8" s="35">
        <v>24291.882007368706</v>
      </c>
      <c r="AO8" s="36">
        <v>24291.882007368706</v>
      </c>
      <c r="AP8" s="35">
        <v>33729.857366318771</v>
      </c>
      <c r="AQ8" s="36">
        <v>33729.857366318771</v>
      </c>
      <c r="AR8" s="35">
        <v>50921.181046435442</v>
      </c>
      <c r="AS8" s="36">
        <v>50921.181046435442</v>
      </c>
      <c r="AT8" s="35">
        <v>88885.811440582896</v>
      </c>
      <c r="AU8" s="36">
        <v>88885.811440582896</v>
      </c>
      <c r="AV8" s="35">
        <v>216531.78373979015</v>
      </c>
      <c r="AW8" s="36">
        <v>216531.78373979015</v>
      </c>
    </row>
    <row r="9" spans="1:49" x14ac:dyDescent="0.2">
      <c r="A9" t="s">
        <v>14</v>
      </c>
      <c r="B9" s="41">
        <v>1015.9116825427475</v>
      </c>
      <c r="C9" s="42">
        <v>1005.7716594496609</v>
      </c>
      <c r="D9" s="41">
        <v>1015.2431412474873</v>
      </c>
      <c r="E9" s="42">
        <v>1058.4352766522481</v>
      </c>
      <c r="F9" s="41">
        <v>1014.9956981288393</v>
      </c>
      <c r="G9" s="42">
        <v>1115.9275137890561</v>
      </c>
      <c r="H9" s="41">
        <v>1015.2759689074414</v>
      </c>
      <c r="I9" s="42">
        <v>1178.7904542700282</v>
      </c>
      <c r="J9" s="41">
        <v>1016.2250872550434</v>
      </c>
      <c r="K9" s="42">
        <v>1247.6240083916757</v>
      </c>
      <c r="L9" s="41">
        <v>1018.033258726319</v>
      </c>
      <c r="M9" s="42">
        <v>1323.0886345603449</v>
      </c>
      <c r="N9" s="41">
        <v>1020.9592939934987</v>
      </c>
      <c r="O9" s="42">
        <v>1405.9169482840596</v>
      </c>
      <c r="P9" s="41">
        <v>1025.3603751083447</v>
      </c>
      <c r="Q9" s="42">
        <v>1496.9375608265525</v>
      </c>
      <c r="R9" s="41">
        <v>1031.734324702388</v>
      </c>
      <c r="S9" s="42">
        <v>1597.1418629435109</v>
      </c>
      <c r="T9" s="41">
        <v>1040.7897889420829</v>
      </c>
      <c r="U9" s="42">
        <v>1707.8260344541688</v>
      </c>
      <c r="V9" s="41">
        <v>1053.542588575875</v>
      </c>
      <c r="W9" s="42">
        <v>1830.9515838071802</v>
      </c>
      <c r="X9" s="41">
        <v>1071.4719156527108</v>
      </c>
      <c r="Y9" s="42">
        <v>1969.9229537810754</v>
      </c>
      <c r="Z9" s="41">
        <v>1096.7551804458549</v>
      </c>
      <c r="AA9" s="42">
        <v>2131.2861320864367</v>
      </c>
      <c r="AB9" s="41">
        <v>1132.6385533423957</v>
      </c>
      <c r="AC9" s="42">
        <v>2328.3561322480314</v>
      </c>
      <c r="AD9" s="41">
        <v>1184.0727906875995</v>
      </c>
      <c r="AE9" s="42">
        <v>2589.0726491087612</v>
      </c>
      <c r="AF9" s="41">
        <v>1259.0638960454846</v>
      </c>
      <c r="AG9" s="42">
        <v>2974.411893295252</v>
      </c>
      <c r="AH9" s="41">
        <v>1372.3519424175581</v>
      </c>
      <c r="AI9" s="42">
        <v>3630.259999326533</v>
      </c>
      <c r="AJ9" s="41">
        <v>1556.7869882854463</v>
      </c>
      <c r="AK9" s="42">
        <v>4976.3433313680225</v>
      </c>
      <c r="AL9" s="41">
        <v>1898.8778591424082</v>
      </c>
      <c r="AM9" s="42">
        <v>8606.1430864101912</v>
      </c>
      <c r="AN9" s="41">
        <v>2685.5443015764881</v>
      </c>
      <c r="AO9" s="42">
        <v>24291.882007368706</v>
      </c>
      <c r="AP9" s="41">
        <v>2984.3647105360833</v>
      </c>
      <c r="AQ9" s="42">
        <v>33729.857366318771</v>
      </c>
      <c r="AR9" s="41">
        <v>3398.0954733128838</v>
      </c>
      <c r="AS9" s="42">
        <v>50921.181046435442</v>
      </c>
      <c r="AT9" s="41">
        <v>4028.5564890834416</v>
      </c>
      <c r="AU9" s="42">
        <v>88885.811440582896</v>
      </c>
      <c r="AV9" s="41">
        <v>5199.0456947471057</v>
      </c>
      <c r="AW9" s="42">
        <v>216531.78373979015</v>
      </c>
    </row>
    <row r="10" spans="1:49" x14ac:dyDescent="0.2">
      <c r="A10" t="s">
        <v>15</v>
      </c>
      <c r="B10" s="41">
        <v>1015.9116825427475</v>
      </c>
      <c r="C10" s="42">
        <v>1005.7716594496609</v>
      </c>
      <c r="D10" s="41">
        <v>1015.2431412474873</v>
      </c>
      <c r="E10" s="42">
        <v>1058.4352766522481</v>
      </c>
      <c r="F10" s="41">
        <v>1014.9956981288393</v>
      </c>
      <c r="G10" s="42">
        <v>1115.9275137890561</v>
      </c>
      <c r="H10" s="41">
        <v>1015.2759689074414</v>
      </c>
      <c r="I10" s="42">
        <v>1178.7904542700282</v>
      </c>
      <c r="J10" s="41">
        <v>1016.2250872550434</v>
      </c>
      <c r="K10" s="42">
        <v>1247.6240083916757</v>
      </c>
      <c r="L10" s="41">
        <v>1018.033258726319</v>
      </c>
      <c r="M10" s="42">
        <v>1323.0886345603449</v>
      </c>
      <c r="N10" s="41">
        <v>1020.9592939934987</v>
      </c>
      <c r="O10" s="42">
        <v>1405.9169482840596</v>
      </c>
      <c r="P10" s="41">
        <v>1025.3603751083447</v>
      </c>
      <c r="Q10" s="42">
        <v>1496.9375608265525</v>
      </c>
      <c r="R10" s="41">
        <v>1031.734324702388</v>
      </c>
      <c r="S10" s="42">
        <v>1597.1418629435109</v>
      </c>
      <c r="T10" s="41">
        <v>1040.7897889420829</v>
      </c>
      <c r="U10" s="42">
        <v>1707.8260344541688</v>
      </c>
      <c r="V10" s="41">
        <v>1053.542588575875</v>
      </c>
      <c r="W10" s="42">
        <v>1830.9515838071802</v>
      </c>
      <c r="X10" s="41">
        <v>1071.4719156527108</v>
      </c>
      <c r="Y10" s="42">
        <v>1969.9229537810754</v>
      </c>
      <c r="Z10" s="41">
        <v>1096.7551804458549</v>
      </c>
      <c r="AA10" s="42">
        <v>2131.2861320864367</v>
      </c>
      <c r="AB10" s="41">
        <v>1132.6385533423957</v>
      </c>
      <c r="AC10" s="42">
        <v>2328.3561322480314</v>
      </c>
      <c r="AD10" s="41">
        <v>1184.0727906875995</v>
      </c>
      <c r="AE10" s="42">
        <v>2589.0726491087612</v>
      </c>
      <c r="AF10" s="41">
        <v>1259.0638960454846</v>
      </c>
      <c r="AG10" s="42">
        <v>2974.411893295252</v>
      </c>
      <c r="AH10" s="41">
        <v>1372.3519424175581</v>
      </c>
      <c r="AI10" s="42">
        <v>3630.259999326533</v>
      </c>
      <c r="AJ10" s="41">
        <v>1556.7869882854463</v>
      </c>
      <c r="AK10" s="42">
        <v>4976.3433313680225</v>
      </c>
      <c r="AL10" s="41">
        <v>1898.8778591424082</v>
      </c>
      <c r="AM10" s="42">
        <v>8606.1430864101912</v>
      </c>
      <c r="AN10" s="41">
        <v>2685.5443015764881</v>
      </c>
      <c r="AO10" s="42">
        <v>24291.882007368706</v>
      </c>
      <c r="AP10" s="41">
        <v>2984.3647105360833</v>
      </c>
      <c r="AQ10" s="42">
        <v>33729.857366318771</v>
      </c>
      <c r="AR10" s="41">
        <v>3398.0954733128838</v>
      </c>
      <c r="AS10" s="42">
        <v>50921.181046435442</v>
      </c>
      <c r="AT10" s="41">
        <v>4028.5564890834416</v>
      </c>
      <c r="AU10" s="42">
        <v>88885.811440582896</v>
      </c>
      <c r="AV10" s="41">
        <v>5199.0456947471057</v>
      </c>
      <c r="AW10" s="42">
        <v>216531.78373979015</v>
      </c>
    </row>
    <row r="11" spans="1:49" x14ac:dyDescent="0.2">
      <c r="A11" t="s">
        <v>29</v>
      </c>
      <c r="B11" s="41">
        <v>1015.9116825427475</v>
      </c>
      <c r="C11" s="42">
        <v>1005.7716594496609</v>
      </c>
      <c r="D11" s="41">
        <v>1015.2431412474873</v>
      </c>
      <c r="E11" s="42">
        <v>1058.4352766522481</v>
      </c>
      <c r="F11" s="41">
        <v>1014.9956981288393</v>
      </c>
      <c r="G11" s="42">
        <v>1115.9275137890561</v>
      </c>
      <c r="H11" s="41">
        <v>1015.2759689074414</v>
      </c>
      <c r="I11" s="42">
        <v>1178.7904542700282</v>
      </c>
      <c r="J11" s="41">
        <v>1016.2250872550434</v>
      </c>
      <c r="K11" s="42">
        <v>1247.6240083916757</v>
      </c>
      <c r="L11" s="41">
        <v>1018.033258726319</v>
      </c>
      <c r="M11" s="42">
        <v>1323.0886345603449</v>
      </c>
      <c r="N11" s="41">
        <v>1020.9592939934987</v>
      </c>
      <c r="O11" s="42">
        <v>1405.9169482840596</v>
      </c>
      <c r="P11" s="41">
        <v>1025.3603751083447</v>
      </c>
      <c r="Q11" s="42">
        <v>1496.9375608265525</v>
      </c>
      <c r="R11" s="41">
        <v>1031.734324702388</v>
      </c>
      <c r="S11" s="42">
        <v>1597.1418629435109</v>
      </c>
      <c r="T11" s="41">
        <v>1040.7897889420829</v>
      </c>
      <c r="U11" s="42">
        <v>1707.8260344541688</v>
      </c>
      <c r="V11" s="41">
        <v>1053.542588575875</v>
      </c>
      <c r="W11" s="42">
        <v>1830.9515838071802</v>
      </c>
      <c r="X11" s="41">
        <v>1071.4719156527108</v>
      </c>
      <c r="Y11" s="42">
        <v>1969.9229537810754</v>
      </c>
      <c r="Z11" s="41">
        <v>1096.7551804458549</v>
      </c>
      <c r="AA11" s="42">
        <v>2131.2861320864367</v>
      </c>
      <c r="AB11" s="41">
        <v>1132.6385533423957</v>
      </c>
      <c r="AC11" s="42">
        <v>2328.3561322480314</v>
      </c>
      <c r="AD11" s="41">
        <v>1184.0727906875995</v>
      </c>
      <c r="AE11" s="42">
        <v>2589.0726491087612</v>
      </c>
      <c r="AF11" s="41">
        <v>1259.0638960454846</v>
      </c>
      <c r="AG11" s="42">
        <v>2974.411893295252</v>
      </c>
      <c r="AH11" s="41">
        <v>1372.3519424175581</v>
      </c>
      <c r="AI11" s="42">
        <v>3630.259999326533</v>
      </c>
      <c r="AJ11" s="41">
        <v>1556.7869882854463</v>
      </c>
      <c r="AK11" s="42">
        <v>4976.3433313680225</v>
      </c>
      <c r="AL11" s="41">
        <v>1898.8778591424082</v>
      </c>
      <c r="AM11" s="42">
        <v>8606.1430864101912</v>
      </c>
      <c r="AN11" s="41">
        <v>2685.5443015764881</v>
      </c>
      <c r="AO11" s="42">
        <v>24291.882007368706</v>
      </c>
      <c r="AP11" s="41">
        <v>2984.3647105360833</v>
      </c>
      <c r="AQ11" s="42">
        <v>33729.857366318771</v>
      </c>
      <c r="AR11" s="41">
        <v>3398.0954733128838</v>
      </c>
      <c r="AS11" s="42">
        <v>50921.181046435442</v>
      </c>
      <c r="AT11" s="41">
        <v>4028.5564890834416</v>
      </c>
      <c r="AU11" s="42">
        <v>88885.811440582896</v>
      </c>
      <c r="AV11" s="41">
        <v>5199.0456947471057</v>
      </c>
      <c r="AW11" s="42">
        <v>216531.78373979015</v>
      </c>
    </row>
    <row r="12" spans="1:49"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v>1000</v>
      </c>
      <c r="AA12" s="42">
        <v>1000</v>
      </c>
      <c r="AB12" s="41">
        <v>1000</v>
      </c>
      <c r="AC12" s="42">
        <v>1000</v>
      </c>
      <c r="AD12" s="41">
        <v>1000</v>
      </c>
      <c r="AE12" s="42">
        <v>1000</v>
      </c>
      <c r="AF12" s="41">
        <v>1000</v>
      </c>
      <c r="AG12" s="42">
        <v>1000</v>
      </c>
      <c r="AH12" s="41">
        <v>1000</v>
      </c>
      <c r="AI12" s="42">
        <v>1000</v>
      </c>
      <c r="AJ12" s="41">
        <v>1000</v>
      </c>
      <c r="AK12" s="42">
        <v>1000</v>
      </c>
      <c r="AL12" s="41">
        <v>1000</v>
      </c>
      <c r="AM12" s="42">
        <v>1000</v>
      </c>
      <c r="AN12" s="41">
        <v>1000</v>
      </c>
      <c r="AO12" s="42">
        <v>1000</v>
      </c>
      <c r="AP12" s="41">
        <v>1000</v>
      </c>
      <c r="AQ12" s="42">
        <v>1000</v>
      </c>
      <c r="AR12" s="41">
        <v>1000</v>
      </c>
      <c r="AS12" s="42">
        <v>1000</v>
      </c>
      <c r="AT12" s="41">
        <v>1000</v>
      </c>
      <c r="AU12" s="42">
        <v>1000</v>
      </c>
      <c r="AV12" s="41">
        <v>1000</v>
      </c>
      <c r="AW12" s="42">
        <v>1000</v>
      </c>
    </row>
    <row r="13" spans="1:49" x14ac:dyDescent="0.2">
      <c r="A13" t="s">
        <v>17</v>
      </c>
      <c r="B13" s="97">
        <v>1000</v>
      </c>
      <c r="C13" s="98">
        <v>1000</v>
      </c>
      <c r="D13" s="97">
        <v>995.18687051570589</v>
      </c>
      <c r="E13" s="98">
        <v>995.18687051570589</v>
      </c>
      <c r="F13" s="97">
        <v>990.49153190577317</v>
      </c>
      <c r="G13" s="98">
        <v>990.49153190577317</v>
      </c>
      <c r="H13" s="97">
        <v>985.98723926794605</v>
      </c>
      <c r="I13" s="98">
        <v>985.98723926794605</v>
      </c>
      <c r="J13" s="97">
        <v>981.77720425679695</v>
      </c>
      <c r="K13" s="98">
        <v>981.77720425679695</v>
      </c>
      <c r="L13" s="97">
        <v>978.00840252813589</v>
      </c>
      <c r="M13" s="98">
        <v>978.00840252813589</v>
      </c>
      <c r="N13" s="97">
        <v>974.89004073319825</v>
      </c>
      <c r="O13" s="98">
        <v>974.89004073319825</v>
      </c>
      <c r="P13" s="97">
        <v>972.72207930053912</v>
      </c>
      <c r="Q13" s="98">
        <v>972.72207930053912</v>
      </c>
      <c r="R13" s="97">
        <v>971.93574347923379</v>
      </c>
      <c r="S13" s="98">
        <v>971.93574347923379</v>
      </c>
      <c r="T13" s="97">
        <v>973.16222771740206</v>
      </c>
      <c r="U13" s="98">
        <v>973.16222771740206</v>
      </c>
      <c r="V13" s="97">
        <v>977.32721015298193</v>
      </c>
      <c r="W13" s="98">
        <v>977.32721015298193</v>
      </c>
      <c r="X13" s="97">
        <v>985.8080036009934</v>
      </c>
      <c r="Y13" s="98">
        <v>985.8080036009934</v>
      </c>
      <c r="Z13" s="97">
        <v>1000.6763497724613</v>
      </c>
      <c r="AA13" s="98">
        <v>1000.6763497724613</v>
      </c>
      <c r="AB13" s="97">
        <v>1025.0959746587914</v>
      </c>
      <c r="AC13" s="98">
        <v>1025.0959746587914</v>
      </c>
      <c r="AD13" s="97">
        <v>1064.0290458782467</v>
      </c>
      <c r="AE13" s="98">
        <v>1064.0290458782467</v>
      </c>
      <c r="AF13" s="97">
        <v>1125.7623304411063</v>
      </c>
      <c r="AG13" s="98">
        <v>1125.7623304411063</v>
      </c>
      <c r="AH13" s="97">
        <v>1226.1196409633749</v>
      </c>
      <c r="AI13" s="98">
        <v>1226.1196409633749</v>
      </c>
      <c r="AJ13" s="97">
        <v>1402.2133802188339</v>
      </c>
      <c r="AK13" s="98">
        <v>1402.2133802188339</v>
      </c>
      <c r="AL13" s="97">
        <v>1762.1448314962099</v>
      </c>
      <c r="AM13" s="98">
        <v>1762.1448314962099</v>
      </c>
      <c r="AN13" s="97">
        <v>2754.0213491672935</v>
      </c>
      <c r="AO13" s="98">
        <v>2754.0213491672935</v>
      </c>
      <c r="AP13" s="97">
        <v>3199.536583577607</v>
      </c>
      <c r="AQ13" s="98">
        <v>3199.536583577607</v>
      </c>
      <c r="AR13" s="97">
        <v>3890.5057959548071</v>
      </c>
      <c r="AS13" s="98">
        <v>3890.5057959548071</v>
      </c>
      <c r="AT13" s="97">
        <v>5137.7597318913122</v>
      </c>
      <c r="AU13" s="98">
        <v>5137.7597318913122</v>
      </c>
      <c r="AV13" s="97">
        <v>8269.6189622403708</v>
      </c>
      <c r="AW13" s="98">
        <v>8269.6189622403708</v>
      </c>
    </row>
    <row r="14" spans="1:49" x14ac:dyDescent="0.2">
      <c r="A14" t="s">
        <v>36</v>
      </c>
      <c r="B14" s="41">
        <v>1457.0034251455234</v>
      </c>
      <c r="C14" s="42">
        <v>1457.0034251455236</v>
      </c>
      <c r="D14" s="41">
        <v>1449.9906790012378</v>
      </c>
      <c r="E14" s="42">
        <v>1449.990679001238</v>
      </c>
      <c r="F14" s="41">
        <v>1443.1495545643479</v>
      </c>
      <c r="G14" s="42">
        <v>1443.1495545643481</v>
      </c>
      <c r="H14" s="41">
        <v>1436.586784763176</v>
      </c>
      <c r="I14" s="42">
        <v>1436.5867847631762</v>
      </c>
      <c r="J14" s="41">
        <v>1430.4527493319492</v>
      </c>
      <c r="K14" s="42">
        <v>1430.4527493319495</v>
      </c>
      <c r="L14" s="41">
        <v>1424.9615923045956</v>
      </c>
      <c r="M14" s="42">
        <v>1424.9615923045958</v>
      </c>
      <c r="N14" s="41">
        <v>1420.4181284885285</v>
      </c>
      <c r="O14" s="42">
        <v>1420.4181284885287</v>
      </c>
      <c r="P14" s="41">
        <v>1417.2594012555608</v>
      </c>
      <c r="Q14" s="42">
        <v>1417.259401255561</v>
      </c>
      <c r="R14" s="41">
        <v>1416.1137072706044</v>
      </c>
      <c r="S14" s="42">
        <v>1416.1137072706044</v>
      </c>
      <c r="T14" s="41">
        <v>1417.9006990065025</v>
      </c>
      <c r="U14" s="42">
        <v>1417.9006990065027</v>
      </c>
      <c r="V14" s="41">
        <v>1423.9690926808132</v>
      </c>
      <c r="W14" s="42">
        <v>1423.9690926808134</v>
      </c>
      <c r="X14" s="41">
        <v>1436.3256377825178</v>
      </c>
      <c r="Y14" s="42">
        <v>1436.325637782518</v>
      </c>
      <c r="Z14" s="41">
        <v>1457.9888690805958</v>
      </c>
      <c r="AA14" s="42">
        <v>1457.988869080596</v>
      </c>
      <c r="AB14" s="41">
        <v>1493.5683461807475</v>
      </c>
      <c r="AC14" s="42">
        <v>1493.5683461807478</v>
      </c>
      <c r="AD14" s="41">
        <v>1550.2939642989286</v>
      </c>
      <c r="AE14" s="42">
        <v>1550.2939642989288</v>
      </c>
      <c r="AF14" s="41">
        <v>1640.2395713524984</v>
      </c>
      <c r="AG14" s="42">
        <v>1640.2395713524986</v>
      </c>
      <c r="AH14" s="41">
        <v>1786.4605165218366</v>
      </c>
      <c r="AI14" s="42">
        <v>1786.4605165218368</v>
      </c>
      <c r="AJ14" s="41">
        <v>2043.0296977637229</v>
      </c>
      <c r="AK14" s="42">
        <v>2043.0296977637233</v>
      </c>
      <c r="AL14" s="41">
        <v>2567.4510550924588</v>
      </c>
      <c r="AM14" s="42">
        <v>2567.4510550924592</v>
      </c>
      <c r="AN14" s="41">
        <v>4012.6185386606417</v>
      </c>
      <c r="AO14" s="42">
        <v>4012.6185386606421</v>
      </c>
      <c r="AP14" s="41">
        <v>4661.7357611509788</v>
      </c>
      <c r="AQ14" s="42">
        <v>4661.7357611509797</v>
      </c>
      <c r="AR14" s="41">
        <v>5668.480270254664</v>
      </c>
      <c r="AS14" s="42">
        <v>5668.4802702546649</v>
      </c>
      <c r="AT14" s="41">
        <v>7485.7335269403875</v>
      </c>
      <c r="AU14" s="42">
        <v>7485.7335269403884</v>
      </c>
      <c r="AV14" s="41">
        <v>12048.863152632588</v>
      </c>
      <c r="AW14" s="42">
        <v>12048.86315263259</v>
      </c>
    </row>
    <row r="15" spans="1:49" x14ac:dyDescent="0.2">
      <c r="A15" t="s">
        <v>18</v>
      </c>
      <c r="B15" s="154">
        <v>1000</v>
      </c>
      <c r="C15" s="155">
        <v>1000</v>
      </c>
      <c r="D15" s="154">
        <v>999.34192971028074</v>
      </c>
      <c r="E15" s="155">
        <v>999.34192971028074</v>
      </c>
      <c r="F15" s="154">
        <v>999.09836216115218</v>
      </c>
      <c r="G15" s="155">
        <v>999.09836216115218</v>
      </c>
      <c r="H15" s="154">
        <v>999.37424320811544</v>
      </c>
      <c r="I15" s="155">
        <v>999.37424320811544</v>
      </c>
      <c r="J15" s="154">
        <v>1000.3084960215356</v>
      </c>
      <c r="K15" s="155">
        <v>1000.3084960215356</v>
      </c>
      <c r="L15" s="154">
        <v>1002.0883470679867</v>
      </c>
      <c r="M15" s="155">
        <v>1002.0883470679867</v>
      </c>
      <c r="N15" s="154">
        <v>1004.9685534062543</v>
      </c>
      <c r="O15" s="155">
        <v>1004.9685534062543</v>
      </c>
      <c r="P15" s="154">
        <v>1009.3007027362339</v>
      </c>
      <c r="Q15" s="155">
        <v>1009.3007027362339</v>
      </c>
      <c r="R15" s="154">
        <v>1015.5748205592417</v>
      </c>
      <c r="S15" s="155">
        <v>1015.5748205592417</v>
      </c>
      <c r="T15" s="154">
        <v>1024.4884538949955</v>
      </c>
      <c r="U15" s="155">
        <v>1024.4884538949955</v>
      </c>
      <c r="V15" s="154">
        <v>1037.0415132336507</v>
      </c>
      <c r="W15" s="155">
        <v>1037.0415132336507</v>
      </c>
      <c r="X15" s="154">
        <v>1054.6900228284612</v>
      </c>
      <c r="Y15" s="155">
        <v>1054.6900228284612</v>
      </c>
      <c r="Z15" s="154">
        <v>1079.5772893375558</v>
      </c>
      <c r="AA15" s="155">
        <v>1079.5772893375558</v>
      </c>
      <c r="AB15" s="154">
        <v>1114.8986401135678</v>
      </c>
      <c r="AC15" s="155">
        <v>1114.8986401135678</v>
      </c>
      <c r="AD15" s="154">
        <v>1165.5272904470967</v>
      </c>
      <c r="AE15" s="155">
        <v>1165.5272904470967</v>
      </c>
      <c r="AF15" s="154">
        <v>1239.3438501407388</v>
      </c>
      <c r="AG15" s="155">
        <v>1239.3438501407388</v>
      </c>
      <c r="AH15" s="154">
        <v>1350.8575262986135</v>
      </c>
      <c r="AI15" s="155">
        <v>1350.8575262986135</v>
      </c>
      <c r="AJ15" s="154">
        <v>1532.4038644667717</v>
      </c>
      <c r="AK15" s="155">
        <v>1532.4038644667717</v>
      </c>
      <c r="AL15" s="154">
        <v>1869.1367485701765</v>
      </c>
      <c r="AM15" s="155">
        <v>1869.1367485701765</v>
      </c>
      <c r="AN15" s="154">
        <v>2643.4820543206874</v>
      </c>
      <c r="AO15" s="155">
        <v>2643.4820543206874</v>
      </c>
      <c r="AP15" s="154">
        <v>2937.622198680157</v>
      </c>
      <c r="AQ15" s="155">
        <v>2937.622198680157</v>
      </c>
      <c r="AR15" s="154">
        <v>3344.8729173068637</v>
      </c>
      <c r="AS15" s="155">
        <v>3344.8729173068637</v>
      </c>
      <c r="AT15" s="154">
        <v>3965.459358632711</v>
      </c>
      <c r="AU15" s="155">
        <v>3965.459358632711</v>
      </c>
      <c r="AV15" s="154">
        <v>5117.6158164992266</v>
      </c>
      <c r="AW15" s="155">
        <v>5117.6158164992266</v>
      </c>
    </row>
    <row r="16" spans="1:49" s="29" customFormat="1" x14ac:dyDescent="0.2">
      <c r="A16" t="s">
        <v>61</v>
      </c>
      <c r="B16" s="41">
        <v>1000</v>
      </c>
      <c r="C16" s="42">
        <v>1000</v>
      </c>
      <c r="D16" s="41">
        <v>997.12533528708002</v>
      </c>
      <c r="E16" s="42">
        <v>998.15543809281348</v>
      </c>
      <c r="F16" s="41">
        <v>994.50400549028518</v>
      </c>
      <c r="G16" s="42">
        <v>996.63947169543349</v>
      </c>
      <c r="H16" s="41">
        <v>992.22338100552599</v>
      </c>
      <c r="I16" s="42">
        <v>995.54772357035449</v>
      </c>
      <c r="J16" s="41">
        <v>990.40252432189243</v>
      </c>
      <c r="K16" s="42">
        <v>995.00858843363926</v>
      </c>
      <c r="L16" s="41">
        <v>989.20621117508279</v>
      </c>
      <c r="M16" s="42">
        <v>995.19739941101329</v>
      </c>
      <c r="N16" s="41">
        <v>988.86372506251053</v>
      </c>
      <c r="O16" s="42">
        <v>996.35542720689944</v>
      </c>
      <c r="P16" s="41">
        <v>989.69771706102051</v>
      </c>
      <c r="Q16" s="42">
        <v>998.81894787024487</v>
      </c>
      <c r="R16" s="41">
        <v>992.16521996038409</v>
      </c>
      <c r="S16" s="42">
        <v>1003.0605337277932</v>
      </c>
      <c r="T16" s="41">
        <v>996.9265366031251</v>
      </c>
      <c r="U16" s="42">
        <v>1009.7580317577863</v>
      </c>
      <c r="V16" s="41">
        <v>1004.9399968940858</v>
      </c>
      <c r="W16" s="42">
        <v>1019.8893488613382</v>
      </c>
      <c r="X16" s="41">
        <v>1017.6177457393727</v>
      </c>
      <c r="Y16" s="42">
        <v>1034.8872645424869</v>
      </c>
      <c r="Z16" s="41">
        <v>1037.0636518974045</v>
      </c>
      <c r="AA16" s="42">
        <v>1056.8741387725008</v>
      </c>
      <c r="AB16" s="41">
        <v>1066.4567349009701</v>
      </c>
      <c r="AC16" s="42">
        <v>1089.0365028227316</v>
      </c>
      <c r="AD16" s="41">
        <v>1110.722463699748</v>
      </c>
      <c r="AE16" s="42">
        <v>1136.2749326981316</v>
      </c>
      <c r="AF16" s="41">
        <v>1177.9720999195749</v>
      </c>
      <c r="AG16" s="42">
        <v>1206.591718276341</v>
      </c>
      <c r="AH16" s="41">
        <v>1283.4505279338084</v>
      </c>
      <c r="AI16" s="42">
        <v>1314.8854722917013</v>
      </c>
      <c r="AJ16" s="41">
        <v>1462.1290075251802</v>
      </c>
      <c r="AK16" s="42">
        <v>1494.8914520391618</v>
      </c>
      <c r="AL16" s="41">
        <v>1811.6223747294671</v>
      </c>
      <c r="AM16" s="42">
        <v>1838.4058751126527</v>
      </c>
      <c r="AN16" s="41">
        <v>2702.0787690197394</v>
      </c>
      <c r="AO16" s="42">
        <v>2674.8941475969914</v>
      </c>
      <c r="AP16" s="41">
        <v>3075.5934583412018</v>
      </c>
      <c r="AQ16" s="42">
        <v>3011.6934720876138</v>
      </c>
      <c r="AR16" s="41">
        <v>3629.6252290315483</v>
      </c>
      <c r="AS16" s="42">
        <v>3498.078781726078</v>
      </c>
      <c r="AT16" s="41">
        <v>4567.8249222218583</v>
      </c>
      <c r="AU16" s="42">
        <v>4290.7223877379747</v>
      </c>
      <c r="AV16" s="41">
        <v>6685.557517947359</v>
      </c>
      <c r="AW16" s="42">
        <v>5970.6380088927863</v>
      </c>
    </row>
    <row r="17" spans="1:49" x14ac:dyDescent="0.2">
      <c r="A17" t="s">
        <v>62</v>
      </c>
      <c r="B17" s="35">
        <v>1000.0000000000002</v>
      </c>
      <c r="C17" s="36">
        <v>999.99999999999977</v>
      </c>
      <c r="D17" s="35">
        <v>999.40175316433795</v>
      </c>
      <c r="E17" s="36">
        <v>1026.9114123997424</v>
      </c>
      <c r="F17" s="35">
        <v>999.18040579052092</v>
      </c>
      <c r="G17" s="36">
        <v>1056.3330724858004</v>
      </c>
      <c r="H17" s="35">
        <v>999.43111795784444</v>
      </c>
      <c r="I17" s="36">
        <v>1088.5639604251439</v>
      </c>
      <c r="J17" s="35">
        <v>1000.2805606629676</v>
      </c>
      <c r="K17" s="36">
        <v>1123.9454734788314</v>
      </c>
      <c r="L17" s="35">
        <v>1001.9006168794631</v>
      </c>
      <c r="M17" s="36">
        <v>1162.8700218761651</v>
      </c>
      <c r="N17" s="35">
        <v>1004.5271684271577</v>
      </c>
      <c r="O17" s="36">
        <v>1205.7970190615874</v>
      </c>
      <c r="P17" s="35">
        <v>1008.4892101515455</v>
      </c>
      <c r="Q17" s="36">
        <v>1253.2805663862671</v>
      </c>
      <c r="R17" s="35">
        <v>1014.2513838540715</v>
      </c>
      <c r="S17" s="36">
        <v>1306.0255126543243</v>
      </c>
      <c r="T17" s="35">
        <v>1022.4861051642504</v>
      </c>
      <c r="U17" s="36">
        <v>1364.9954701092115</v>
      </c>
      <c r="V17" s="35">
        <v>1034.1777009915456</v>
      </c>
      <c r="W17" s="36">
        <v>1431.6428382288193</v>
      </c>
      <c r="X17" s="35">
        <v>1050.7978898554861</v>
      </c>
      <c r="Y17" s="36">
        <v>1508.3740048014931</v>
      </c>
      <c r="Z17" s="35">
        <v>1074.5866320918449</v>
      </c>
      <c r="AA17" s="36">
        <v>1599.5042721240814</v>
      </c>
      <c r="AB17" s="35">
        <v>1109.025680186691</v>
      </c>
      <c r="AC17" s="36">
        <v>1713.2179794305339</v>
      </c>
      <c r="AD17" s="35">
        <v>1159.7000303910802</v>
      </c>
      <c r="AE17" s="36">
        <v>1865.703463654653</v>
      </c>
      <c r="AF17" s="35">
        <v>1236.1646112354649</v>
      </c>
      <c r="AG17" s="36">
        <v>2090.7091545834237</v>
      </c>
      <c r="AH17" s="35">
        <v>1357.0303624153678</v>
      </c>
      <c r="AI17" s="36">
        <v>2466.1983754316016</v>
      </c>
      <c r="AJ17" s="35">
        <v>1566.4291753398099</v>
      </c>
      <c r="AK17" s="36">
        <v>3209.4966171145234</v>
      </c>
      <c r="AL17" s="35">
        <v>1993.4638069700968</v>
      </c>
      <c r="AM17" s="36">
        <v>5114.5028567865647</v>
      </c>
      <c r="AN17" s="35">
        <v>3169.6757156846156</v>
      </c>
      <c r="AO17" s="36">
        <v>12822.671199614046</v>
      </c>
      <c r="AP17" s="35">
        <v>3695.2452103972896</v>
      </c>
      <c r="AQ17" s="36">
        <v>17307.524695305412</v>
      </c>
      <c r="AR17" s="35">
        <v>4505.8318622656607</v>
      </c>
      <c r="AS17" s="36">
        <v>25347.799181011607</v>
      </c>
      <c r="AT17" s="35">
        <v>5956.1120827862032</v>
      </c>
      <c r="AU17" s="36">
        <v>42798.97257782286</v>
      </c>
      <c r="AV17" s="35">
        <v>9549.9658396470149</v>
      </c>
      <c r="AW17" s="36">
        <v>100306.2298973771</v>
      </c>
    </row>
    <row r="18" spans="1:49" x14ac:dyDescent="0.2">
      <c r="A18" t="s">
        <v>19</v>
      </c>
      <c r="B18" s="33">
        <v>27857.010133999996</v>
      </c>
      <c r="C18" s="34">
        <v>1236.7674480000003</v>
      </c>
      <c r="D18" s="33">
        <v>27570.94113296736</v>
      </c>
      <c r="E18" s="34">
        <v>1154.799105850037</v>
      </c>
      <c r="F18" s="33">
        <v>27245.483345216471</v>
      </c>
      <c r="G18" s="34">
        <v>1073.2511011218342</v>
      </c>
      <c r="H18" s="33">
        <v>26873.628373018353</v>
      </c>
      <c r="I18" s="34">
        <v>992.21822976142312</v>
      </c>
      <c r="J18" s="33">
        <v>26446.97174045915</v>
      </c>
      <c r="K18" s="34">
        <v>911.81610117136006</v>
      </c>
      <c r="L18" s="33">
        <v>25955.438978380258</v>
      </c>
      <c r="M18" s="34">
        <v>832.18380819900005</v>
      </c>
      <c r="N18" s="33">
        <v>25387.113780446791</v>
      </c>
      <c r="O18" s="34">
        <v>753.48604827218594</v>
      </c>
      <c r="P18" s="33">
        <v>24728.151046835574</v>
      </c>
      <c r="Q18" s="34">
        <v>675.91241445564503</v>
      </c>
      <c r="R18" s="33">
        <v>23963.005060334552</v>
      </c>
      <c r="S18" s="34">
        <v>599.6771580522776</v>
      </c>
      <c r="T18" s="33">
        <v>23075.049407041108</v>
      </c>
      <c r="U18" s="34">
        <v>525.00412506228713</v>
      </c>
      <c r="V18" s="33">
        <v>22048.284594768393</v>
      </c>
      <c r="W18" s="34">
        <v>452.1120654025421</v>
      </c>
      <c r="X18" s="33">
        <v>20870.262035094049</v>
      </c>
      <c r="Y18" s="34">
        <v>381.18051628544964</v>
      </c>
      <c r="Z18" s="33">
        <v>19536.682638669547</v>
      </c>
      <c r="AA18" s="34">
        <v>312.33052978422722</v>
      </c>
      <c r="AB18" s="33">
        <v>18057.006398027552</v>
      </c>
      <c r="AC18" s="34">
        <v>245.65303733342867</v>
      </c>
      <c r="AD18" s="33">
        <v>16458.086074494695</v>
      </c>
      <c r="AE18" s="34">
        <v>181.409351167549</v>
      </c>
      <c r="AF18" s="33">
        <v>14779.253227761446</v>
      </c>
      <c r="AG18" s="34">
        <v>120.60577710733914</v>
      </c>
      <c r="AH18" s="33">
        <v>13050.818531389374</v>
      </c>
      <c r="AI18" s="34">
        <v>66.18274393122384</v>
      </c>
      <c r="AJ18" s="33">
        <v>11252.72100170179</v>
      </c>
      <c r="AK18" s="34">
        <v>24.584683677124634</v>
      </c>
      <c r="AL18" s="33">
        <v>9251.0962950904704</v>
      </c>
      <c r="AM18" s="34">
        <v>3.8417121684081792</v>
      </c>
      <c r="AN18" s="33">
        <v>6626.8005016145662</v>
      </c>
      <c r="AO18" s="34">
        <v>7.8242573658259679E-2</v>
      </c>
      <c r="AP18" s="33">
        <v>5923.7932448149559</v>
      </c>
      <c r="AQ18" s="34">
        <v>2.1131444308375345E-2</v>
      </c>
      <c r="AR18" s="33">
        <v>5101.7404157582641</v>
      </c>
      <c r="AS18" s="34">
        <v>3.9128385083330363E-3</v>
      </c>
      <c r="AT18" s="33">
        <v>4094.3323575755235</v>
      </c>
      <c r="AU18" s="34">
        <v>3.7244681057318747E-4</v>
      </c>
      <c r="AV18" s="33">
        <v>2745.6437478892817</v>
      </c>
      <c r="AW18" s="34">
        <v>7.4595023287435038E-6</v>
      </c>
    </row>
    <row r="19" spans="1:49" x14ac:dyDescent="0.2">
      <c r="A19" t="s">
        <v>3</v>
      </c>
      <c r="B19" s="41">
        <v>1886.3937399999918</v>
      </c>
      <c r="C19" s="42">
        <v>262.78711299999759</v>
      </c>
      <c r="D19" s="41">
        <v>1864.0745277785275</v>
      </c>
      <c r="E19" s="42">
        <v>265.52237899162736</v>
      </c>
      <c r="F19" s="41">
        <v>1840.9928072762038</v>
      </c>
      <c r="G19" s="42">
        <v>268.56238005978577</v>
      </c>
      <c r="H19" s="41">
        <v>1817.0701285397188</v>
      </c>
      <c r="I19" s="42">
        <v>271.88194014768214</v>
      </c>
      <c r="J19" s="41">
        <v>1792.2362910416612</v>
      </c>
      <c r="K19" s="42">
        <v>275.43810463394686</v>
      </c>
      <c r="L19" s="41">
        <v>1766.4448418932936</v>
      </c>
      <c r="M19" s="42">
        <v>279.16511538108625</v>
      </c>
      <c r="N19" s="41">
        <v>1739.6991560994425</v>
      </c>
      <c r="O19" s="42">
        <v>282.9694790825647</v>
      </c>
      <c r="P19" s="41">
        <v>1712.099068929906</v>
      </c>
      <c r="Q19" s="42">
        <v>286.72649743308307</v>
      </c>
      <c r="R19" s="41">
        <v>1683.9165145952159</v>
      </c>
      <c r="S19" s="42">
        <v>290.28115718798603</v>
      </c>
      <c r="T19" s="41">
        <v>1655.7394225135265</v>
      </c>
      <c r="U19" s="42">
        <v>293.46012243028389</v>
      </c>
      <c r="V19" s="41">
        <v>1628.6891276466151</v>
      </c>
      <c r="W19" s="42">
        <v>296.09958554356649</v>
      </c>
      <c r="X19" s="41">
        <v>1604.801004758514</v>
      </c>
      <c r="Y19" s="42">
        <v>298.0991067344047</v>
      </c>
      <c r="Z19" s="41">
        <v>1587.6219405367399</v>
      </c>
      <c r="AA19" s="42">
        <v>299.49476771198096</v>
      </c>
      <c r="AB19" s="41">
        <v>1583.1619926162011</v>
      </c>
      <c r="AC19" s="42">
        <v>300.50873315097556</v>
      </c>
      <c r="AD19" s="41">
        <v>1601.4456487884977</v>
      </c>
      <c r="AE19" s="42">
        <v>301.42117339863705</v>
      </c>
      <c r="AF19" s="41">
        <v>1659.5399428921012</v>
      </c>
      <c r="AG19" s="42">
        <v>301.8775918571539</v>
      </c>
      <c r="AH19" s="41">
        <v>1789.6163445403924</v>
      </c>
      <c r="AI19" s="42">
        <v>298.79477106605344</v>
      </c>
      <c r="AJ19" s="41">
        <v>2065.5102499829654</v>
      </c>
      <c r="AK19" s="42">
        <v>281.37701637907855</v>
      </c>
      <c r="AL19" s="41">
        <v>2695.0189292133368</v>
      </c>
      <c r="AM19" s="42">
        <v>226.1816819908301</v>
      </c>
      <c r="AN19" s="41">
        <v>4435.686296050766</v>
      </c>
      <c r="AO19" s="42">
        <v>122.32148457167104</v>
      </c>
      <c r="AP19" s="41">
        <v>5163.9438121874446</v>
      </c>
      <c r="AQ19" s="42">
        <v>98.27185227855442</v>
      </c>
      <c r="AR19" s="41">
        <v>6217.0910854857493</v>
      </c>
      <c r="AS19" s="42">
        <v>73.864668104054076</v>
      </c>
      <c r="AT19" s="41">
        <v>7905.1310441694122</v>
      </c>
      <c r="AU19" s="42">
        <v>49.28748826417953</v>
      </c>
      <c r="AV19" s="41">
        <v>11251.808832374092</v>
      </c>
      <c r="AW19" s="42">
        <v>24.649856906493774</v>
      </c>
    </row>
    <row r="20" spans="1:49" x14ac:dyDescent="0.2">
      <c r="A20" t="s">
        <v>127</v>
      </c>
      <c r="B20" s="82">
        <v>26548.356269999993</v>
      </c>
      <c r="C20" s="83">
        <v>1408.5418709999938</v>
      </c>
      <c r="D20" s="82">
        <v>26268.806623225722</v>
      </c>
      <c r="E20" s="83">
        <v>1338.1147774499941</v>
      </c>
      <c r="F20" s="82">
        <v>25956.186643246594</v>
      </c>
      <c r="G20" s="83">
        <v>1267.6876838999945</v>
      </c>
      <c r="H20" s="82">
        <v>25604.75795410822</v>
      </c>
      <c r="I20" s="83">
        <v>1197.2605903499946</v>
      </c>
      <c r="J20" s="82">
        <v>25207.666368849485</v>
      </c>
      <c r="K20" s="83">
        <v>1126.8334967999949</v>
      </c>
      <c r="L20" s="82">
        <v>24756.733831177808</v>
      </c>
      <c r="M20" s="83">
        <v>1056.4064032499953</v>
      </c>
      <c r="N20" s="82">
        <v>24242.33777448102</v>
      </c>
      <c r="O20" s="83">
        <v>985.97930969999561</v>
      </c>
      <c r="P20" s="82">
        <v>23653.369960175241</v>
      </c>
      <c r="Q20" s="83">
        <v>915.55221614999596</v>
      </c>
      <c r="R20" s="82">
        <v>22977.458803418282</v>
      </c>
      <c r="S20" s="83">
        <v>845.12512259999642</v>
      </c>
      <c r="T20" s="82">
        <v>22201.542002451977</v>
      </c>
      <c r="U20" s="83">
        <v>774.69802904999653</v>
      </c>
      <c r="V20" s="82">
        <v>21313.324811389866</v>
      </c>
      <c r="W20" s="83">
        <v>704.27093549999688</v>
      </c>
      <c r="X20" s="82">
        <v>20303.775411735853</v>
      </c>
      <c r="Y20" s="83">
        <v>633.84384194999734</v>
      </c>
      <c r="Z20" s="82">
        <v>19171.005879146589</v>
      </c>
      <c r="AA20" s="83">
        <v>563.41674839999746</v>
      </c>
      <c r="AB20" s="82">
        <v>17925.029268534166</v>
      </c>
      <c r="AC20" s="83">
        <v>492.98965484999781</v>
      </c>
      <c r="AD20" s="82">
        <v>16591.001404464594</v>
      </c>
      <c r="AE20" s="83">
        <v>422.56256129999809</v>
      </c>
      <c r="AF20" s="82">
        <v>15205.803282336221</v>
      </c>
      <c r="AG20" s="83">
        <v>352.13546774999827</v>
      </c>
      <c r="AH20" s="82">
        <v>13802.130628678597</v>
      </c>
      <c r="AI20" s="83">
        <v>281.70837419999856</v>
      </c>
      <c r="AJ20" s="82">
        <v>12379.01723400521</v>
      </c>
      <c r="AK20" s="83">
        <v>211.28128064999879</v>
      </c>
      <c r="AL20" s="82">
        <v>10856.378048075485</v>
      </c>
      <c r="AM20" s="83">
        <v>140.85418709999905</v>
      </c>
      <c r="AN20" s="82">
        <v>8933.3300904194566</v>
      </c>
      <c r="AO20" s="83">
        <v>70.42709354999927</v>
      </c>
      <c r="AP20" s="82">
        <v>8421.6059347318296</v>
      </c>
      <c r="AQ20" s="83">
        <v>56.341674839999335</v>
      </c>
      <c r="AR20" s="82">
        <v>7820.4776002757098</v>
      </c>
      <c r="AS20" s="83">
        <v>42.256256129999379</v>
      </c>
      <c r="AT20" s="82">
        <v>7075.0148828436786</v>
      </c>
      <c r="AU20" s="83">
        <v>28.170837419999433</v>
      </c>
      <c r="AV20" s="82">
        <v>6046.3359712671336</v>
      </c>
      <c r="AW20" s="83">
        <v>14.08541870999948</v>
      </c>
    </row>
    <row r="21" spans="1:49" x14ac:dyDescent="0.2">
      <c r="A21" t="s">
        <v>76</v>
      </c>
      <c r="B21" s="82">
        <v>24661.962529999968</v>
      </c>
      <c r="C21" s="83">
        <v>1145.7547579999991</v>
      </c>
      <c r="D21" s="82">
        <v>24404.732965588908</v>
      </c>
      <c r="E21" s="83">
        <v>1072.743912442324</v>
      </c>
      <c r="F21" s="82">
        <v>24115.195449994546</v>
      </c>
      <c r="G21" s="83">
        <v>999.76102557630861</v>
      </c>
      <c r="H21" s="82">
        <v>23787.688592463728</v>
      </c>
      <c r="I21" s="83">
        <v>926.87883574735099</v>
      </c>
      <c r="J21" s="82">
        <v>23415.430261308768</v>
      </c>
      <c r="K21" s="83">
        <v>854.19136531007302</v>
      </c>
      <c r="L21" s="82">
        <v>22990.297247829261</v>
      </c>
      <c r="M21" s="83">
        <v>781.81779684421758</v>
      </c>
      <c r="N21" s="82">
        <v>22502.684394527958</v>
      </c>
      <c r="O21" s="83">
        <v>709.90576727939492</v>
      </c>
      <c r="P21" s="82">
        <v>21941.427396848696</v>
      </c>
      <c r="Q21" s="83">
        <v>638.63298752064486</v>
      </c>
      <c r="R21" s="82">
        <v>21293.968625686859</v>
      </c>
      <c r="S21" s="83">
        <v>568.20520378943672</v>
      </c>
      <c r="T21" s="82">
        <v>20546.820962036691</v>
      </c>
      <c r="U21" s="83">
        <v>498.84629812246857</v>
      </c>
      <c r="V21" s="82">
        <v>19686.872515799751</v>
      </c>
      <c r="W21" s="83">
        <v>430.77986331308449</v>
      </c>
      <c r="X21" s="82">
        <v>18703.619535767499</v>
      </c>
      <c r="Y21" s="83">
        <v>364.20005321005976</v>
      </c>
      <c r="Z21" s="82">
        <v>17592.669922599543</v>
      </c>
      <c r="AA21" s="83">
        <v>299.2467669105626</v>
      </c>
      <c r="AB21" s="82">
        <v>16359.967934244878</v>
      </c>
      <c r="AC21" s="83">
        <v>236.02936731773323</v>
      </c>
      <c r="AD21" s="82">
        <v>15024.326703491904</v>
      </c>
      <c r="AE21" s="83">
        <v>174.81245881850509</v>
      </c>
      <c r="AF21" s="82">
        <v>13612.891623548063</v>
      </c>
      <c r="AG21" s="83">
        <v>116.57160882153583</v>
      </c>
      <c r="AH21" s="82">
        <v>12142.475104639998</v>
      </c>
      <c r="AI21" s="83">
        <v>64.162982704871283</v>
      </c>
      <c r="AJ21" s="82">
        <v>10581.901278894478</v>
      </c>
      <c r="AK21" s="83">
        <v>23.900256901708186</v>
      </c>
      <c r="AL21" s="82">
        <v>8788.6455556266119</v>
      </c>
      <c r="AM21" s="83">
        <v>3.7420375870038574</v>
      </c>
      <c r="AN21" s="82">
        <v>6343.2881851216343</v>
      </c>
      <c r="AO21" s="83">
        <v>7.6268939397754171E-2</v>
      </c>
      <c r="AP21" s="82">
        <v>5676.1161247550172</v>
      </c>
      <c r="AQ21" s="83">
        <v>2.0599194147484519E-2</v>
      </c>
      <c r="AR21" s="82">
        <v>4892.4829781853305</v>
      </c>
      <c r="AS21" s="83">
        <v>3.8143603487854638E-3</v>
      </c>
      <c r="AT21" s="82">
        <v>3928.8873324941151</v>
      </c>
      <c r="AU21" s="83">
        <v>3.6307614053699067E-4</v>
      </c>
      <c r="AV21" s="82">
        <v>2635.8373513762326</v>
      </c>
      <c r="AW21" s="83">
        <v>7.2718425791451018E-6</v>
      </c>
    </row>
    <row r="22" spans="1:49" x14ac:dyDescent="0.2">
      <c r="A22" t="s">
        <v>28</v>
      </c>
      <c r="B22" s="41">
        <v>6533.6044688320644</v>
      </c>
      <c r="C22" s="42">
        <v>379.90788307663382</v>
      </c>
      <c r="D22" s="41">
        <v>6443.1928449078641</v>
      </c>
      <c r="E22" s="42">
        <v>363.02088072477221</v>
      </c>
      <c r="F22" s="41">
        <v>6343.3665666637153</v>
      </c>
      <c r="G22" s="42">
        <v>345.99751874144488</v>
      </c>
      <c r="H22" s="41">
        <v>6232.589177883111</v>
      </c>
      <c r="I22" s="42">
        <v>328.83378979604623</v>
      </c>
      <c r="J22" s="41">
        <v>6109.0388499203254</v>
      </c>
      <c r="K22" s="42">
        <v>311.52551717901201</v>
      </c>
      <c r="L22" s="41">
        <v>5970.5609609424055</v>
      </c>
      <c r="M22" s="42">
        <v>294.06859558872509</v>
      </c>
      <c r="N22" s="41">
        <v>5814.6427472899895</v>
      </c>
      <c r="O22" s="42">
        <v>276.45900737761923</v>
      </c>
      <c r="P22" s="41">
        <v>5638.4123297532688</v>
      </c>
      <c r="Q22" s="42">
        <v>258.69332975067204</v>
      </c>
      <c r="R22" s="41">
        <v>5438.7007442805007</v>
      </c>
      <c r="S22" s="42">
        <v>240.76868583099341</v>
      </c>
      <c r="T22" s="41">
        <v>5212.2154271750278</v>
      </c>
      <c r="U22" s="42">
        <v>222.6850957071066</v>
      </c>
      <c r="V22" s="41">
        <v>4955.9132851872282</v>
      </c>
      <c r="W22" s="42">
        <v>204.44502950865004</v>
      </c>
      <c r="X22" s="41">
        <v>4667.6603652647736</v>
      </c>
      <c r="Y22" s="42">
        <v>186.0550480845277</v>
      </c>
      <c r="Z22" s="41">
        <v>4347.2142473020649</v>
      </c>
      <c r="AA22" s="42">
        <v>167.52300265512221</v>
      </c>
      <c r="AB22" s="41">
        <v>3997.4041820563762</v>
      </c>
      <c r="AC22" s="42">
        <v>148.84752052522495</v>
      </c>
      <c r="AD22" s="41">
        <v>3624.8507654340242</v>
      </c>
      <c r="AE22" s="42">
        <v>129.98730372366953</v>
      </c>
      <c r="AF22" s="41">
        <v>3238.8580553919815</v>
      </c>
      <c r="AG22" s="42">
        <v>110.7935154127739</v>
      </c>
      <c r="AH22" s="41">
        <v>2846.9046104785193</v>
      </c>
      <c r="AI22" s="42">
        <v>90.893498485146623</v>
      </c>
      <c r="AJ22" s="41">
        <v>2446.3247061825359</v>
      </c>
      <c r="AK22" s="42">
        <v>69.586752308372667</v>
      </c>
      <c r="AL22" s="41">
        <v>2011.8644023730596</v>
      </c>
      <c r="AM22" s="42">
        <v>46.250521673026718</v>
      </c>
      <c r="AN22" s="41">
        <v>1461.0350736928524</v>
      </c>
      <c r="AO22" s="42">
        <v>22.034693394557134</v>
      </c>
      <c r="AP22" s="41">
        <v>1316.3319274018363</v>
      </c>
      <c r="AQ22" s="42">
        <v>17.330224449913466</v>
      </c>
      <c r="AR22" s="41">
        <v>1148.110718549842</v>
      </c>
      <c r="AS22" s="42">
        <v>12.72615977492009</v>
      </c>
      <c r="AT22" s="41">
        <v>942.59334472418516</v>
      </c>
      <c r="AU22" s="42">
        <v>8.2517433651016923</v>
      </c>
      <c r="AV22" s="41">
        <v>665.56923091594285</v>
      </c>
      <c r="AW22" s="42">
        <v>3.9546350251009623</v>
      </c>
    </row>
    <row r="23" spans="1:49" x14ac:dyDescent="0.2">
      <c r="A23" t="s">
        <v>7</v>
      </c>
      <c r="B23" s="116">
        <v>3278.5018080150408</v>
      </c>
      <c r="C23" s="8">
        <v>0</v>
      </c>
      <c r="D23" s="116">
        <v>3247.749006038146</v>
      </c>
      <c r="E23" s="8">
        <v>0</v>
      </c>
      <c r="F23" s="116">
        <v>3212.1804289569841</v>
      </c>
      <c r="G23" s="8">
        <v>0</v>
      </c>
      <c r="H23" s="116">
        <v>3170.9335390752353</v>
      </c>
      <c r="I23" s="8">
        <v>0</v>
      </c>
      <c r="J23" s="116">
        <v>3122.9749325324647</v>
      </c>
      <c r="K23" s="8">
        <v>0</v>
      </c>
      <c r="L23" s="116">
        <v>3067.067594033198</v>
      </c>
      <c r="M23" s="8">
        <v>0</v>
      </c>
      <c r="N23" s="116">
        <v>3001.7522224550785</v>
      </c>
      <c r="O23" s="8">
        <v>0</v>
      </c>
      <c r="P23" s="116">
        <v>2925.3404020545108</v>
      </c>
      <c r="Q23" s="8">
        <v>0</v>
      </c>
      <c r="R23" s="116">
        <v>2835.9505733843721</v>
      </c>
      <c r="S23" s="8">
        <v>0</v>
      </c>
      <c r="T23" s="116">
        <v>2731.5932439634339</v>
      </c>
      <c r="U23" s="8">
        <v>0</v>
      </c>
      <c r="V23" s="116">
        <v>2610.4033786298423</v>
      </c>
      <c r="W23" s="8">
        <v>0</v>
      </c>
      <c r="X23" s="116">
        <v>2471.0302087971895</v>
      </c>
      <c r="Y23" s="8">
        <v>0</v>
      </c>
      <c r="Z23" s="116">
        <v>2313.2544337363238</v>
      </c>
      <c r="AA23" s="8">
        <v>0</v>
      </c>
      <c r="AB23" s="116">
        <v>2138.7568435762414</v>
      </c>
      <c r="AC23" s="8">
        <v>0</v>
      </c>
      <c r="AD23" s="116">
        <v>1951.6896694880295</v>
      </c>
      <c r="AE23" s="8">
        <v>0</v>
      </c>
      <c r="AF23" s="116">
        <v>1758.2981896370559</v>
      </c>
      <c r="AG23" s="8">
        <v>0</v>
      </c>
      <c r="AH23" s="116">
        <v>1564.7994364113551</v>
      </c>
      <c r="AI23" s="8">
        <v>0</v>
      </c>
      <c r="AJ23" s="116">
        <v>1373.5555070408016</v>
      </c>
      <c r="AK23" s="8">
        <v>0</v>
      </c>
      <c r="AL23" s="116">
        <v>1176.7552775927315</v>
      </c>
      <c r="AM23" s="8">
        <v>0</v>
      </c>
      <c r="AN23" s="116">
        <v>932.55978995022838</v>
      </c>
      <c r="AO23" s="8">
        <v>0</v>
      </c>
      <c r="AP23" s="116">
        <v>866.28218010527155</v>
      </c>
      <c r="AQ23" s="8">
        <v>0</v>
      </c>
      <c r="AR23" s="116">
        <v>787.15188165050802</v>
      </c>
      <c r="AS23" s="8">
        <v>0</v>
      </c>
      <c r="AT23" s="116">
        <v>686.74798427391977</v>
      </c>
      <c r="AU23" s="8">
        <v>0</v>
      </c>
      <c r="AV23" s="116">
        <v>542.91919697865978</v>
      </c>
      <c r="AW23" s="8">
        <v>0</v>
      </c>
    </row>
    <row r="24" spans="1:49" x14ac:dyDescent="0.2">
      <c r="A24" t="s">
        <v>8</v>
      </c>
      <c r="B24" s="97">
        <v>3196.3846373657216</v>
      </c>
      <c r="C24" s="8">
        <v>0</v>
      </c>
      <c r="D24" s="97">
        <v>3196.3846373657216</v>
      </c>
      <c r="E24" s="8">
        <v>0</v>
      </c>
      <c r="F24" s="97">
        <v>3196.3846373657216</v>
      </c>
      <c r="G24" s="8">
        <v>0</v>
      </c>
      <c r="H24" s="97">
        <v>3196.3846373657216</v>
      </c>
      <c r="I24" s="8">
        <v>0</v>
      </c>
      <c r="J24" s="97">
        <v>3196.3846373657216</v>
      </c>
      <c r="K24" s="8">
        <v>0</v>
      </c>
      <c r="L24" s="97">
        <v>3196.3846373657216</v>
      </c>
      <c r="M24" s="8">
        <v>0</v>
      </c>
      <c r="N24" s="97">
        <v>3196.3846373657216</v>
      </c>
      <c r="O24" s="8">
        <v>0</v>
      </c>
      <c r="P24" s="97">
        <v>3196.3846373657216</v>
      </c>
      <c r="Q24" s="8">
        <v>0</v>
      </c>
      <c r="R24" s="97">
        <v>3196.3846373657216</v>
      </c>
      <c r="S24" s="8">
        <v>0</v>
      </c>
      <c r="T24" s="97">
        <v>3196.3846373657216</v>
      </c>
      <c r="U24" s="8">
        <v>0</v>
      </c>
      <c r="V24" s="97">
        <v>3196.3846373657216</v>
      </c>
      <c r="W24" s="8">
        <v>0</v>
      </c>
      <c r="X24" s="97">
        <v>3196.3846373657216</v>
      </c>
      <c r="Y24" s="8">
        <v>0</v>
      </c>
      <c r="Z24" s="97">
        <v>3196.3846373657216</v>
      </c>
      <c r="AA24" s="8">
        <v>0</v>
      </c>
      <c r="AB24" s="97">
        <v>3196.3846373657216</v>
      </c>
      <c r="AC24" s="8">
        <v>0</v>
      </c>
      <c r="AD24" s="97">
        <v>3196.3846373657216</v>
      </c>
      <c r="AE24" s="8">
        <v>0</v>
      </c>
      <c r="AF24" s="97">
        <v>3196.3846373657216</v>
      </c>
      <c r="AG24" s="8">
        <v>0</v>
      </c>
      <c r="AH24" s="97">
        <v>3196.3846373657216</v>
      </c>
      <c r="AI24" s="8">
        <v>0</v>
      </c>
      <c r="AJ24" s="97">
        <v>3196.3846373657216</v>
      </c>
      <c r="AK24" s="8">
        <v>0</v>
      </c>
      <c r="AL24" s="97">
        <v>3196.3846373657216</v>
      </c>
      <c r="AM24" s="8">
        <v>0</v>
      </c>
      <c r="AN24" s="97">
        <v>3196.3846373657216</v>
      </c>
      <c r="AO24" s="8">
        <v>0</v>
      </c>
      <c r="AP24" s="97">
        <v>3196.3846373657216</v>
      </c>
      <c r="AQ24" s="8">
        <v>0</v>
      </c>
      <c r="AR24" s="97">
        <v>3196.3846373657216</v>
      </c>
      <c r="AS24" s="8">
        <v>0</v>
      </c>
      <c r="AT24" s="97">
        <v>3196.3846373657216</v>
      </c>
      <c r="AU24" s="8">
        <v>0</v>
      </c>
      <c r="AV24" s="97">
        <v>3196.3846373657216</v>
      </c>
      <c r="AW24" s="8">
        <v>0</v>
      </c>
    </row>
    <row r="25" spans="1:49" x14ac:dyDescent="0.2">
      <c r="A25" t="s">
        <v>0</v>
      </c>
      <c r="B25" s="41">
        <v>3195.0476040000012</v>
      </c>
      <c r="C25" s="42">
        <v>91.012690000004397</v>
      </c>
      <c r="D25" s="41">
        <v>3166.2066883870921</v>
      </c>
      <c r="E25" s="42">
        <v>82.027584308957131</v>
      </c>
      <c r="F25" s="41">
        <v>3130.2851161096196</v>
      </c>
      <c r="G25" s="42">
        <v>73.381794898446969</v>
      </c>
      <c r="H25" s="41">
        <v>3085.9381645034041</v>
      </c>
      <c r="I25" s="42">
        <v>65.104497012359687</v>
      </c>
      <c r="J25" s="41">
        <v>3031.5409227431069</v>
      </c>
      <c r="K25" s="42">
        <v>57.225206940150471</v>
      </c>
      <c r="L25" s="41">
        <v>2965.1284086990731</v>
      </c>
      <c r="M25" s="42">
        <v>49.773041540306686</v>
      </c>
      <c r="N25" s="41">
        <v>2884.3563854514291</v>
      </c>
      <c r="O25" s="42">
        <v>42.775753499072501</v>
      </c>
      <c r="P25" s="41">
        <v>2786.4759673159342</v>
      </c>
      <c r="Q25" s="42">
        <v>36.258454521968467</v>
      </c>
      <c r="R25" s="41">
        <v>2668.3763263359265</v>
      </c>
      <c r="S25" s="42">
        <v>30.242296587977282</v>
      </c>
      <c r="T25" s="41">
        <v>2526.6885080141096</v>
      </c>
      <c r="U25" s="42">
        <v>24.742397158714542</v>
      </c>
      <c r="V25" s="41">
        <v>2358.1404831321443</v>
      </c>
      <c r="W25" s="42">
        <v>19.766546343649061</v>
      </c>
      <c r="X25" s="41">
        <v>2160.1531633574236</v>
      </c>
      <c r="Y25" s="42">
        <v>15.314275220499701</v>
      </c>
      <c r="Z25" s="41">
        <v>1931.8385580416891</v>
      </c>
      <c r="AA25" s="42">
        <v>11.379324026961523</v>
      </c>
      <c r="AB25" s="41">
        <v>1675.3052679438952</v>
      </c>
      <c r="AC25" s="42">
        <v>7.9576900419014471</v>
      </c>
      <c r="AD25" s="41">
        <v>1396.7936347124592</v>
      </c>
      <c r="AE25" s="42">
        <v>5.0645182495126262</v>
      </c>
      <c r="AF25" s="41">
        <v>1106.5409187912135</v>
      </c>
      <c r="AG25" s="42">
        <v>2.7557517399920783</v>
      </c>
      <c r="AH25" s="41">
        <v>816.41113249745649</v>
      </c>
      <c r="AI25" s="42">
        <v>1.1311156546447971</v>
      </c>
      <c r="AJ25" s="41">
        <v>537.22284178130428</v>
      </c>
      <c r="AK25" s="42">
        <v>0.26498775689020659</v>
      </c>
      <c r="AL25" s="41">
        <v>284.01187068137972</v>
      </c>
      <c r="AM25" s="42">
        <v>1.8310482665912654E-2</v>
      </c>
      <c r="AN25" s="41">
        <v>89.89229607899388</v>
      </c>
      <c r="AO25" s="42">
        <v>7.244969380522258E-5</v>
      </c>
      <c r="AP25" s="41">
        <v>61.826611963338848</v>
      </c>
      <c r="AQ25" s="42">
        <v>1.1345599980086945E-5</v>
      </c>
      <c r="AR25" s="41">
        <v>38.152748448490144</v>
      </c>
      <c r="AS25" s="42">
        <v>1.0427514069021311E-6</v>
      </c>
      <c r="AT25" s="41">
        <v>19.350156804057541</v>
      </c>
      <c r="AU25" s="42">
        <v>3.7488210785506041E-8</v>
      </c>
      <c r="AV25" s="41">
        <v>6.1188426267821772</v>
      </c>
      <c r="AW25" s="42">
        <v>1.502539196024399E-10</v>
      </c>
    </row>
    <row r="26" spans="1:49" x14ac:dyDescent="0.2">
      <c r="A26" t="s">
        <v>27</v>
      </c>
      <c r="B26" s="33">
        <v>5036.2953101960647</v>
      </c>
      <c r="C26" s="34">
        <v>74.905331803938267</v>
      </c>
      <c r="D26" s="33">
        <v>4995.9921610020365</v>
      </c>
      <c r="E26" s="34">
        <v>70.28367258045283</v>
      </c>
      <c r="F26" s="33">
        <v>4949.1579858262639</v>
      </c>
      <c r="G26" s="34">
        <v>65.660590001814811</v>
      </c>
      <c r="H26" s="33">
        <v>4894.510361329134</v>
      </c>
      <c r="I26" s="34">
        <v>61.038647690237745</v>
      </c>
      <c r="J26" s="33">
        <v>4830.4884270258954</v>
      </c>
      <c r="K26" s="34">
        <v>56.421320671336005</v>
      </c>
      <c r="L26" s="33">
        <v>4755.190961189347</v>
      </c>
      <c r="M26" s="34">
        <v>51.813193251008158</v>
      </c>
      <c r="N26" s="33">
        <v>4666.3302828456954</v>
      </c>
      <c r="O26" s="34">
        <v>47.220168746216537</v>
      </c>
      <c r="P26" s="33">
        <v>4561.1963001783388</v>
      </c>
      <c r="Q26" s="34">
        <v>42.64957487719802</v>
      </c>
      <c r="R26" s="33">
        <v>4436.675553432061</v>
      </c>
      <c r="S26" s="34">
        <v>38.110317245551975</v>
      </c>
      <c r="T26" s="33">
        <v>4289.3336181200784</v>
      </c>
      <c r="U26" s="34">
        <v>33.612302579661709</v>
      </c>
      <c r="V26" s="33">
        <v>4115.7052436098638</v>
      </c>
      <c r="W26" s="34">
        <v>29.165910829824192</v>
      </c>
      <c r="X26" s="33">
        <v>3912.8119758761186</v>
      </c>
      <c r="Y26" s="34">
        <v>24.780483162119062</v>
      </c>
      <c r="Z26" s="33">
        <v>3679.0150993014017</v>
      </c>
      <c r="AA26" s="34">
        <v>20.4636516493172</v>
      </c>
      <c r="AB26" s="33">
        <v>3415.0954338318516</v>
      </c>
      <c r="AC26" s="34">
        <v>16.223681083311096</v>
      </c>
      <c r="AD26" s="33">
        <v>3125.0129106489785</v>
      </c>
      <c r="AE26" s="34">
        <v>12.082364321242496</v>
      </c>
      <c r="AF26" s="33">
        <v>2815.0695704354521</v>
      </c>
      <c r="AG26" s="34">
        <v>8.1114277026194035</v>
      </c>
      <c r="AH26" s="33">
        <v>2489.7733270113658</v>
      </c>
      <c r="AI26" s="34">
        <v>4.5093112833189481</v>
      </c>
      <c r="AJ26" s="33">
        <v>2143.3261294641547</v>
      </c>
      <c r="AK26" s="34">
        <v>1.709724446743188</v>
      </c>
      <c r="AL26" s="33">
        <v>1745.7010069790817</v>
      </c>
      <c r="AM26" s="34">
        <v>0.27751765046947097</v>
      </c>
      <c r="AN26" s="33">
        <v>1207.7040515084809</v>
      </c>
      <c r="AO26" s="34">
        <v>6.1204549690196102E-3</v>
      </c>
      <c r="AP26" s="33">
        <v>1062.495540708012</v>
      </c>
      <c r="AQ26" s="34">
        <v>1.6970904634598142E-3</v>
      </c>
      <c r="AR26" s="33">
        <v>893.57284128429251</v>
      </c>
      <c r="AS26" s="34">
        <v>3.2486963007097536E-4</v>
      </c>
      <c r="AT26" s="33">
        <v>689.6653073831244</v>
      </c>
      <c r="AU26" s="34">
        <v>3.2339782737705079E-5</v>
      </c>
      <c r="AV26" s="33">
        <v>427.43903253703741</v>
      </c>
      <c r="AW26" s="34">
        <v>6.9475117998017619E-7</v>
      </c>
    </row>
    <row r="27" spans="1:49" x14ac:dyDescent="0.2">
      <c r="A27" t="s">
        <v>2</v>
      </c>
      <c r="B27" s="35">
        <v>6425.1981590000305</v>
      </c>
      <c r="C27" s="36">
        <v>273.22915400000028</v>
      </c>
      <c r="D27" s="35">
        <v>6357.8666621810644</v>
      </c>
      <c r="E27" s="36">
        <v>256.05063453596983</v>
      </c>
      <c r="F27" s="35">
        <v>6281.3381971912613</v>
      </c>
      <c r="G27" s="36">
        <v>238.88666306736104</v>
      </c>
      <c r="H27" s="35">
        <v>6193.9898688050444</v>
      </c>
      <c r="I27" s="36">
        <v>221.74929996028729</v>
      </c>
      <c r="J27" s="35">
        <v>6093.8783986497483</v>
      </c>
      <c r="K27" s="36">
        <v>204.65450483013828</v>
      </c>
      <c r="L27" s="35">
        <v>5978.6791464293774</v>
      </c>
      <c r="M27" s="36">
        <v>187.6227980686815</v>
      </c>
      <c r="N27" s="35">
        <v>5845.6486979292449</v>
      </c>
      <c r="O27" s="36">
        <v>170.68004678125737</v>
      </c>
      <c r="P27" s="35">
        <v>5691.6090444098045</v>
      </c>
      <c r="Q27" s="36">
        <v>153.85772985863738</v>
      </c>
      <c r="R27" s="35">
        <v>5513.0050297194712</v>
      </c>
      <c r="S27" s="36">
        <v>137.1938080082025</v>
      </c>
      <c r="T27" s="35">
        <v>5306.059010965264</v>
      </c>
      <c r="U27" s="36">
        <v>120.7301917878475</v>
      </c>
      <c r="V27" s="35">
        <v>5067.1750888641309</v>
      </c>
      <c r="W27" s="36">
        <v>104.51125329858721</v>
      </c>
      <c r="X27" s="35">
        <v>4793.6333855452749</v>
      </c>
      <c r="Y27" s="36">
        <v>88.577708182786623</v>
      </c>
      <c r="Z27" s="35">
        <v>4484.6736226961748</v>
      </c>
      <c r="AA27" s="36">
        <v>72.964153168697024</v>
      </c>
      <c r="AB27" s="35">
        <v>4142.8162203689826</v>
      </c>
      <c r="AC27" s="36">
        <v>57.706196971133821</v>
      </c>
      <c r="AD27" s="35">
        <v>3774.7289924923643</v>
      </c>
      <c r="AE27" s="36">
        <v>42.884024483927526</v>
      </c>
      <c r="AF27" s="35">
        <v>3390.1382509719997</v>
      </c>
      <c r="AG27" s="36">
        <v>28.746702809764702</v>
      </c>
      <c r="AH27" s="35">
        <v>2997.0164701198532</v>
      </c>
      <c r="AI27" s="36">
        <v>15.977232013566747</v>
      </c>
      <c r="AJ27" s="35">
        <v>2592.5558320143641</v>
      </c>
      <c r="AK27" s="36">
        <v>6.0725716936660339</v>
      </c>
      <c r="AL27" s="35">
        <v>2149.7379117147111</v>
      </c>
      <c r="AM27" s="36">
        <v>0.99454632557562772</v>
      </c>
      <c r="AN27" s="35">
        <v>1579.1028723257925</v>
      </c>
      <c r="AO27" s="36">
        <v>2.2601395922068102E-2</v>
      </c>
      <c r="AP27" s="35">
        <v>1426.7804106266285</v>
      </c>
      <c r="AQ27" s="36">
        <v>6.3510667537791474E-3</v>
      </c>
      <c r="AR27" s="35">
        <v>1248.1913423713954</v>
      </c>
      <c r="AS27" s="36">
        <v>1.2399705499903135E-3</v>
      </c>
      <c r="AT27" s="35">
        <v>1027.78409098477</v>
      </c>
      <c r="AU27" s="36">
        <v>1.274956862553474E-4</v>
      </c>
      <c r="AV27" s="35">
        <v>727.27759443427226</v>
      </c>
      <c r="AW27" s="36">
        <v>2.9266374119170762E-6</v>
      </c>
    </row>
    <row r="28" spans="1:49" x14ac:dyDescent="0.2">
      <c r="A28" t="s">
        <v>35</v>
      </c>
      <c r="B28" s="41">
        <v>13763.097676000029</v>
      </c>
      <c r="C28" s="42">
        <v>382.36647899999997</v>
      </c>
      <c r="D28" s="41">
        <v>13637.026676736201</v>
      </c>
      <c r="E28" s="42">
        <v>358.45399585399531</v>
      </c>
      <c r="F28" s="41">
        <v>13492.20292298871</v>
      </c>
      <c r="G28" s="42">
        <v>334.5536018947177</v>
      </c>
      <c r="H28" s="41">
        <v>13325.127282493508</v>
      </c>
      <c r="I28" s="42">
        <v>310.6810915994896</v>
      </c>
      <c r="J28" s="41">
        <v>13131.573749053567</v>
      </c>
      <c r="K28" s="42">
        <v>286.85749705562284</v>
      </c>
      <c r="L28" s="41">
        <v>12906.438559929129</v>
      </c>
      <c r="M28" s="42">
        <v>263.11004239399796</v>
      </c>
      <c r="N28" s="41">
        <v>12643.63625289943</v>
      </c>
      <c r="O28" s="42">
        <v>239.47324108912187</v>
      </c>
      <c r="P28" s="41">
        <v>12336.032630922464</v>
      </c>
      <c r="Q28" s="42">
        <v>215.98932037358176</v>
      </c>
      <c r="R28" s="41">
        <v>11975.531817760093</v>
      </c>
      <c r="S28" s="42">
        <v>192.70932619986775</v>
      </c>
      <c r="T28" s="41">
        <v>11553.354139633904</v>
      </c>
      <c r="U28" s="42">
        <v>169.68975681528971</v>
      </c>
      <c r="V28" s="41">
        <v>11060.867333436281</v>
      </c>
      <c r="W28" s="42">
        <v>146.99032205897367</v>
      </c>
      <c r="X28" s="41">
        <v>10491.040969752738</v>
      </c>
      <c r="Y28" s="42">
        <v>124.66562568759025</v>
      </c>
      <c r="Z28" s="41">
        <v>9840.7796272593314</v>
      </c>
      <c r="AA28" s="42">
        <v>102.76173391009726</v>
      </c>
      <c r="AB28" s="41">
        <v>9113.8236475331832</v>
      </c>
      <c r="AC28" s="42">
        <v>81.32669274609411</v>
      </c>
      <c r="AD28" s="41">
        <v>8322.725622900547</v>
      </c>
      <c r="AE28" s="42">
        <v>60.472791720273975</v>
      </c>
      <c r="AF28" s="41">
        <v>7486.5402148384246</v>
      </c>
      <c r="AG28" s="42">
        <v>40.553679671371732</v>
      </c>
      <c r="AH28" s="41">
        <v>6619.9855887994445</v>
      </c>
      <c r="AI28" s="42">
        <v>22.54087622369163</v>
      </c>
      <c r="AJ28" s="41">
        <v>5712.0277809177733</v>
      </c>
      <c r="AK28" s="42">
        <v>8.5615916345259517</v>
      </c>
      <c r="AL28" s="41">
        <v>4692.0131598011048</v>
      </c>
      <c r="AM28" s="42">
        <v>1.3987423041909461</v>
      </c>
      <c r="AN28" s="41">
        <v>3338.3134032358626</v>
      </c>
      <c r="AO28" s="42">
        <v>3.1517297860942303E-2</v>
      </c>
      <c r="AP28" s="41">
        <v>2973.2197668297345</v>
      </c>
      <c r="AQ28" s="42">
        <v>8.8217550128715863E-3</v>
      </c>
      <c r="AR28" s="41">
        <v>2545.7838907599103</v>
      </c>
      <c r="AS28" s="42">
        <v>1.7121000906751762E-3</v>
      </c>
      <c r="AT28" s="41">
        <v>2022.469537116121</v>
      </c>
      <c r="AU28" s="42">
        <v>1.7425176708624432E-4</v>
      </c>
      <c r="AV28" s="41">
        <v>1327.0518884177088</v>
      </c>
      <c r="AW28" s="42">
        <v>3.9105314651888428E-6</v>
      </c>
    </row>
    <row r="29" spans="1:49" x14ac:dyDescent="0.2">
      <c r="A29" t="s">
        <v>53</v>
      </c>
      <c r="B29" s="35">
        <v>14362.768558000025</v>
      </c>
      <c r="C29" s="36">
        <v>817.26650999999993</v>
      </c>
      <c r="D29" s="35">
        <v>14214.987508392804</v>
      </c>
      <c r="E29" s="36">
        <v>760.7353823883434</v>
      </c>
      <c r="F29" s="35">
        <v>14047.082999331902</v>
      </c>
      <c r="G29" s="36">
        <v>704.74808158696578</v>
      </c>
      <c r="H29" s="35">
        <v>13855.481761965395</v>
      </c>
      <c r="I29" s="36">
        <v>649.38274734459344</v>
      </c>
      <c r="J29" s="35">
        <v>13635.896689701014</v>
      </c>
      <c r="K29" s="36">
        <v>594.73088471678045</v>
      </c>
      <c r="L29" s="35">
        <v>13383.18507632685</v>
      </c>
      <c r="M29" s="36">
        <v>540.89856571208156</v>
      </c>
      <c r="N29" s="35">
        <v>13091.256814072116</v>
      </c>
      <c r="O29" s="36">
        <v>488.00683432881664</v>
      </c>
      <c r="P29" s="35">
        <v>12753.022795007069</v>
      </c>
      <c r="Q29" s="36">
        <v>436.19008105120997</v>
      </c>
      <c r="R29" s="35">
        <v>12360.498157389073</v>
      </c>
      <c r="S29" s="36">
        <v>385.59420141157665</v>
      </c>
      <c r="T29" s="35">
        <v>11905.096683054386</v>
      </c>
      <c r="U29" s="36">
        <v>336.36518983573603</v>
      </c>
      <c r="V29" s="35">
        <v>11378.46386798116</v>
      </c>
      <c r="W29" s="36">
        <v>288.63714829823084</v>
      </c>
      <c r="X29" s="35">
        <v>10773.908756262581</v>
      </c>
      <c r="Y29" s="36">
        <v>242.50830309169581</v>
      </c>
      <c r="Z29" s="35">
        <v>10088.659541441499</v>
      </c>
      <c r="AA29" s="36">
        <v>198.02717001802134</v>
      </c>
      <c r="AB29" s="35">
        <v>9326.6012709406004</v>
      </c>
      <c r="AC29" s="36">
        <v>155.21170001659254</v>
      </c>
      <c r="AD29" s="35">
        <v>8499.9719201663484</v>
      </c>
      <c r="AE29" s="36">
        <v>114.18369982669408</v>
      </c>
      <c r="AF29" s="35">
        <v>7626.6265498544299</v>
      </c>
      <c r="AG29" s="36">
        <v>75.549368244421345</v>
      </c>
      <c r="AH29" s="35">
        <v>6718.5228470490592</v>
      </c>
      <c r="AI29" s="36">
        <v>41.168938092049906</v>
      </c>
      <c r="AJ29" s="35">
        <v>5759.0353745052089</v>
      </c>
      <c r="AK29" s="36">
        <v>15.117555936058222</v>
      </c>
      <c r="AL29" s="35">
        <v>4667.7850870482862</v>
      </c>
      <c r="AM29" s="36">
        <v>2.3148939204558694</v>
      </c>
      <c r="AN29" s="35">
        <v>3216.5526362181258</v>
      </c>
      <c r="AO29" s="36">
        <v>4.5526565706340283E-2</v>
      </c>
      <c r="AP29" s="35">
        <v>2830.6867665205082</v>
      </c>
      <c r="AQ29" s="36">
        <v>1.2178192528759266E-2</v>
      </c>
      <c r="AR29" s="35">
        <v>2384.4427847425241</v>
      </c>
      <c r="AS29" s="36">
        <v>2.2304134391331718E-3</v>
      </c>
      <c r="AT29" s="35">
        <v>1848.3203840324036</v>
      </c>
      <c r="AU29" s="36">
        <v>2.0957300951745058E-4</v>
      </c>
      <c r="AV29" s="35">
        <v>1158.7180714175809</v>
      </c>
      <c r="AW29" s="36">
        <v>4.1285056571294038E-6</v>
      </c>
    </row>
    <row r="30" spans="1:49" x14ac:dyDescent="0.2">
      <c r="A30" t="s">
        <v>48</v>
      </c>
      <c r="B30" s="119">
        <v>2924829.9599999995</v>
      </c>
      <c r="D30" s="119">
        <v>2935185.2536115823</v>
      </c>
      <c r="F30" s="119">
        <v>2941894.6191219082</v>
      </c>
      <c r="H30" s="119">
        <v>2944267.9052076661</v>
      </c>
      <c r="J30" s="119">
        <v>2941476.5259094881</v>
      </c>
      <c r="L30" s="119">
        <v>2932532.8400023896</v>
      </c>
      <c r="N30" s="119">
        <v>2916286.3131661471</v>
      </c>
      <c r="P30" s="119">
        <v>2891440.2791557484</v>
      </c>
      <c r="R30" s="119">
        <v>2856620.2798109935</v>
      </c>
      <c r="T30" s="119">
        <v>2810527.8329786034</v>
      </c>
      <c r="V30" s="119">
        <v>2752262.7858337355</v>
      </c>
      <c r="X30" s="119">
        <v>2681895.0233669803</v>
      </c>
      <c r="Z30" s="119">
        <v>2601392.6808099649</v>
      </c>
      <c r="AB30" s="119">
        <v>2515975.1714037806</v>
      </c>
      <c r="AD30" s="119">
        <v>2435827.1602134313</v>
      </c>
      <c r="AF30" s="119">
        <v>2378211.3601968456</v>
      </c>
      <c r="AH30" s="119">
        <v>2371659.3330845474</v>
      </c>
      <c r="AJ30" s="119">
        <v>2469771.792160267</v>
      </c>
      <c r="AL30" s="119">
        <v>2788531.3959339936</v>
      </c>
      <c r="AN30" s="119">
        <v>3578836.9059381438</v>
      </c>
      <c r="AP30" s="119">
        <v>3846191.7444617609</v>
      </c>
      <c r="AR30" s="119">
        <v>4181558.1844756198</v>
      </c>
      <c r="AT30" s="119">
        <v>4620132.8274968192</v>
      </c>
      <c r="AV30" s="119">
        <v>5230415.4076076532</v>
      </c>
    </row>
    <row r="31" spans="1:49" x14ac:dyDescent="0.2">
      <c r="A31" t="s">
        <v>47</v>
      </c>
      <c r="B31" s="80">
        <v>1</v>
      </c>
      <c r="D31" s="80">
        <v>0.98445458147058551</v>
      </c>
      <c r="F31" s="80">
        <v>0.96744361971376969</v>
      </c>
      <c r="H31" s="80">
        <v>0.94874358893099486</v>
      </c>
      <c r="J31" s="80">
        <v>0.92809169472654585</v>
      </c>
      <c r="L31" s="80">
        <v>0.90517987083574414</v>
      </c>
      <c r="N31" s="80">
        <v>0.8796520794398498</v>
      </c>
      <c r="P31" s="80">
        <v>0.85110530395563699</v>
      </c>
      <c r="R31" s="80">
        <v>0.81909939241785024</v>
      </c>
      <c r="T31" s="80">
        <v>0.78318293078408419</v>
      </c>
      <c r="V31" s="80">
        <v>0.74294595537032082</v>
      </c>
      <c r="X31" s="80">
        <v>0.69811185432067502</v>
      </c>
      <c r="Z31" s="80">
        <v>0.64867085005087521</v>
      </c>
      <c r="AB31" s="80">
        <v>0.59503525520361533</v>
      </c>
      <c r="AD31" s="80">
        <v>0.53811976613826473</v>
      </c>
      <c r="AF31" s="80">
        <v>0.47914836695629887</v>
      </c>
      <c r="AH31" s="80">
        <v>0.41895215985973411</v>
      </c>
      <c r="AJ31" s="80">
        <v>0.35666825971668559</v>
      </c>
      <c r="AL31" s="80">
        <v>0.2878326546843708</v>
      </c>
      <c r="AN31" s="80">
        <v>0.19982944513960627</v>
      </c>
      <c r="AP31" s="80">
        <v>0.17701255133431149</v>
      </c>
      <c r="AR31" s="80">
        <v>0.1508229426374407</v>
      </c>
      <c r="AT31" s="80">
        <v>0.11946200850484039</v>
      </c>
      <c r="AV31" s="80">
        <v>7.8679685803707156E-2</v>
      </c>
    </row>
    <row r="32" spans="1:49" x14ac:dyDescent="0.2">
      <c r="A32" t="s">
        <v>64</v>
      </c>
      <c r="B32" s="86">
        <v>14734457.915000005</v>
      </c>
      <c r="D32" s="86">
        <v>14586641.298521914</v>
      </c>
      <c r="F32" s="86">
        <v>14423375.624852682</v>
      </c>
      <c r="H32" s="86">
        <v>14242099.872586744</v>
      </c>
      <c r="J32" s="86">
        <v>14039808.717087328</v>
      </c>
      <c r="L32" s="86">
        <v>13813002.627069578</v>
      </c>
      <c r="N32" s="86">
        <v>13557700.894321807</v>
      </c>
      <c r="P32" s="86">
        <v>13269535.481695388</v>
      </c>
      <c r="R32" s="86">
        <v>12944024.233267576</v>
      </c>
      <c r="T32" s="86">
        <v>12577138.2064946</v>
      </c>
      <c r="V32" s="86">
        <v>12166411.455783036</v>
      </c>
      <c r="X32" s="86">
        <v>11712824.272176823</v>
      </c>
      <c r="Z32" s="86">
        <v>11223695.566038892</v>
      </c>
      <c r="AB32" s="86">
        <v>10716563.288143728</v>
      </c>
      <c r="AD32" s="86">
        <v>10223319.77641418</v>
      </c>
      <c r="AF32" s="86">
        <v>9793616.1915215962</v>
      </c>
      <c r="AH32" s="86">
        <v>9500073.4482183401</v>
      </c>
      <c r="AJ32" s="86">
        <v>9459717.9597390573</v>
      </c>
      <c r="AL32" s="86">
        <v>9885211.506008558</v>
      </c>
      <c r="AN32" s="86">
        <v>11079286.354778947</v>
      </c>
      <c r="AP32" s="86">
        <v>11437050.989881167</v>
      </c>
      <c r="AR32" s="86">
        <v>11833055.330437841</v>
      </c>
      <c r="AT32" s="86">
        <v>12239104.185547918</v>
      </c>
      <c r="AV32" s="86">
        <v>12487100.675220482</v>
      </c>
    </row>
    <row r="33" spans="1:49 16319:16321" x14ac:dyDescent="0.2">
      <c r="A33" t="s">
        <v>54</v>
      </c>
      <c r="B33" s="117">
        <v>7019665.6909999885</v>
      </c>
      <c r="D33" s="117">
        <v>6925641.4498480614</v>
      </c>
      <c r="F33" s="117">
        <v>6824597.9276842987</v>
      </c>
      <c r="H33" s="117">
        <v>6715424.1488303244</v>
      </c>
      <c r="J33" s="117">
        <v>6596825.2527639009</v>
      </c>
      <c r="L33" s="117">
        <v>6467308.4480969012</v>
      </c>
      <c r="N33" s="117">
        <v>6325191.9580755867</v>
      </c>
      <c r="P33" s="117">
        <v>6168652.3434903985</v>
      </c>
      <c r="R33" s="117">
        <v>5995835.9870851887</v>
      </c>
      <c r="T33" s="117">
        <v>5805127.9983036788</v>
      </c>
      <c r="V33" s="117">
        <v>5595594.661814088</v>
      </c>
      <c r="X33" s="117">
        <v>5367781.1030750312</v>
      </c>
      <c r="Z33" s="117">
        <v>5124869.1986009059</v>
      </c>
      <c r="AB33" s="117">
        <v>4874184.1270739967</v>
      </c>
      <c r="AD33" s="117">
        <v>4628633.7344558919</v>
      </c>
      <c r="AF33" s="117">
        <v>4407474.791903873</v>
      </c>
      <c r="AH33" s="117">
        <v>4236922.1038171705</v>
      </c>
      <c r="AJ33" s="117">
        <v>4154694.0425075172</v>
      </c>
      <c r="AL33" s="117">
        <v>4218323.3766021589</v>
      </c>
      <c r="AN33" s="117">
        <v>4458938.5885683512</v>
      </c>
      <c r="AP33" s="117">
        <v>4512960.550311856</v>
      </c>
      <c r="AR33" s="117">
        <v>4549420.9214907894</v>
      </c>
      <c r="AT33" s="117">
        <v>4530753.4402619898</v>
      </c>
      <c r="AV33" s="117">
        <v>4316629.0205746349</v>
      </c>
    </row>
    <row r="34" spans="1:49 16319:16321" x14ac:dyDescent="0.2">
      <c r="A34" t="s">
        <v>75</v>
      </c>
      <c r="B34" s="117">
        <v>1136879.4410000162</v>
      </c>
      <c r="D34" s="117">
        <v>1118637.3659258946</v>
      </c>
      <c r="F34" s="117">
        <v>1094111.7236720768</v>
      </c>
      <c r="H34" s="117">
        <v>1062090.5928283627</v>
      </c>
      <c r="J34" s="117">
        <v>1021091.7340076494</v>
      </c>
      <c r="L34" s="117">
        <v>969291.49296500022</v>
      </c>
      <c r="N34" s="117">
        <v>904463.50376849447</v>
      </c>
      <c r="P34" s="117">
        <v>823908.85547491349</v>
      </c>
      <c r="R34" s="117">
        <v>724420.95114070189</v>
      </c>
      <c r="T34" s="117">
        <v>602231.36022901372</v>
      </c>
      <c r="V34" s="117">
        <v>453118.31628561195</v>
      </c>
      <c r="X34" s="117">
        <v>272567.32708500465</v>
      </c>
      <c r="Z34" s="117">
        <v>56101.173819930002</v>
      </c>
      <c r="AB34" s="117">
        <v>-200407.76778137998</v>
      </c>
      <c r="AD34" s="117">
        <v>-501008.66922516312</v>
      </c>
      <c r="AF34" s="117">
        <v>-852120.86421804945</v>
      </c>
      <c r="AH34" s="117">
        <v>-1270868.8674543446</v>
      </c>
      <c r="AJ34" s="117">
        <v>-1809399.4368238493</v>
      </c>
      <c r="AL34" s="117">
        <v>-2637170.4300401211</v>
      </c>
      <c r="AN34" s="117">
        <v>-4468115.4120937502</v>
      </c>
      <c r="AP34" s="117">
        <v>-5200389.0411570594</v>
      </c>
      <c r="AR34" s="117">
        <v>-6252803.0040985616</v>
      </c>
      <c r="AT34" s="117">
        <v>-7935068.3755920455</v>
      </c>
      <c r="AV34" s="117">
        <v>-11270339.846653653</v>
      </c>
    </row>
    <row r="35" spans="1:49 16319:16321" x14ac:dyDescent="0.2">
      <c r="A35" t="s">
        <v>78</v>
      </c>
      <c r="B35" s="233">
        <v>1</v>
      </c>
      <c r="D35" s="233">
        <v>1.0021855043500245</v>
      </c>
      <c r="F35" s="233">
        <v>1.0049324822205836</v>
      </c>
      <c r="H35" s="233">
        <v>1.0083584091855549</v>
      </c>
      <c r="J35" s="233">
        <v>1.012615218179262</v>
      </c>
      <c r="L35" s="233">
        <v>1.0179032718273149</v>
      </c>
      <c r="N35" s="233">
        <v>1.0244905811161595</v>
      </c>
      <c r="P35" s="233">
        <v>1.0327423466509755</v>
      </c>
      <c r="R35" s="233">
        <v>1.0431643217307418</v>
      </c>
      <c r="T35" s="233">
        <v>1.0564757758005479</v>
      </c>
      <c r="V35" s="233">
        <v>1.0737162226813628</v>
      </c>
      <c r="X35" s="233">
        <v>1.0964250312373651</v>
      </c>
      <c r="Z35" s="233">
        <v>1.1269306370357706</v>
      </c>
      <c r="AB35" s="233">
        <v>1.168840024786274</v>
      </c>
      <c r="AD35" s="233">
        <v>1.2279331373744196</v>
      </c>
      <c r="AF35" s="233">
        <v>1.3141078478753643</v>
      </c>
      <c r="AH35" s="233">
        <v>1.446679531087558</v>
      </c>
      <c r="AJ35" s="233">
        <v>1.6714945204482732</v>
      </c>
      <c r="AL35" s="233">
        <v>2.1228342250474546</v>
      </c>
      <c r="AN35" s="233">
        <v>3.3600473402174056</v>
      </c>
      <c r="AP35" s="233">
        <v>3.9159557847402224</v>
      </c>
      <c r="AR35" s="233">
        <v>4.7786008380319034</v>
      </c>
      <c r="AT35" s="233">
        <v>6.3366823550334583</v>
      </c>
      <c r="AV35" s="233">
        <v>10.251236578198677</v>
      </c>
    </row>
    <row r="36" spans="1:49 16319:16321" x14ac:dyDescent="0.2">
      <c r="A36" t="s">
        <v>21</v>
      </c>
      <c r="B36" s="37">
        <v>0.47195767671988198</v>
      </c>
      <c r="C36" s="38">
        <v>0.31738834428178964</v>
      </c>
      <c r="D36" s="37">
        <v>0.47196792398693554</v>
      </c>
      <c r="E36" s="38">
        <v>0.31943249887589792</v>
      </c>
      <c r="F36" s="37">
        <v>0.47197173346970733</v>
      </c>
      <c r="G36" s="38">
        <v>0.32159944989061767</v>
      </c>
      <c r="H36" s="37">
        <v>0.47196741859015223</v>
      </c>
      <c r="I36" s="38">
        <v>0.32389399117787038</v>
      </c>
      <c r="J36" s="37">
        <v>0.47195289614235597</v>
      </c>
      <c r="K36" s="38">
        <v>0.32631910577659123</v>
      </c>
      <c r="L36" s="37">
        <v>0.47192560625648711</v>
      </c>
      <c r="M36" s="38">
        <v>0.32887487224603412</v>
      </c>
      <c r="N36" s="37">
        <v>0.47188248514810371</v>
      </c>
      <c r="O36" s="38">
        <v>0.33155731397629357</v>
      </c>
      <c r="P36" s="37">
        <v>0.47182001692465747</v>
      </c>
      <c r="Q36" s="38">
        <v>0.33435697296540534</v>
      </c>
      <c r="R36" s="37">
        <v>0.47173453137083476</v>
      </c>
      <c r="S36" s="38">
        <v>0.33725796273812841</v>
      </c>
      <c r="T36" s="37">
        <v>0.47162294334280824</v>
      </c>
      <c r="U36" s="38">
        <v>0.34023743495926212</v>
      </c>
      <c r="V36" s="37">
        <v>0.47148463299974441</v>
      </c>
      <c r="W36" s="38">
        <v>0.34326927690088144</v>
      </c>
      <c r="X36" s="37">
        <v>0.4713253881296714</v>
      </c>
      <c r="Y36" s="38">
        <v>0.34633446054159822</v>
      </c>
      <c r="Z36" s="37">
        <v>0.47116543698939922</v>
      </c>
      <c r="AA36" s="38">
        <v>0.34944734307682951</v>
      </c>
      <c r="AB36" s="37">
        <v>0.47105476863662243</v>
      </c>
      <c r="AC36" s="38">
        <v>0.35271153882060163</v>
      </c>
      <c r="AD36" s="37">
        <v>0.47110076704304726</v>
      </c>
      <c r="AE36" s="38">
        <v>0.35642800346940734</v>
      </c>
      <c r="AF36" s="37">
        <v>0.47151827354906012</v>
      </c>
      <c r="AG36" s="38">
        <v>0.3612964334342405</v>
      </c>
      <c r="AH36" s="37">
        <v>0.4727390242322338</v>
      </c>
      <c r="AI36" s="38">
        <v>0.36883886265974652</v>
      </c>
      <c r="AJ36" s="37">
        <v>0.47573801580248443</v>
      </c>
      <c r="AK36" s="38">
        <v>0.38256441058253415</v>
      </c>
      <c r="AL36" s="37">
        <v>0.48316352417878344</v>
      </c>
      <c r="AM36" s="38">
        <v>0.41165027554132128</v>
      </c>
      <c r="AN36" s="37">
        <v>0.5045138428696333</v>
      </c>
      <c r="AO36" s="38">
        <v>0.48569969311794198</v>
      </c>
      <c r="AP36" s="37">
        <v>0.51362297481080288</v>
      </c>
      <c r="AQ36" s="38">
        <v>0.51493525599881163</v>
      </c>
      <c r="AR36" s="37">
        <v>0.52704135592193513</v>
      </c>
      <c r="AS36" s="38">
        <v>0.55623074298930697</v>
      </c>
      <c r="AT36" s="37">
        <v>0.54936641401624653</v>
      </c>
      <c r="AU36" s="38">
        <v>0.62142017877170563</v>
      </c>
      <c r="AV36" s="37">
        <v>0.59784263773078083</v>
      </c>
      <c r="AW36" s="38">
        <v>0.75316378060019895</v>
      </c>
    </row>
    <row r="37" spans="1:49 16319:16321" x14ac:dyDescent="0.2">
      <c r="B37" s="39">
        <v>2.1403217525954466E-2</v>
      </c>
      <c r="C37" s="40">
        <v>0.3496246130199252</v>
      </c>
      <c r="D37" s="39">
        <v>2.0857290693289569E-2</v>
      </c>
      <c r="E37" s="40">
        <v>0.34641408044316452</v>
      </c>
      <c r="F37" s="39">
        <v>2.0310503770322223E-2</v>
      </c>
      <c r="G37" s="40">
        <v>0.34318237304562571</v>
      </c>
      <c r="H37" s="39">
        <v>1.9764168808009283E-2</v>
      </c>
      <c r="I37" s="40">
        <v>0.33993749522802813</v>
      </c>
      <c r="J37" s="39">
        <v>1.9219934617827786E-2</v>
      </c>
      <c r="K37" s="40">
        <v>0.33668968057401211</v>
      </c>
      <c r="L37" s="39">
        <v>1.8679879065454229E-2</v>
      </c>
      <c r="M37" s="40">
        <v>0.33345199323058644</v>
      </c>
      <c r="N37" s="39">
        <v>1.8146552342500368E-2</v>
      </c>
      <c r="O37" s="40">
        <v>0.3302406376966277</v>
      </c>
      <c r="P37" s="39">
        <v>1.7623021799546067E-2</v>
      </c>
      <c r="Q37" s="40">
        <v>0.32707526933033065</v>
      </c>
      <c r="R37" s="39">
        <v>1.7112791335014643E-2</v>
      </c>
      <c r="S37" s="40">
        <v>0.32397852210648581</v>
      </c>
      <c r="T37" s="39">
        <v>1.6619665628480218E-2</v>
      </c>
      <c r="U37" s="40">
        <v>0.32097515291286943</v>
      </c>
      <c r="V37" s="39">
        <v>1.6147046106656252E-2</v>
      </c>
      <c r="W37" s="40">
        <v>0.31808762583243672</v>
      </c>
      <c r="X37" s="39">
        <v>1.5696595591292752E-2</v>
      </c>
      <c r="Y37" s="40">
        <v>0.31532765336659641</v>
      </c>
      <c r="Z37" s="39">
        <v>1.5265378749462096E-2</v>
      </c>
      <c r="AA37" s="40">
        <v>0.31267808608637182</v>
      </c>
      <c r="AB37" s="39">
        <v>1.4840511087459736E-2</v>
      </c>
      <c r="AC37" s="40">
        <v>0.31005897834049806</v>
      </c>
      <c r="AD37" s="39">
        <v>1.4390105559273498E-2</v>
      </c>
      <c r="AE37" s="40">
        <v>0.30727004691357751</v>
      </c>
      <c r="AF37" s="39">
        <v>1.3849774155611491E-2</v>
      </c>
      <c r="AG37" s="40">
        <v>0.30390443931348787</v>
      </c>
      <c r="AH37" s="39">
        <v>1.3103492571350924E-2</v>
      </c>
      <c r="AI37" s="40">
        <v>0.29922553741650693</v>
      </c>
      <c r="AJ37" s="39">
        <v>1.1954117243187354E-2</v>
      </c>
      <c r="AK37" s="40">
        <v>0.29197777618390902</v>
      </c>
      <c r="AL37" s="39">
        <v>1.0109801978653054E-2</v>
      </c>
      <c r="AM37" s="40">
        <v>0.2803213508603572</v>
      </c>
      <c r="AN37" s="39">
        <v>7.299425883345847E-3</v>
      </c>
      <c r="AO37" s="40">
        <v>0.26278603936482248</v>
      </c>
      <c r="AP37" s="39">
        <v>6.5846304142220145E-3</v>
      </c>
      <c r="AQ37" s="40">
        <v>0.25844013447684894</v>
      </c>
      <c r="AR37" s="39">
        <v>5.7880451168011117E-3</v>
      </c>
      <c r="AS37" s="40">
        <v>0.25369101564203406</v>
      </c>
      <c r="AT37" s="39">
        <v>4.8650182284577575E-3</v>
      </c>
      <c r="AU37" s="40">
        <v>0.24835477042942042</v>
      </c>
      <c r="AV37" s="39">
        <v>3.6897656095307763E-3</v>
      </c>
      <c r="AW37" s="40">
        <v>0.24192780440142911</v>
      </c>
    </row>
    <row r="38" spans="1:49 16319:16321" x14ac:dyDescent="0.2">
      <c r="A38" t="s">
        <v>22</v>
      </c>
      <c r="B38" s="37">
        <v>0.18079094942242827</v>
      </c>
      <c r="C38" s="38">
        <v>6.0565413429233668E-2</v>
      </c>
      <c r="D38" s="37">
        <v>0.18120499176679125</v>
      </c>
      <c r="E38" s="38">
        <v>6.0862250606539624E-2</v>
      </c>
      <c r="F38" s="37">
        <v>0.18165058491044148</v>
      </c>
      <c r="G38" s="38">
        <v>6.1179149905536509E-2</v>
      </c>
      <c r="H38" s="37">
        <v>0.18213061122194121</v>
      </c>
      <c r="I38" s="38">
        <v>6.1517361664393491E-2</v>
      </c>
      <c r="J38" s="37">
        <v>0.18264807307356515</v>
      </c>
      <c r="K38" s="38">
        <v>6.1877960477836086E-2</v>
      </c>
      <c r="L38" s="37">
        <v>0.18320595406420259</v>
      </c>
      <c r="M38" s="38">
        <v>6.2261717592344785E-2</v>
      </c>
      <c r="N38" s="37">
        <v>0.18380704176146692</v>
      </c>
      <c r="O38" s="38">
        <v>6.2668935748043123E-2</v>
      </c>
      <c r="P38" s="37">
        <v>0.18445359264990532</v>
      </c>
      <c r="Q38" s="38">
        <v>6.3099262515464258E-2</v>
      </c>
      <c r="R38" s="37">
        <v>0.18514687712418818</v>
      </c>
      <c r="S38" s="38">
        <v>6.3551390500402649E-2</v>
      </c>
      <c r="T38" s="37">
        <v>0.18588621599272648</v>
      </c>
      <c r="U38" s="38">
        <v>6.4022930440163495E-2</v>
      </c>
      <c r="V38" s="37">
        <v>0.18666782106878449</v>
      </c>
      <c r="W38" s="38">
        <v>6.4510357191764081E-2</v>
      </c>
      <c r="X38" s="37">
        <v>0.18748264728524219</v>
      </c>
      <c r="Y38" s="38">
        <v>6.5009836818527275E-2</v>
      </c>
      <c r="Z38" s="37">
        <v>0.18831319356232035</v>
      </c>
      <c r="AA38" s="38">
        <v>6.5519216656323875E-2</v>
      </c>
      <c r="AB38" s="37">
        <v>0.18912854980241342</v>
      </c>
      <c r="AC38" s="38">
        <v>6.6043071396224756E-2</v>
      </c>
      <c r="AD38" s="37">
        <v>0.18987705475011768</v>
      </c>
      <c r="AE38" s="38">
        <v>6.6602764650667154E-2</v>
      </c>
      <c r="AF38" s="37">
        <v>0.19047441214063557</v>
      </c>
      <c r="AG38" s="38">
        <v>6.7255714420713306E-2</v>
      </c>
      <c r="AH38" s="37">
        <v>0.19077526218168231</v>
      </c>
      <c r="AI38" s="38">
        <v>6.8134244902341309E-2</v>
      </c>
      <c r="AJ38" s="37">
        <v>0.19047180936415395</v>
      </c>
      <c r="AK38" s="38">
        <v>6.9544293072765426E-2</v>
      </c>
      <c r="AL38" s="37">
        <v>0.18870206852192428</v>
      </c>
      <c r="AM38" s="38">
        <v>7.2238012194562967E-2</v>
      </c>
      <c r="AN38" s="37">
        <v>0.18224542163510635</v>
      </c>
      <c r="AO38" s="38">
        <v>7.8224100804147101E-2</v>
      </c>
      <c r="AP38" s="37">
        <v>0.17936067259572319</v>
      </c>
      <c r="AQ38" s="38">
        <v>8.0311143842978147E-2</v>
      </c>
      <c r="AR38" s="37">
        <v>0.17515058949769832</v>
      </c>
      <c r="AS38" s="38">
        <v>8.3026587828532089E-2</v>
      </c>
      <c r="AT38" s="37">
        <v>0.168443899310488</v>
      </c>
      <c r="AU38" s="38">
        <v>8.683060726962559E-2</v>
      </c>
      <c r="AV38" s="37">
        <v>0.15567898525277793</v>
      </c>
      <c r="AW38" s="38">
        <v>9.3136398296051165E-2</v>
      </c>
    </row>
    <row r="39" spans="1:49 16319:16321" x14ac:dyDescent="0.2">
      <c r="A39" t="s">
        <v>23</v>
      </c>
      <c r="B39" s="39">
        <v>0.23064923795098732</v>
      </c>
      <c r="C39" s="40">
        <v>0.22092201281804777</v>
      </c>
      <c r="D39" s="39">
        <v>0.23060027699158886</v>
      </c>
      <c r="E39" s="40">
        <v>0.22172742708134791</v>
      </c>
      <c r="F39" s="39">
        <v>0.2305460364788898</v>
      </c>
      <c r="G39" s="40">
        <v>0.22258226692491687</v>
      </c>
      <c r="H39" s="39">
        <v>0.23048580499922114</v>
      </c>
      <c r="I39" s="40">
        <v>0.22348843561723963</v>
      </c>
      <c r="J39" s="39">
        <v>0.23041875865610736</v>
      </c>
      <c r="K39" s="40">
        <v>0.22444712762500013</v>
      </c>
      <c r="L39" s="39">
        <v>0.23034398113664556</v>
      </c>
      <c r="M39" s="40">
        <v>0.22545836174670594</v>
      </c>
      <c r="N39" s="39">
        <v>0.23026046790839122</v>
      </c>
      <c r="O39" s="40">
        <v>0.22652051378076968</v>
      </c>
      <c r="P39" s="39">
        <v>0.23016719016435122</v>
      </c>
      <c r="Q39" s="40">
        <v>0.22762968480546217</v>
      </c>
      <c r="R39" s="39">
        <v>0.23006317512510274</v>
      </c>
      <c r="S39" s="40">
        <v>0.22877944601692241</v>
      </c>
      <c r="T39" s="39">
        <v>0.22994789382102801</v>
      </c>
      <c r="U39" s="40">
        <v>0.22996046321259653</v>
      </c>
      <c r="V39" s="39">
        <v>0.22982173815311091</v>
      </c>
      <c r="W39" s="40">
        <v>0.23116227434792005</v>
      </c>
      <c r="X39" s="39">
        <v>0.22968726398761161</v>
      </c>
      <c r="Y39" s="40">
        <v>0.23237732359975766</v>
      </c>
      <c r="Z39" s="39">
        <v>0.22955143949666892</v>
      </c>
      <c r="AA39" s="40">
        <v>0.23361197901179923</v>
      </c>
      <c r="AB39" s="39">
        <v>0.22942984728750615</v>
      </c>
      <c r="AC39" s="40">
        <v>0.23490935669892943</v>
      </c>
      <c r="AD39" s="39">
        <v>0.22935406798862901</v>
      </c>
      <c r="AE39" s="40">
        <v>0.23639368206724912</v>
      </c>
      <c r="AF39" s="39">
        <v>0.22938494920730784</v>
      </c>
      <c r="AG39" s="40">
        <v>0.2383526187487697</v>
      </c>
      <c r="AH39" s="39">
        <v>0.22964203072102593</v>
      </c>
      <c r="AI39" s="40">
        <v>0.24141084313714853</v>
      </c>
      <c r="AJ39" s="39">
        <v>0.2303936827032575</v>
      </c>
      <c r="AK39" s="40">
        <v>0.24700629763710946</v>
      </c>
      <c r="AL39" s="39">
        <v>0.23237655766869172</v>
      </c>
      <c r="AM39" s="40">
        <v>0.25888100981488155</v>
      </c>
      <c r="AN39" s="39">
        <v>0.23829038944828004</v>
      </c>
      <c r="AO39" s="40">
        <v>0.28886314528435997</v>
      </c>
      <c r="AP39" s="39">
        <v>0.24085587589936175</v>
      </c>
      <c r="AQ39" s="40">
        <v>0.30055052844929925</v>
      </c>
      <c r="AR39" s="39">
        <v>0.24465990831598958</v>
      </c>
      <c r="AS39" s="40">
        <v>0.31689796227204142</v>
      </c>
      <c r="AT39" s="39">
        <v>0.25102605290044816</v>
      </c>
      <c r="AU39" s="40">
        <v>0.34231917856709349</v>
      </c>
      <c r="AV39" s="39">
        <v>0.26488418062007069</v>
      </c>
      <c r="AW39" s="40">
        <v>0.3923368185890822</v>
      </c>
    </row>
    <row r="40" spans="1:49 16319:16321"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49 16319:16321" x14ac:dyDescent="0.2">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row>
    <row r="42" spans="1:49 16319:16321" x14ac:dyDescent="0.2">
      <c r="A42" t="s">
        <v>107</v>
      </c>
      <c r="B42" s="177">
        <f>10.8%+(1-10.8%)*(1-SUM(B26:C26)/SUM($B$26:$C$26))</f>
        <v>0.10800000000000001</v>
      </c>
      <c r="C42" s="135"/>
      <c r="D42" s="177">
        <f>10.8%+(1-10.8%)*(1-SUM(D26:E26)/SUM($B$26:$C$26))</f>
        <v>0.11584021835870296</v>
      </c>
      <c r="E42" s="135"/>
      <c r="F42" s="177">
        <f>10.8%+(1-10.8%)*(1-SUM(F26:G26)/SUM($B$26:$C$26))</f>
        <v>0.12482047116657817</v>
      </c>
      <c r="G42" s="135"/>
      <c r="H42" s="177">
        <f>10.8%+(1-10.8%)*(1-SUM(H26:I26)/SUM($B$26:$C$26))</f>
        <v>0.13516411785478163</v>
      </c>
      <c r="I42" s="135"/>
      <c r="J42" s="177">
        <f>10.8%+(1-10.8%)*(1-SUM(J26:K26)/SUM($B$26:$C$26))</f>
        <v>0.14714295128116645</v>
      </c>
      <c r="K42" s="135"/>
      <c r="L42" s="177">
        <f>10.8%+(1-10.8%)*(1-SUM(L26:M26)/SUM($B$26:$C$26))</f>
        <v>0.16108797010892348</v>
      </c>
      <c r="M42" s="135"/>
      <c r="N42" s="177">
        <f>10.8%+(1-10.8%)*(1-SUM(N26:O26)/SUM($B$26:$C$26))</f>
        <v>0.17739738716757222</v>
      </c>
      <c r="O42" s="135"/>
      <c r="P42" s="177">
        <f>10.8%+(1-10.8%)*(1-SUM(P26:Q26)/SUM($B$26:$C$26))</f>
        <v>0.19654288528524261</v>
      </c>
      <c r="Q42" s="135"/>
      <c r="R42" s="177">
        <f>10.8%+(1-10.8%)*(1-SUM(R26:S26)/SUM($B$26:$C$26))</f>
        <v>0.21906626716133751</v>
      </c>
      <c r="S42" s="135"/>
      <c r="T42" s="177">
        <f>10.8%+(1-10.8%)*(1-SUM(T26:U26)/SUM($B$26:$C$26))</f>
        <v>0.24556517512188766</v>
      </c>
      <c r="U42" s="135"/>
      <c r="V42" s="177">
        <f>10.8%+(1-10.8%)*(1-SUM(V26:W26)/SUM($B$26:$C$26))</f>
        <v>0.27664254864518789</v>
      </c>
      <c r="W42" s="135"/>
      <c r="X42" s="177">
        <f>10.8%+(1-10.8%)*(1-SUM(X26:Y26)/SUM($B$26:$C$26))</f>
        <v>0.31281655339444103</v>
      </c>
      <c r="Y42" s="162"/>
      <c r="Z42" s="177">
        <f>10.8%+(1-10.8%)*(1-SUM(Z26:AA26)/SUM($B$26:$C$26))</f>
        <v>0.35437184392026078</v>
      </c>
      <c r="AA42" s="135"/>
      <c r="AB42" s="177">
        <f>10.8%+(1-10.8%)*(1-SUM(AB26:AC26)/SUM($B$26:$C$26))</f>
        <v>0.40117071019409956</v>
      </c>
      <c r="AC42" s="135"/>
      <c r="AD42" s="177">
        <f>10.8%+(1-10.8%)*(1-SUM(AD26:AE26)/SUM($B$26:$C$26))</f>
        <v>0.45251826698423803</v>
      </c>
      <c r="AE42" s="135"/>
      <c r="AF42" s="177">
        <f>10.8%+(1-10.8%)*(1-SUM(AF26:AG26)/SUM($B$26:$C$26))</f>
        <v>0.50730217286994184</v>
      </c>
      <c r="AG42" s="135"/>
      <c r="AH42" s="177">
        <f>10.8%+(1-10.8%)*(1-SUM(AH26:AI26)/SUM($B$26:$C$26))</f>
        <v>0.56470108117527174</v>
      </c>
      <c r="AI42" s="135"/>
      <c r="AJ42" s="177">
        <f>10.8%+(1-10.8%)*(1-SUM(AJ26:AK26)/SUM($B$26:$C$26))</f>
        <v>0.62565116971424117</v>
      </c>
      <c r="AK42" s="135"/>
      <c r="AL42" s="177">
        <f>10.8%+(1-10.8%)*(1-SUM(AL26:AM26)/SUM($B$26:$C$26))</f>
        <v>0.69529412890350806</v>
      </c>
      <c r="AM42" s="135"/>
      <c r="AN42" s="177">
        <f>10.8%+(1-10.8%)*(1-SUM(AN26:AO26)/SUM($B$26:$C$26))</f>
        <v>0.78923201242793306</v>
      </c>
      <c r="AO42" s="135"/>
      <c r="AP42" s="177">
        <f>10.8%+(1-10.8%)*(1-SUM(AP26:AQ26)/SUM($B$26:$C$26))</f>
        <v>0.81457438232254797</v>
      </c>
      <c r="AQ42" s="135"/>
      <c r="AR42" s="177">
        <f>10.8%+(1-10.8%)*(1-SUM(AR26:AS26)/SUM($B$26:$C$26))</f>
        <v>0.84405478868123485</v>
      </c>
      <c r="AS42" s="135"/>
      <c r="AT42" s="177">
        <f>10.8%+(1-10.8%)*(1-SUM(AT26:AU26)/SUM($B$26:$C$26))</f>
        <v>0.87964051382022956</v>
      </c>
      <c r="AU42" s="135"/>
      <c r="AV42" s="177">
        <f>10.8%+(1-10.8%)*(1-SUM(AV26:AW26)/SUM($B$26:$C$26))</f>
        <v>0.92540390324149691</v>
      </c>
    </row>
    <row r="43" spans="1:49 16319:16321" x14ac:dyDescent="0.2">
      <c r="A43" t="s">
        <v>108</v>
      </c>
      <c r="B43" s="162">
        <f>SUM(B15:C15*B27:C27)/SUM(B15:C15*B27:C27,B13:C13*B26:C26)</f>
        <v>0.56058995943839174</v>
      </c>
      <c r="C43" s="135"/>
      <c r="D43" s="162">
        <f t="array" ref="D43">SUM(D15:E15*D27:E27)/SUM(D15:E15*D27:E27,D13:E13*D26:E26)</f>
        <v>0.56727372413117216</v>
      </c>
      <c r="E43" s="135"/>
      <c r="F43" s="162">
        <f t="array" ref="F43">SUM(F15:G15*F27:G27)/SUM(F15:G15*F27:G27,F13:G13*F26:G26)</f>
        <v>0.56737852909973296</v>
      </c>
      <c r="G43" s="135"/>
      <c r="H43" s="162">
        <f t="array" ref="H43">SUM(H15:I15*H27:I27)/SUM(H15:I15*H27:I27,H13:I13*H26:I26)</f>
        <v>0.56751810054965757</v>
      </c>
      <c r="I43" s="135"/>
      <c r="J43" s="162">
        <f t="array" ref="J43">SUM(J15:K15*J27:K27)/SUM(J15:K15*J27:K27,J13:K13*J26:K26)</f>
        <v>0.56769572714738403</v>
      </c>
      <c r="K43" s="135"/>
      <c r="L43" s="162">
        <f t="array" ref="L43">SUM(L15:M15*L27:M27)/SUM(L15:M15*L27:M27,L13:M13*L26:M26)</f>
        <v>0.56791475457072504</v>
      </c>
      <c r="M43" s="135"/>
      <c r="N43" s="162">
        <f t="array" ref="N43">SUM(N15:O15*N27:O27)/SUM(N15:O15*N27:O27,N13:O13*N26:O26)</f>
        <v>0.56817833248370431</v>
      </c>
      <c r="O43" s="135"/>
      <c r="P43" s="162">
        <f t="array" ref="P43">SUM(P15:Q15*P27:Q27)/SUM(P15:Q15*P27:Q27,P13:Q13*P26:Q26)</f>
        <v>0.56848901550610387</v>
      </c>
      <c r="Q43" s="135"/>
      <c r="R43" s="162">
        <f t="array" ref="R43">SUM(R15:S15*R27:S27)/SUM(R15:S15*R27:S27,R13:S13*R26:S26)</f>
        <v>0.56884800778405353</v>
      </c>
      <c r="S43" s="135"/>
      <c r="T43" s="162">
        <f t="array" ref="T43">SUM(T15:U15*T27:U27)/SUM(T15:U15*T27:U27,T13:U13*T26:U26)</f>
        <v>0.56925407687780472</v>
      </c>
      <c r="U43" s="135"/>
      <c r="V43" s="162">
        <f t="array" ref="V43">SUM(V15:W15*V27:W27)/SUM(V15:W15*V27:W27,V13:W13*V26:W26)</f>
        <v>0.56970136639125613</v>
      </c>
      <c r="W43" s="135"/>
      <c r="X43" s="162">
        <f t="array" ref="X43">SUM(X15:Y15*X27:Y27)/SUM(X15:Y15*X27:Y27,X13:Y13*X26:Y26)</f>
        <v>0.57017600846793914</v>
      </c>
      <c r="Y43" s="135"/>
      <c r="Z43" s="162">
        <f t="array" ref="Z43">SUM(Z15:AA15*Z27:AA27)/SUM(Z15:AA15*Z27:AA27,Z13:AA13*Z26:AA26)</f>
        <v>0.5706505747445676</v>
      </c>
      <c r="AA43" s="135"/>
      <c r="AB43" s="162">
        <f t="array" ref="AB43">SUM(AB15:AC15*AB27:AC27)/SUM(AB15:AC15*AB27:AC27,AB13:AC13*AB26:AC26)</f>
        <v>0.57107571420582415</v>
      </c>
      <c r="AC43" s="135"/>
      <c r="AD43" s="162">
        <f t="array" ref="AD43">SUM(AD15:AE15*AD27:AE27)/SUM(AD15:AE15*AD27:AE27,AD13:AE13*AD26:AE26)</f>
        <v>0.571369034530959</v>
      </c>
      <c r="AE43" s="135"/>
      <c r="AF43" s="162">
        <f t="array" ref="AF43">SUM(AF15:AG15*AF27:AG27)/SUM(AF15:AG15*AF27:AG27,AF13:AG13*AF26:AG26)</f>
        <v>0.5714015783265548</v>
      </c>
      <c r="AG43" s="135"/>
      <c r="AH43" s="162">
        <f t="array" ref="AH43">SUM(AH15:AI15*AH27:AI27)/SUM(AH15:AI15*AH27:AI27,AH13:AI13*AH26:AI26)</f>
        <v>0.57097204684619951</v>
      </c>
      <c r="AI43" s="135"/>
      <c r="AJ43" s="162">
        <f t="array" ref="AJ43">SUM(AJ15:AK15*AJ27:AK27)/SUM(AJ15:AK15*AJ27:AK27,AJ13:AK13*AJ26:AK26)</f>
        <v>0.56969654752451249</v>
      </c>
      <c r="AK43" s="135"/>
      <c r="AL43" s="162">
        <f t="array" ref="AL43">SUM(AL15:AM15*AL27:AM27)/SUM(AL15:AM15*AL27:AM27,AL13:AM13*AL26:AM26)</f>
        <v>0.56646389765334149</v>
      </c>
      <c r="AM43" s="135"/>
      <c r="AN43" s="162">
        <f t="array" ref="AN43">SUM(AN15:AO15*AN27:AO27)/SUM(AN15:AO15*AN27:AO27,AN13:AO13*AN26:AO26)</f>
        <v>0.55655196131480245</v>
      </c>
      <c r="AO43" s="135"/>
      <c r="AP43" s="162">
        <f t="array" ref="AP43">SUM(AP15:AQ15*AP27:AQ27)/SUM(AP15:AQ15*AP27:AQ27,AP13:AQ13*AP26:AQ26)</f>
        <v>0.55215889637536186</v>
      </c>
      <c r="AQ43" s="135"/>
      <c r="AR43" s="162">
        <f t="array" ref="AR43">SUM(AR15:AS15*AR27:AS27)/SUM(AR15:AS15*AR27:AS27,AR13:AS13*AR26:AS26)</f>
        <v>0.54565080329187987</v>
      </c>
      <c r="AS43" s="135"/>
      <c r="AT43" s="162">
        <f t="array" ref="AT43">SUM(AT15:AU15*AT27:AU27)/SUM(AT15:AU15*AT27:AU27,AT13:AU13*AT26:AU26)</f>
        <v>0.53493265113199084</v>
      </c>
      <c r="AU43" s="135"/>
      <c r="AV43" s="162">
        <f t="array" ref="AV43">SUM(AV15:AW15*AV27:AW27)/SUM(AV15:AW15*AV27:AW27,AV13:AW13*AV26:AW26)</f>
        <v>0.51289634274254225</v>
      </c>
    </row>
    <row r="44" spans="1:49 16319:16321" x14ac:dyDescent="0.2">
      <c r="A44" t="s">
        <v>142</v>
      </c>
      <c r="B44" s="193">
        <f>(SUM(B11:C11*B24:C24)+B34)/B32</f>
        <v>0.29754226190682465</v>
      </c>
      <c r="D44" s="193">
        <f>(SUM(D11:E11*D24:E24)+D34)/D32</f>
        <v>0.29916036574111582</v>
      </c>
      <c r="F44" s="193">
        <f>(SUM(F11:G11*F24:G24)+F34)/F32</f>
        <v>0.30079147163635672</v>
      </c>
      <c r="H44" s="193">
        <f>(SUM(H11:I11*H24:I24)+H34)/H32</f>
        <v>0.30243455256351787</v>
      </c>
      <c r="J44" s="193">
        <f>(SUM(J11:K11*J24:K24)+J34)/J32</f>
        <v>0.30408804543179124</v>
      </c>
      <c r="L44" s="193">
        <f>(SUM(L11:M11*L24:M24)+L34)/L32</f>
        <v>0.30574940695433317</v>
      </c>
      <c r="N44" s="193">
        <f>(SUM(N11:O11*N24:O24)+N34)/N32</f>
        <v>0.3074151096083429</v>
      </c>
      <c r="P44" s="193">
        <f>(SUM(P11:Q11*P24:Q24)+P34)/P32</f>
        <v>0.30908052598317243</v>
      </c>
      <c r="R44" s="193">
        <f>(SUM(R11:S11*R24:S24)+R34)/R32</f>
        <v>0.31074112841389062</v>
      </c>
      <c r="T44" s="193">
        <f>(SUM(T11:U11*T24:U24)+T34)/T32</f>
        <v>0.31239188023724973</v>
      </c>
      <c r="V44" s="193">
        <f>(SUM(V11:W11*V24:W24)+V34)/V32</f>
        <v>0.31403225800028278</v>
      </c>
      <c r="X44" s="193">
        <f>(SUM(X11:Y11*X24:Y24)+X34)/X32</f>
        <v>0.31567140526722753</v>
      </c>
      <c r="Z44" s="193">
        <f>(SUM(Z11:AA11*Z24:AA24)+Z34)/Z32</f>
        <v>0.31734223033682635</v>
      </c>
      <c r="AB44" s="193">
        <f>(SUM(AB11:AC11*AB24:AC24)+AB34)/AB32</f>
        <v>0.31912662780558027</v>
      </c>
      <c r="AD44" s="193">
        <f>(SUM(AD11:AE11*AD24:AE24)+AD34)/AD32</f>
        <v>0.32120128101903189</v>
      </c>
      <c r="AF44" s="193">
        <f>(SUM(AF11:AG11*AF24:AG24)+AF34)/AF32</f>
        <v>0.32391831255444536</v>
      </c>
      <c r="AH44" s="193">
        <f>(SUM(AH11:AI11*AH24:AI24)+AH34)/AH32</f>
        <v>0.327965443144281</v>
      </c>
      <c r="AJ44" s="193">
        <f>(SUM(AJ11:AK11*AJ24:AK24)+AJ34)/AJ32</f>
        <v>0.33475528442392938</v>
      </c>
      <c r="AL44" s="193">
        <f>(SUM(AL11:AM11*AL24:AM24)+AL34)/AL32</f>
        <v>0.34722308016073028</v>
      </c>
      <c r="AN44" s="193">
        <f>(SUM(AN11:AO11*AN24:AO24)+AN34)/AN32</f>
        <v>0.37149659324898937</v>
      </c>
      <c r="AP44" s="193">
        <f>(SUM(AP11:AQ11*AP24:AQ24)+AP34)/AP32</f>
        <v>0.37936251886396077</v>
      </c>
      <c r="AR44" s="193">
        <f>(SUM(AR11:AS11*AR24:AS24)+AR34)/AR32</f>
        <v>0.38948665702978741</v>
      </c>
      <c r="AT44" s="193">
        <f>(SUM(AT11:AU11*AT24:AU24)+AT34)/AT32</f>
        <v>0.40376710762128576</v>
      </c>
      <c r="AV44" s="193">
        <f>(SUM(AV11:AW11*AV24:AW24)+AV34)/AV32</f>
        <v>0.42826674342512783</v>
      </c>
    </row>
    <row r="45" spans="1:49 16319:16321" x14ac:dyDescent="0.2">
      <c r="A45" t="s">
        <v>82</v>
      </c>
      <c r="B45" s="193">
        <f>SUM(B11:C11*B24:C24)/B32</f>
        <v>0.22038438833194082</v>
      </c>
      <c r="D45" s="193">
        <f>SUM(D11:E11*D24:E24)/D32</f>
        <v>0.22247119905548218</v>
      </c>
      <c r="F45" s="193">
        <f>SUM(F11:G11*F24:G24)/F32</f>
        <v>0.22493462978951256</v>
      </c>
      <c r="H45" s="193">
        <f>SUM(H11:I11*H24:I24)/H32</f>
        <v>0.22786053592762281</v>
      </c>
      <c r="J45" s="193">
        <f>SUM(J11:K11*J24:K24)/J32</f>
        <v>0.23135972308898634</v>
      </c>
      <c r="L45" s="193">
        <f>SUM(L11:M11*L24:M24)/L32</f>
        <v>0.23557701076109253</v>
      </c>
      <c r="N45" s="193">
        <f>SUM(N11:O11*N24:O24)/N32</f>
        <v>0.24070295016342561</v>
      </c>
      <c r="P45" s="193">
        <f>SUM(P11:Q11*P24:Q24)/P32</f>
        <v>0.2469902699518704</v>
      </c>
      <c r="R45" s="193">
        <f>SUM(R11:S11*R24:S24)/R32</f>
        <v>0.25477546131641565</v>
      </c>
      <c r="T45" s="193">
        <f>SUM(T11:U11*T24:U24)/T32</f>
        <v>0.2645088602416491</v>
      </c>
      <c r="V45" s="193">
        <f>SUM(V11:W11*V24:W24)/V32</f>
        <v>0.27678887543571956</v>
      </c>
      <c r="X45" s="193">
        <f>SUM(X11:Y11*X24:Y24)/X32</f>
        <v>0.29240055950439359</v>
      </c>
      <c r="Z45" s="193">
        <f>SUM(Z11:AA11*Z24:AA24)/Z32</f>
        <v>0.31234377207592312</v>
      </c>
      <c r="AB45" s="193">
        <f>SUM(AB11:AC11*AB24:AC24)/AB32</f>
        <v>0.33782737751356745</v>
      </c>
      <c r="AD45" s="193">
        <f>SUM(AD11:AE11*AD24:AE24)/AD32</f>
        <v>0.37020773686530412</v>
      </c>
      <c r="AF45" s="193">
        <f>SUM(AF11:AG11*AF24:AG24)/AF32</f>
        <v>0.41092609880562975</v>
      </c>
      <c r="AH45" s="193">
        <f>SUM(AH11:AI11*AH24:AI24)/AH32</f>
        <v>0.46174007913856224</v>
      </c>
      <c r="AJ45" s="193">
        <f>SUM(AJ11:AK11*AJ24:AK24)/AJ32</f>
        <v>0.52602942647813511</v>
      </c>
      <c r="AL45" s="193">
        <f>SUM(AL11:AM11*AL24:AM24)/AL32</f>
        <v>0.61400244329698306</v>
      </c>
      <c r="AN45" s="193">
        <f>SUM(AN11:AO11*AN24:AO24)/AN32</f>
        <v>0.77478208195435805</v>
      </c>
      <c r="AP45" s="193">
        <f>SUM(AP11:AQ11*AP24:AQ24)/AP32</f>
        <v>0.83405919248708782</v>
      </c>
      <c r="AR45" s="193">
        <f>SUM(AR11:AS11*AR24:AS24)/AR32</f>
        <v>0.91790495893822599</v>
      </c>
      <c r="AT45" s="193">
        <f>SUM(AT11:AU11*AT24:AU24)/AT32</f>
        <v>1.0521044577487462</v>
      </c>
      <c r="AV45" s="193">
        <f>SUM(AV11:AW11*AV24:AW24)/AV32</f>
        <v>1.330825322857311</v>
      </c>
      <c r="XCQ45" s="193"/>
    </row>
    <row r="46" spans="1:49 16319:16321" x14ac:dyDescent="0.2">
      <c r="A46" t="s">
        <v>139</v>
      </c>
      <c r="B46" s="193">
        <f>B34/B32</f>
        <v>7.7157873574883795E-2</v>
      </c>
      <c r="D46" s="193">
        <f>D34/D32</f>
        <v>7.6689166685633636E-2</v>
      </c>
      <c r="F46" s="193">
        <f>F34/F32</f>
        <v>7.5856841846844159E-2</v>
      </c>
      <c r="H46" s="193">
        <f>H34/H32</f>
        <v>7.4574016635895052E-2</v>
      </c>
      <c r="J46" s="193">
        <f>J34/J32</f>
        <v>7.2728322342804907E-2</v>
      </c>
      <c r="L46" s="193">
        <f>L34/L32</f>
        <v>7.0172396193240644E-2</v>
      </c>
      <c r="N46" s="193">
        <f>N34/N32</f>
        <v>6.6712159444917318E-2</v>
      </c>
      <c r="P46" s="193">
        <f>P34/P32</f>
        <v>6.2090256031302041E-2</v>
      </c>
      <c r="R46" s="193">
        <f>R34/R32</f>
        <v>5.5965667097474976E-2</v>
      </c>
      <c r="T46" s="193">
        <f>T34/T32</f>
        <v>4.7883019995600642E-2</v>
      </c>
      <c r="V46" s="193">
        <f>V34/V32</f>
        <v>3.7243382564563207E-2</v>
      </c>
      <c r="X46" s="193">
        <f>X34/X32</f>
        <v>2.3270845762833951E-2</v>
      </c>
      <c r="Z46" s="193">
        <f>Z34/Z32</f>
        <v>4.9984582609032251E-3</v>
      </c>
      <c r="AB46" s="193">
        <f>AB34/AB32</f>
        <v>-1.8700749707987182E-2</v>
      </c>
      <c r="AD46" s="193">
        <f>AD34/AD32</f>
        <v>-4.9006455846272223E-2</v>
      </c>
      <c r="AF46" s="193">
        <f>AF34/AF32</f>
        <v>-8.7007786251184382E-2</v>
      </c>
      <c r="AH46" s="193">
        <f>AH34/AH32</f>
        <v>-0.13377463599428124</v>
      </c>
      <c r="AJ46" s="193">
        <f>AJ34/AJ32</f>
        <v>-0.1912741420542057</v>
      </c>
      <c r="AL46" s="193">
        <f>AL34/AL32</f>
        <v>-0.26677936313625278</v>
      </c>
      <c r="AN46" s="193">
        <f>AN34/AN32</f>
        <v>-0.40328548870536868</v>
      </c>
      <c r="AP46" s="193">
        <f>AP34/AP32</f>
        <v>-0.45469667362312705</v>
      </c>
      <c r="AR46" s="193">
        <f>AR34/AR32</f>
        <v>-0.52841830190843864</v>
      </c>
      <c r="AT46" s="193">
        <f>AT34/AT32</f>
        <v>-0.6483373501274603</v>
      </c>
      <c r="AV46" s="193">
        <f>AV34/AV32</f>
        <v>-0.90255857943218321</v>
      </c>
      <c r="XCS46" s="193"/>
    </row>
    <row r="48" spans="1:49 16319:16321" x14ac:dyDescent="0.2">
      <c r="A48" t="s">
        <v>159</v>
      </c>
      <c r="B48" s="191">
        <f>B24/$B$24</f>
        <v>1</v>
      </c>
      <c r="C48" s="191"/>
      <c r="D48" s="191">
        <f>D24/$B$24</f>
        <v>1</v>
      </c>
      <c r="E48" s="191"/>
      <c r="F48" s="191">
        <f>F24/$B$24</f>
        <v>1</v>
      </c>
      <c r="G48" s="191"/>
      <c r="H48" s="191">
        <f>H24/$B$24</f>
        <v>1</v>
      </c>
      <c r="I48" s="191"/>
      <c r="J48" s="191">
        <f>J24/$B$24</f>
        <v>1</v>
      </c>
      <c r="K48" s="191"/>
      <c r="L48" s="191">
        <f>L24/$B$24</f>
        <v>1</v>
      </c>
      <c r="M48" s="191"/>
      <c r="N48" s="191">
        <f>N24/$B$24</f>
        <v>1</v>
      </c>
      <c r="O48" s="191"/>
      <c r="P48" s="191">
        <f>P24/$B$24</f>
        <v>1</v>
      </c>
      <c r="Q48" s="191"/>
      <c r="R48" s="191">
        <f>R24/$B$24</f>
        <v>1</v>
      </c>
      <c r="S48" s="191"/>
      <c r="T48" s="191">
        <f>T24/$B$24</f>
        <v>1</v>
      </c>
      <c r="U48" s="191"/>
      <c r="V48" s="191">
        <f>V24/$B$24</f>
        <v>1</v>
      </c>
      <c r="W48" s="191"/>
      <c r="X48" s="191">
        <f>X24/$B$24</f>
        <v>1</v>
      </c>
      <c r="Y48" s="191"/>
      <c r="Z48" s="191">
        <f>Z24/$B$24</f>
        <v>1</v>
      </c>
      <c r="AA48" s="191"/>
      <c r="AB48" s="191">
        <f>AB24/$B$24</f>
        <v>1</v>
      </c>
      <c r="AC48" s="191"/>
      <c r="AD48" s="191">
        <f>AD24/$B$24</f>
        <v>1</v>
      </c>
      <c r="AE48" s="191"/>
      <c r="AF48" s="191">
        <f>AF24/$B$24</f>
        <v>1</v>
      </c>
      <c r="AG48" s="191"/>
      <c r="AH48" s="191">
        <f>AH24/$B$24</f>
        <v>1</v>
      </c>
      <c r="AI48" s="191"/>
      <c r="AJ48" s="191">
        <f>AJ24/$B$24</f>
        <v>1</v>
      </c>
      <c r="AK48" s="191"/>
      <c r="AL48" s="191">
        <f>AL24/$B$24</f>
        <v>1</v>
      </c>
      <c r="AM48" s="191"/>
      <c r="AN48" s="191">
        <f>AN24/$B$24</f>
        <v>1</v>
      </c>
      <c r="AO48" s="191"/>
      <c r="AP48" s="191">
        <f>AP24/$B$24</f>
        <v>1</v>
      </c>
      <c r="AQ48" s="191"/>
      <c r="AR48" s="191">
        <f>AR24/$B$24</f>
        <v>1</v>
      </c>
      <c r="AS48" s="191"/>
      <c r="AT48" s="191">
        <f>AT24/$B$24</f>
        <v>1</v>
      </c>
      <c r="AU48" s="191"/>
      <c r="AV48" s="191">
        <f>AV24/$B$24</f>
        <v>1</v>
      </c>
    </row>
    <row r="49" spans="1:48 16321:16384" x14ac:dyDescent="0.2">
      <c r="A49" t="s">
        <v>160</v>
      </c>
      <c r="B49" s="191">
        <f>B13/B35/$B$13*$B$35</f>
        <v>1</v>
      </c>
      <c r="C49" s="191"/>
      <c r="D49" s="191">
        <f>D13/D35/$B$13*$B$35</f>
        <v>0.99301662835478988</v>
      </c>
      <c r="E49" s="191"/>
      <c r="F49" s="191">
        <f>F13/F35/$B$13*$B$35</f>
        <v>0.98562992980095487</v>
      </c>
      <c r="G49" s="191"/>
      <c r="H49" s="191">
        <f>H13/H35/$B$13*$B$35</f>
        <v>0.97781426751260214</v>
      </c>
      <c r="I49" s="191"/>
      <c r="J49" s="191">
        <f>J13/J35/$B$13*$B$35</f>
        <v>0.96954616781494407</v>
      </c>
      <c r="K49" s="191"/>
      <c r="L49" s="191">
        <f>L13/L35/$B$13*$B$35</f>
        <v>0.96080681691143333</v>
      </c>
      <c r="M49" s="191"/>
      <c r="N49" s="191">
        <f>N13/N35/$B$13*$B$35</f>
        <v>0.95158516701156726</v>
      </c>
      <c r="O49" s="191"/>
      <c r="P49" s="191">
        <f>P13/P35/$B$13*$B$35</f>
        <v>0.94188263166987107</v>
      </c>
      <c r="Q49" s="191"/>
      <c r="R49" s="191">
        <f>R13/R35/$B$13*$B$35</f>
        <v>0.93171873618786083</v>
      </c>
      <c r="S49" s="191"/>
      <c r="T49" s="191">
        <f>T13/T35/$B$13*$B$35</f>
        <v>0.9211401245617632</v>
      </c>
      <c r="U49" s="191"/>
      <c r="V49" s="191">
        <f>V13/V35/$B$13*$B$35</f>
        <v>0.9102285962601262</v>
      </c>
      <c r="W49" s="191"/>
      <c r="X49" s="191">
        <f>X13/X35/$B$13*$B$35</f>
        <v>0.89911117998506895</v>
      </c>
      <c r="Y49" s="191"/>
      <c r="Z49" s="191">
        <f>Z13/Z35/$B$13*$B$35</f>
        <v>0.88796623047235357</v>
      </c>
      <c r="AA49" s="191"/>
      <c r="AB49" s="191">
        <f>AB13/AB35/$B$13*$B$35</f>
        <v>0.87701991112618971</v>
      </c>
      <c r="AC49" s="191"/>
      <c r="AD49" s="191">
        <f>AD13/AD35/$B$13*$B$35</f>
        <v>0.86652034503553321</v>
      </c>
      <c r="AE49" s="191"/>
      <c r="AF49" s="191">
        <f>AF13/AF35/$B$13*$B$35</f>
        <v>0.85667423131307452</v>
      </c>
      <c r="AG49" s="191"/>
      <c r="AH49" s="191">
        <f>AH13/AH35/$B$13*$B$35</f>
        <v>0.84754060219655236</v>
      </c>
      <c r="AI49" s="191"/>
      <c r="AJ49" s="191">
        <f>AJ13/AJ35/$B$13*$B$35</f>
        <v>0.83889798205427457</v>
      </c>
      <c r="AK49" s="191"/>
      <c r="AL49" s="191">
        <f>AL13/AL35/$B$13*$B$35</f>
        <v>0.83009064518771758</v>
      </c>
      <c r="AM49" s="191"/>
      <c r="AN49" s="191">
        <f>AN13/AN35/$B$13*$B$35</f>
        <v>0.81963766289944584</v>
      </c>
      <c r="AO49" s="191"/>
      <c r="AP49" s="191">
        <f>AP13/AP35/$B$13*$B$35</f>
        <v>0.81705125375665044</v>
      </c>
      <c r="AQ49" s="191"/>
      <c r="AR49" s="191">
        <f>AR13/AR35/$B$13*$B$35</f>
        <v>0.81415165815714718</v>
      </c>
      <c r="AS49" s="191"/>
      <c r="AT49" s="191">
        <f>AT13/AT35/$B$13*$B$35</f>
        <v>0.81079647740433169</v>
      </c>
      <c r="AU49" s="191"/>
      <c r="AV49" s="191">
        <f>AV13/AV35/$B$13*$B$35</f>
        <v>0.80669477278744928</v>
      </c>
    </row>
    <row r="51" spans="1:48 16321:16384" x14ac:dyDescent="0.2">
      <c r="A51" t="s">
        <v>166</v>
      </c>
      <c r="B51" s="29">
        <f>B30-B10*B23</f>
        <v>-405838.32800000021</v>
      </c>
      <c r="D51" s="29">
        <f>D30-D10*D23</f>
        <v>-362069.64926198963</v>
      </c>
      <c r="F51" s="29">
        <f>F30-F10*F23</f>
        <v>-318454.69788308023</v>
      </c>
      <c r="H51" s="29">
        <f>H30-H10*H23</f>
        <v>-275104.71601804579</v>
      </c>
      <c r="J51" s="29">
        <f>J30-J10*J23</f>
        <v>-232168.94739862904</v>
      </c>
      <c r="L51" s="29">
        <f>L30-L10*L23</f>
        <v>-189843.97748511797</v>
      </c>
      <c r="N51" s="29">
        <f>N30-N10*N23</f>
        <v>-148380.51661500568</v>
      </c>
      <c r="P51" s="29">
        <f>P30-P10*P23</f>
        <v>-108087.85281446064</v>
      </c>
      <c r="R51" s="29">
        <f>R30-R10*R23</f>
        <v>-69327.269909081515</v>
      </c>
      <c r="T51" s="29">
        <f>T30-T10*T23</f>
        <v>-32486.522881718352</v>
      </c>
      <c r="V51" s="29">
        <f>V30-V10*V23</f>
        <v>2091.6530848415568</v>
      </c>
      <c r="X51" s="29">
        <f>X30-X10*X23</f>
        <v>34255.551911337767</v>
      </c>
      <c r="Z51" s="29">
        <f>Z30-Z10*Z23</f>
        <v>64318.896920309402</v>
      </c>
      <c r="AB51" s="29">
        <f>AB30-AB10*AB23</f>
        <v>93536.71414443804</v>
      </c>
      <c r="AD51" s="29">
        <f>AD30-AD10*AD23</f>
        <v>124884.52670658147</v>
      </c>
      <c r="AF51" s="29">
        <f>AF30-AF10*AF23</f>
        <v>164401.59114269167</v>
      </c>
      <c r="AH51" s="29">
        <f>AH30-AH10*AH23</f>
        <v>224203.78703152388</v>
      </c>
      <c r="AJ51" s="29">
        <f>AJ30-AJ10*AJ23</f>
        <v>331438.45111132832</v>
      </c>
      <c r="AL51" s="29">
        <f>AL30-AL10*AL23</f>
        <v>554016.85368417716</v>
      </c>
      <c r="AN51" s="29">
        <f>AN30-AN10*AN23</f>
        <v>1074406.2761579412</v>
      </c>
      <c r="AP51" s="29">
        <f>AP30-AP10*AP23</f>
        <v>1260889.7767893248</v>
      </c>
      <c r="AQ51" s="29"/>
      <c r="AR51" s="29">
        <f>AR30-AR10*AR23</f>
        <v>1506740.9386293096</v>
      </c>
      <c r="AT51" s="29">
        <f>AT30-AT10*AT23</f>
        <v>1853529.7790851463</v>
      </c>
      <c r="AV51" s="29">
        <f>AV30-AV10*AV23</f>
        <v>2407753.6939601963</v>
      </c>
      <c r="XFD51" s="29"/>
    </row>
    <row r="52" spans="1:48 16321:16384" x14ac:dyDescent="0.2">
      <c r="A52" t="s">
        <v>167</v>
      </c>
      <c r="B52" s="29">
        <f t="array" ref="B52">Calibration!sL*SUM(B13:C13*B26:C26)</f>
        <v>2049247.8195702801</v>
      </c>
      <c r="D52" s="29">
        <f t="array" ref="D52">Calibration!sL*SUM(D13:E13*D26:E26)</f>
        <v>2021459.3899522426</v>
      </c>
      <c r="F52" s="29">
        <f t="array" ref="F52">Calibration!sL*SUM(F13:G13*F26:G26)</f>
        <v>1991487.3166670487</v>
      </c>
      <c r="H52" s="29">
        <f t="array" ref="H52">Calibration!sL*SUM(H13:I13*H26:I26)</f>
        <v>1959000.8382932304</v>
      </c>
      <c r="J52" s="29">
        <f t="array" ref="J52">Calibration!sL*SUM(J13:K13*J26:K26)</f>
        <v>1923617.9213848908</v>
      </c>
      <c r="L52" s="29">
        <f t="array" ref="L52">Calibration!sL*SUM(L13:M13*L26:M26)</f>
        <v>1884901.3934069329</v>
      </c>
      <c r="N52" s="29">
        <f t="array" ref="N52">Calibration!sL*SUM(N13:O13*N26:O26)</f>
        <v>1842363.6045842224</v>
      </c>
      <c r="P52" s="29">
        <f t="array" ref="P52">Calibration!sL*SUM(P13:Q13*P26:Q26)</f>
        <v>1795482.1915027902</v>
      </c>
      <c r="R52" s="29">
        <f t="array" ref="R52">Calibration!sL*SUM(R13:S13*R26:S26)</f>
        <v>1743738.5300903083</v>
      </c>
      <c r="T52" s="29">
        <f t="array" ref="T52">Calibration!sL*SUM(T13:U13*T26:U26)</f>
        <v>1686695.159174796</v>
      </c>
      <c r="V52" s="29">
        <f t="array" ref="V52">Calibration!sL*SUM(V13:W13*V26:W26)</f>
        <v>1624136.6889977048</v>
      </c>
      <c r="X52" s="29">
        <f t="array" ref="X52">Calibration!sL*SUM(X13:Y13*X26:Y26)</f>
        <v>1556304.7982009903</v>
      </c>
      <c r="Z52" s="29">
        <f t="array" ref="Z52">Calibration!sL*SUM(Z13:AA13*Z26:AA26)</f>
        <v>1484245.4451573496</v>
      </c>
      <c r="AB52" s="29">
        <f t="array" ref="AB52">Calibration!sL*SUM(AB13:AC13*AB26:AC26)</f>
        <v>1410253.5113296222</v>
      </c>
      <c r="AD52" s="29">
        <f t="array" ref="AD52">Calibration!sL*SUM(AD13:AE13*AD26:AE26)</f>
        <v>1338297.7385701251</v>
      </c>
      <c r="AF52" s="29">
        <f t="array" ref="AF52">Calibration!sL*SUM(AF13:AG13*AF26:AG26)</f>
        <v>1274256.8788799753</v>
      </c>
      <c r="AH52" s="29">
        <f t="array" ref="AH52">Calibration!sL*SUM(AH13:AI13*AH26:AI26)</f>
        <v>1226168.2462468061</v>
      </c>
      <c r="AJ52" s="29">
        <f t="array" ref="AJ52">Calibration!sL*SUM(AJ13:AK13*AJ26:AK26)</f>
        <v>1205924.7669038156</v>
      </c>
      <c r="AL52" s="29">
        <f t="array" ref="AL52">Calibration!sL*SUM(AL13:AM13*AL26:AM26)</f>
        <v>1233536.628805581</v>
      </c>
      <c r="AN52" s="29">
        <f t="array" ref="AN52">Calibration!sL*SUM(AN13:AO13*AN26:AO26)</f>
        <v>1333526.2797750849</v>
      </c>
      <c r="AP52" s="29">
        <f t="array" ref="AP52">Calibration!sL*SUM(AP13:AQ13*AP26:AQ26)</f>
        <v>1362970.4555104764</v>
      </c>
      <c r="AQ52" s="29"/>
      <c r="AR52" s="29">
        <f t="array" ref="AR52">Calibration!sL*SUM(AR13:AS13*AR26:AS26)</f>
        <v>1393823.3544931042</v>
      </c>
      <c r="AT52" s="29">
        <f t="array" ref="AT52">Calibration!sL*SUM(AT13:AU13*AT26:AU26)</f>
        <v>1420639.0325585946</v>
      </c>
      <c r="AV52" s="29">
        <f t="array" ref="AV52">Calibration!sL*SUM(AV13:AW13*AV26:AW26)</f>
        <v>1417200.2817277152</v>
      </c>
    </row>
    <row r="53" spans="1:48 16321:16384" x14ac:dyDescent="0.2">
      <c r="A53" t="s">
        <v>168</v>
      </c>
      <c r="B53" s="29">
        <f t="array" ref="B53">Calibration!sK*SUM(B15:C15*B27:C27)</f>
        <v>2740714.4444297408</v>
      </c>
      <c r="D53" s="29">
        <f t="array" ref="D53">Calibration!sK*SUM(D15:E15*D27:E27)</f>
        <v>2704355.6757095973</v>
      </c>
      <c r="F53" s="29">
        <f t="array" ref="F53">Calibration!sK*SUM(F15:G15*F27:G27)</f>
        <v>2665396.1125290422</v>
      </c>
      <c r="H53" s="29">
        <f t="array" ref="H53">Calibration!sK*SUM(H15:I15*H27:I27)</f>
        <v>2623407.7142382264</v>
      </c>
      <c r="J53" s="29">
        <f t="array" ref="J53">Calibration!sK*SUM(J15:K15*J27:K27)</f>
        <v>2577889.5114985588</v>
      </c>
      <c r="L53" s="29">
        <f t="array" ref="L53">Calibration!sK*SUM(L15:M15*L27:M27)</f>
        <v>2528260.0279368442</v>
      </c>
      <c r="N53" s="29">
        <f t="array" ref="N53">Calibration!sK*SUM(N15:O15*N27:O27)</f>
        <v>2473859.1597847734</v>
      </c>
      <c r="P53" s="29">
        <f t="array" ref="P53">Calibration!sK*SUM(P15:Q15*P27:Q27)</f>
        <v>2413963.5692136385</v>
      </c>
      <c r="R53" s="29">
        <f t="array" ref="R53">Calibration!sK*SUM(R15:S15*R27:S27)</f>
        <v>2347829.7199885682</v>
      </c>
      <c r="T53" s="29">
        <f t="array" ref="T53">Calibration!sK*SUM(T15:U15*T27:U27)</f>
        <v>2274788.1649674815</v>
      </c>
      <c r="V53" s="29">
        <f t="array" ref="V53">Calibration!sK*SUM(V15:W15*V27:W27)</f>
        <v>2194417.5040737847</v>
      </c>
      <c r="X53" s="29">
        <f t="array" ref="X53">Calibration!sK*SUM(X15:Y15*X27:Y27)</f>
        <v>2106843.7613106053</v>
      </c>
      <c r="Z53" s="29">
        <f t="array" ref="Z53">Calibration!sK*SUM(Z15:AA15*Z27:AA27)</f>
        <v>2013188.707276585</v>
      </c>
      <c r="AB53" s="29">
        <f t="array" ref="AB53">Calibration!sK*SUM(AB15:AC15*AB27:AC27)</f>
        <v>1916150.56759424</v>
      </c>
      <c r="AD53" s="29">
        <f t="array" ref="AD53">Calibration!sK*SUM(AD15:AE15*AD27:AE27)</f>
        <v>1820561.2273021955</v>
      </c>
      <c r="AF53" s="29">
        <f t="array" ref="AF53">Calibration!sK*SUM(AF15:AG15*AF27:AG27)</f>
        <v>1733673.2276557654</v>
      </c>
      <c r="AH53" s="29">
        <f t="array" ref="AH53">Calibration!sK*SUM(AH15:AI15*AH27:AI27)</f>
        <v>1665323.8824130001</v>
      </c>
      <c r="AJ53" s="29">
        <f t="array" ref="AJ53">Calibration!sK*SUM(AJ15:AK15*AJ27:AK27)</f>
        <v>1629327.3934271024</v>
      </c>
      <c r="AL53" s="29">
        <f t="array" ref="AL53">Calibration!sK*SUM(AL15:AM15*AL27:AM27)</f>
        <v>1644820.102236453</v>
      </c>
      <c r="AN53" s="29">
        <f t="array" ref="AN53">Calibration!sK*SUM(AN15:AO15*AN27:AO27)</f>
        <v>1707984.5801933175</v>
      </c>
      <c r="AP53" s="29">
        <f t="array" ref="AP53">Calibration!sK*SUM(AP15:AQ15*AP27:AQ27)</f>
        <v>1714928.240397569</v>
      </c>
      <c r="AQ53" s="29"/>
      <c r="AR53" s="29">
        <f t="array" ref="AR53">Calibration!sK*SUM(AR15:AS15*AR27:AS27)</f>
        <v>1708252.8703281318</v>
      </c>
      <c r="AT53" s="29">
        <f t="array" ref="AT53">Calibration!sK*SUM(AT15:AU15*AT27:AU27)</f>
        <v>1667578.8860469228</v>
      </c>
      <c r="AV53" s="29">
        <f t="array" ref="AV53">Calibration!sK*SUM(AV15:AW15*AV27:AW27)</f>
        <v>1522855.9678496914</v>
      </c>
      <c r="XFD53" s="29"/>
    </row>
    <row r="55" spans="1:48 16321:16384" x14ac:dyDescent="0.2">
      <c r="A55" t="s">
        <v>169</v>
      </c>
      <c r="B55" s="193">
        <f>B30/B32</f>
        <v>0.19850271905982084</v>
      </c>
      <c r="D55" s="193">
        <f>D30/D32</f>
        <v>0.20122420189416798</v>
      </c>
      <c r="F55" s="193">
        <f>F30/F32</f>
        <v>0.20396713610181363</v>
      </c>
      <c r="H55" s="193">
        <f>H30/H32</f>
        <v>0.20672990159792418</v>
      </c>
      <c r="J55" s="193">
        <f>J30/J32</f>
        <v>0.20950972945447088</v>
      </c>
      <c r="L55" s="193">
        <f>L30/L32</f>
        <v>0.21230234433282846</v>
      </c>
      <c r="N55" s="193">
        <f>N30/N32</f>
        <v>0.21510183296546517</v>
      </c>
      <c r="P55" s="193">
        <f>P30/P32</f>
        <v>0.21790064039124318</v>
      </c>
      <c r="R55" s="193">
        <f>R30/R32</f>
        <v>0.22069027593977791</v>
      </c>
      <c r="T55" s="193">
        <f>T30/T32</f>
        <v>0.22346322246242784</v>
      </c>
      <c r="V55" s="193">
        <f>V30/V32</f>
        <v>0.22621812486257056</v>
      </c>
      <c r="X55" s="193">
        <f>X30/X32</f>
        <v>0.22897082386335088</v>
      </c>
      <c r="Z55" s="193">
        <f>Z30/Z32</f>
        <v>0.23177683905480859</v>
      </c>
      <c r="AB55" s="193">
        <f>AB30/AB32</f>
        <v>0.23477444249196291</v>
      </c>
      <c r="AD55" s="193">
        <f>AD30/AD32</f>
        <v>0.23826185754582699</v>
      </c>
      <c r="AF55" s="193">
        <f>AF30/AF32</f>
        <v>0.24283281207769611</v>
      </c>
      <c r="AH55" s="193">
        <f>AH30/AH32</f>
        <v>0.24964642073681362</v>
      </c>
      <c r="AJ55" s="193">
        <f>AJ30/AJ32</f>
        <v>0.26108302622464175</v>
      </c>
      <c r="AL55" s="193">
        <f>AL30/AL32</f>
        <v>0.28209122225043259</v>
      </c>
      <c r="AN55" s="193">
        <f>AN30/AN32</f>
        <v>0.32302052599213177</v>
      </c>
      <c r="AP55" s="193">
        <f>AP30/AP32</f>
        <v>0.33629226169094167</v>
      </c>
      <c r="AR55" s="193">
        <f>AR30/AR32</f>
        <v>0.35337941619519969</v>
      </c>
      <c r="AT55" s="193">
        <f>AT30/AT32</f>
        <v>0.37748945980477294</v>
      </c>
      <c r="AV55" s="193">
        <f>AV30/AV32</f>
        <v>0.41886547915697819</v>
      </c>
      <c r="XCS55" s="193"/>
      <c r="XFD55" s="193"/>
    </row>
    <row r="56" spans="1:48 16321:16384" x14ac:dyDescent="0.2">
      <c r="A56" t="s">
        <v>170</v>
      </c>
      <c r="B56" s="193">
        <f>(Model!$C$52*B5*B20+B2*C5*C20)/B32</f>
        <v>2.9221206744340551E-2</v>
      </c>
      <c r="D56" s="193">
        <f>(Model!$C$52*D5*D20+D2*E5*E20)/D32</f>
        <v>3.2572017141102291E-2</v>
      </c>
      <c r="F56" s="193">
        <f>(Model!$C$52*F5*F20+F2*G5*G20)/F32</f>
        <v>3.5960147907114152E-2</v>
      </c>
      <c r="H56" s="193">
        <f>(Model!$C$52*H5*H20+H2*I5*I20)/H32</f>
        <v>3.9384725587200131E-2</v>
      </c>
      <c r="J56" s="193">
        <f>(Model!$C$52*J5*J20+J2*K5*K20)/J32</f>
        <v>4.2843545182067837E-2</v>
      </c>
      <c r="L56" s="193">
        <f>(Model!$C$52*L5*L20+L2*M5*M20)/L32</f>
        <v>4.633259986587536E-2</v>
      </c>
      <c r="N56" s="193">
        <f>(Model!$C$52*N5*N20+N2*O5*O20)/N32</f>
        <v>4.9845854812157371E-2</v>
      </c>
      <c r="P56" s="193">
        <f>(Model!$C$52*P5*P20+P2*Q5*Q20)/P32</f>
        <v>5.3375128324377352E-2</v>
      </c>
      <c r="R56" s="193">
        <f>(Model!$C$52*R5*R20+R2*S5*S20)/R32</f>
        <v>5.6910773919064093E-2</v>
      </c>
      <c r="T56" s="193">
        <f>(Model!$C$52*T5*T20+T2*U5*U20)/T32</f>
        <v>6.044352001307416E-2</v>
      </c>
      <c r="V56" s="193">
        <f>(Model!$C$52*V5*V20+V2*W5*W20)/V32</f>
        <v>6.3970236762690397E-2</v>
      </c>
      <c r="X56" s="193">
        <f>(Model!$C$52*X5*X20+X2*Y5*Y20)/X32</f>
        <v>6.7506141268345587E-2</v>
      </c>
      <c r="Z56" s="193">
        <f>(Model!$C$52*Z5*Z20+Z2*AA5*AA20)/Z32</f>
        <v>7.1110246314835299E-2</v>
      </c>
      <c r="AB56" s="193">
        <f>(Model!$C$52*AB5*AB20+AB2*AC5*AC20)/AB32</f>
        <v>7.4934618465300265E-2</v>
      </c>
      <c r="AD56" s="193">
        <f>(Model!$C$52*AD5*AD20+AD2*AE5*AE20)/AD32</f>
        <v>7.9313609195376264E-2</v>
      </c>
      <c r="AF56" s="193">
        <f>(Model!$C$52*AF5*AF20+AF2*AG5*AG20)/AF32</f>
        <v>8.4921891825004869E-2</v>
      </c>
      <c r="AH56" s="193">
        <f>(Model!$C$52*AH5*AH20+AH2*AI5*AI20)/AH32</f>
        <v>9.3088558735337001E-2</v>
      </c>
      <c r="AJ56" s="193">
        <f>(Model!$C$52*AJ5*AJ20+AJ2*AK5*AK20)/AJ32</f>
        <v>0.10654624372652231</v>
      </c>
      <c r="AL56" s="193">
        <f>(Model!$C$52*AL5*AL20+AL2*AM5*AM20)/AL32</f>
        <v>0.13088574433228975</v>
      </c>
      <c r="AN56" s="193">
        <f>(Model!$C$52*AN5*AN20+AN2*AO5*AO20)/AN32</f>
        <v>0.17722654654331102</v>
      </c>
      <c r="AP56" s="193">
        <f>(Model!$C$52*AP5*AP20+AP2*AQ5*AQ20)/AP32</f>
        <v>0.19196595693044197</v>
      </c>
      <c r="AR56" s="193">
        <f>(Model!$C$52*AR5*AR20+AR2*AS5*AS20)/AR32</f>
        <v>0.21076843790497049</v>
      </c>
      <c r="AT56" s="193">
        <f>(Model!$C$52*AT5*AT20+AT2*AU5*AU20)/AT32</f>
        <v>0.23703559322792012</v>
      </c>
      <c r="AV56" s="193">
        <f>(Model!$C$52*AV5*AV20+AV2*AW5*AW20)/AV32</f>
        <v>0.28170213596341986</v>
      </c>
      <c r="XFD56" s="193"/>
    </row>
    <row r="57" spans="1:48 16321:16384" x14ac:dyDescent="0.2">
      <c r="A57" t="s">
        <v>171</v>
      </c>
      <c r="B57" s="193">
        <f t="array" ref="B57">SUM(Model!tauL*B13:C13*B26:C26)/B32</f>
        <v>0.15852881819439493</v>
      </c>
      <c r="D57" s="193">
        <f t="array" ref="D57">SUM(Model!tauL*D13:E13*D26:E26)/D32</f>
        <v>0.15796381749546512</v>
      </c>
      <c r="F57" s="193">
        <f t="array" ref="F57">SUM(Model!tauL*F13:G13*F26:G26)/F32</f>
        <v>0.15738325892410593</v>
      </c>
      <c r="H57" s="193">
        <f t="array" ref="H57">SUM(Model!tauL*H13:I13*H26:I26)/H32</f>
        <v>0.15678643957844257</v>
      </c>
      <c r="J57" s="193">
        <f t="array" ref="J57">SUM(Model!tauL*J13:K13*J26:K26)/J32</f>
        <v>0.15617284672208914</v>
      </c>
      <c r="L57" s="193">
        <f t="array" ref="L57">SUM(Model!tauL*L13:M13*L26:M26)/L32</f>
        <v>0.1555422740516495</v>
      </c>
      <c r="N57" s="193">
        <f t="array" ref="N57">SUM(Model!tauL*N13:O13*N26:O26)/N32</f>
        <v>0.15489492913326786</v>
      </c>
      <c r="P57" s="193">
        <f t="array" ref="P57">SUM(Model!tauL*P13:Q13*P26:Q26)/P32</f>
        <v>0.1542315719200579</v>
      </c>
      <c r="R57" s="193">
        <f t="array" ref="R57">SUM(Model!tauL*R13:S13*R26:S26)/R32</f>
        <v>0.15355358122179827</v>
      </c>
      <c r="T57" s="193">
        <f t="array" ref="T57">SUM(Model!tauL*T13:U13*T26:U26)/T32</f>
        <v>0.15286310197694025</v>
      </c>
      <c r="V57" s="193">
        <f t="array" ref="V57">SUM(Model!tauL*V13:W13*V26:W26)/V32</f>
        <v>0.15216262099818154</v>
      </c>
      <c r="X57" s="193">
        <f t="array" ref="X57">SUM(Model!tauL*X13:Y13*X26:Y26)/X32</f>
        <v>0.15145406417740348</v>
      </c>
      <c r="Y57" s="193"/>
      <c r="Z57" s="193">
        <f t="array" ref="Z57">SUM(Model!tauL*Z13:AA13*Z26:AA26)/Z32</f>
        <v>0.15073626487547959</v>
      </c>
      <c r="AB57" s="193">
        <f t="array" ref="AB57">SUM(Model!tauL*AB13:AC13*AB26:AC26)/AB32</f>
        <v>0.14999941305729608</v>
      </c>
      <c r="AD57" s="193">
        <f t="array" ref="AD57">SUM(Model!tauL*AD13:AE13*AD26:AE26)/AD32</f>
        <v>0.14921370076681242</v>
      </c>
      <c r="AF57" s="193">
        <f t="array" ref="AF57">SUM(Model!tauL*AF13:AG13*AF26:AG26)/AF32</f>
        <v>0.14830705452526841</v>
      </c>
      <c r="AH57" s="193">
        <f t="array" ref="AH57">SUM(Model!tauL*AH13:AI13*AH26:AI26)/AH32</f>
        <v>0.14711975913138134</v>
      </c>
      <c r="AJ57" s="193">
        <f t="array" ref="AJ57">SUM(Model!tauL*AJ13:AK13*AJ26:AK26)/AJ32</f>
        <v>0.14530813526948486</v>
      </c>
      <c r="AL57" s="193">
        <f t="array" ref="AL57">SUM(Model!tauL*AL13:AM13*AL26:AM26)/AL32</f>
        <v>0.14223745959253703</v>
      </c>
      <c r="AN57" s="193">
        <f t="array" ref="AN57">SUM(Model!tauL*AN13:AO13*AN26:AO26)/AN32</f>
        <v>0.13719481377066128</v>
      </c>
      <c r="AP57" s="193">
        <f t="array" ref="AP57">SUM(Model!tauL*AP13:AQ13*AP26:AQ26)/AP32</f>
        <v>0.13583769003543214</v>
      </c>
      <c r="AR57" s="193">
        <f t="array" ref="AR57">SUM(Model!tauL*AR13:AS13*AR26:AS26)/AR32</f>
        <v>0.13426374135632418</v>
      </c>
      <c r="AT57" s="193">
        <f t="array" ref="AT57">SUM(Model!tauL*AT13:AU13*AT26:AU26)/AT32</f>
        <v>0.13230675386644</v>
      </c>
      <c r="AV57" s="193">
        <f t="array" ref="AV57">SUM(Model!tauL*AV13:AW13*AV26:AW26)/AV32</f>
        <v>0.12936521656253727</v>
      </c>
      <c r="XFD57" s="193"/>
    </row>
    <row r="58" spans="1:48 16321:16384" x14ac:dyDescent="0.2">
      <c r="A58" t="s">
        <v>172</v>
      </c>
      <c r="B58" s="193">
        <f t="array" ref="B58">SUM(Model!tauY/(1+Model!tauY)*B3:C3*B18:C18)/B32</f>
        <v>1.075269412108535E-2</v>
      </c>
      <c r="D58" s="193">
        <f t="array" ref="D58">SUM(Model!tauY/(1+Model!tauY)*D3:E3*D18:E18)/D32</f>
        <v>1.0688367257600587E-2</v>
      </c>
      <c r="F58" s="193">
        <f t="array" ref="F58">SUM(Model!tauY/(1+Model!tauY)*F3:G3*F18:G18)/F32</f>
        <v>1.062372927059357E-2</v>
      </c>
      <c r="H58" s="193">
        <f t="array" ref="H58">SUM(Model!tauY/(1+Model!tauY)*H3:I3*H18:I18)/H32</f>
        <v>1.0558736432281496E-2</v>
      </c>
      <c r="J58" s="193">
        <f t="array" ref="J58">SUM(Model!tauY/(1+Model!tauY)*J3:K3*J18:K18)/J32</f>
        <v>1.0493337550313897E-2</v>
      </c>
      <c r="L58" s="193">
        <f t="array" ref="L58">SUM(Model!tauY/(1+Model!tauY)*L3:M3*L18:M18)/L32</f>
        <v>1.042747041530359E-2</v>
      </c>
      <c r="N58" s="193">
        <f t="array" ref="N58">SUM(Model!tauY/(1+Model!tauY)*N3:O3*N18:O18)/N32</f>
        <v>1.0361049020039941E-2</v>
      </c>
      <c r="P58" s="193">
        <f t="array" ref="P58">SUM(Model!tauY/(1+Model!tauY)*P3:Q3*P18:Q18)/P32</f>
        <v>1.0293940146807965E-2</v>
      </c>
      <c r="R58" s="193">
        <f t="array" ref="R58">SUM(Model!tauY/(1+Model!tauY)*R3:S3*R18:S18)/R32</f>
        <v>1.0225920798915582E-2</v>
      </c>
      <c r="T58" s="193">
        <f t="array" ref="T58">SUM(Model!tauY/(1+Model!tauY)*T3:U3*T18:U18)/T32</f>
        <v>1.0156600472413412E-2</v>
      </c>
      <c r="V58" s="193">
        <f t="array" ref="V58">SUM(Model!tauY/(1+Model!tauY)*V3:W3*V18:W18)/V32</f>
        <v>1.0085267101698605E-2</v>
      </c>
      <c r="X58" s="193">
        <f t="array" ref="X58">SUM(Model!tauY/(1+Model!tauY)*X3:Y3*X18:Y18)/X32</f>
        <v>1.0010618417601801E-2</v>
      </c>
      <c r="Y58" s="193"/>
      <c r="Z58" s="193">
        <f t="array" ref="Z58">SUM(Model!tauY/(1+Model!tauY)*Z3:AA3*Z18:AA18)/Z32</f>
        <v>9.9303278644936842E-3</v>
      </c>
      <c r="AB58" s="193">
        <f t="array" ref="AB58">SUM(Model!tauY/(1+Model!tauY)*AB3:AC3*AB18:AC18)/AB32</f>
        <v>9.8404109693665288E-3</v>
      </c>
      <c r="AD58" s="193">
        <f t="array" ref="AD58">SUM(Model!tauY/(1+Model!tauY)*AD3:AE3*AD18:AE18)/AD32</f>
        <v>9.7345475836382866E-3</v>
      </c>
      <c r="AF58" s="193">
        <f t="array" ref="AF58">SUM(Model!tauY/(1+Model!tauY)*AF3:AG3*AF18:AG18)/AF32</f>
        <v>9.6038657274228334E-3</v>
      </c>
      <c r="AH58" s="193">
        <f t="array" ref="AH58">SUM(Model!tauY/(1+Model!tauY)*AH3:AI3*AH18:AI18)/AH32</f>
        <v>9.4381028700952999E-3</v>
      </c>
      <c r="AJ58" s="193">
        <f t="array" ref="AJ58">SUM(Model!tauY/(1+Model!tauY)*AJ3:AK3*AJ18:AK18)/AJ32</f>
        <v>9.2286472286345692E-3</v>
      </c>
      <c r="AL58" s="193">
        <f t="array" ref="AL58">SUM(Model!tauY/(1+Model!tauY)*AL3:AM3*AL18:AM18)/AL32</f>
        <v>8.9680183256058577E-3</v>
      </c>
      <c r="AN58" s="193">
        <f t="array" ref="AN58">SUM(Model!tauY/(1+Model!tauY)*AN3:AO3*AN18:AO18)/AN32</f>
        <v>8.5991656781594702E-3</v>
      </c>
      <c r="AP58" s="193">
        <f t="array" ref="AP58">SUM(Model!tauY/(1+Model!tauY)*AP3:AQ3*AP18:AQ18)/AP32</f>
        <v>8.488614725067567E-3</v>
      </c>
      <c r="AR58" s="193">
        <f t="array" ref="AR58">SUM(Model!tauY/(1+Model!tauY)*AR3:AS3*AR18:AS18)/AR32</f>
        <v>8.3472369339049873E-3</v>
      </c>
      <c r="AT58" s="193">
        <f t="array" ref="AT58">SUM(Model!tauY/(1+Model!tauY)*AT3:AU3*AT18:AU18)/AT32</f>
        <v>8.1471127104127718E-3</v>
      </c>
      <c r="AV58" s="193">
        <f t="array" ref="AV58">SUM(Model!tauY/(1+Model!tauY)*AV3:AW3*AV18:AW18)/AV32</f>
        <v>7.7981266310210547E-3</v>
      </c>
      <c r="XFD58" s="193"/>
    </row>
    <row r="59" spans="1:48 16321:16384" x14ac:dyDescent="0.2">
      <c r="A59" t="s">
        <v>173</v>
      </c>
      <c r="B59" s="193">
        <f>(B2*C5*C20)/B32</f>
        <v>5.5174232040962052E-4</v>
      </c>
      <c r="D59" s="193">
        <f>(D2*E5*E20)/D32</f>
        <v>3.9358258207457149E-3</v>
      </c>
      <c r="F59" s="193">
        <f>(F2*G5*G20)/F32</f>
        <v>7.3514345074101534E-3</v>
      </c>
      <c r="H59" s="193">
        <f>(H2*I5*I20)/H32</f>
        <v>1.0796256104018844E-2</v>
      </c>
      <c r="J59" s="193">
        <f>(J2*K5*K20)/J32</f>
        <v>1.4266224106794857E-2</v>
      </c>
      <c r="L59" s="193">
        <f>(L2*M5*M20)/L32</f>
        <v>1.7754893443566264E-2</v>
      </c>
      <c r="N59" s="193">
        <f>(N2*O5*O20)/N32</f>
        <v>2.1253032356364745E-2</v>
      </c>
      <c r="P59" s="193">
        <f>(P2*Q5*Q20)/P32</f>
        <v>2.4748250421925633E-2</v>
      </c>
      <c r="R59" s="193">
        <f>(R2*S5*S20)/R32</f>
        <v>2.8225387207679507E-2</v>
      </c>
      <c r="T59" s="193">
        <f>(T2*U5*U20)/T32</f>
        <v>3.1667913925111563E-2</v>
      </c>
      <c r="V59" s="193">
        <f>(V2*W5*W20)/V32</f>
        <v>3.506337463787923E-2</v>
      </c>
      <c r="X59" s="193">
        <f>(X2*Y5*Y20)/X32</f>
        <v>3.84153109980764E-2</v>
      </c>
      <c r="Z59" s="193">
        <f>(Z2*AA5*AA20)/Z32</f>
        <v>4.1768979038751736E-2</v>
      </c>
      <c r="AB59" s="193">
        <f>(AB2*AC5*AC20)/AB32</f>
        <v>4.5262002786372241E-2</v>
      </c>
      <c r="AD59" s="193">
        <f>(AD2*AE5*AE20)/AD32</f>
        <v>4.9216886480457633E-2</v>
      </c>
      <c r="AF59" s="193">
        <f>(AF2*AG5*AG20)/AF32</f>
        <v>5.4304075802584471E-2</v>
      </c>
      <c r="AH59" s="193">
        <f>(AH2*AI5*AI20)/AH32</f>
        <v>6.186051184939554E-2</v>
      </c>
      <c r="AJ59" s="193">
        <f>(AJ2*AK5*AK20)/AJ32</f>
        <v>7.4638409766260808E-2</v>
      </c>
      <c r="AL59" s="193">
        <f>(AL2*AM5*AM20)/AL32</f>
        <v>9.822273659133178E-2</v>
      </c>
      <c r="AN59" s="193">
        <f>(AN2*AO5*AO20)/AN32</f>
        <v>0.14331137122889831</v>
      </c>
      <c r="AP59" s="193">
        <f>(AP2*AQ5*AQ20)/AP32</f>
        <v>0.15754738035869978</v>
      </c>
      <c r="AR59" s="193">
        <f>(AR2*AS5*AS20)/AR32</f>
        <v>0.17559359966992424</v>
      </c>
      <c r="AT59" s="193">
        <f>(AT2*AU5*AU20)/AT32</f>
        <v>0.20056126224454804</v>
      </c>
      <c r="AV59" s="193">
        <f>(AV2*AW5*AW20)/AV32</f>
        <v>0.24227325532957633</v>
      </c>
      <c r="XFD59" s="193"/>
    </row>
    <row r="60" spans="1:48 16321:16384" x14ac:dyDescent="0.2">
      <c r="A60" t="s">
        <v>174</v>
      </c>
      <c r="B60" s="193">
        <f>Model!$C$52*B5*B20/B32</f>
        <v>2.8669464423930927E-2</v>
      </c>
      <c r="D60" s="193">
        <f>Model!$C$52*D5*D20/D32</f>
        <v>2.8636191320356573E-2</v>
      </c>
      <c r="F60" s="193">
        <f>Model!$C$52*F5*F20/F32</f>
        <v>2.8608713399703996E-2</v>
      </c>
      <c r="H60" s="193">
        <f>Model!$C$52*H5*H20/H32</f>
        <v>2.8588469483181285E-2</v>
      </c>
      <c r="J60" s="193">
        <f>Model!$C$52*J5*J20/J32</f>
        <v>2.8577321075272985E-2</v>
      </c>
      <c r="L60" s="193">
        <f>Model!$C$52*L5*L20/L32</f>
        <v>2.8577706422309102E-2</v>
      </c>
      <c r="N60" s="193">
        <f>Model!$C$52*N5*N20/N32</f>
        <v>2.8592822455792626E-2</v>
      </c>
      <c r="P60" s="193">
        <f>Model!$C$52*P5*P20/P32</f>
        <v>2.8626877902451719E-2</v>
      </c>
      <c r="R60" s="193">
        <f>Model!$C$52*R5*R20/R32</f>
        <v>2.8685386711384587E-2</v>
      </c>
      <c r="T60" s="193">
        <f>Model!$C$52*T5*T20/T32</f>
        <v>2.8775606087962594E-2</v>
      </c>
      <c r="V60" s="193">
        <f>Model!$C$52*V5*V20/V32</f>
        <v>2.890686212481117E-2</v>
      </c>
      <c r="X60" s="193">
        <f>Model!$C$52*X5*X20/X32</f>
        <v>2.9090830270269191E-2</v>
      </c>
      <c r="Z60" s="193">
        <f>Model!$C$52*Z5*Z20/Z32</f>
        <v>2.9341267276083566E-2</v>
      </c>
      <c r="AB60" s="193">
        <f>Model!$C$52*AB5*AB20/AB32</f>
        <v>2.9672615678928031E-2</v>
      </c>
      <c r="AD60" s="193">
        <f>Model!$C$52*AD5*AD20/AD32</f>
        <v>3.0096722714918634E-2</v>
      </c>
      <c r="AF60" s="193">
        <f>Model!$C$52*AF5*AF20/AF32</f>
        <v>3.0617816022420394E-2</v>
      </c>
      <c r="AH60" s="193">
        <f>Model!$C$52*AH5*AH20/AH32</f>
        <v>3.1228046885941461E-2</v>
      </c>
      <c r="AJ60" s="193">
        <f>Model!$C$52*AJ5*AJ20/AJ32</f>
        <v>3.1907833960261506E-2</v>
      </c>
      <c r="AL60" s="193">
        <f>Model!$C$52*AL5*AL20/AL32</f>
        <v>3.2663007740957962E-2</v>
      </c>
      <c r="AN60" s="193">
        <f>Model!$C$52*AN5*AN20/AN32</f>
        <v>3.3915175314412703E-2</v>
      </c>
      <c r="AP60" s="193">
        <f>Model!$C$52*AP5*AP20/AP32</f>
        <v>3.4418576571742146E-2</v>
      </c>
      <c r="AR60" s="193">
        <f>Model!$C$52*AR5*AR20/AR32</f>
        <v>3.5174838235046267E-2</v>
      </c>
      <c r="AT60" s="193">
        <f>Model!$C$52*AT5*AT20/AT32</f>
        <v>3.6474330983372105E-2</v>
      </c>
      <c r="AV60" s="193">
        <f>Model!$C$52*AV5*AV20/AV32</f>
        <v>3.942888063384354E-2</v>
      </c>
      <c r="XFD60" s="193"/>
    </row>
    <row r="62" spans="1:48 16321:16384" x14ac:dyDescent="0.2">
      <c r="A62" t="s">
        <v>175</v>
      </c>
      <c r="B62">
        <f>B13/B15</f>
        <v>1</v>
      </c>
      <c r="D62">
        <f>D13/D15</f>
        <v>0.99584220468385687</v>
      </c>
      <c r="F62">
        <f>F13/F15</f>
        <v>0.99138540249754636</v>
      </c>
      <c r="H62">
        <f>H13/H15</f>
        <v>0.98660461380593978</v>
      </c>
      <c r="J62">
        <f>J13/J15</f>
        <v>0.98147442330196932</v>
      </c>
      <c r="L62">
        <f>L13/L15</f>
        <v>0.97597023794328475</v>
      </c>
      <c r="N62">
        <f>N13/N15</f>
        <v>0.97007019516072668</v>
      </c>
      <c r="P62">
        <f>P13/P15</f>
        <v>0.96375844846186132</v>
      </c>
      <c r="R62">
        <f>R13/R15</f>
        <v>0.95703017030692294</v>
      </c>
      <c r="T62">
        <f>T13/T15</f>
        <v>0.94990062993637792</v>
      </c>
      <c r="V62">
        <f>V13/V15</f>
        <v>0.9424185991412527</v>
      </c>
      <c r="X62">
        <f>X13/X15</f>
        <v>0.9346897972517646</v>
      </c>
      <c r="Z62">
        <f>Z13/Z15</f>
        <v>0.92691496908617887</v>
      </c>
      <c r="AB62">
        <f>AB13/AB15</f>
        <v>0.91945217060662232</v>
      </c>
      <c r="AD62">
        <f>AD13/AD15</f>
        <v>0.91291645815524813</v>
      </c>
      <c r="AF62">
        <f>AF13/AF15</f>
        <v>0.90835350521428393</v>
      </c>
      <c r="AH62">
        <f>AH13/AH15</f>
        <v>0.90766022107673794</v>
      </c>
      <c r="AJ62">
        <f>AJ13/AJ15</f>
        <v>0.9150416627973984</v>
      </c>
      <c r="AL62">
        <f>AL13/AL15</f>
        <v>0.94275864665556885</v>
      </c>
      <c r="AN62">
        <f>AN13/AN15</f>
        <v>1.0418157916623392</v>
      </c>
      <c r="AP62">
        <f>AP13/AP15</f>
        <v>1.0891586348357272</v>
      </c>
      <c r="AR62">
        <f>AR13/AR15</f>
        <v>1.1631251447027355</v>
      </c>
      <c r="AT62">
        <f>AT13/AT15</f>
        <v>1.2956278875249423</v>
      </c>
      <c r="AV62">
        <f>AV13/AV15</f>
        <v>1.6159124206977526</v>
      </c>
    </row>
    <row r="65" spans="1:48 16384:16384" x14ac:dyDescent="0.2">
      <c r="A65" t="s">
        <v>176</v>
      </c>
      <c r="B65" s="191">
        <f>SQRT((B9:C9*$B$22:$C$22+B10:C10*$B$23:$C$23+B11:C11*$B$24:$C$24+B4:C4*($B$25:$C$25-$B$19:$C$19))/($B$9:$C$9*$B$22:$C$22+$B$10:$C$10*$B$23:$C$23+$B$11:$C$11*$B$24:$C$24+$B$4:$C$4*($B$25:$C$25-$B$19:$C$19))*(B9:C9*B22:C22+B10:C10*B23:C23+B11:C11*B24:C24+B4:C4*(B25:C25-B19:C19))/($B$9:$C$9*B22:C22+$B$10:$C$10*B23:C23+$B$11:$C$11*B24:C24+$B$4:$C$4*(B25:C25-B19:C19)))</f>
        <v>1</v>
      </c>
      <c r="C65" s="191"/>
      <c r="D65" s="191">
        <f t="array" ref="D65">SQRT((D9:E9*$B$22:$C$22+D10:E10*$B$23:$C$23+D11:E11*$B$24:$C$24+D4:E4*($B$25:$C$25-$B$19:$C$19))/($B$9:$C$9*$B$22:$C$22+$B$10:$C$10*$B$23:$C$23+$B$11:$C$11*$B$24:$C$24+$B$4:$C$4*($B$25:$C$25-$B$19:$C$19))*(D9:E9*D22:E22+D10:E10*D23:E23+D11:E11*D24:E24+D4:E4*(D25:E25-D19:E19))/($B$9:$C$9*D22:E22+$B$10:$C$10*D23:E23+$B$11:$C$11*D24:E24+$B$4:$C$4*(D25:E25-D19:E19)))</f>
        <v>0.99940134105992062</v>
      </c>
      <c r="E65" s="191"/>
      <c r="F65" s="191">
        <f t="array" ref="F65">SQRT((F9:G9*$B$22:$C$22+F10:G10*$B$23:$C$23+F11:G11*$B$24:$C$24+F4:G4*($B$25:$C$25-$B$19:$C$19))/($B$9:$C$9*$B$22:$C$22+$B$10:$C$10*$B$23:$C$23+$B$11:$C$11*$B$24:$C$24+$B$4:$C$4*($B$25:$C$25-$B$19:$C$19))*(F9:G9*F22:G22+F10:G10*F23:G23+F11:G11*F24:G24+F4:G4*(F25:G25-F19:G19))/($B$9:$C$9*F22:G22+$B$10:$C$10*F23:G23+$B$11:$C$11*F24:G24+$B$4:$C$4*(F25:G25-F19:G19)))</f>
        <v>0.99917978726425116</v>
      </c>
      <c r="G65" s="191"/>
      <c r="H65" s="191">
        <f t="array" ref="H65">SQRT((H9:I9*$B$22:$C$22+H10:I10*$B$23:$C$23+H11:I11*$B$24:$C$24+H4:I4*($B$25:$C$25-$B$19:$C$19))/($B$9:$C$9*$B$22:$C$22+$B$10:$C$10*$B$23:$C$23+$B$11:$C$11*$B$24:$C$24+$B$4:$C$4*($B$25:$C$25-$B$19:$C$19))*(H9:I9*H22:I22+H10:I10*H23:I23+H11:I11*H24:I24+H4:I4*(H25:I25-H19:I19))/($B$9:$C$9*H22:I22+$B$10:$C$10*H23:I23+$B$11:$C$11*H24:I24+$B$4:$C$4*(H25:I25-H19:I19)))</f>
        <v>0.99943065183266655</v>
      </c>
      <c r="I65" s="191"/>
      <c r="J65" s="191">
        <f t="array" ref="J65">SQRT((J9:K9*$B$22:$C$22+J10:K10*$B$23:$C$23+J11:K11*$B$24:$C$24+J4:K4*($B$25:$C$25-$B$19:$C$19))/($B$9:$C$9*$B$22:$C$22+$B$10:$C$10*$B$23:$C$23+$B$11:$C$11*$B$24:$C$24+$B$4:$C$4*($B$25:$C$25-$B$19:$C$19))*(J9:K9*J22:K22+J10:K10*J23:K23+J11:K11*J24:K24+J4:K4*(J25:K25-J19:K19))/($B$9:$C$9*J22:K22+$B$10:$C$10*J23:K23+$B$11:$C$11*J24:K24+$B$4:$C$4*(J25:K25-J19:K19)))</f>
        <v>1.0002808111648513</v>
      </c>
      <c r="K65" s="191"/>
      <c r="L65" s="191">
        <f t="array" ref="L65">SQRT((L9:M9*$B$22:$C$22+L10:M10*$B$23:$C$23+L11:M11*$B$24:$C$24+L4:M4*($B$25:$C$25-$B$19:$C$19))/($B$9:$C$9*$B$22:$C$22+$B$10:$C$10*$B$23:$C$23+$B$11:$C$11*$B$24:$C$24+$B$4:$C$4*($B$25:$C$25-$B$19:$C$19))*(L9:M9*L22:M22+L10:M10*L23:M23+L11:M11*L24:M24+L4:M4*(L25:M25-L19:M19))/($B$9:$C$9*L22:M22+$B$10:$C$10*L23:M23+$B$11:$C$11*L24:M24+$B$4:$C$4*(L25:M25-L19:M19)))</f>
        <v>1.0019024177942117</v>
      </c>
      <c r="M65" s="191"/>
      <c r="N65" s="191">
        <f t="array" ref="N65">SQRT((N9:O9*$B$22:$C$22+N10:O10*$B$23:$C$23+N11:O11*$B$24:$C$24+N4:O4*($B$25:$C$25-$B$19:$C$19))/($B$9:$C$9*$B$22:$C$22+$B$10:$C$10*$B$23:$C$23+$B$11:$C$11*$B$24:$C$24+$B$4:$C$4*($B$25:$C$25-$B$19:$C$19))*(N9:O9*N22:O22+N10:O10*N23:O23+N11:O11*N24:O24+N4:O4*(N25:O25-N19:O19))/($B$9:$C$9*N22:O22+$B$10:$C$10*N23:O23+$B$11:$C$11*N24:O24+$B$4:$C$4*(N25:O25-N19:O19)))</f>
        <v>1.0045316851643764</v>
      </c>
      <c r="O65" s="191"/>
      <c r="P65" s="191">
        <f t="array" ref="P65">SQRT((P9:Q9*$B$22:$C$22+P10:Q10*$B$23:$C$23+P11:Q11*$B$24:$C$24+P4:Q4*($B$25:$C$25-$B$19:$C$19))/($B$9:$C$9*$B$22:$C$22+$B$10:$C$10*$B$23:$C$23+$B$11:$C$11*$B$24:$C$24+$B$4:$C$4*($B$25:$C$25-$B$19:$C$19))*(P9:Q9*P22:Q22+P10:Q10*P23:Q23+P11:Q11*P24:Q24+P4:Q4*(P25:Q25-P19:Q19))/($B$9:$C$9*P22:Q22+$B$10:$C$10*P23:Q23+$B$11:$C$11*P24:Q24+$B$4:$C$4*(P25:Q25-P19:Q19)))</f>
        <v>1.0084980092208706</v>
      </c>
      <c r="Q65" s="191"/>
      <c r="R65" s="191">
        <f t="array" ref="R65">SQRT((R9:S9*$B$22:$C$22+R10:S10*$B$23:$C$23+R11:S11*$B$24:$C$24+R4:S4*($B$25:$C$25-$B$19:$C$19))/($B$9:$C$9*$B$22:$C$22+$B$10:$C$10*$B$23:$C$23+$B$11:$C$11*$B$24:$C$24+$B$4:$C$4*($B$25:$C$25-$B$19:$C$19))*(R9:S9*R22:S22+R10:S10*R23:S23+R11:S11*R24:S24+R4:S4*(R25:S25-R19:S19))/($B$9:$C$9*R22:S22+$B$10:$C$10*R23:S23+$B$11:$C$11*R24:S24+$B$4:$C$4*(R25:S25-R19:S19)))</f>
        <v>1.0142665411227525</v>
      </c>
      <c r="S65" s="191"/>
      <c r="T65" s="191">
        <f t="array" ref="T65">SQRT((T9:U9*$B$22:$C$22+T10:U10*$B$23:$C$23+T11:U11*$B$24:$C$24+T4:U4*($B$25:$C$25-$B$19:$C$19))/($B$9:$C$9*$B$22:$C$22+$B$10:$C$10*$B$23:$C$23+$B$11:$C$11*$B$24:$C$24+$B$4:$C$4*($B$25:$C$25-$B$19:$C$19))*(T9:U9*T22:U22+T10:U10*T23:U23+T11:U11*T24:U24+T4:U4*(T25:U25-T19:U19))/($B$9:$C$9*T22:U22+$B$10:$C$10*T23:U23+$B$11:$C$11*T24:U24+$B$4:$C$4*(T25:U25-T19:U19)))</f>
        <v>1.0225102604069538</v>
      </c>
      <c r="U65" s="191"/>
      <c r="V65" s="191">
        <f t="array" ref="V65">SQRT((V9:W9*$B$22:$C$22+V10:W10*$B$23:$C$23+V11:W11*$B$24:$C$24+V4:W4*($B$25:$C$25-$B$19:$C$19))/($B$9:$C$9*$B$22:$C$22+$B$10:$C$10*$B$23:$C$23+$B$11:$C$11*$B$24:$C$24+$B$4:$C$4*($B$25:$C$25-$B$19:$C$19))*(V9:W9*V22:W22+V10:W10*V23:W23+V11:W11*V24:W24+V4:W4*(V25:W25-V19:W19))/($B$9:$C$9*V22:W22+$B$10:$C$10*V23:W23+$B$11:$C$11*V24:W24+$B$4:$C$4*(V25:W25-V19:W19)))</f>
        <v>1.0342143063342968</v>
      </c>
      <c r="W65" s="191"/>
      <c r="X65" s="191">
        <f t="array" ref="X65">SQRT((X9:Y9*$B$22:$C$22+X10:Y10*$B$23:$C$23+X11:Y11*$B$24:$C$24+X4:Y4*($B$25:$C$25-$B$19:$C$19))/($B$9:$C$9*$B$22:$C$22+$B$10:$C$10*$B$23:$C$23+$B$11:$C$11*$B$24:$C$24+$B$4:$C$4*($B$25:$C$25-$B$19:$C$19))*(X9:Y9*X22:Y22+X10:Y10*X23:Y23+X11:Y11*X24:Y24+X4:Y4*(X25:Y25-X19:Y19))/($B$9:$C$9*X22:Y22+$B$10:$C$10*X23:Y23+$B$11:$C$11*X24:Y24+$B$4:$C$4*(X25:Y25-X19:Y19)))</f>
        <v>1.0508519135850294</v>
      </c>
      <c r="Y65" s="191"/>
      <c r="Z65" s="191">
        <f t="array" ref="Z65">SQRT((Z9:AA9*$B$22:$C$22+Z10:AA10*$B$23:$C$23+Z11:AA11*$B$24:$C$24+Z4:AA4*($B$25:$C$25-$B$19:$C$19))/($B$9:$C$9*$B$22:$C$22+$B$10:$C$10*$B$23:$C$23+$B$11:$C$11*$B$24:$C$24+$B$4:$C$4*($B$25:$C$25-$B$19:$C$19))*(Z9:AA9*Z22:AA22+Z10:AA10*Z23:AA23+Z11:AA11*Z24:AA24+Z4:AA4*(Z25:AA25-Z19:AA19))/($B$9:$C$9*Z22:AA22+$B$10:$C$10*Z23:AA23+$B$11:$C$11*Z24:AA24+$B$4:$C$4*(Z25:AA25-Z19:AA19)))</f>
        <v>1.0746676030265532</v>
      </c>
      <c r="AA65" s="191"/>
      <c r="AB65" s="191">
        <f t="array" ref="AB65">SQRT((AB9:AC9*$B$22:$C$22+AB10:AC10*$B$23:$C$23+AB11:AC11*$B$24:$C$24+AB4:AC4*($B$25:$C$25-$B$19:$C$19))/($B$9:$C$9*$B$22:$C$22+$B$10:$C$10*$B$23:$C$23+$B$11:$C$11*$B$24:$C$24+$B$4:$C$4*($B$25:$C$25-$B$19:$C$19))*(AB9:AC9*AB22:AC22+AB10:AC10*AB23:AC23+AB11:AC11*AB24:AC24+AB4:AC4*(AB25:AC25-AB19:AC19))/($B$9:$C$9*AB22:AC22+$B$10:$C$10*AB23:AC23+$B$11:$C$11*AB24:AC24+$B$4:$C$4*(AB25:AC25-AB19:AC19)))</f>
        <v>1.1091597456587188</v>
      </c>
      <c r="AC65" s="191"/>
      <c r="AD65" s="191">
        <f t="array" ref="AD65">SQRT((AD9:AE9*$B$22:$C$22+AD10:AE10*$B$23:$C$23+AD11:AE11*$B$24:$C$24+AD4:AE4*($B$25:$C$25-$B$19:$C$19))/($B$9:$C$9*$B$22:$C$22+$B$10:$C$10*$B$23:$C$23+$B$11:$C$11*$B$24:$C$24+$B$4:$C$4*($B$25:$C$25-$B$19:$C$19))*(AD9:AE9*AD22:AE22+AD10:AE10*AD23:AE23+AD11:AE11*AD24:AE24+AD4:AE4*(AD25:AE25-AD19:AE19))/($B$9:$C$9*AD22:AE22+$B$10:$C$10*AD23:AE23+$B$11:$C$11*AD24:AE24+$B$4:$C$4*(AD25:AE25-AD19:AE19)))</f>
        <v>1.1599771215542196</v>
      </c>
      <c r="AE65" s="191"/>
      <c r="AF65" s="191">
        <f t="array" ref="AF65">SQRT((AF9:AG9*$B$22:$C$22+AF10:AG10*$B$23:$C$23+AF11:AG11*$B$24:$C$24+AF4:AG4*($B$25:$C$25-$B$19:$C$19))/($B$9:$C$9*$B$22:$C$22+$B$10:$C$10*$B$23:$C$23+$B$11:$C$11*$B$24:$C$24+$B$4:$C$4*($B$25:$C$25-$B$19:$C$19))*(AF9:AG9*AF22:AG22+AF10:AG10*AF23:AG23+AF11:AG11*AF24:AG24+AF4:AG4*(AF25:AG25-AF19:AG19))/($B$9:$C$9*AF22:AG22+$B$10:$C$10*AF23:AG23+$B$11:$C$11*AF24:AG24+$B$4:$C$4*(AF25:AG25-AF19:AG19)))</f>
        <v>1.2369267953887539</v>
      </c>
      <c r="AG65" s="191"/>
      <c r="AH65" s="191">
        <f t="array" ref="AH65">SQRT((AH9:AI9*$B$22:$C$22+AH10:AI10*$B$23:$C$23+AH11:AI11*$B$24:$C$24+AH4:AI4*($B$25:$C$25-$B$19:$C$19))/($B$9:$C$9*$B$22:$C$22+$B$10:$C$10*$B$23:$C$23+$B$11:$C$11*$B$24:$C$24+$B$4:$C$4*($B$25:$C$25-$B$19:$C$19))*(AH9:AI9*AH22:AI22+AH10:AI10*AH23:AI23+AH11:AI11*AH24:AI24+AH4:AI4*(AH25:AI25-AH19:AI19))/($B$9:$C$9*AH22:AI22+$B$10:$C$10*AH23:AI23+$B$11:$C$11*AH24:AI24+$B$4:$C$4*(AH25:AI25-AH19:AI19)))</f>
        <v>1.3597015177647072</v>
      </c>
      <c r="AI65" s="191"/>
      <c r="AJ65" s="191">
        <f t="array" ref="AJ65">SQRT((AJ9:AK9*$B$22:$C$22+AJ10:AK10*$B$23:$C$23+AJ11:AK11*$B$24:$C$24+AJ4:AK4*($B$25:$C$25-$B$19:$C$19))/($B$9:$C$9*$B$22:$C$22+$B$10:$C$10*$B$23:$C$23+$B$11:$C$11*$B$24:$C$24+$B$4:$C$4*($B$25:$C$25-$B$19:$C$19))*(AJ9:AK9*AJ22:AK22+AJ10:AK10*AJ23:AK23+AJ11:AK11*AJ24:AK24+AJ4:AK4*(AJ25:AK25-AJ19:AK19))/($B$9:$C$9*AJ22:AK22+$B$10:$C$10*AJ23:AK23+$B$11:$C$11*AJ24:AK24+$B$4:$C$4*(AJ25:AK25-AJ19:AK19)))</f>
        <v>1.5781160718330431</v>
      </c>
      <c r="AK65" s="191"/>
      <c r="AL65" s="191">
        <f t="array" ref="AL65">SQRT((AL9:AM9*$B$22:$C$22+AL10:AM10*$B$23:$C$23+AL11:AM11*$B$24:$C$24+AL4:AM4*($B$25:$C$25-$B$19:$C$19))/($B$9:$C$9*$B$22:$C$22+$B$10:$C$10*$B$23:$C$23+$B$11:$C$11*$B$24:$C$24+$B$4:$C$4*($B$25:$C$25-$B$19:$C$19))*(AL9:AM9*AL22:AM22+AL10:AM10*AL23:AM23+AL11:AM11*AL24:AM24+AL4:AM4*(AL25:AM25-AL19:AM19))/($B$9:$C$9*AL22:AM22+$B$10:$C$10*AL23:AM23+$B$11:$C$11*AL24:AM24+$B$4:$C$4*(AL25:AM25-AL19:AM19)))</f>
        <v>2.0659292844548118</v>
      </c>
      <c r="AM65" s="191"/>
      <c r="AN65" s="191">
        <f t="array" ref="AN65">SQRT((AN9:AO9*$B$22:$C$22+AN10:AO10*$B$23:$C$23+AN11:AO11*$B$24:$C$24+AN4:AO4*($B$25:$C$25-$B$19:$C$19))/($B$9:$C$9*$B$22:$C$22+$B$10:$C$10*$B$23:$C$23+$B$11:$C$11*$B$24:$C$24+$B$4:$C$4*($B$25:$C$25-$B$19:$C$19))*(AN9:AO9*AN22:AO22+AN10:AO10*AN23:AO23+AN11:AO11*AN24:AO24+AN4:AO4*(AN25:AO25-AN19:AO19))/($B$9:$C$9*AN22:AO22+$B$10:$C$10*AN23:AO23+$B$11:$C$11*AN24:AO24+$B$4:$C$4*(AN25:AO25-AN19:AO19)))</f>
        <v>4.4682911417992814</v>
      </c>
      <c r="AO65" s="191"/>
      <c r="AP65" s="191">
        <f t="array" ref="AP65">SQRT((AP9:AQ9*$B$22:$C$22+AP10:AQ10*$B$23:$C$23+AP11:AQ11*$B$24:$C$24+AP4:AQ4*($B$25:$C$25-$B$19:$C$19))/($B$9:$C$9*$B$22:$C$22+$B$10:$C$10*$B$23:$C$23+$B$11:$C$11*$B$24:$C$24+$B$4:$C$4*($B$25:$C$25-$B$19:$C$19))*(AP9:AQ9*AP22:AQ22+AP10:AQ10*AP23:AQ23+AP11:AQ11*AP24:AQ24+AP4:AQ4*(AP25:AQ25-AP19:AQ19))/($B$9:$C$9*AP22:AQ22+$B$10:$C$10*AP23:AQ23+$B$11:$C$11*AP24:AQ24+$B$4:$C$4*(AP25:AQ25-AP19:AQ19)))</f>
        <v>9.13649496418609</v>
      </c>
      <c r="AQ65" s="191"/>
      <c r="AR65" s="191" t="e">
        <f t="array" ref="AR65">SQRT((AR9:AS9*$B$22:$C$22+AR10:AS10*$B$23:$C$23+AR11:AS11*$B$24:$C$24+AR4:AS4*($B$25:$C$25-$B$19:$C$19))/($B$9:$C$9*$B$22:$C$22+$B$10:$C$10*$B$23:$C$23+$B$11:$C$11*$B$24:$C$24+$B$4:$C$4*($B$25:$C$25-$B$19:$C$19))*(AR9:AS9*AR22:AS22+AR10:AS10*AR23:AS23+AR11:AS11*AR24:AS24+AR4:AS4*(AR25:AS25-AR19:AS19))/($B$9:$C$9*AR22:AS22+$B$10:$C$10*AR23:AS23+$B$11:$C$11*AR24:AS24+$B$4:$C$4*(AR25:AS25-AR19:AS19)))</f>
        <v>#NUM!</v>
      </c>
      <c r="AS65" s="191"/>
      <c r="AT65" s="191" t="e">
        <f t="array" ref="AT65">SQRT((AT9:AU9*$B$22:$C$22+AT10:AU10*$B$23:$C$23+AT11:AU11*$B$24:$C$24+AT4:AU4*($B$25:$C$25-$B$19:$C$19))/($B$9:$C$9*$B$22:$C$22+$B$10:$C$10*$B$23:$C$23+$B$11:$C$11*$B$24:$C$24+$B$4:$C$4*($B$25:$C$25-$B$19:$C$19))*(AT9:AU9*AT22:AU22+AT10:AU10*AT23:AU23+AT11:AU11*AT24:AU24+AT4:AU4*(AT25:AU25-AT19:AU19))/($B$9:$C$9*AT22:AU22+$B$10:$C$10*AT23:AU23+$B$11:$C$11*AT24:AU24+$B$4:$C$4*(AT25:AU25-AT19:AU19)))</f>
        <v>#NUM!</v>
      </c>
      <c r="AU65" s="191"/>
      <c r="AV65" s="191" t="e">
        <f t="array" ref="AV65">SQRT((AV9:AW9*$B$22:$C$22+AV10:AW10*$B$23:$C$23+AV11:AW11*$B$24:$C$24+AV4:AW4*($B$25:$C$25-$B$19:$C$19))/($B$9:$C$9*$B$22:$C$22+$B$10:$C$10*$B$23:$C$23+$B$11:$C$11*$B$24:$C$24+$B$4:$C$4*($B$25:$C$25-$B$19:$C$19))*(AV9:AW9*AV22:AW22+AV10:AW10*AV23:AW23+AV11:AW11*AV24:AW24+AV4:AW4*(AV25:AW25-AV19:AW19))/($B$9:$C$9*AV22:AW22+$B$10:$C$10*AV23:AW23+$B$11:$C$11*AV24:AW24+$B$4:$C$4*(AV25:AW25-AV19:AW19)))</f>
        <v>#NUM!</v>
      </c>
    </row>
    <row r="66" spans="1:48 16384:16384" x14ac:dyDescent="0.2">
      <c r="A66" t="s">
        <v>182</v>
      </c>
      <c r="B66" s="191">
        <f t="array" ref="B66">SQRT((B9:C9*$B$22:$C$22)/($B$9:$C$9*$B$22:$C$22)*(B9:C9*B22:C22)/($B$9:$C$9*B22:C22))</f>
        <v>1</v>
      </c>
      <c r="C66" s="191"/>
      <c r="D66" s="191">
        <f t="array" ref="D66">SQRT((D9:E9*$B$22:$C$22)/($B$9:$C$9*$B$22:$C$22)*(D9:E9*D22:E22)/($B$9:$C$9*D22:E22))</f>
        <v>0.99934192971028057</v>
      </c>
      <c r="E66" s="191"/>
      <c r="F66" s="191">
        <f t="array" ref="F66">SQRT((F9:G9*$B$22:$C$22)/($B$9:$C$9*$B$22:$C$22)*(F9:G9*F22:G22)/($B$9:$C$9*F22:G22))</f>
        <v>0.99909836216115211</v>
      </c>
      <c r="G66" s="191"/>
      <c r="H66" s="191">
        <f t="array" ref="H66">SQRT((H9:I9*$B$22:$C$22)/($B$9:$C$9*$B$22:$C$22)*(H9:I9*H22:I22)/($B$9:$C$9*H22:I22))</f>
        <v>0.99937424320811541</v>
      </c>
      <c r="I66" s="191"/>
      <c r="J66" s="191">
        <f t="array" ref="J66">SQRT((J9:K9*$B$22:$C$22)/($B$9:$C$9*$B$22:$C$22)*(J9:K9*J22:K22)/($B$9:$C$9*J22:K22))</f>
        <v>1.0003084960215356</v>
      </c>
      <c r="K66" s="191"/>
      <c r="L66" s="191">
        <f t="array" ref="L66">SQRT((L9:M9*$B$22:$C$22)/($B$9:$C$9*$B$22:$C$22)*(L9:M9*L22:M22)/($B$9:$C$9*L22:M22))</f>
        <v>1.0020883470679867</v>
      </c>
      <c r="M66" s="191"/>
      <c r="N66" s="191">
        <f t="array" ref="N66">SQRT((N9:O9*$B$22:$C$22)/($B$9:$C$9*$B$22:$C$22)*(N9:O9*N22:O22)/($B$9:$C$9*N22:O22))</f>
        <v>1.0049685534062542</v>
      </c>
      <c r="O66" s="191"/>
      <c r="P66" s="191">
        <f t="array" ref="P66">SQRT((P9:Q9*$B$22:$C$22)/($B$9:$C$9*$B$22:$C$22)*(P9:Q9*P22:Q22)/($B$9:$C$9*P22:Q22))</f>
        <v>1.0093007027362337</v>
      </c>
      <c r="Q66" s="191"/>
      <c r="R66" s="191">
        <f t="array" ref="R66">SQRT((R9:S9*$B$22:$C$22)/($B$9:$C$9*$B$22:$C$22)*(R9:S9*R22:S22)/($B$9:$C$9*R22:S22))</f>
        <v>1.0155748205592416</v>
      </c>
      <c r="S66" s="191"/>
      <c r="T66" s="191">
        <f t="array" ref="T66">SQRT((T9:U9*$B$22:$C$22)/($B$9:$C$9*$B$22:$C$22)*(T9:U9*T22:U22)/($B$9:$C$9*T22:U22))</f>
        <v>1.0244884538949954</v>
      </c>
      <c r="U66" s="191"/>
      <c r="V66" s="191">
        <f t="array" ref="V66">SQRT((V9:W9*$B$22:$C$22)/($B$9:$C$9*$B$22:$C$22)*(V9:W9*V22:W22)/($B$9:$C$9*V22:W22))</f>
        <v>1.0370415132336508</v>
      </c>
      <c r="W66" s="191"/>
      <c r="X66" s="191">
        <f t="array" ref="X66">SQRT((X9:Y9*$B$22:$C$22)/($B$9:$C$9*$B$22:$C$22)*(X9:Y9*X22:Y22)/($B$9:$C$9*X22:Y22))</f>
        <v>1.0546900228284612</v>
      </c>
      <c r="Y66" s="191"/>
      <c r="Z66" s="191">
        <f t="array" ref="Z66">SQRT((Z9:AA9*$B$22:$C$22)/($B$9:$C$9*$B$22:$C$22)*(Z9:AA9*Z22:AA22)/($B$9:$C$9*Z22:AA22))</f>
        <v>1.0795772893375559</v>
      </c>
      <c r="AA66" s="191"/>
      <c r="AB66" s="191">
        <f t="array" ref="AB66">SQRT((AB9:AC9*$B$22:$C$22)/($B$9:$C$9*$B$22:$C$22)*(AB9:AC9*AB22:AC22)/($B$9:$C$9*AB22:AC22))</f>
        <v>1.1148986401135677</v>
      </c>
      <c r="AC66" s="191"/>
      <c r="AD66" s="191">
        <f t="array" ref="AD66">SQRT((AD9:AE9*$B$22:$C$22)/($B$9:$C$9*$B$22:$C$22)*(AD9:AE9*AD22:AE22)/($B$9:$C$9*AD22:AE22))</f>
        <v>1.1655272904470968</v>
      </c>
      <c r="AE66" s="191"/>
      <c r="AF66" s="191">
        <f t="array" ref="AF66">SQRT((AF9:AG9*$B$22:$C$22)/($B$9:$C$9*$B$22:$C$22)*(AF9:AG9*AF22:AG22)/($B$9:$C$9*AF22:AG22))</f>
        <v>1.2393438501407388</v>
      </c>
      <c r="AG66" s="191"/>
      <c r="AH66" s="191">
        <f t="array" ref="AH66">SQRT((AH9:AI9*$B$22:$C$22)/($B$9:$C$9*$B$22:$C$22)*(AH9:AI9*AH22:AI22)/($B$9:$C$9*AH22:AI22))</f>
        <v>1.3508575262986136</v>
      </c>
      <c r="AI66" s="191"/>
      <c r="AJ66" s="191">
        <f t="array" ref="AJ66">SQRT((AJ9:AK9*$B$22:$C$22)/($B$9:$C$9*$B$22:$C$22)*(AJ9:AK9*AJ22:AK22)/($B$9:$C$9*AJ22:AK22))</f>
        <v>1.5324038644667717</v>
      </c>
      <c r="AK66" s="191"/>
      <c r="AL66" s="191">
        <f t="array" ref="AL66">SQRT((AL9:AM9*$B$22:$C$22)/($B$9:$C$9*$B$22:$C$22)*(AL9:AM9*AL22:AM22)/($B$9:$C$9*AL22:AM22))</f>
        <v>1.8691367485701764</v>
      </c>
      <c r="AM66" s="191"/>
      <c r="AN66" s="191">
        <f t="array" ref="AN66">SQRT((AN9:AO9*$B$22:$C$22)/($B$9:$C$9*$B$22:$C$22)*(AN9:AO9*AN22:AO22)/($B$9:$C$9*AN22:AO22))</f>
        <v>2.6434820543206872</v>
      </c>
      <c r="AO66" s="191"/>
      <c r="AP66" s="191">
        <f t="array" ref="AP66">SQRT((AP9:AQ9*$B$22:$C$22)/($B$9:$C$9*$B$22:$C$22)*(AP9:AQ9*AP22:AQ22)/($B$9:$C$9*AP22:AQ22))</f>
        <v>2.9376221986801565</v>
      </c>
      <c r="AQ66" s="191"/>
      <c r="AR66" s="191">
        <f t="array" ref="AR66">SQRT((AR9:AS9*$B$22:$C$22)/($B$9:$C$9*$B$22:$C$22)*(AR9:AS9*AR22:AS22)/($B$9:$C$9*AR22:AS22))</f>
        <v>3.3448729173068634</v>
      </c>
      <c r="AS66" s="191"/>
      <c r="AT66" s="191">
        <f t="array" ref="AT66">SQRT((AT9:AU9*$B$22:$C$22)/($B$9:$C$9*$B$22:$C$22)*(AT9:AU9*AT22:AU22)/($B$9:$C$9*AT22:AU22))</f>
        <v>3.9654593586327107</v>
      </c>
      <c r="AU66" s="191"/>
      <c r="AV66" s="191">
        <f t="array" ref="AV66">SQRT((AV9:AW9*$B$22:$C$22)/($B$9:$C$9*$B$22:$C$22)*(AV9:AW9*AV22:AW22)/($B$9:$C$9*AV22:AW22))</f>
        <v>5.1176158164992263</v>
      </c>
      <c r="XFD66" s="191"/>
    </row>
    <row r="67" spans="1:48 16384:16384" x14ac:dyDescent="0.2">
      <c r="A67" t="s">
        <v>183</v>
      </c>
      <c r="B67" s="191">
        <f t="array" ref="B67">SQRT((B4:C4*$B$19:$C$19)/($B$4:$C$4*$B$19:$C$19)*(B4:C4*B19:C19)/($B$4:$C$4*B19:C19))</f>
        <v>1</v>
      </c>
      <c r="C67" s="191"/>
      <c r="D67" s="191">
        <f t="array" ref="D67">SQRT((D4:E4*$B$19:$C$19)/($B$4:$C$4*$B$19:$C$19)*(D4:E4*D19:E19)/($B$4:$C$4*D19:E19))</f>
        <v>1</v>
      </c>
      <c r="E67" s="191"/>
      <c r="F67" s="191">
        <f t="array" ref="F67">SQRT((F4:G4*$B$19:$C$19)/($B$4:$C$4*$B$19:$C$19)*(F4:G4*F19:G19)/($B$4:$C$4*F19:G19))</f>
        <v>1</v>
      </c>
      <c r="G67" s="191"/>
      <c r="H67" s="191">
        <f t="array" ref="H67">SQRT((H4:I4*$B$19:$C$19)/($B$4:$C$4*$B$19:$C$19)*(H4:I4*H19:I19)/($B$4:$C$4*H19:I19))</f>
        <v>1</v>
      </c>
      <c r="I67" s="191"/>
      <c r="J67" s="191">
        <f t="array" ref="J67">SQRT((J4:K4*$B$19:$C$19)/($B$4:$C$4*$B$19:$C$19)*(J4:K4*J19:K19)/($B$4:$C$4*J19:K19))</f>
        <v>1</v>
      </c>
      <c r="K67" s="191"/>
      <c r="L67" s="191">
        <f t="array" ref="L67">SQRT((L4:M4*$B$19:$C$19)/($B$4:$C$4*$B$19:$C$19)*(L4:M4*L19:M19)/($B$4:$C$4*L19:M19))</f>
        <v>1</v>
      </c>
      <c r="M67" s="191"/>
      <c r="N67" s="191">
        <f t="array" ref="N67">SQRT((N4:O4*$B$19:$C$19)/($B$4:$C$4*$B$19:$C$19)*(N4:O4*N19:O19)/($B$4:$C$4*N19:O19))</f>
        <v>1</v>
      </c>
      <c r="O67" s="191"/>
      <c r="P67" s="191">
        <f t="array" ref="P67">SQRT((P4:Q4*$B$19:$C$19)/($B$4:$C$4*$B$19:$C$19)*(P4:Q4*P19:Q19)/($B$4:$C$4*P19:Q19))</f>
        <v>1</v>
      </c>
      <c r="Q67" s="191"/>
      <c r="R67" s="191">
        <f t="array" ref="R67">SQRT((R4:S4*$B$19:$C$19)/($B$4:$C$4*$B$19:$C$19)*(R4:S4*R19:S19)/($B$4:$C$4*R19:S19))</f>
        <v>1</v>
      </c>
      <c r="S67" s="191"/>
      <c r="T67" s="191">
        <f t="array" ref="T67">SQRT((T4:U4*$B$19:$C$19)/($B$4:$C$4*$B$19:$C$19)*(T4:U4*T19:U19)/($B$4:$C$4*T19:U19))</f>
        <v>1</v>
      </c>
      <c r="U67" s="191"/>
      <c r="V67" s="191">
        <f t="array" ref="V67">SQRT((V4:W4*$B$19:$C$19)/($B$4:$C$4*$B$19:$C$19)*(V4:W4*V19:W19)/($B$4:$C$4*V19:W19))</f>
        <v>1</v>
      </c>
      <c r="W67" s="191"/>
      <c r="X67" s="191">
        <f t="array" ref="X67">SQRT((X4:Y4*$B$19:$C$19)/($B$4:$C$4*$B$19:$C$19)*(X4:Y4*X19:Y19)/($B$4:$C$4*X19:Y19))</f>
        <v>1</v>
      </c>
      <c r="Y67" s="191"/>
      <c r="Z67" s="191">
        <f t="array" ref="Z67">SQRT((Z4:AA4*$B$19:$C$19)/($B$4:$C$4*$B$19:$C$19)*(Z4:AA4*Z19:AA19)/($B$4:$C$4*Z19:AA19))</f>
        <v>1</v>
      </c>
      <c r="AA67" s="191"/>
      <c r="AB67" s="191">
        <f t="array" ref="AB67">SQRT((AB4:AC4*$B$19:$C$19)/($B$4:$C$4*$B$19:$C$19)*(AB4:AC4*AB19:AC19)/($B$4:$C$4*AB19:AC19))</f>
        <v>1</v>
      </c>
      <c r="AC67" s="191"/>
      <c r="AD67" s="191">
        <f t="array" ref="AD67">SQRT((AD4:AE4*$B$19:$C$19)/($B$4:$C$4*$B$19:$C$19)*(AD4:AE4*AD19:AE19)/($B$4:$C$4*AD19:AE19))</f>
        <v>1</v>
      </c>
      <c r="AE67" s="191"/>
      <c r="AF67" s="191">
        <f t="array" ref="AF67">SQRT((AF4:AG4*$B$19:$C$19)/($B$4:$C$4*$B$19:$C$19)*(AF4:AG4*AF19:AG19)/($B$4:$C$4*AF19:AG19))</f>
        <v>1</v>
      </c>
      <c r="AG67" s="191"/>
      <c r="AH67" s="191">
        <f t="array" ref="AH67">SQRT((AH4:AI4*$B$19:$C$19)/($B$4:$C$4*$B$19:$C$19)*(AH4:AI4*AH19:AI19)/($B$4:$C$4*AH19:AI19))</f>
        <v>1</v>
      </c>
      <c r="AI67" s="191"/>
      <c r="AJ67" s="191">
        <f t="array" ref="AJ67">SQRT((AJ4:AK4*$B$19:$C$19)/($B$4:$C$4*$B$19:$C$19)*(AJ4:AK4*AJ19:AK19)/($B$4:$C$4*AJ19:AK19))</f>
        <v>1</v>
      </c>
      <c r="AK67" s="191"/>
      <c r="AL67" s="191">
        <f t="array" ref="AL67">SQRT((AL4:AM4*$B$19:$C$19)/($B$4:$C$4*$B$19:$C$19)*(AL4:AM4*AL19:AM19)/($B$4:$C$4*AL19:AM19))</f>
        <v>1</v>
      </c>
      <c r="AM67" s="191"/>
      <c r="AN67" s="191">
        <f t="array" ref="AN67">SQRT((AN4:AO4*$B$19:$C$19)/($B$4:$C$4*$B$19:$C$19)*(AN4:AO4*AN19:AO19)/($B$4:$C$4*AN19:AO19))</f>
        <v>1</v>
      </c>
      <c r="AO67" s="191"/>
      <c r="AP67" s="191">
        <f t="array" ref="AP67">SQRT((AP4:AQ4*$B$19:$C$19)/($B$4:$C$4*$B$19:$C$19)*(AP4:AQ4*AP19:AQ19)/($B$4:$C$4*AP19:AQ19))</f>
        <v>1</v>
      </c>
      <c r="AQ67" s="191"/>
      <c r="AR67" s="191">
        <f t="array" ref="AR67">SQRT((AR4:AS4*$B$19:$C$19)/($B$4:$C$4*$B$19:$C$19)*(AR4:AS4*AR19:AS19)/($B$4:$C$4*AR19:AS19))</f>
        <v>1</v>
      </c>
      <c r="AS67" s="191"/>
      <c r="AT67" s="191">
        <f t="array" ref="AT67">SQRT((AT4:AU4*$B$19:$C$19)/($B$4:$C$4*$B$19:$C$19)*(AT4:AU4*AT19:AU19)/($B$4:$C$4*AT19:AU19))</f>
        <v>1</v>
      </c>
      <c r="AU67" s="191"/>
      <c r="AV67" s="191">
        <f t="array" ref="AV67">SQRT((AV4:AW4*$B$19:$C$19)/($B$4:$C$4*$B$19:$C$19)*(AV4:AW4*AV19:AW19)/($B$4:$C$4*AV19:AW19))</f>
        <v>1</v>
      </c>
      <c r="XFD67" s="191"/>
    </row>
    <row r="68" spans="1:48 16384:16384" x14ac:dyDescent="0.2">
      <c r="A68" t="s">
        <v>181</v>
      </c>
      <c r="B68" s="191">
        <f>B66/B67</f>
        <v>1</v>
      </c>
      <c r="C68" s="191"/>
      <c r="D68" s="191">
        <f>D66/D67</f>
        <v>0.99934192971028057</v>
      </c>
      <c r="E68" s="191"/>
      <c r="F68" s="191">
        <f>F66/F67</f>
        <v>0.99909836216115211</v>
      </c>
      <c r="G68" s="191"/>
      <c r="H68" s="191">
        <f>H66/H67</f>
        <v>0.99937424320811541</v>
      </c>
      <c r="I68" s="191"/>
      <c r="J68" s="191">
        <f>J66/J67</f>
        <v>1.0003084960215356</v>
      </c>
      <c r="K68" s="191"/>
      <c r="L68" s="191">
        <f>L66/L67</f>
        <v>1.0020883470679867</v>
      </c>
      <c r="M68" s="191"/>
      <c r="N68" s="191">
        <f>N66/N67</f>
        <v>1.0049685534062542</v>
      </c>
      <c r="O68" s="191"/>
      <c r="P68" s="191">
        <f>P66/P67</f>
        <v>1.0093007027362337</v>
      </c>
      <c r="Q68" s="191"/>
      <c r="R68" s="191">
        <f>R66/R67</f>
        <v>1.0155748205592416</v>
      </c>
      <c r="S68" s="191"/>
      <c r="T68" s="191">
        <f>T66/T67</f>
        <v>1.0244884538949954</v>
      </c>
      <c r="U68" s="191"/>
      <c r="V68" s="191">
        <f>V66/V67</f>
        <v>1.0370415132336508</v>
      </c>
      <c r="W68" s="191"/>
      <c r="X68" s="191">
        <f>X66/X67</f>
        <v>1.0546900228284612</v>
      </c>
      <c r="Y68" s="191"/>
      <c r="Z68" s="191">
        <f>Z66/Z67</f>
        <v>1.0795772893375559</v>
      </c>
      <c r="AA68" s="191"/>
      <c r="AB68" s="191">
        <f>AB66/AB67</f>
        <v>1.1148986401135677</v>
      </c>
      <c r="AC68" s="191"/>
      <c r="AD68" s="191">
        <f>AD66/AD67</f>
        <v>1.1655272904470968</v>
      </c>
      <c r="AE68" s="191"/>
      <c r="AF68" s="191">
        <f>AF66/AF67</f>
        <v>1.2393438501407388</v>
      </c>
      <c r="AG68" s="191"/>
      <c r="AH68" s="191">
        <f>AH66/AH67</f>
        <v>1.3508575262986136</v>
      </c>
      <c r="AI68" s="191"/>
      <c r="AJ68" s="191">
        <f>AJ66/AJ67</f>
        <v>1.5324038644667717</v>
      </c>
      <c r="AK68" s="191"/>
      <c r="AL68" s="191">
        <f>AL66/AL67</f>
        <v>1.8691367485701764</v>
      </c>
      <c r="AM68" s="191"/>
      <c r="AN68" s="191">
        <f>AN66/AN67</f>
        <v>2.6434820543206872</v>
      </c>
      <c r="AO68" s="191"/>
      <c r="AP68" s="191">
        <f>AP66/AP67</f>
        <v>2.9376221986801565</v>
      </c>
      <c r="AQ68" s="191"/>
      <c r="AR68" s="191">
        <f>AR66/AR67</f>
        <v>3.3448729173068634</v>
      </c>
      <c r="AS68" s="191"/>
      <c r="AT68" s="191">
        <f>AT66/AT67</f>
        <v>3.9654593586327107</v>
      </c>
      <c r="AU68" s="191"/>
      <c r="AV68" s="191">
        <f>AV66/AV67</f>
        <v>5.1176158164992263</v>
      </c>
      <c r="XFD68" s="191"/>
    </row>
    <row r="69" spans="1:48 16384:16384" x14ac:dyDescent="0.2">
      <c r="A69" t="s">
        <v>177</v>
      </c>
      <c r="B69" s="191">
        <f>B32/B65/($B$32)</f>
        <v>1</v>
      </c>
      <c r="C69" s="191"/>
      <c r="D69" s="191">
        <f>D32/D65/($B$32)</f>
        <v>0.99056097189414238</v>
      </c>
      <c r="E69" s="191"/>
      <c r="F69" s="191">
        <f>F32/F65/($B$32)</f>
        <v>0.97969098393590459</v>
      </c>
      <c r="G69" s="191"/>
      <c r="H69" s="191">
        <f>H32/H65/($B$32)</f>
        <v>0.96713522055346834</v>
      </c>
      <c r="I69" s="191"/>
      <c r="J69" s="191">
        <f>J32/J65/($B$32)</f>
        <v>0.95258796555762149</v>
      </c>
      <c r="K69" s="191"/>
      <c r="L69" s="191">
        <f>L32/L65/($B$32)</f>
        <v>0.93568250027365985</v>
      </c>
      <c r="M69" s="191"/>
      <c r="N69" s="191">
        <f>N32/N65/($B$32)</f>
        <v>0.91598475542135727</v>
      </c>
      <c r="O69" s="191"/>
      <c r="P69" s="191">
        <f>P32/P65/($B$32)</f>
        <v>0.89298982852421227</v>
      </c>
      <c r="Q69" s="191"/>
      <c r="R69" s="191">
        <f>R32/R65/($B$32)</f>
        <v>0.86612994839523638</v>
      </c>
      <c r="S69" s="191"/>
      <c r="T69" s="191">
        <f>T32/T65/($B$32)</f>
        <v>0.83479530136211899</v>
      </c>
      <c r="U69" s="191"/>
      <c r="V69" s="191">
        <f>V32/V65/($B$32)</f>
        <v>0.79839497708283846</v>
      </c>
      <c r="W69" s="191"/>
      <c r="X69" s="191">
        <f>X32/X65/($B$32)</f>
        <v>0.75645996017596528</v>
      </c>
      <c r="Y69" s="191"/>
      <c r="Z69" s="191">
        <f>Z32/Z65/($B$32)</f>
        <v>0.708806283389664</v>
      </c>
      <c r="AA69" s="191"/>
      <c r="AB69" s="191">
        <f>AB32/AB65/($B$32)</f>
        <v>0.65573334831753305</v>
      </c>
      <c r="AC69" s="191"/>
      <c r="AD69" s="191">
        <f>AD32/AD65/($B$32)</f>
        <v>0.59814759247829075</v>
      </c>
      <c r="AE69" s="191"/>
      <c r="AF69" s="191">
        <f>AF32/AF65/($B$32)</f>
        <v>0.53735948592435512</v>
      </c>
      <c r="AG69" s="191"/>
      <c r="AH69" s="191">
        <f>AH32/AH65/($B$32)</f>
        <v>0.4741865354316514</v>
      </c>
      <c r="AI69" s="191"/>
      <c r="AJ69" s="191">
        <f>AJ32/AJ65/($B$32)</f>
        <v>0.40682261092128208</v>
      </c>
      <c r="AK69" s="191"/>
      <c r="AL69" s="191">
        <f>AL32/AL65/($B$32)</f>
        <v>0.32474042262772401</v>
      </c>
      <c r="AM69" s="191"/>
      <c r="AN69" s="191">
        <f>AN32/AN65/($B$32)</f>
        <v>0.16828141757708648</v>
      </c>
      <c r="AO69" s="191"/>
      <c r="AP69" s="191">
        <f>AP32/AP65/($B$32)</f>
        <v>8.495721660665502E-2</v>
      </c>
      <c r="AQ69" s="191"/>
      <c r="AR69" s="191" t="e">
        <f>AR32/AR65/($B$32)</f>
        <v>#NUM!</v>
      </c>
      <c r="AS69" s="191"/>
      <c r="AT69" s="191" t="e">
        <f>AT32/AT65/($B$32)</f>
        <v>#NUM!</v>
      </c>
      <c r="AU69" s="191"/>
      <c r="AV69" s="191" t="e">
        <f>AV32/AV65/($B$32)</f>
        <v>#NUM!</v>
      </c>
    </row>
    <row r="70" spans="1:48 16384:16384" x14ac:dyDescent="0.2">
      <c r="A70" t="s">
        <v>178</v>
      </c>
      <c r="B70" s="138">
        <f>B18/$B$18</f>
        <v>1</v>
      </c>
      <c r="C70" s="138"/>
      <c r="D70" s="138">
        <f>D18/$B$18</f>
        <v>0.98973080744643571</v>
      </c>
      <c r="E70" s="138"/>
      <c r="F70" s="138">
        <f>F18/$B$18</f>
        <v>0.97804765170986008</v>
      </c>
      <c r="G70" s="138"/>
      <c r="H70" s="138">
        <f>H18/$B$18</f>
        <v>0.96469894808339796</v>
      </c>
      <c r="I70" s="138"/>
      <c r="J70" s="138">
        <f>J18/$B$18</f>
        <v>0.9493829959942518</v>
      </c>
      <c r="K70" s="138"/>
      <c r="L70" s="138">
        <f>L18/$B$18</f>
        <v>0.93173814610855044</v>
      </c>
      <c r="M70" s="138"/>
      <c r="N70" s="138">
        <f>N18/$B$18</f>
        <v>0.91133663154544176</v>
      </c>
      <c r="O70" s="138"/>
      <c r="P70" s="138">
        <f>P18/$B$18</f>
        <v>0.88768144635358437</v>
      </c>
      <c r="Q70" s="138"/>
      <c r="R70" s="138">
        <f>R18/$B$18</f>
        <v>0.8602145364870748</v>
      </c>
      <c r="S70" s="138"/>
      <c r="T70" s="138">
        <f>T18/$B$18</f>
        <v>0.82833905347500247</v>
      </c>
      <c r="U70" s="138"/>
      <c r="V70" s="138">
        <f>V18/$B$18</f>
        <v>0.79148065383578448</v>
      </c>
      <c r="W70" s="138"/>
      <c r="X70" s="138">
        <f>X18/$B$18</f>
        <v>0.74919246303541776</v>
      </c>
      <c r="Y70" s="138"/>
      <c r="Z70" s="138">
        <f>Z18/$B$18</f>
        <v>0.70132015405431702</v>
      </c>
      <c r="AA70" s="138"/>
      <c r="AB70" s="138">
        <f>AB18/$B$18</f>
        <v>0.64820331798596864</v>
      </c>
      <c r="AC70" s="138"/>
      <c r="AD70" s="138">
        <f>AD18/$B$18</f>
        <v>0.59080590470142724</v>
      </c>
      <c r="AE70" s="138"/>
      <c r="AF70" s="138">
        <f>AF18/$B$18</f>
        <v>0.53053982307035508</v>
      </c>
      <c r="AG70" s="138"/>
      <c r="AH70" s="138">
        <f>AH18/$B$18</f>
        <v>0.46849315373801037</v>
      </c>
      <c r="AI70" s="138"/>
      <c r="AJ70" s="138">
        <f>AJ18/$B$18</f>
        <v>0.40394575539776378</v>
      </c>
      <c r="AK70" s="138"/>
      <c r="AL70" s="138">
        <f>AL18/$B$18</f>
        <v>0.33209221846099474</v>
      </c>
      <c r="AM70" s="138"/>
      <c r="AN70" s="138">
        <f>AN18/$B$18</f>
        <v>0.23788627960207523</v>
      </c>
      <c r="AO70" s="138"/>
      <c r="AP70" s="138">
        <f>AP18/$B$18</f>
        <v>0.21265000142943757</v>
      </c>
      <c r="AQ70" s="138"/>
      <c r="AR70" s="138">
        <f>AR18/$B$18</f>
        <v>0.18314027209730938</v>
      </c>
      <c r="AS70" s="138"/>
      <c r="AT70" s="138">
        <f>AT18/$B$18</f>
        <v>0.14697673360782948</v>
      </c>
      <c r="AU70" s="138"/>
      <c r="AV70" s="138">
        <f>AV18/$B$18</f>
        <v>9.856204002805645E-2</v>
      </c>
    </row>
    <row r="71" spans="1:48 16384:16384" x14ac:dyDescent="0.2">
      <c r="A71" t="s">
        <v>179</v>
      </c>
      <c r="B71" s="138">
        <f>C18/$C$18</f>
        <v>1</v>
      </c>
      <c r="D71" s="138">
        <f>E18/$C$18</f>
        <v>0.93372372285305871</v>
      </c>
      <c r="E71" s="138"/>
      <c r="F71" s="138">
        <f>G18/$C$18</f>
        <v>0.86778731349811034</v>
      </c>
      <c r="G71" s="138"/>
      <c r="H71" s="138">
        <f>I18/$C$18</f>
        <v>0.80226742009256291</v>
      </c>
      <c r="I71" s="138"/>
      <c r="J71" s="138">
        <f>K18/$C$18</f>
        <v>0.73725751971065767</v>
      </c>
      <c r="K71" s="138"/>
      <c r="L71" s="138">
        <f>M18/$C$18</f>
        <v>0.67287007718770409</v>
      </c>
      <c r="M71" s="138"/>
      <c r="N71" s="138">
        <f>O18/$C$18</f>
        <v>0.60923826018437199</v>
      </c>
      <c r="O71" s="138"/>
      <c r="P71" s="138">
        <f>Q18/$C$18</f>
        <v>0.54651536596364625</v>
      </c>
      <c r="Q71" s="138"/>
      <c r="R71" s="138">
        <f>S18/$C$18</f>
        <v>0.48487462943985687</v>
      </c>
      <c r="S71" s="138"/>
      <c r="T71" s="138">
        <f>U18/$C$18</f>
        <v>0.42449704341044964</v>
      </c>
      <c r="U71" s="138"/>
      <c r="V71" s="138">
        <f>W18/$C$18</f>
        <v>0.36555948018656292</v>
      </c>
      <c r="W71" s="138"/>
      <c r="X71" s="138">
        <f>Y18/$C$18</f>
        <v>0.30820710627682169</v>
      </c>
      <c r="Y71" s="138"/>
      <c r="Z71" s="138">
        <f>AA18/$C$18</f>
        <v>0.25253779947823074</v>
      </c>
      <c r="AA71" s="138"/>
      <c r="AB71" s="138">
        <f>AC18/$C$18</f>
        <v>0.19862508326094674</v>
      </c>
      <c r="AC71" s="138"/>
      <c r="AD71" s="138">
        <f>AE18/$C$18</f>
        <v>0.14668024409997971</v>
      </c>
      <c r="AE71" s="138"/>
      <c r="AF71" s="138">
        <f>AG18/$C$18</f>
        <v>9.7516940070158695E-2</v>
      </c>
      <c r="AG71" s="138"/>
      <c r="AH71" s="138">
        <f>AI18/$C$18</f>
        <v>5.3512682629421715E-2</v>
      </c>
      <c r="AI71" s="138"/>
      <c r="AJ71" s="138">
        <f>AK18/$C$18</f>
        <v>1.9878178162661853E-2</v>
      </c>
      <c r="AK71" s="138"/>
      <c r="AL71" s="138">
        <f>AM18/$C$18</f>
        <v>3.106252654547695E-3</v>
      </c>
      <c r="AM71" s="138"/>
      <c r="AN71" s="138">
        <f>AO18/$C$18</f>
        <v>6.3263771847154611E-5</v>
      </c>
      <c r="AO71" s="138"/>
      <c r="AP71" s="138">
        <f>AQ18/$C$18</f>
        <v>1.7086028858980237E-5</v>
      </c>
      <c r="AQ71" s="138"/>
      <c r="AR71" s="138">
        <f>AS18/$C$18</f>
        <v>3.1637625284046409E-6</v>
      </c>
      <c r="AS71" s="138"/>
      <c r="AT71" s="138">
        <f>AU18/$C$18</f>
        <v>3.0114538604284754E-7</v>
      </c>
      <c r="AU71" s="138"/>
      <c r="AV71" s="138">
        <f>AW18/$C$18</f>
        <v>6.0314510547689496E-9</v>
      </c>
      <c r="XFD71" s="138"/>
    </row>
    <row r="72" spans="1:48 16384:16384" x14ac:dyDescent="0.2">
      <c r="A72" t="s">
        <v>180</v>
      </c>
      <c r="B72" s="138">
        <f>C19/$C$19</f>
        <v>1</v>
      </c>
      <c r="D72" s="138">
        <f>E19/$C$19</f>
        <v>1.0104086762870665</v>
      </c>
      <c r="E72" s="138"/>
      <c r="F72" s="138">
        <f>G19/$C$19</f>
        <v>1.0219769797455336</v>
      </c>
      <c r="G72" s="138"/>
      <c r="H72" s="138">
        <f>I19/$C$19</f>
        <v>1.0346091063745757</v>
      </c>
      <c r="I72" s="138"/>
      <c r="J72" s="138">
        <f>K19/$C$19</f>
        <v>1.0481415983056575</v>
      </c>
      <c r="K72" s="138"/>
      <c r="L72" s="138">
        <f>M19/$C$19</f>
        <v>1.0623242220446663</v>
      </c>
      <c r="M72" s="138"/>
      <c r="N72" s="138">
        <f>O19/$C$19</f>
        <v>1.0768012017490649</v>
      </c>
      <c r="O72" s="138"/>
      <c r="P72" s="138">
        <f>Q19/$C$19</f>
        <v>1.0910980152709608</v>
      </c>
      <c r="Q72" s="138"/>
      <c r="R72" s="138">
        <f>S19/$C$19</f>
        <v>1.1046247811550358</v>
      </c>
      <c r="S72" s="138"/>
      <c r="T72" s="138">
        <f>U19/$C$19</f>
        <v>1.1167218935514793</v>
      </c>
      <c r="U72" s="138"/>
      <c r="V72" s="138">
        <f>W19/$C$19</f>
        <v>1.1267660052400257</v>
      </c>
      <c r="W72" s="138"/>
      <c r="X72" s="138">
        <f>Y19/$C$19</f>
        <v>1.134374906483361</v>
      </c>
      <c r="Y72" s="138"/>
      <c r="Z72" s="138">
        <f>AA19/$C$19</f>
        <v>1.1396859012336107</v>
      </c>
      <c r="AA72" s="138"/>
      <c r="AB72" s="138">
        <f>AC19/$C$19</f>
        <v>1.1435444064221609</v>
      </c>
      <c r="AC72" s="138"/>
      <c r="AD72" s="138">
        <f>AE19/$C$19</f>
        <v>1.1470165715418466</v>
      </c>
      <c r="AE72" s="138"/>
      <c r="AF72" s="138">
        <f>AG19/$C$19</f>
        <v>1.1487534088368963</v>
      </c>
      <c r="AG72" s="138"/>
      <c r="AH72" s="138">
        <f>AI19/$C$19</f>
        <v>1.1370221608471958</v>
      </c>
      <c r="AI72" s="138"/>
      <c r="AJ72" s="138">
        <f>AK19/$C$19</f>
        <v>1.0707413052598251</v>
      </c>
      <c r="AK72" s="138"/>
      <c r="AL72" s="138">
        <f>AM19/$C$19</f>
        <v>0.86070309692405722</v>
      </c>
      <c r="AM72" s="138"/>
      <c r="AN72" s="138">
        <f>AO19/$C$19</f>
        <v>0.46547748546433537</v>
      </c>
      <c r="AO72" s="138"/>
      <c r="AP72" s="138">
        <f>AQ19/$C$19</f>
        <v>0.37395993721562487</v>
      </c>
      <c r="AQ72" s="138"/>
      <c r="AR72" s="138">
        <f>AS19/$C$19</f>
        <v>0.28108177475222978</v>
      </c>
      <c r="AS72" s="138"/>
      <c r="AT72" s="138">
        <f>AU19/$C$19</f>
        <v>0.18755671730439835</v>
      </c>
      <c r="AU72" s="138"/>
      <c r="AV72" s="138">
        <f>AW19/$C$19</f>
        <v>9.3801619969446526E-2</v>
      </c>
      <c r="XFD72" s="138"/>
    </row>
    <row r="73" spans="1:48 16384:16384" x14ac:dyDescent="0.2">
      <c r="A73" t="s">
        <v>184</v>
      </c>
      <c r="B73" s="193">
        <f t="array" ref="B73">SUM(B9:C9*B22:C22)/B32</f>
        <v>0.47641153352875065</v>
      </c>
      <c r="D73" s="193">
        <f t="array" ref="D73">SUM(D9:E9*D22:E22)/D32</f>
        <v>0.47479342969445937</v>
      </c>
      <c r="E73" s="138"/>
      <c r="F73" s="193">
        <f t="array" ref="F73">SUM(F9:G9*F22:G22)/F32</f>
        <v>0.47316232379921846</v>
      </c>
      <c r="G73" s="138"/>
      <c r="H73" s="193">
        <f t="array" ref="H73">SUM(H9:I9*H22:I22)/H32</f>
        <v>0.47151924287205732</v>
      </c>
      <c r="I73" s="138"/>
      <c r="J73" s="193">
        <f t="array" ref="J73">SUM(J9:K9*J22:K22)/J32</f>
        <v>0.46986575000378394</v>
      </c>
      <c r="K73" s="138"/>
      <c r="L73" s="193">
        <f t="array" ref="L73">SUM(L9:M9*L22:M22)/L32</f>
        <v>0.4682043884812423</v>
      </c>
      <c r="M73" s="138"/>
      <c r="N73" s="193">
        <f t="array" ref="N73">SUM(N9:O9*N22:O22)/N32</f>
        <v>0.46653868582723235</v>
      </c>
      <c r="O73" s="138"/>
      <c r="P73" s="193">
        <f t="array" ref="P73">SUM(P9:Q9*P22:Q22)/P32</f>
        <v>0.46487326945240265</v>
      </c>
      <c r="Q73" s="138"/>
      <c r="R73" s="193">
        <f t="array" ref="R73">SUM(R9:S9*R22:S22)/R32</f>
        <v>0.46321266702168473</v>
      </c>
      <c r="S73" s="138"/>
      <c r="T73" s="193">
        <f t="array" ref="T73">SUM(T9:U9*T22:U22)/T32</f>
        <v>0.46156191519832557</v>
      </c>
      <c r="U73" s="138"/>
      <c r="V73" s="193">
        <f t="array" ref="V73">SUM(V9:W9*V22:W22)/V32</f>
        <v>0.45992153743529257</v>
      </c>
      <c r="W73" s="138"/>
      <c r="X73" s="193">
        <f t="array" ref="X73">SUM(X9:Y9*X22:Y22)/X32</f>
        <v>0.45828239016834765</v>
      </c>
      <c r="Y73" s="138"/>
      <c r="Z73" s="193">
        <f t="array" ref="Z73">SUM(Z9:AA9*Z22:AA22)/Z32</f>
        <v>0.45661156509874906</v>
      </c>
      <c r="AA73" s="138"/>
      <c r="AB73" s="193">
        <f t="array" ref="AB73">SUM(AB9:AC9*AB22:AC22)/AB32</f>
        <v>0.45482716762999509</v>
      </c>
      <c r="AC73" s="138"/>
      <c r="AD73" s="193">
        <f t="array" ref="AD73">SUM(AD9:AE9*AD22:AE22)/AD32</f>
        <v>0.45275251441654324</v>
      </c>
      <c r="AE73" s="138"/>
      <c r="AF73" s="193">
        <f t="array" ref="AF73">SUM(AF9:AG9*AF22:AG22)/AF32</f>
        <v>0.4500354828811301</v>
      </c>
      <c r="AG73" s="138"/>
      <c r="AH73" s="193">
        <f t="array" ref="AH73">SUM(AH9:AI9*AH22:AI22)/AH32</f>
        <v>0.44598835229129435</v>
      </c>
      <c r="AI73" s="138"/>
      <c r="AJ73" s="193">
        <f t="array" ref="AJ73">SUM(AJ9:AK9*AJ22:AK22)/AJ32</f>
        <v>0.43919851101164586</v>
      </c>
      <c r="AK73" s="138"/>
      <c r="AL73" s="193">
        <f t="array" ref="AL73">SUM(AL9:AM9*AL22:AM22)/AL32</f>
        <v>0.42673071527484502</v>
      </c>
      <c r="AM73" s="138"/>
      <c r="AN73" s="193">
        <f t="array" ref="AN73">SUM(AN9:AO9*AN22:AO22)/AN32</f>
        <v>0.40245720218658582</v>
      </c>
      <c r="AO73" s="138"/>
      <c r="AP73" s="193">
        <f t="array" ref="AP73">SUM(AP9:AQ9*AP22:AQ22)/AP32</f>
        <v>0.39459127657161458</v>
      </c>
      <c r="AQ73" s="138"/>
      <c r="AR73" s="193">
        <f t="array" ref="AR73">SUM(AR9:AS9*AR22:AS22)/AR32</f>
        <v>0.38446713840578778</v>
      </c>
      <c r="AS73" s="138"/>
      <c r="AT73" s="193">
        <f t="array" ref="AT73">SUM(AT9:AU9*AT22:AU22)/AT32</f>
        <v>0.37018668781428954</v>
      </c>
      <c r="AU73" s="138"/>
      <c r="AV73" s="193">
        <f t="array" ref="AV73">SUM(AV9:AW9*AV22:AW22)/AV32</f>
        <v>0.34568705201044742</v>
      </c>
      <c r="XFD73" s="193"/>
    </row>
    <row r="74" spans="1:48 16384:16384" x14ac:dyDescent="0.2">
      <c r="A74" t="s">
        <v>185</v>
      </c>
      <c r="B74" s="193">
        <f t="array" ref="B74">SUM(B10:C10*B23:C23)/B32</f>
        <v>0.22604620456442484</v>
      </c>
      <c r="D74" s="193">
        <f t="array" ref="D74">SUM(D10:E10*D23:E23)/D32</f>
        <v>0.22604620456442484</v>
      </c>
      <c r="E74" s="138"/>
      <c r="F74" s="193">
        <f t="array" ref="F74">SUM(F10:G10*F23:G23)/F32</f>
        <v>0.22604620456442487</v>
      </c>
      <c r="G74" s="138"/>
      <c r="H74" s="193">
        <f t="array" ref="H74">SUM(H10:I10*H23:I23)/H32</f>
        <v>0.22604620456442484</v>
      </c>
      <c r="I74" s="138"/>
      <c r="J74" s="193">
        <f t="array" ref="J74">SUM(J10:K10*J23:K23)/J32</f>
        <v>0.22604620456442481</v>
      </c>
      <c r="K74" s="138"/>
      <c r="L74" s="193">
        <f t="array" ref="L74">SUM(L10:M10*L23:M23)/L32</f>
        <v>0.22604620456442484</v>
      </c>
      <c r="M74" s="138"/>
      <c r="N74" s="193">
        <f t="array" ref="N74">SUM(N10:O10*N23:O23)/N32</f>
        <v>0.22604620456442484</v>
      </c>
      <c r="O74" s="138"/>
      <c r="P74" s="193">
        <f t="array" ref="P74">SUM(P10:Q10*P23:Q23)/P32</f>
        <v>0.22604620456442481</v>
      </c>
      <c r="Q74" s="138"/>
      <c r="R74" s="193">
        <f t="array" ref="R74">SUM(R10:S10*R23:S23)/R32</f>
        <v>0.22604620456442487</v>
      </c>
      <c r="S74" s="138"/>
      <c r="T74" s="193">
        <f t="array" ref="T74">SUM(T10:U10*T23:U23)/T32</f>
        <v>0.22604620456442484</v>
      </c>
      <c r="U74" s="138"/>
      <c r="V74" s="193">
        <f t="array" ref="V74">SUM(V10:W10*V23:W23)/V32</f>
        <v>0.22604620456442484</v>
      </c>
      <c r="W74" s="138"/>
      <c r="X74" s="193">
        <f t="array" ref="X74">SUM(X10:Y10*X23:Y23)/X32</f>
        <v>0.22604620456442484</v>
      </c>
      <c r="Y74" s="138"/>
      <c r="Z74" s="193">
        <f t="array" ref="Z74">SUM(Z10:AA10*Z23:AA23)/Z32</f>
        <v>0.22604620456442484</v>
      </c>
      <c r="AA74" s="138"/>
      <c r="AB74" s="193">
        <f t="array" ref="AB74">SUM(AB10:AC10*AB23:AC23)/AB32</f>
        <v>0.22604620456442484</v>
      </c>
      <c r="AC74" s="138"/>
      <c r="AD74" s="193">
        <f t="array" ref="AD74">SUM(AD10:AE10*AD23:AE23)/AD32</f>
        <v>0.22604620456442484</v>
      </c>
      <c r="AE74" s="138"/>
      <c r="AF74" s="193">
        <f t="array" ref="AF74">SUM(AF10:AG10*AF23:AG23)/AF32</f>
        <v>0.22604620456442484</v>
      </c>
      <c r="AG74" s="138"/>
      <c r="AH74" s="193">
        <f t="array" ref="AH74">SUM(AH10:AI10*AH23:AI23)/AH32</f>
        <v>0.22604620456442481</v>
      </c>
      <c r="AI74" s="138"/>
      <c r="AJ74" s="193">
        <f t="array" ref="AJ74">SUM(AJ10:AK10*AJ23:AK23)/AJ32</f>
        <v>0.22604620456442487</v>
      </c>
      <c r="AK74" s="138"/>
      <c r="AL74" s="193">
        <f t="array" ref="AL74">SUM(AL10:AM10*AL23:AM23)/AL32</f>
        <v>0.22604620456442481</v>
      </c>
      <c r="AM74" s="138"/>
      <c r="AN74" s="193">
        <f t="array" ref="AN74">SUM(AN10:AO10*AN23:AO23)/AN32</f>
        <v>0.22604620456442484</v>
      </c>
      <c r="AO74" s="138"/>
      <c r="AP74" s="193">
        <f t="array" ref="AP74">SUM(AP10:AQ10*AP23:AQ23)/AP32</f>
        <v>0.22604620456442484</v>
      </c>
      <c r="AQ74" s="138"/>
      <c r="AR74" s="193">
        <f t="array" ref="AR74">SUM(AR10:AS10*AR23:AS23)/AR32</f>
        <v>0.22604620456442487</v>
      </c>
      <c r="AS74" s="138"/>
      <c r="AT74" s="193">
        <f t="array" ref="AT74">SUM(AT10:AU10*AT23:AU23)/AT32</f>
        <v>0.22604620456442484</v>
      </c>
      <c r="AU74" s="138"/>
      <c r="AV74" s="193">
        <f t="array" ref="AV74">SUM(AV10:AW10*AV23:AW23)/AV32</f>
        <v>0.22604620456442487</v>
      </c>
      <c r="XFD74" s="193"/>
    </row>
    <row r="75" spans="1:48 16384:16384" x14ac:dyDescent="0.2">
      <c r="A75" t="s">
        <v>186</v>
      </c>
      <c r="B75" s="193">
        <f t="array" ref="B75">SUM(B11:C11*B24:C24)/B32</f>
        <v>0.22038438833194082</v>
      </c>
      <c r="D75" s="193">
        <f t="array" ref="D75">SUM(D11:E11*D24:E24)/D32</f>
        <v>0.22247119905548218</v>
      </c>
      <c r="E75" s="138"/>
      <c r="F75" s="193">
        <f t="array" ref="F75">SUM(F11:G11*F24:G24)/F32</f>
        <v>0.22493462978951256</v>
      </c>
      <c r="G75" s="138"/>
      <c r="H75" s="193">
        <f t="array" ref="H75">SUM(H11:I11*H24:I24)/H32</f>
        <v>0.22786053592762281</v>
      </c>
      <c r="I75" s="138"/>
      <c r="J75" s="193">
        <f t="array" ref="J75">SUM(J11:K11*J24:K24)/J32</f>
        <v>0.23135972308898634</v>
      </c>
      <c r="K75" s="138"/>
      <c r="L75" s="193">
        <f t="array" ref="L75">SUM(L11:M11*L24:M24)/L32</f>
        <v>0.23557701076109253</v>
      </c>
      <c r="M75" s="138"/>
      <c r="N75" s="193">
        <f t="array" ref="N75">SUM(N11:O11*N24:O24)/N32</f>
        <v>0.24070295016342561</v>
      </c>
      <c r="O75" s="138"/>
      <c r="P75" s="193">
        <f t="array" ref="P75">SUM(P11:Q11*P24:Q24)/P32</f>
        <v>0.2469902699518704</v>
      </c>
      <c r="Q75" s="138"/>
      <c r="R75" s="193">
        <f t="array" ref="R75">SUM(R11:S11*R24:S24)/R32</f>
        <v>0.25477546131641565</v>
      </c>
      <c r="S75" s="138"/>
      <c r="T75" s="193">
        <f t="array" ref="T75">SUM(T11:U11*T24:U24)/T32</f>
        <v>0.2645088602416491</v>
      </c>
      <c r="U75" s="138"/>
      <c r="V75" s="193">
        <f t="array" ref="V75">SUM(V11:W11*V24:W24)/V32</f>
        <v>0.27678887543571956</v>
      </c>
      <c r="W75" s="138"/>
      <c r="X75" s="193">
        <f t="array" ref="X75">SUM(X11:Y11*X24:Y24)/X32</f>
        <v>0.29240055950439359</v>
      </c>
      <c r="Y75" s="138"/>
      <c r="Z75" s="193">
        <f t="array" ref="Z75">SUM(Z11:AA11*Z24:AA24)/Z32</f>
        <v>0.31234377207592312</v>
      </c>
      <c r="AA75" s="138"/>
      <c r="AB75" s="193">
        <f t="array" ref="AB75">SUM(AB11:AC11*AB24:AC24)/AB32</f>
        <v>0.33782737751356745</v>
      </c>
      <c r="AC75" s="138"/>
      <c r="AD75" s="193">
        <f t="array" ref="AD75">SUM(AD11:AE11*AD24:AE24)/AD32</f>
        <v>0.37020773686530412</v>
      </c>
      <c r="AE75" s="138"/>
      <c r="AF75" s="193">
        <f t="array" ref="AF75">SUM(AF11:AG11*AF24:AG24)/AF32</f>
        <v>0.41092609880562975</v>
      </c>
      <c r="AG75" s="138"/>
      <c r="AH75" s="193">
        <f t="array" ref="AH75">SUM(AH11:AI11*AH24:AI24)/AH32</f>
        <v>0.46174007913856224</v>
      </c>
      <c r="AI75" s="138"/>
      <c r="AJ75" s="193">
        <f t="array" ref="AJ75">SUM(AJ11:AK11*AJ24:AK24)/AJ32</f>
        <v>0.52602942647813511</v>
      </c>
      <c r="AK75" s="138"/>
      <c r="AL75" s="193">
        <f t="array" ref="AL75">SUM(AL11:AM11*AL24:AM24)/AL32</f>
        <v>0.61400244329698306</v>
      </c>
      <c r="AM75" s="138"/>
      <c r="AN75" s="193">
        <f t="array" ref="AN75">SUM(AN11:AO11*AN24:AO24)/AN32</f>
        <v>0.77478208195435805</v>
      </c>
      <c r="AO75" s="138"/>
      <c r="AP75" s="193">
        <f t="array" ref="AP75">SUM(AP11:AQ11*AP24:AQ24)/AP32</f>
        <v>0.83405919248708782</v>
      </c>
      <c r="AQ75" s="138"/>
      <c r="AR75" s="193">
        <f t="array" ref="AR75">SUM(AR11:AS11*AR24:AS24)/AR32</f>
        <v>0.91790495893822599</v>
      </c>
      <c r="AS75" s="138"/>
      <c r="AT75" s="193">
        <f t="array" ref="AT75">SUM(AT11:AU11*AT24:AU24)/AT32</f>
        <v>1.0521044577487462</v>
      </c>
      <c r="AU75" s="138"/>
      <c r="AV75" s="193">
        <f t="array" ref="AV75">SUM(AV11:AW11*AV24:AW24)/AV32</f>
        <v>1.330825322857311</v>
      </c>
      <c r="XFD75" s="193"/>
    </row>
    <row r="76" spans="1:48 16384:16384" x14ac:dyDescent="0.2">
      <c r="A76" t="s">
        <v>187</v>
      </c>
      <c r="B76" s="193">
        <f t="array" ref="B76">SUM(B12:C12*B25:C25)/B32</f>
        <v>0.22301874374724867</v>
      </c>
      <c r="D76" s="193">
        <f t="array" ref="D76">SUM(D12:E12*D25:E25)/D32</f>
        <v>0.22268555222683084</v>
      </c>
      <c r="E76" s="138"/>
      <c r="F76" s="193">
        <f t="array" ref="F76">SUM(F12:G12*F25:G25)/F32</f>
        <v>0.22211630580346814</v>
      </c>
      <c r="G76" s="138"/>
      <c r="H76" s="193">
        <f t="array" ref="H76">SUM(H12:I12*H25:I25)/H32</f>
        <v>0.22124845982725513</v>
      </c>
      <c r="I76" s="138"/>
      <c r="J76" s="193">
        <f t="array" ref="J76">SUM(J12:K12*J25:K25)/J32</f>
        <v>0.2200005849028438</v>
      </c>
      <c r="K76" s="138"/>
      <c r="L76" s="193">
        <f t="array" ref="L76">SUM(L12:M12*L25:M25)/L32</f>
        <v>0.21826546563677807</v>
      </c>
      <c r="M76" s="138"/>
      <c r="N76" s="193">
        <f t="array" ref="N76">SUM(N12:O12*N25:O25)/N32</f>
        <v>0.21590180826134273</v>
      </c>
      <c r="O76" s="138"/>
      <c r="P76" s="193">
        <f t="array" ref="P76">SUM(P12:Q12*P25:Q25)/P32</f>
        <v>0.21272292656602135</v>
      </c>
      <c r="Q76" s="138"/>
      <c r="R76" s="193">
        <f t="array" ref="R76">SUM(R12:S12*R25:S25)/R32</f>
        <v>0.208483743099627</v>
      </c>
      <c r="S76" s="138"/>
      <c r="T76" s="193">
        <f t="array" ref="T76">SUM(T12:U12*T25:U25)/T32</f>
        <v>0.20286259586901198</v>
      </c>
      <c r="U76" s="138"/>
      <c r="V76" s="193">
        <f t="array" ref="V76">SUM(V12:W12*V25:W25)/V32</f>
        <v>0.19544851315590744</v>
      </c>
      <c r="W76" s="138"/>
      <c r="X76" s="193">
        <f t="array" ref="X76">SUM(X12:Y12*X25:Y25)/X32</f>
        <v>0.18573380664009689</v>
      </c>
      <c r="Y76" s="138"/>
      <c r="Z76" s="193">
        <f t="array" ref="Z76">SUM(Z12:AA12*Z25:AA25)/Z32</f>
        <v>0.17313529849727191</v>
      </c>
      <c r="AA76" s="138"/>
      <c r="AB76" s="193">
        <f t="array" ref="AB76">SUM(AB12:AC12*AB25:AC25)/AB32</f>
        <v>0.15707115357104037</v>
      </c>
      <c r="AC76" s="138"/>
      <c r="AD76" s="193">
        <f t="array" ref="AD76">SUM(AD12:AE12*AD25:AE25)/AD32</f>
        <v>0.13712357469206271</v>
      </c>
      <c r="AE76" s="138"/>
      <c r="AF76" s="193">
        <f t="array" ref="AF76">SUM(AF12:AG12*AF25:AG25)/AF32</f>
        <v>0.11326732116493718</v>
      </c>
      <c r="AG76" s="138"/>
      <c r="AH76" s="193">
        <f t="array" ref="AH76">SUM(AH12:AI12*AH25:AI25)/AH32</f>
        <v>8.6056413417037791E-2</v>
      </c>
      <c r="AI76" s="138"/>
      <c r="AJ76" s="193">
        <f t="array" ref="AJ76">SUM(AJ12:AK12*AJ25:AK25)/AJ32</f>
        <v>5.681858928836616E-2</v>
      </c>
      <c r="AK76" s="138"/>
      <c r="AL76" s="193">
        <f t="array" ref="AL76">SUM(AL12:AM12*AL25:AM25)/AL32</f>
        <v>2.8732838037041769E-2</v>
      </c>
      <c r="AM76" s="138"/>
      <c r="AN76" s="193">
        <f t="array" ref="AN76">SUM(AN12:AO12*AN25:AO25)/AN32</f>
        <v>8.113552231630284E-3</v>
      </c>
      <c r="AO76" s="138"/>
      <c r="AP76" s="193">
        <f t="array" ref="AP76">SUM(AP12:AQ12*AP25:AQ25)/AP32</f>
        <v>5.4058186296134739E-3</v>
      </c>
      <c r="AQ76" s="138"/>
      <c r="AR76" s="193">
        <f t="array" ref="AR76">SUM(AR12:AS12*AR25:AS25)/AR32</f>
        <v>3.2242517613436899E-3</v>
      </c>
      <c r="AS76" s="138"/>
      <c r="AT76" s="193">
        <f t="array" ref="AT76">SUM(AT12:AU12*AT25:AU25)/AT32</f>
        <v>1.5810108769557375E-3</v>
      </c>
      <c r="AU76" s="138"/>
      <c r="AV76" s="193">
        <f t="array" ref="AV76">SUM(AV12:AW12*AV25:AW25)/AV32</f>
        <v>4.9001307718089587E-4</v>
      </c>
      <c r="XFD76" s="193"/>
    </row>
    <row r="77" spans="1:48 16384:16384" x14ac:dyDescent="0.2">
      <c r="A77" t="s">
        <v>188</v>
      </c>
      <c r="B77" s="193">
        <f t="array" ref="B77">SUM(B4:C4*B19:C19)/B32</f>
        <v>0.14586087017236485</v>
      </c>
      <c r="D77" s="193">
        <f t="array" ref="D77">SUM(D4:E4*D19:E19)/D32</f>
        <v>0.1459963855411972</v>
      </c>
      <c r="E77" s="138"/>
      <c r="F77" s="193">
        <f t="array" ref="F77">SUM(F4:G4*F19:G19)/F32</f>
        <v>0.14625946395662395</v>
      </c>
      <c r="G77" s="138"/>
      <c r="H77" s="193">
        <f t="array" ref="H77">SUM(H4:I4*H19:I19)/H32</f>
        <v>0.14667444319136005</v>
      </c>
      <c r="I77" s="138"/>
      <c r="J77" s="193">
        <f t="array" ref="J77">SUM(J4:K4*J19:K19)/J32</f>
        <v>0.14727226256003889</v>
      </c>
      <c r="K77" s="138"/>
      <c r="L77" s="193">
        <f t="array" ref="L77">SUM(L4:M4*L19:M19)/L32</f>
        <v>0.14809306944353742</v>
      </c>
      <c r="M77" s="138"/>
      <c r="N77" s="193">
        <f t="array" ref="N77">SUM(N4:O4*N19:O19)/N32</f>
        <v>0.14918964881642544</v>
      </c>
      <c r="O77" s="138"/>
      <c r="P77" s="193">
        <f t="array" ref="P77">SUM(P4:Q4*P19:Q19)/P32</f>
        <v>0.15063267053471929</v>
      </c>
      <c r="Q77" s="138"/>
      <c r="R77" s="193">
        <f t="array" ref="R77">SUM(R4:S4*R19:S19)/R32</f>
        <v>0.15251807600215203</v>
      </c>
      <c r="S77" s="138"/>
      <c r="T77" s="193">
        <f t="array" ref="T77">SUM(T4:U4*T19:U19)/T32</f>
        <v>0.15497957587341132</v>
      </c>
      <c r="U77" s="138"/>
      <c r="V77" s="193">
        <f t="array" ref="V77">SUM(V4:W4*V19:W19)/V32</f>
        <v>0.15820513059134422</v>
      </c>
      <c r="W77" s="138"/>
      <c r="X77" s="193">
        <f t="array" ref="X77">SUM(X4:Y4*X19:Y19)/X32</f>
        <v>0.16246296087726292</v>
      </c>
      <c r="Y77" s="138"/>
      <c r="Z77" s="193">
        <f t="array" ref="Z77">SUM(Z4:AA4*Z19:AA19)/Z32</f>
        <v>0.16813684023636868</v>
      </c>
      <c r="AA77" s="138"/>
      <c r="AB77" s="193">
        <f t="array" ref="AB77">SUM(AB4:AC4*AB19:AC19)/AB32</f>
        <v>0.17577190327902753</v>
      </c>
      <c r="AC77" s="138"/>
      <c r="AD77" s="193">
        <f t="array" ref="AD77">SUM(AD4:AE4*AD19:AE19)/AD32</f>
        <v>0.18613003053833493</v>
      </c>
      <c r="AE77" s="138"/>
      <c r="AF77" s="193">
        <f t="array" ref="AF77">SUM(AF4:AG4*AF19:AG19)/AF32</f>
        <v>0.20027510741612156</v>
      </c>
      <c r="AG77" s="138"/>
      <c r="AH77" s="193">
        <f t="array" ref="AH77">SUM(AH4:AI4*AH19:AI19)/AH32</f>
        <v>0.21983104941131903</v>
      </c>
      <c r="AI77" s="138"/>
      <c r="AJ77" s="193">
        <f t="array" ref="AJ77">SUM(AJ4:AK4*AJ19:AK19)/AJ32</f>
        <v>0.24809273134257187</v>
      </c>
      <c r="AK77" s="138"/>
      <c r="AL77" s="193">
        <f t="array" ref="AL77">SUM(AL4:AM4*AL19:AM19)/AL32</f>
        <v>0.29551220117329452</v>
      </c>
      <c r="AM77" s="138"/>
      <c r="AN77" s="193">
        <f t="array" ref="AN77">SUM(AN4:AO4*AN19:AO19)/AN32</f>
        <v>0.41139904093699892</v>
      </c>
      <c r="AO77" s="138"/>
      <c r="AP77" s="193">
        <f t="array" ref="AP77">SUM(AP4:AQ4*AP19:AQ19)/AP32</f>
        <v>0.46010249225274064</v>
      </c>
      <c r="AQ77" s="138"/>
      <c r="AR77" s="193">
        <f t="array" ref="AR77">SUM(AR4:AS4*AR19:AS19)/AR32</f>
        <v>0.5316425536697823</v>
      </c>
      <c r="AS77" s="138"/>
      <c r="AT77" s="193">
        <f t="array" ref="AT77">SUM(AT4:AU4*AT19:AU19)/AT32</f>
        <v>0.64991836100441613</v>
      </c>
      <c r="AU77" s="138"/>
      <c r="AV77" s="193">
        <f t="array" ref="AV77">SUM(AV4:AW4*AV19:AW19)/AV32</f>
        <v>0.90304859250936409</v>
      </c>
      <c r="XFD77" s="193"/>
    </row>
    <row r="78" spans="1:48 16384:16384" x14ac:dyDescent="0.2">
      <c r="A78" t="s">
        <v>189</v>
      </c>
      <c r="B78" s="193">
        <f t="array" ref="B78">SUM(B13:C13*B26:C26)/B32</f>
        <v>0.346887593115773</v>
      </c>
      <c r="D78" s="193">
        <f t="array" ref="D78">SUM(D13:E13*D26:E26)/D32</f>
        <v>0.34565127700118392</v>
      </c>
      <c r="E78" s="138"/>
      <c r="F78" s="193">
        <f t="array" ref="F78">SUM(F13:G13*F26:G26)/F32</f>
        <v>0.34438091765721557</v>
      </c>
      <c r="G78" s="138"/>
      <c r="H78" s="193">
        <f t="array" ref="H78">SUM(H13:I13*H26:I26)/H32</f>
        <v>0.34307497701689477</v>
      </c>
      <c r="I78" s="138"/>
      <c r="J78" s="193">
        <f t="array" ref="J78">SUM(J13:K13*J26:K26)/J32</f>
        <v>0.34173233312717316</v>
      </c>
      <c r="K78" s="138"/>
      <c r="L78" s="193">
        <f t="array" ref="L78">SUM(L13:M13*L26:M26)/L32</f>
        <v>0.34035253456168357</v>
      </c>
      <c r="M78" s="138"/>
      <c r="N78" s="193">
        <f t="array" ref="N78">SUM(N13:O13*N26:O26)/N32</f>
        <v>0.33893603550989743</v>
      </c>
      <c r="O78" s="138"/>
      <c r="P78" s="193">
        <f t="array" ref="P78">SUM(P13:Q13*P26:Q26)/P32</f>
        <v>0.33748449887644932</v>
      </c>
      <c r="Q78" s="138"/>
      <c r="R78" s="193">
        <f t="array" ref="R78">SUM(R13:S13*R26:S26)/R32</f>
        <v>0.33600094172795814</v>
      </c>
      <c r="S78" s="138"/>
      <c r="T78" s="193">
        <f t="array" ref="T78">SUM(T13:U13*T26:U26)/T32</f>
        <v>0.33449005754883376</v>
      </c>
      <c r="U78" s="138"/>
      <c r="V78" s="193">
        <f t="array" ref="V78">SUM(V13:W13*V26:W26)/V32</f>
        <v>0.33295728790156986</v>
      </c>
      <c r="W78" s="138"/>
      <c r="X78" s="193">
        <f t="array" ref="X78">SUM(X13:Y13*X26:Y26)/X32</f>
        <v>0.33140684696001144</v>
      </c>
      <c r="Y78" s="138"/>
      <c r="Z78" s="193">
        <f t="array" ref="Z78">SUM(Z13:AA13*Z26:AA26)/Z32</f>
        <v>0.32983618192244563</v>
      </c>
      <c r="AA78" s="138"/>
      <c r="AB78" s="193">
        <f t="array" ref="AB78">SUM(AB13:AC13*AB26:AC26)/AB32</f>
        <v>0.32822382678977047</v>
      </c>
      <c r="AC78" s="138"/>
      <c r="AD78" s="193">
        <f t="array" ref="AD78">SUM(AD13:AE13*AD26:AE26)/AD32</f>
        <v>0.32650455676409518</v>
      </c>
      <c r="AE78" s="138"/>
      <c r="AF78" s="193">
        <f t="array" ref="AF78">SUM(AF13:AG13*AF26:AG26)/AF32</f>
        <v>0.32452066300825444</v>
      </c>
      <c r="AG78" s="138"/>
      <c r="AH78" s="193">
        <f t="array" ref="AH78">SUM(AH13:AI13*AH26:AI26)/AH32</f>
        <v>0.321922661924326</v>
      </c>
      <c r="AI78" s="138"/>
      <c r="AJ78" s="193">
        <f t="array" ref="AJ78">SUM(AJ13:AK13*AJ26:AK26)/AJ32</f>
        <v>0.31795852563515137</v>
      </c>
      <c r="AK78" s="138"/>
      <c r="AL78" s="193">
        <f t="array" ref="AL78">SUM(AL13:AM13*AL26:AM26)/AL32</f>
        <v>0.3112393731999808</v>
      </c>
      <c r="AM78" s="138"/>
      <c r="AN78" s="193">
        <f t="array" ref="AN78">SUM(AN13:AO13*AN26:AO26)/AN32</f>
        <v>0.30020521996519922</v>
      </c>
      <c r="AO78" s="138"/>
      <c r="AP78" s="193">
        <f t="array" ref="AP78">SUM(AP13:AQ13*AP26:AQ26)/AP32</f>
        <v>0.29723560603988347</v>
      </c>
      <c r="AQ78" s="138"/>
      <c r="AR78" s="193">
        <f t="array" ref="AR78">SUM(AR13:AS13*AR26:AS26)/AR32</f>
        <v>0.29379154283924824</v>
      </c>
      <c r="AS78" s="138"/>
      <c r="AT78" s="193">
        <f t="array" ref="AT78">SUM(AT13:AU13*AT26:AU26)/AT32</f>
        <v>0.28950932659708106</v>
      </c>
      <c r="AU78" s="138"/>
      <c r="AV78" s="193">
        <f t="array" ref="AV78">SUM(AV13:AW13*AV26:AW26)/AV32</f>
        <v>0.28307275054085995</v>
      </c>
      <c r="XFD78" s="193"/>
    </row>
    <row r="79" spans="1:48 16384:16384" x14ac:dyDescent="0.2">
      <c r="A79" t="s">
        <v>190</v>
      </c>
      <c r="B79" s="193">
        <f t="array" ref="B79">SUM(B15:C15*B27:C27)/B32</f>
        <v>0.45460968782440808</v>
      </c>
      <c r="D79" s="193">
        <f t="array" ref="D79">SUM(D15:E15*D27:E27)/D32</f>
        <v>0.45312452256676533</v>
      </c>
      <c r="F79" s="193">
        <f t="array" ref="F79">SUM(F15:G15*F27:G27)/F32</f>
        <v>0.45165196748963915</v>
      </c>
      <c r="H79" s="193">
        <f t="array" ref="H79">SUM(H15:I15*H27:I27)/H32</f>
        <v>0.45019516319688446</v>
      </c>
      <c r="J79" s="193">
        <f t="array" ref="J79">SUM(J15:K15*J27:K27)/J32</f>
        <v>0.44875796407069607</v>
      </c>
      <c r="L79" s="193">
        <f t="array" ref="L79">SUM(L15:M15*L27:M27)/L32</f>
        <v>0.44734512038495733</v>
      </c>
      <c r="N79" s="193">
        <f t="array" ref="N79">SUM(N15:O15*N27:O27)/N32</f>
        <v>0.44596213196593221</v>
      </c>
      <c r="P79" s="193">
        <f t="array" ref="P79">SUM(P15:Q15*P27:Q27)/P32</f>
        <v>0.44461494008052871</v>
      </c>
      <c r="R79" s="193">
        <f t="array" ref="R79">SUM(R15:S15*R27:S27)/R32</f>
        <v>0.44330878615025382</v>
      </c>
      <c r="T79" s="193">
        <f t="array" ref="T79">SUM(T15:U15*T27:U27)/T32</f>
        <v>0.44204673500937391</v>
      </c>
      <c r="V79" s="193">
        <f t="array" ref="V79">SUM(V15:W15*V27:W27)/V32</f>
        <v>0.44082459727242951</v>
      </c>
      <c r="X79" s="193">
        <f t="array" ref="X79">SUM(X15:Y15*X27:Y27)/X32</f>
        <v>0.4396223498485422</v>
      </c>
      <c r="Z79" s="193">
        <f t="array" ref="Z79">SUM(Z15:AA15*Z27:AA27)/Z32</f>
        <v>0.43838700068975084</v>
      </c>
      <c r="AB79" s="193">
        <f t="array" ref="AB79">SUM(AB15:AC15*AB27:AC27)/AB32</f>
        <v>0.43700173319932367</v>
      </c>
      <c r="AD79" s="193">
        <f t="array" ref="AD79">SUM(AD15:AE15*AD27:AE27)/AD32</f>
        <v>0.43523358879150831</v>
      </c>
      <c r="AF79" s="193">
        <f t="array" ref="AF79">SUM(AF15:AG15*AF27:AG27)/AF32</f>
        <v>0.43264652799813474</v>
      </c>
      <c r="AH79" s="193">
        <f t="array" ref="AH79">SUM(AH15:AI15*AH27:AI27)/AH32</f>
        <v>0.42843092123467441</v>
      </c>
      <c r="AJ79" s="193">
        <f t="array" ref="AJ79">SUM(AJ15:AK15*AJ27:AK27)/AJ32</f>
        <v>0.42095844982942277</v>
      </c>
      <c r="AL79" s="193">
        <f t="array" ref="AL79">SUM(AL15:AM15*AL27:AM27)/AL32</f>
        <v>0.40666940421277459</v>
      </c>
      <c r="AN79" s="193">
        <f t="array" ref="AN79">SUM(AN15:AO15*AN27:AO27)/AN32</f>
        <v>0.3767742540117146</v>
      </c>
      <c r="AP79" s="193">
        <f t="array" ref="AP79">SUM(AP15:AQ15*AP27:AQ27)/AP32</f>
        <v>0.36647213233916026</v>
      </c>
      <c r="AR79" s="193">
        <f t="array" ref="AR79">SUM(AR15:AS15*AR27:AS27)/AR32</f>
        <v>0.35282904099328738</v>
      </c>
      <c r="AT79" s="193">
        <f t="array" ref="AT79">SUM(AT15:AU15*AT27:AU27)/AT32</f>
        <v>0.33300121365425528</v>
      </c>
      <c r="AV79" s="193">
        <f t="array" ref="AV79">SUM(AV15:AW15*AV27:AW27)/AV32</f>
        <v>0.29806177046570742</v>
      </c>
      <c r="XFD79" s="193"/>
    </row>
    <row r="80" spans="1:48 16384:16384" x14ac:dyDescent="0.2">
      <c r="A80" t="s">
        <v>169</v>
      </c>
      <c r="B80" s="236">
        <f>B55</f>
        <v>0.19850271905982084</v>
      </c>
      <c r="D80" s="236">
        <f>D55</f>
        <v>0.20122420189416798</v>
      </c>
      <c r="F80" s="236">
        <f>F55</f>
        <v>0.20396713610181363</v>
      </c>
      <c r="H80" s="236">
        <f>H55</f>
        <v>0.20672990159792418</v>
      </c>
      <c r="J80" s="236">
        <f>J55</f>
        <v>0.20950972945447088</v>
      </c>
      <c r="L80" s="236">
        <f>L55</f>
        <v>0.21230234433282846</v>
      </c>
      <c r="N80" s="236">
        <f>N55</f>
        <v>0.21510183296546517</v>
      </c>
      <c r="P80" s="236">
        <f>P55</f>
        <v>0.21790064039124318</v>
      </c>
      <c r="R80" s="236">
        <f>R55</f>
        <v>0.22069027593977791</v>
      </c>
      <c r="T80" s="236">
        <f>T55</f>
        <v>0.22346322246242784</v>
      </c>
      <c r="V80" s="236">
        <f>V55</f>
        <v>0.22621812486257056</v>
      </c>
      <c r="X80" s="236">
        <f>X55</f>
        <v>0.22897082386335088</v>
      </c>
      <c r="Z80" s="236">
        <f>Z55</f>
        <v>0.23177683905480859</v>
      </c>
      <c r="AB80" s="236">
        <f>AB55</f>
        <v>0.23477444249196291</v>
      </c>
      <c r="AD80" s="236">
        <f>AD55</f>
        <v>0.23826185754582699</v>
      </c>
      <c r="AF80" s="236">
        <f>AF55</f>
        <v>0.24283281207769611</v>
      </c>
      <c r="AH80" s="236">
        <f>AH55</f>
        <v>0.24964642073681362</v>
      </c>
      <c r="AJ80" s="236">
        <f>AJ55</f>
        <v>0.26108302622464175</v>
      </c>
      <c r="AL80" s="236">
        <f>AL55</f>
        <v>0.28209122225043259</v>
      </c>
      <c r="AN80" s="236">
        <f>AN55</f>
        <v>0.32302052599213177</v>
      </c>
      <c r="AP80" s="236">
        <f>AP55</f>
        <v>0.33629226169094167</v>
      </c>
      <c r="AR80" s="236">
        <f>AR55</f>
        <v>0.35337941619519969</v>
      </c>
      <c r="AT80" s="236">
        <f>AT55</f>
        <v>0.37748945980477294</v>
      </c>
      <c r="AV80" s="236">
        <f>AV55</f>
        <v>0.41886547915697819</v>
      </c>
      <c r="XFD80" s="236"/>
    </row>
    <row r="81" spans="1:48 16384:16384" x14ac:dyDescent="0.2">
      <c r="A81" t="s">
        <v>191</v>
      </c>
      <c r="B81" s="236">
        <f>B51/B$32</f>
        <v>-2.7543485504603994E-2</v>
      </c>
      <c r="D81" s="236">
        <f>D51/D$32</f>
        <v>-2.4822002670256839E-2</v>
      </c>
      <c r="F81" s="236">
        <f>F51/F$32</f>
        <v>-2.207906846261122E-2</v>
      </c>
      <c r="H81" s="236">
        <f>H51/H$32</f>
        <v>-1.9316302966500644E-2</v>
      </c>
      <c r="J81" s="236">
        <f>J51/J$32</f>
        <v>-1.6536475109953944E-2</v>
      </c>
      <c r="L81" s="236">
        <f>L51/L$32</f>
        <v>-1.3743860231596386E-2</v>
      </c>
      <c r="N81" s="236">
        <f>N51/N$32</f>
        <v>-1.0944371598959668E-2</v>
      </c>
      <c r="P81" s="236">
        <f>P51/P$32</f>
        <v>-8.1455641731816488E-3</v>
      </c>
      <c r="R81" s="236">
        <f>R51/R$32</f>
        <v>-5.3559286246469438E-3</v>
      </c>
      <c r="T81" s="236">
        <f>T51/T$32</f>
        <v>-2.5829821019970121E-3</v>
      </c>
      <c r="V81" s="236">
        <f>V51/V$32</f>
        <v>1.7192029814570636E-4</v>
      </c>
      <c r="X81" s="236">
        <f>X51/X$32</f>
        <v>2.9246192989260469E-3</v>
      </c>
      <c r="Z81" s="236">
        <f>Z51/Z$32</f>
        <v>5.7306344903837294E-3</v>
      </c>
      <c r="AB81" s="236">
        <f>AB51/AB$32</f>
        <v>8.7282379275380566E-3</v>
      </c>
      <c r="AD81" s="236">
        <f>AD51/AD$32</f>
        <v>1.2215652981402153E-2</v>
      </c>
      <c r="AF81" s="236">
        <f>AF51/AF$32</f>
        <v>1.6786607513271278E-2</v>
      </c>
      <c r="AH81" s="236">
        <f>AH51/AH$32</f>
        <v>2.3600216172388798E-2</v>
      </c>
      <c r="AJ81" s="236">
        <f>AJ51/AJ$32</f>
        <v>3.5036821660216912E-2</v>
      </c>
      <c r="AL81" s="236">
        <f>AL51/AL$32</f>
        <v>5.6045017686007774E-2</v>
      </c>
      <c r="AN81" s="236">
        <f>AN51/AN$32</f>
        <v>9.6974321427706942E-2</v>
      </c>
      <c r="AP81" s="236">
        <f>AP51/AP$32</f>
        <v>0.11024605712651682</v>
      </c>
      <c r="AR81" s="236">
        <f>AR51/AR$32</f>
        <v>0.12733321163077482</v>
      </c>
      <c r="AT81" s="236">
        <f>AT51/AT$32</f>
        <v>0.1514432552403481</v>
      </c>
      <c r="AV81" s="236">
        <f>AV51/AV$32</f>
        <v>0.19281927459255335</v>
      </c>
      <c r="XFD81" s="236"/>
    </row>
    <row r="82" spans="1:48 16384:16384" x14ac:dyDescent="0.2">
      <c r="A82" t="s">
        <v>192</v>
      </c>
      <c r="B82" s="236">
        <f>B52/B$32</f>
        <v>0.13907860278212886</v>
      </c>
      <c r="D82" s="236">
        <f>D52/D$32</f>
        <v>0.13858292314057796</v>
      </c>
      <c r="F82" s="236">
        <f>F52/F$32</f>
        <v>0.13807359445285122</v>
      </c>
      <c r="H82" s="236">
        <f>H52/H$32</f>
        <v>0.1375500000575002</v>
      </c>
      <c r="J82" s="236">
        <f>J52/J$32</f>
        <v>0.13701169012678407</v>
      </c>
      <c r="L82" s="236">
        <f>L52/L$32</f>
        <v>0.13645848366907998</v>
      </c>
      <c r="N82" s="236">
        <f>N52/N$32</f>
        <v>0.13589056278382977</v>
      </c>
      <c r="P82" s="236">
        <f>P52/P$32</f>
        <v>0.13530859418399097</v>
      </c>
      <c r="R82" s="236">
        <f>R52/R$32</f>
        <v>0.13471378751043336</v>
      </c>
      <c r="T82" s="236">
        <f>T52/T$32</f>
        <v>0.13410802453485149</v>
      </c>
      <c r="V82" s="236">
        <f>V52/V$32</f>
        <v>0.13349348695795646</v>
      </c>
      <c r="X82" s="236">
        <f>X52/X$32</f>
        <v>0.13287186438013143</v>
      </c>
      <c r="Z82" s="236">
        <f>Z52/Z$32</f>
        <v>0.13224213329952025</v>
      </c>
      <c r="AB82" s="236">
        <f>AB52/AB$32</f>
        <v>0.13159568729369206</v>
      </c>
      <c r="AD82" s="236">
        <f>AD52/AD$32</f>
        <v>0.130906375603907</v>
      </c>
      <c r="AF82" s="236">
        <f>AF52/AF$32</f>
        <v>0.13011096758959256</v>
      </c>
      <c r="AH82" s="236">
        <f>AH52/AH$32</f>
        <v>0.12906934382457472</v>
      </c>
      <c r="AJ82" s="236">
        <f>AJ52/AJ$32</f>
        <v>0.12747999169069102</v>
      </c>
      <c r="AL82" s="236">
        <f>AL52/AL$32</f>
        <v>0.12478606330838715</v>
      </c>
      <c r="AN82" s="236">
        <f>AN52/AN$32</f>
        <v>0.12036210971294922</v>
      </c>
      <c r="AP82" s="236">
        <f>AP52/AP$32</f>
        <v>0.11917149418292818</v>
      </c>
      <c r="AR82" s="236">
        <f>AR52/AR$32</f>
        <v>0.11779065639182899</v>
      </c>
      <c r="AT82" s="236">
        <f>AT52/AT$32</f>
        <v>0.11607377558204809</v>
      </c>
      <c r="AV82" s="236">
        <f>AV52/AV$32</f>
        <v>0.11349314132943771</v>
      </c>
    </row>
    <row r="83" spans="1:48 16384:16384" x14ac:dyDescent="0.2">
      <c r="A83" t="s">
        <v>193</v>
      </c>
      <c r="B83" s="236">
        <f>B53/B$32</f>
        <v>0.18600714462930004</v>
      </c>
      <c r="D83" s="236">
        <f>D53/D$32</f>
        <v>0.18539947753316138</v>
      </c>
      <c r="F83" s="236">
        <f>F53/F$32</f>
        <v>0.18479696999198592</v>
      </c>
      <c r="H83" s="236">
        <f>H53/H$32</f>
        <v>0.18420090700864786</v>
      </c>
      <c r="J83" s="236">
        <f>J53/J$32</f>
        <v>0.18361286563406704</v>
      </c>
      <c r="L83" s="236">
        <f>L53/L$32</f>
        <v>0.18303478948032412</v>
      </c>
      <c r="N83" s="236">
        <f>N53/N$32</f>
        <v>0.18246892884477686</v>
      </c>
      <c r="P83" s="236">
        <f>P53/P$32</f>
        <v>0.1819177146437094</v>
      </c>
      <c r="R83" s="236">
        <f>R53/R$32</f>
        <v>0.18138329144613202</v>
      </c>
      <c r="T83" s="236">
        <f>T53/T$32</f>
        <v>0.18086691325319326</v>
      </c>
      <c r="V83" s="236">
        <f>V53/V$32</f>
        <v>0.18036686594474138</v>
      </c>
      <c r="X83" s="236">
        <f>X53/X$32</f>
        <v>0.17987495691498576</v>
      </c>
      <c r="Z83" s="236">
        <f>Z53/Z$32</f>
        <v>0.17936950404893129</v>
      </c>
      <c r="AB83" s="236">
        <f>AB53/AB$32</f>
        <v>0.17880271091331804</v>
      </c>
      <c r="AD83" s="236">
        <f>AD53/AD$32</f>
        <v>0.17807926066269988</v>
      </c>
      <c r="AF83" s="236">
        <f>AF53/AF$32</f>
        <v>0.17702074430450099</v>
      </c>
      <c r="AH83" s="236">
        <f>AH53/AH$32</f>
        <v>0.17529589549913616</v>
      </c>
      <c r="AJ83" s="236">
        <f>AJ53/AJ$32</f>
        <v>0.1722384748003678</v>
      </c>
      <c r="AL83" s="236">
        <f>AL53/AL$32</f>
        <v>0.16639199892047601</v>
      </c>
      <c r="AN83" s="236">
        <f>AN53/AN$32</f>
        <v>0.15416016208089017</v>
      </c>
      <c r="AP83" s="236">
        <f>AP53/AP$32</f>
        <v>0.14994496762450715</v>
      </c>
      <c r="AR83" s="236">
        <f>AR53/AR$32</f>
        <v>0.14436278903674524</v>
      </c>
      <c r="AT83" s="236">
        <f>AT53/AT$32</f>
        <v>0.13625007686559445</v>
      </c>
      <c r="AV83" s="236">
        <f>AV53/AV$32</f>
        <v>0.12195432770648361</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Feuil4"/>
  <dimension ref="A1:XFD83"/>
  <sheetViews>
    <sheetView workbookViewId="0">
      <pane xSplit="1" ySplit="1" topLeftCell="B59" activePane="bottomRight" state="frozen"/>
      <selection pane="topRight" activeCell="B1" sqref="B1"/>
      <selection pane="bottomLeft" activeCell="A2" sqref="A2"/>
      <selection pane="bottomRight" activeCell="AT54" sqref="A51:AT54"/>
    </sheetView>
  </sheetViews>
  <sheetFormatPr baseColWidth="10" defaultRowHeight="10" x14ac:dyDescent="0.2"/>
  <sheetData>
    <row r="1" spans="1:97" x14ac:dyDescent="0.2">
      <c r="B1" s="94">
        <v>0</v>
      </c>
      <c r="D1" s="94">
        <v>0.05</v>
      </c>
      <c r="F1" s="94">
        <v>0.1</v>
      </c>
      <c r="H1" s="94">
        <v>0.15000000000000002</v>
      </c>
      <c r="J1" s="94">
        <v>0.2</v>
      </c>
      <c r="L1" s="94">
        <v>0.25</v>
      </c>
      <c r="N1" s="94">
        <v>0.3</v>
      </c>
      <c r="P1" s="94">
        <v>0.35</v>
      </c>
      <c r="R1" s="94">
        <v>0.39999999999999997</v>
      </c>
      <c r="T1" s="94">
        <v>0.44999999999999996</v>
      </c>
      <c r="V1" s="94">
        <v>0.49999999999999994</v>
      </c>
      <c r="X1" s="94">
        <v>0.54999999999999993</v>
      </c>
      <c r="Z1" s="94">
        <v>0.6</v>
      </c>
      <c r="AB1" s="94">
        <v>0.65</v>
      </c>
      <c r="AD1" s="94">
        <v>0.70000000000000007</v>
      </c>
      <c r="AF1" s="94">
        <v>0.75000000000000011</v>
      </c>
      <c r="AH1" s="94">
        <v>0.80000000000000016</v>
      </c>
      <c r="AJ1" s="94">
        <v>0.8500000000000002</v>
      </c>
      <c r="AL1" s="94">
        <v>0.90000000000000024</v>
      </c>
      <c r="AN1" s="94">
        <v>0.95000000000000029</v>
      </c>
      <c r="AP1" s="94">
        <v>0.9600000000000003</v>
      </c>
      <c r="AR1" s="94">
        <v>0.97000000000000031</v>
      </c>
      <c r="AT1" s="94">
        <v>0.98000000000000032</v>
      </c>
      <c r="AV1" s="94">
        <v>0.99000000000000032</v>
      </c>
      <c r="AX1" s="94"/>
      <c r="AZ1" s="94"/>
      <c r="BB1" s="94"/>
      <c r="BD1" s="94"/>
      <c r="BF1" s="94"/>
      <c r="BH1" s="94"/>
      <c r="BJ1" s="94"/>
      <c r="BL1" s="94"/>
      <c r="BN1" s="94"/>
      <c r="BP1" s="94"/>
      <c r="BR1" s="94"/>
      <c r="BT1" s="94"/>
      <c r="BV1" s="94"/>
      <c r="BX1" s="94"/>
      <c r="BZ1" s="94"/>
      <c r="CB1" s="94"/>
      <c r="CD1" s="94"/>
      <c r="CF1" s="94"/>
      <c r="CH1" s="94"/>
      <c r="CJ1" s="94"/>
      <c r="CL1" s="94"/>
      <c r="CN1" s="94"/>
      <c r="CP1" s="94"/>
      <c r="CR1" s="94"/>
    </row>
    <row r="2" spans="1:97" x14ac:dyDescent="0.2">
      <c r="A2" s="81" t="s">
        <v>155</v>
      </c>
      <c r="B2" s="95">
        <v>8.6827325972948285E-3</v>
      </c>
      <c r="C2" s="81"/>
      <c r="D2" s="95">
        <v>5.4995561909206597E-2</v>
      </c>
      <c r="E2" s="81"/>
      <c r="F2" s="95">
        <v>0.10590495885417066</v>
      </c>
      <c r="G2" s="81"/>
      <c r="H2" s="95">
        <v>0.16220408576695314</v>
      </c>
      <c r="I2" s="81"/>
      <c r="J2" s="95">
        <v>0.22489155262613042</v>
      </c>
      <c r="K2" s="81"/>
      <c r="L2" s="95">
        <v>0.2952482365843303</v>
      </c>
      <c r="M2" s="81"/>
      <c r="N2" s="95">
        <v>0.37495185091212635</v>
      </c>
      <c r="O2" s="81"/>
      <c r="P2" s="95">
        <v>0.46625336978538245</v>
      </c>
      <c r="Q2" s="81"/>
      <c r="R2" s="95">
        <v>0.57225880883340152</v>
      </c>
      <c r="S2" s="81"/>
      <c r="T2" s="95">
        <v>0.69740479658125121</v>
      </c>
      <c r="U2" s="81"/>
      <c r="V2" s="95">
        <v>0.84828183669145607</v>
      </c>
      <c r="W2" s="81"/>
      <c r="X2" s="95">
        <v>1.035158231149079</v>
      </c>
      <c r="Y2" s="81"/>
      <c r="Z2" s="95">
        <v>1.2749576073063682</v>
      </c>
      <c r="AA2" s="81"/>
      <c r="AB2" s="95">
        <v>1.597492736180363</v>
      </c>
      <c r="AC2" s="81"/>
      <c r="AD2" s="95">
        <v>2.0595297870258498</v>
      </c>
      <c r="AE2" s="81"/>
      <c r="AF2" s="95">
        <v>2.7790317446744317</v>
      </c>
      <c r="AG2" s="81"/>
      <c r="AH2" s="95">
        <v>4.0250992266236496</v>
      </c>
      <c r="AI2" s="81"/>
      <c r="AJ2" s="95">
        <v>6.4815483937825933</v>
      </c>
      <c r="AK2" s="81"/>
      <c r="AL2" s="95">
        <v>12.25655510876787</v>
      </c>
      <c r="AM2" s="81"/>
      <c r="AN2" s="95">
        <v>31.481870647785311</v>
      </c>
      <c r="AO2" s="81"/>
      <c r="AP2" s="95">
        <v>40.923779933765381</v>
      </c>
      <c r="AQ2" s="81"/>
      <c r="AR2" s="95">
        <v>55.683972901289032</v>
      </c>
      <c r="AS2" s="81"/>
      <c r="AT2" s="95">
        <v>81.094779006669967</v>
      </c>
      <c r="AU2" s="81"/>
      <c r="AV2" s="95">
        <v>132.20301626109219</v>
      </c>
      <c r="AW2" s="81"/>
      <c r="AX2" s="95"/>
      <c r="AZ2" s="95"/>
      <c r="BB2" s="95"/>
      <c r="BD2" s="95"/>
      <c r="BF2" s="95"/>
      <c r="BH2" s="95"/>
      <c r="BJ2" s="95"/>
      <c r="BL2" s="95"/>
      <c r="BN2" s="95"/>
      <c r="BP2" s="95"/>
      <c r="BR2" s="95"/>
      <c r="BT2" s="95"/>
      <c r="BV2" s="95"/>
      <c r="BX2" s="95"/>
      <c r="BZ2" s="95"/>
      <c r="CB2" s="95"/>
      <c r="CD2" s="95"/>
      <c r="CF2" s="95"/>
      <c r="CH2" s="95"/>
      <c r="CJ2" s="95"/>
      <c r="CL2" s="95"/>
      <c r="CN2" s="95"/>
      <c r="CP2" s="95"/>
      <c r="CR2" s="95"/>
    </row>
    <row r="3" spans="1:97" x14ac:dyDescent="0.2">
      <c r="A3" t="s">
        <v>12</v>
      </c>
      <c r="B3" s="84">
        <v>1000</v>
      </c>
      <c r="C3" s="85">
        <v>1000</v>
      </c>
      <c r="D3" s="84">
        <v>997.14372327780904</v>
      </c>
      <c r="E3" s="85">
        <v>1017.7961527932962</v>
      </c>
      <c r="F3" s="84">
        <v>994.28417791049253</v>
      </c>
      <c r="G3" s="85">
        <v>1037.8819813387163</v>
      </c>
      <c r="H3" s="84">
        <v>991.4194459434068</v>
      </c>
      <c r="I3" s="85">
        <v>1060.6746678751244</v>
      </c>
      <c r="J3" s="84">
        <v>988.54708399580204</v>
      </c>
      <c r="K3" s="85">
        <v>1086.6984776046306</v>
      </c>
      <c r="L3" s="84">
        <v>985.66434751316456</v>
      </c>
      <c r="M3" s="85">
        <v>1116.622983200984</v>
      </c>
      <c r="N3" s="84">
        <v>982.76868528787998</v>
      </c>
      <c r="O3" s="85">
        <v>1151.3193237623068</v>
      </c>
      <c r="P3" s="84">
        <v>979.85861582647169</v>
      </c>
      <c r="Q3" s="85">
        <v>1191.9442203430299</v>
      </c>
      <c r="R3" s="84">
        <v>976.93555566915791</v>
      </c>
      <c r="S3" s="85">
        <v>1240.0723418744224</v>
      </c>
      <c r="T3" s="84">
        <v>974.00725406450567</v>
      </c>
      <c r="U3" s="85">
        <v>1297.912618181349</v>
      </c>
      <c r="V3" s="84">
        <v>971.09412910185358</v>
      </c>
      <c r="W3" s="85">
        <v>1368.6745317972618</v>
      </c>
      <c r="X3" s="84">
        <v>968.24117033089954</v>
      </c>
      <c r="Y3" s="85">
        <v>1457.2261899253544</v>
      </c>
      <c r="Z3" s="84">
        <v>965.54010886607307</v>
      </c>
      <c r="AA3" s="85">
        <v>1571.3426460978085</v>
      </c>
      <c r="AB3" s="84">
        <v>963.1703584759739</v>
      </c>
      <c r="AC3" s="85">
        <v>1724.2366390334487</v>
      </c>
      <c r="AD3" s="84">
        <v>961.47061448728584</v>
      </c>
      <c r="AE3" s="85">
        <v>1940.071875763733</v>
      </c>
      <c r="AF3" s="84">
        <v>961.04024737577538</v>
      </c>
      <c r="AG3" s="85">
        <v>2266.9068544090451</v>
      </c>
      <c r="AH3" s="84">
        <v>962.7761454497504</v>
      </c>
      <c r="AI3" s="85">
        <v>2809.6040255054877</v>
      </c>
      <c r="AJ3" s="84">
        <v>967.51113156017345</v>
      </c>
      <c r="AK3" s="85">
        <v>3824.8994907832844</v>
      </c>
      <c r="AL3" s="84">
        <v>975.12943529750191</v>
      </c>
      <c r="AM3" s="85">
        <v>6088.3765923086612</v>
      </c>
      <c r="AN3" s="84">
        <v>984.66733140778535</v>
      </c>
      <c r="AO3" s="85">
        <v>13293.322262585707</v>
      </c>
      <c r="AP3" s="84">
        <v>986.8601167712128</v>
      </c>
      <c r="AQ3" s="85">
        <v>16771.380309975044</v>
      </c>
      <c r="AR3" s="84">
        <v>989.3017217926722</v>
      </c>
      <c r="AS3" s="85">
        <v>22175.959145506742</v>
      </c>
      <c r="AT3" s="84">
        <v>992.25792918498621</v>
      </c>
      <c r="AU3" s="85">
        <v>31430.181180897169</v>
      </c>
      <c r="AV3" s="84">
        <v>996.47204962446233</v>
      </c>
      <c r="AW3" s="85">
        <v>49958.206456102693</v>
      </c>
      <c r="AX3" s="84"/>
      <c r="AY3" s="85"/>
      <c r="AZ3" s="84"/>
      <c r="BA3" s="85"/>
      <c r="BB3" s="84"/>
      <c r="BC3" s="85"/>
      <c r="BD3" s="84"/>
      <c r="BE3" s="85"/>
      <c r="BF3" s="84"/>
      <c r="BG3" s="85"/>
      <c r="BH3" s="84"/>
      <c r="BI3" s="85"/>
      <c r="BJ3" s="84"/>
      <c r="BK3" s="85"/>
      <c r="BL3" s="84"/>
      <c r="BM3" s="85"/>
      <c r="BN3" s="84"/>
      <c r="BO3" s="85"/>
      <c r="BP3" s="84"/>
      <c r="BQ3" s="85"/>
      <c r="BR3" s="84"/>
      <c r="BS3" s="85"/>
      <c r="BT3" s="84"/>
      <c r="BU3" s="85"/>
      <c r="BV3" s="84"/>
      <c r="BW3" s="85"/>
      <c r="BX3" s="84"/>
      <c r="BY3" s="85"/>
      <c r="BZ3" s="84"/>
      <c r="CA3" s="85"/>
      <c r="CB3" s="84"/>
      <c r="CC3" s="85"/>
      <c r="CD3" s="84"/>
      <c r="CE3" s="85"/>
      <c r="CF3" s="84"/>
      <c r="CG3" s="85"/>
      <c r="CH3" s="84"/>
      <c r="CI3" s="85"/>
      <c r="CJ3" s="84"/>
      <c r="CK3" s="85"/>
      <c r="CL3" s="84"/>
      <c r="CM3" s="85"/>
      <c r="CN3" s="84"/>
      <c r="CO3" s="85"/>
      <c r="CP3" s="84"/>
      <c r="CQ3" s="85"/>
      <c r="CR3" s="84"/>
      <c r="CS3" s="85"/>
    </row>
    <row r="4" spans="1:97"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v>1000</v>
      </c>
      <c r="U4" s="102">
        <v>1000</v>
      </c>
      <c r="V4" s="101">
        <v>1000</v>
      </c>
      <c r="W4" s="102">
        <v>1000</v>
      </c>
      <c r="X4" s="101">
        <v>1000</v>
      </c>
      <c r="Y4" s="102">
        <v>1000</v>
      </c>
      <c r="Z4" s="101">
        <v>1000</v>
      </c>
      <c r="AA4" s="102">
        <v>1000</v>
      </c>
      <c r="AB4" s="101">
        <v>1000</v>
      </c>
      <c r="AC4" s="102">
        <v>1000</v>
      </c>
      <c r="AD4" s="101">
        <v>1000</v>
      </c>
      <c r="AE4" s="102">
        <v>1000</v>
      </c>
      <c r="AF4" s="101">
        <v>1000</v>
      </c>
      <c r="AG4" s="102">
        <v>1000</v>
      </c>
      <c r="AH4" s="101">
        <v>1000</v>
      </c>
      <c r="AI4" s="102">
        <v>1000</v>
      </c>
      <c r="AJ4" s="101">
        <v>1000</v>
      </c>
      <c r="AK4" s="102">
        <v>1000</v>
      </c>
      <c r="AL4" s="101">
        <v>1000</v>
      </c>
      <c r="AM4" s="102">
        <v>1000</v>
      </c>
      <c r="AN4" s="101">
        <v>1000</v>
      </c>
      <c r="AO4" s="102">
        <v>1000</v>
      </c>
      <c r="AP4" s="101">
        <v>1000</v>
      </c>
      <c r="AQ4" s="102">
        <v>1000</v>
      </c>
      <c r="AR4" s="101">
        <v>1000</v>
      </c>
      <c r="AS4" s="102">
        <v>1000</v>
      </c>
      <c r="AT4" s="101">
        <v>1000</v>
      </c>
      <c r="AU4" s="102">
        <v>1000</v>
      </c>
      <c r="AV4" s="101">
        <v>1000</v>
      </c>
      <c r="AW4" s="102">
        <v>1000</v>
      </c>
      <c r="AX4" s="59"/>
      <c r="AY4" s="60"/>
      <c r="AZ4" s="59"/>
      <c r="BA4" s="60"/>
      <c r="BB4" s="59"/>
      <c r="BC4" s="60"/>
      <c r="BD4" s="59"/>
      <c r="BE4" s="60"/>
      <c r="BF4" s="59"/>
      <c r="BG4" s="60"/>
      <c r="BH4" s="59"/>
      <c r="BI4" s="60"/>
      <c r="BJ4" s="59"/>
      <c r="BK4" s="60"/>
      <c r="BL4" s="59"/>
      <c r="BM4" s="60"/>
      <c r="BN4" s="59"/>
      <c r="BO4" s="60"/>
      <c r="BP4" s="59"/>
      <c r="BQ4" s="60"/>
      <c r="BR4" s="59"/>
      <c r="BS4" s="60"/>
      <c r="BT4" s="59"/>
      <c r="BU4" s="60"/>
      <c r="BV4" s="59"/>
      <c r="BW4" s="60"/>
      <c r="BX4" s="59"/>
      <c r="BY4" s="60"/>
      <c r="BZ4" s="59"/>
      <c r="CA4" s="60"/>
      <c r="CB4" s="59"/>
      <c r="CC4" s="60"/>
      <c r="CD4" s="59"/>
      <c r="CE4" s="60"/>
      <c r="CF4" s="59"/>
      <c r="CG4" s="60"/>
      <c r="CH4" s="59"/>
      <c r="CI4" s="60"/>
      <c r="CJ4" s="59"/>
      <c r="CK4" s="60"/>
      <c r="CL4" s="59"/>
      <c r="CM4" s="60"/>
      <c r="CN4" s="59"/>
      <c r="CO4" s="60"/>
      <c r="CP4" s="59"/>
      <c r="CQ4" s="60"/>
      <c r="CR4" s="59"/>
      <c r="CS4" s="60"/>
    </row>
    <row r="5" spans="1:97" x14ac:dyDescent="0.2">
      <c r="A5" t="s">
        <v>128</v>
      </c>
      <c r="B5" s="41">
        <v>1000</v>
      </c>
      <c r="C5" s="42">
        <v>1000</v>
      </c>
      <c r="D5" s="41">
        <v>996.99082399845292</v>
      </c>
      <c r="E5" s="42">
        <v>1016.3266274279071</v>
      </c>
      <c r="F5" s="41">
        <v>993.97506265331708</v>
      </c>
      <c r="G5" s="42">
        <v>1034.2765443930705</v>
      </c>
      <c r="H5" s="41">
        <v>990.9506495353321</v>
      </c>
      <c r="I5" s="42">
        <v>1054.050902330373</v>
      </c>
      <c r="J5" s="41">
        <v>987.91495280820084</v>
      </c>
      <c r="K5" s="42">
        <v>1075.8807996453907</v>
      </c>
      <c r="L5" s="41">
        <v>984.86500983069186</v>
      </c>
      <c r="M5" s="42">
        <v>1100.0316236368972</v>
      </c>
      <c r="N5" s="41">
        <v>981.79804895482539</v>
      </c>
      <c r="O5" s="42">
        <v>1126.8083530166016</v>
      </c>
      <c r="P5" s="41">
        <v>978.71242007789533</v>
      </c>
      <c r="Q5" s="42">
        <v>1156.558132045745</v>
      </c>
      <c r="R5" s="41">
        <v>975.60954223032184</v>
      </c>
      <c r="S5" s="42">
        <v>1189.673549054851</v>
      </c>
      <c r="T5" s="41">
        <v>972.49757319561331</v>
      </c>
      <c r="U5" s="42">
        <v>1226.5867520544143</v>
      </c>
      <c r="V5" s="41">
        <v>969.39819361228535</v>
      </c>
      <c r="W5" s="42">
        <v>1267.7540531644111</v>
      </c>
      <c r="X5" s="41">
        <v>966.35937055277043</v>
      </c>
      <c r="Y5" s="42">
        <v>1313.6090931163692</v>
      </c>
      <c r="Z5" s="41">
        <v>963.47915669625809</v>
      </c>
      <c r="AA5" s="42">
        <v>1364.4533071618557</v>
      </c>
      <c r="AB5" s="41">
        <v>960.94965408268399</v>
      </c>
      <c r="AC5" s="42">
        <v>1420.2082076925217</v>
      </c>
      <c r="AD5" s="41">
        <v>959.13383096118866</v>
      </c>
      <c r="AE5" s="42">
        <v>1479.8803931934303</v>
      </c>
      <c r="AF5" s="41">
        <v>958.67387406883631</v>
      </c>
      <c r="AG5" s="42">
        <v>1540.5386592609275</v>
      </c>
      <c r="AH5" s="41">
        <v>960.52863094841643</v>
      </c>
      <c r="AI5" s="42">
        <v>1595.9962257360105</v>
      </c>
      <c r="AJ5" s="41">
        <v>965.58121743869458</v>
      </c>
      <c r="AK5" s="42">
        <v>1637.4021858652916</v>
      </c>
      <c r="AL5" s="41">
        <v>973.69055883830742</v>
      </c>
      <c r="AM5" s="42">
        <v>1659.3670414460257</v>
      </c>
      <c r="AN5" s="41">
        <v>983.80939303856098</v>
      </c>
      <c r="AO5" s="42">
        <v>1666.1265225096988</v>
      </c>
      <c r="AP5" s="41">
        <v>986.13053797979546</v>
      </c>
      <c r="AQ5" s="42">
        <v>1666.4900689570652</v>
      </c>
      <c r="AR5" s="41">
        <v>988.71281733005696</v>
      </c>
      <c r="AS5" s="42">
        <v>1666.6948072398231</v>
      </c>
      <c r="AT5" s="41">
        <v>991.83620155374808</v>
      </c>
      <c r="AU5" s="42">
        <v>1666.796099998895</v>
      </c>
      <c r="AV5" s="41">
        <v>996.28274050827542</v>
      </c>
      <c r="AW5" s="42">
        <v>1666.8372911713345</v>
      </c>
      <c r="AX5" s="41"/>
      <c r="AY5" s="42"/>
      <c r="AZ5" s="41"/>
      <c r="BA5" s="42"/>
      <c r="BB5" s="41"/>
      <c r="BC5" s="42"/>
      <c r="BD5" s="41"/>
      <c r="BE5" s="42"/>
      <c r="BF5" s="41"/>
      <c r="BG5" s="42"/>
      <c r="BH5" s="41"/>
      <c r="BI5" s="42"/>
      <c r="BJ5" s="41"/>
      <c r="BK5" s="42"/>
      <c r="BL5" s="41"/>
      <c r="BM5" s="42"/>
      <c r="BN5" s="41"/>
      <c r="BO5" s="42"/>
      <c r="BP5" s="41"/>
      <c r="BQ5" s="42"/>
      <c r="BR5" s="41"/>
      <c r="BS5" s="42"/>
      <c r="BT5" s="41"/>
      <c r="BU5" s="42"/>
      <c r="BV5" s="41"/>
      <c r="BW5" s="42"/>
      <c r="BX5" s="41"/>
      <c r="BY5" s="42"/>
      <c r="BZ5" s="41"/>
      <c r="CA5" s="42"/>
      <c r="CB5" s="41"/>
      <c r="CC5" s="42"/>
      <c r="CD5" s="41"/>
      <c r="CE5" s="42"/>
      <c r="CF5" s="41"/>
      <c r="CG5" s="42"/>
      <c r="CH5" s="41"/>
      <c r="CI5" s="42"/>
      <c r="CJ5" s="41"/>
      <c r="CK5" s="42"/>
      <c r="CL5" s="41"/>
      <c r="CM5" s="42"/>
      <c r="CN5" s="41"/>
      <c r="CO5" s="42"/>
      <c r="CP5" s="41"/>
      <c r="CQ5" s="42"/>
      <c r="CR5" s="41"/>
      <c r="CS5" s="42"/>
    </row>
    <row r="6" spans="1:97" x14ac:dyDescent="0.2">
      <c r="A6" t="s">
        <v>77</v>
      </c>
      <c r="B6" s="41">
        <v>999.99999999999932</v>
      </c>
      <c r="C6" s="42">
        <v>1000.0000000000007</v>
      </c>
      <c r="D6" s="41">
        <v>996.80874383105891</v>
      </c>
      <c r="E6" s="42">
        <v>1021.0142795880407</v>
      </c>
      <c r="F6" s="41">
        <v>993.61167331084175</v>
      </c>
      <c r="G6" s="42">
        <v>1044.5800611719692</v>
      </c>
      <c r="H6" s="41">
        <v>990.4066056883305</v>
      </c>
      <c r="I6" s="42">
        <v>1071.1438569805737</v>
      </c>
      <c r="J6" s="41">
        <v>987.19076301723487</v>
      </c>
      <c r="K6" s="42">
        <v>1101.2651160161915</v>
      </c>
      <c r="L6" s="41">
        <v>983.96102114039934</v>
      </c>
      <c r="M6" s="42">
        <v>1135.6565743794711</v>
      </c>
      <c r="N6" s="41">
        <v>980.71446276465792</v>
      </c>
      <c r="O6" s="42">
        <v>1175.2436696464099</v>
      </c>
      <c r="P6" s="41">
        <v>977.44936148411705</v>
      </c>
      <c r="Q6" s="42">
        <v>1221.2532120175504</v>
      </c>
      <c r="R6" s="41">
        <v>974.1672395444657</v>
      </c>
      <c r="S6" s="42">
        <v>1275.3532369721761</v>
      </c>
      <c r="T6" s="41">
        <v>970.87674099839251</v>
      </c>
      <c r="U6" s="42">
        <v>1339.8816602428967</v>
      </c>
      <c r="V6" s="41">
        <v>967.60078748757803</v>
      </c>
      <c r="W6" s="42">
        <v>1418.233366793813</v>
      </c>
      <c r="X6" s="41">
        <v>964.39003478758775</v>
      </c>
      <c r="Y6" s="42">
        <v>1515.555704142432</v>
      </c>
      <c r="Z6" s="41">
        <v>961.34795601717565</v>
      </c>
      <c r="AA6" s="42">
        <v>1640.0673717105649</v>
      </c>
      <c r="AB6" s="41">
        <v>958.67717333435212</v>
      </c>
      <c r="AC6" s="42">
        <v>1805.7313514587954</v>
      </c>
      <c r="AD6" s="41">
        <v>956.76043567537613</v>
      </c>
      <c r="AE6" s="42">
        <v>2038.0763879930498</v>
      </c>
      <c r="AF6" s="41">
        <v>956.27498353951944</v>
      </c>
      <c r="AG6" s="42">
        <v>2387.8641229680356</v>
      </c>
      <c r="AH6" s="41">
        <v>958.23271426344866</v>
      </c>
      <c r="AI6" s="42">
        <v>2965.8552762854056</v>
      </c>
      <c r="AJ6" s="41">
        <v>963.56804565656171</v>
      </c>
      <c r="AK6" s="42">
        <v>4043.35565806462</v>
      </c>
      <c r="AL6" s="41">
        <v>972.13801993178913</v>
      </c>
      <c r="AM6" s="42">
        <v>6440.612346575218</v>
      </c>
      <c r="AN6" s="41">
        <v>982.84345244109329</v>
      </c>
      <c r="AO6" s="42">
        <v>14065.318821956978</v>
      </c>
      <c r="AP6" s="41">
        <v>985.3010091510622</v>
      </c>
      <c r="AQ6" s="42">
        <v>17745.558676468107</v>
      </c>
      <c r="AR6" s="41">
        <v>988.0358601459925</v>
      </c>
      <c r="AS6" s="42">
        <v>23464.213196971454</v>
      </c>
      <c r="AT6" s="41">
        <v>991.3449318242192</v>
      </c>
      <c r="AU6" s="42">
        <v>33256.137707156013</v>
      </c>
      <c r="AV6" s="41">
        <v>996.057984949927</v>
      </c>
      <c r="AW6" s="42">
        <v>52860.626908508217</v>
      </c>
      <c r="AX6" s="41"/>
      <c r="AY6" s="42"/>
      <c r="AZ6" s="41"/>
      <c r="BA6" s="42"/>
      <c r="BB6" s="41"/>
      <c r="BC6" s="42"/>
      <c r="BD6" s="41"/>
      <c r="BE6" s="42"/>
      <c r="BF6" s="41"/>
      <c r="BG6" s="42"/>
      <c r="BH6" s="41"/>
      <c r="BI6" s="42"/>
      <c r="BJ6" s="41"/>
      <c r="BK6" s="42"/>
      <c r="BL6" s="41"/>
      <c r="BM6" s="42"/>
      <c r="BN6" s="41"/>
      <c r="BO6" s="42"/>
      <c r="BP6" s="41"/>
      <c r="BQ6" s="42"/>
      <c r="BR6" s="41"/>
      <c r="BS6" s="42"/>
      <c r="BT6" s="41"/>
      <c r="BU6" s="42"/>
      <c r="BV6" s="41"/>
      <c r="BW6" s="42"/>
      <c r="BX6" s="41"/>
      <c r="BY6" s="42"/>
      <c r="BZ6" s="41"/>
      <c r="CA6" s="42"/>
      <c r="CB6" s="41"/>
      <c r="CC6" s="42"/>
      <c r="CD6" s="41"/>
      <c r="CE6" s="42"/>
      <c r="CF6" s="41"/>
      <c r="CG6" s="42"/>
      <c r="CH6" s="41"/>
      <c r="CI6" s="42"/>
      <c r="CJ6" s="41"/>
      <c r="CK6" s="42"/>
      <c r="CL6" s="41"/>
      <c r="CM6" s="42"/>
      <c r="CN6" s="41"/>
      <c r="CO6" s="42"/>
      <c r="CP6" s="41"/>
      <c r="CQ6" s="42"/>
      <c r="CR6" s="41"/>
      <c r="CS6" s="42"/>
    </row>
    <row r="7" spans="1:97" x14ac:dyDescent="0.2">
      <c r="A7" t="s">
        <v>13</v>
      </c>
      <c r="B7" s="33">
        <v>1016.8034022777628</v>
      </c>
      <c r="C7" s="34">
        <v>1016.8034022777628</v>
      </c>
      <c r="D7" s="33">
        <v>1013.7436618813372</v>
      </c>
      <c r="E7" s="34">
        <v>1013.7436618813372</v>
      </c>
      <c r="F7" s="33">
        <v>1010.6772254851452</v>
      </c>
      <c r="G7" s="34">
        <v>1010.6772254851452</v>
      </c>
      <c r="H7" s="33">
        <v>1007.6019919368846</v>
      </c>
      <c r="I7" s="34">
        <v>1007.6019919368846</v>
      </c>
      <c r="J7" s="33">
        <v>1004.5152851764541</v>
      </c>
      <c r="K7" s="34">
        <v>1004.5152851764541</v>
      </c>
      <c r="L7" s="33">
        <v>1001.4140927801698</v>
      </c>
      <c r="M7" s="34">
        <v>1001.4140927801698</v>
      </c>
      <c r="N7" s="33">
        <v>998.29559652693592</v>
      </c>
      <c r="O7" s="34">
        <v>998.29559652693592</v>
      </c>
      <c r="P7" s="33">
        <v>995.15811858670691</v>
      </c>
      <c r="Q7" s="34">
        <v>995.15811858670691</v>
      </c>
      <c r="R7" s="33">
        <v>992.00310183444196</v>
      </c>
      <c r="S7" s="34">
        <v>992.00310183444196</v>
      </c>
      <c r="T7" s="33">
        <v>988.8388411321672</v>
      </c>
      <c r="U7" s="34">
        <v>988.8388411321672</v>
      </c>
      <c r="V7" s="33">
        <v>985.68738142688915</v>
      </c>
      <c r="W7" s="34">
        <v>985.68738142688915</v>
      </c>
      <c r="X7" s="33">
        <v>982.59749580105427</v>
      </c>
      <c r="Y7" s="34">
        <v>982.59749580105427</v>
      </c>
      <c r="Z7" s="33">
        <v>979.66888455246499</v>
      </c>
      <c r="AA7" s="34">
        <v>979.66888455246499</v>
      </c>
      <c r="AB7" s="33">
        <v>977.09687768891229</v>
      </c>
      <c r="AC7" s="34">
        <v>977.09687768891229</v>
      </c>
      <c r="AD7" s="33">
        <v>975.25054256104124</v>
      </c>
      <c r="AE7" s="34">
        <v>975.25054256104124</v>
      </c>
      <c r="AF7" s="33">
        <v>974.78285682799628</v>
      </c>
      <c r="AG7" s="34">
        <v>974.78285682799628</v>
      </c>
      <c r="AH7" s="33">
        <v>976.66877993355138</v>
      </c>
      <c r="AI7" s="34">
        <v>976.66877993355138</v>
      </c>
      <c r="AJ7" s="33">
        <v>981.80626706716885</v>
      </c>
      <c r="AK7" s="34">
        <v>981.80626706716885</v>
      </c>
      <c r="AL7" s="33">
        <v>990.05187299252714</v>
      </c>
      <c r="AM7" s="34">
        <v>990.05187299252714</v>
      </c>
      <c r="AN7" s="33">
        <v>1000.3407380344296</v>
      </c>
      <c r="AO7" s="34">
        <v>1000.3407380344296</v>
      </c>
      <c r="AP7" s="33">
        <v>1002.7008861078566</v>
      </c>
      <c r="AQ7" s="34">
        <v>1002.7008861078566</v>
      </c>
      <c r="AR7" s="33">
        <v>1005.3265565368341</v>
      </c>
      <c r="AS7" s="34">
        <v>1005.3265565368341</v>
      </c>
      <c r="AT7" s="33">
        <v>1008.5024242421039</v>
      </c>
      <c r="AU7" s="34">
        <v>1008.5024242421039</v>
      </c>
      <c r="AV7" s="33">
        <v>1013.023680179428</v>
      </c>
      <c r="AW7" s="34">
        <v>1013.023680179428</v>
      </c>
      <c r="AX7" s="33"/>
      <c r="AY7" s="34"/>
      <c r="AZ7" s="33"/>
      <c r="BA7" s="34"/>
      <c r="BB7" s="33"/>
      <c r="BC7" s="34"/>
      <c r="BD7" s="33"/>
      <c r="BE7" s="34"/>
      <c r="BF7" s="33"/>
      <c r="BG7" s="34"/>
      <c r="BH7" s="33"/>
      <c r="BI7" s="34"/>
      <c r="BJ7" s="33"/>
      <c r="BK7" s="34"/>
      <c r="BL7" s="33"/>
      <c r="BM7" s="34"/>
      <c r="BN7" s="33"/>
      <c r="BO7" s="34"/>
      <c r="BP7" s="33"/>
      <c r="BQ7" s="34"/>
      <c r="BR7" s="33"/>
      <c r="BS7" s="34"/>
      <c r="BT7" s="33"/>
      <c r="BU7" s="34"/>
      <c r="BV7" s="33"/>
      <c r="BW7" s="34"/>
      <c r="BX7" s="33"/>
      <c r="BY7" s="34"/>
      <c r="BZ7" s="33"/>
      <c r="CA7" s="34"/>
      <c r="CB7" s="33"/>
      <c r="CC7" s="34"/>
      <c r="CD7" s="33"/>
      <c r="CE7" s="34"/>
      <c r="CF7" s="33"/>
      <c r="CG7" s="34"/>
      <c r="CH7" s="33"/>
      <c r="CI7" s="34"/>
      <c r="CJ7" s="33"/>
      <c r="CK7" s="34"/>
      <c r="CL7" s="33"/>
      <c r="CM7" s="34"/>
      <c r="CN7" s="33"/>
      <c r="CO7" s="34"/>
      <c r="CP7" s="33"/>
      <c r="CQ7" s="34"/>
      <c r="CR7" s="33"/>
      <c r="CS7" s="34"/>
    </row>
    <row r="8" spans="1:97" x14ac:dyDescent="0.2">
      <c r="B8" s="35">
        <v>1008.6827325972949</v>
      </c>
      <c r="C8" s="36">
        <v>1008.6827325972949</v>
      </c>
      <c r="D8" s="35">
        <v>1072.2200813865936</v>
      </c>
      <c r="E8" s="36">
        <v>1072.2200813865936</v>
      </c>
      <c r="F8" s="35">
        <v>1143.8115592708525</v>
      </c>
      <c r="G8" s="36">
        <v>1143.8115592708525</v>
      </c>
      <c r="H8" s="35">
        <v>1225.0222652947032</v>
      </c>
      <c r="I8" s="36">
        <v>1225.0222652947032</v>
      </c>
      <c r="J8" s="35">
        <v>1317.8373031182853</v>
      </c>
      <c r="K8" s="36">
        <v>1317.8373031182853</v>
      </c>
      <c r="L8" s="35">
        <v>1424.8140207026888</v>
      </c>
      <c r="M8" s="36">
        <v>1424.8140207026888</v>
      </c>
      <c r="N8" s="35">
        <v>1549.307230603421</v>
      </c>
      <c r="O8" s="36">
        <v>1549.307230603421</v>
      </c>
      <c r="P8" s="35">
        <v>1695.8072584647607</v>
      </c>
      <c r="Q8" s="36">
        <v>1695.8072584647607</v>
      </c>
      <c r="R8" s="35">
        <v>1870.4747171375855</v>
      </c>
      <c r="S8" s="36">
        <v>1870.4747171375855</v>
      </c>
      <c r="T8" s="35">
        <v>2082.0142363601808</v>
      </c>
      <c r="U8" s="36">
        <v>2082.0142363601808</v>
      </c>
      <c r="V8" s="35">
        <v>2343.1667898557557</v>
      </c>
      <c r="W8" s="36">
        <v>2343.1667898557557</v>
      </c>
      <c r="X8" s="35">
        <v>2673.402358368056</v>
      </c>
      <c r="Y8" s="36">
        <v>2673.402358368056</v>
      </c>
      <c r="Z8" s="35">
        <v>3104.0734309421969</v>
      </c>
      <c r="AA8" s="36">
        <v>3104.0734309421969</v>
      </c>
      <c r="AB8" s="35">
        <v>3688.9805033450571</v>
      </c>
      <c r="AC8" s="36">
        <v>3688.9805033450571</v>
      </c>
      <c r="AD8" s="35">
        <v>4527.7381442108272</v>
      </c>
      <c r="AE8" s="36">
        <v>4527.7381442108272</v>
      </c>
      <c r="AF8" s="35">
        <v>5821.7444972452331</v>
      </c>
      <c r="AG8" s="36">
        <v>5821.7444972452331</v>
      </c>
      <c r="AH8" s="35">
        <v>8020.03939964029</v>
      </c>
      <c r="AI8" s="36">
        <v>8020.03939964029</v>
      </c>
      <c r="AJ8" s="35">
        <v>12250.303693636579</v>
      </c>
      <c r="AK8" s="36">
        <v>12250.303693636579</v>
      </c>
      <c r="AL8" s="35">
        <v>21997.490630602337</v>
      </c>
      <c r="AM8" s="36">
        <v>21997.490630602337</v>
      </c>
      <c r="AN8" s="35">
        <v>54118.906187004402</v>
      </c>
      <c r="AO8" s="36">
        <v>54118.906187004402</v>
      </c>
      <c r="AP8" s="35">
        <v>69865.562912761496</v>
      </c>
      <c r="AQ8" s="36">
        <v>69865.562912761496</v>
      </c>
      <c r="AR8" s="35">
        <v>94474.88328830128</v>
      </c>
      <c r="AS8" s="36">
        <v>94474.88328830128</v>
      </c>
      <c r="AT8" s="35">
        <v>136835.25747858867</v>
      </c>
      <c r="AU8" s="36">
        <v>136835.25747858867</v>
      </c>
      <c r="AV8" s="35">
        <v>222027.75480049013</v>
      </c>
      <c r="AW8" s="36">
        <v>222027.75480049013</v>
      </c>
      <c r="AX8" s="35"/>
      <c r="AY8" s="36"/>
      <c r="AZ8" s="35"/>
      <c r="BA8" s="36"/>
      <c r="BB8" s="35"/>
      <c r="BC8" s="36"/>
      <c r="BD8" s="35"/>
      <c r="BE8" s="36"/>
      <c r="BF8" s="35"/>
      <c r="BG8" s="36"/>
      <c r="BH8" s="35"/>
      <c r="BI8" s="36"/>
      <c r="BJ8" s="35"/>
      <c r="BK8" s="36"/>
      <c r="BL8" s="35"/>
      <c r="BM8" s="36"/>
      <c r="BN8" s="35"/>
      <c r="BO8" s="36"/>
      <c r="BP8" s="35"/>
      <c r="BQ8" s="36"/>
      <c r="BR8" s="35"/>
      <c r="BS8" s="36"/>
      <c r="BT8" s="35"/>
      <c r="BU8" s="36"/>
      <c r="BV8" s="35"/>
      <c r="BW8" s="36"/>
      <c r="BX8" s="35"/>
      <c r="BY8" s="36"/>
      <c r="BZ8" s="35"/>
      <c r="CA8" s="36"/>
      <c r="CB8" s="35"/>
      <c r="CC8" s="36"/>
      <c r="CD8" s="35"/>
      <c r="CE8" s="36"/>
      <c r="CF8" s="35"/>
      <c r="CG8" s="36"/>
      <c r="CH8" s="35"/>
      <c r="CI8" s="36"/>
      <c r="CJ8" s="35"/>
      <c r="CK8" s="36"/>
      <c r="CL8" s="35"/>
      <c r="CM8" s="36"/>
      <c r="CN8" s="35"/>
      <c r="CO8" s="36"/>
      <c r="CP8" s="35"/>
      <c r="CQ8" s="36"/>
      <c r="CR8" s="35"/>
      <c r="CS8" s="36"/>
    </row>
    <row r="9" spans="1:97" x14ac:dyDescent="0.2">
      <c r="A9" t="s">
        <v>14</v>
      </c>
      <c r="B9" s="41">
        <v>1016.8034022777628</v>
      </c>
      <c r="C9" s="42">
        <v>1008.6827325972949</v>
      </c>
      <c r="D9" s="41">
        <v>1013.7436618813372</v>
      </c>
      <c r="E9" s="42">
        <v>1072.2200813865936</v>
      </c>
      <c r="F9" s="41">
        <v>1010.6772254851452</v>
      </c>
      <c r="G9" s="42">
        <v>1143.8115592708525</v>
      </c>
      <c r="H9" s="41">
        <v>1007.6019919368846</v>
      </c>
      <c r="I9" s="42">
        <v>1225.0222652947032</v>
      </c>
      <c r="J9" s="41">
        <v>1004.5152851764541</v>
      </c>
      <c r="K9" s="42">
        <v>1317.8373031182853</v>
      </c>
      <c r="L9" s="41">
        <v>1001.4140927801698</v>
      </c>
      <c r="M9" s="42">
        <v>1424.8140207026888</v>
      </c>
      <c r="N9" s="41">
        <v>998.29559652693592</v>
      </c>
      <c r="O9" s="42">
        <v>1549.307230603421</v>
      </c>
      <c r="P9" s="41">
        <v>995.15811858670691</v>
      </c>
      <c r="Q9" s="42">
        <v>1695.8072584647607</v>
      </c>
      <c r="R9" s="41">
        <v>992.00310183444196</v>
      </c>
      <c r="S9" s="42">
        <v>1870.4747171375855</v>
      </c>
      <c r="T9" s="41">
        <v>988.8388411321672</v>
      </c>
      <c r="U9" s="42">
        <v>2082.0142363601808</v>
      </c>
      <c r="V9" s="41">
        <v>985.68738142688915</v>
      </c>
      <c r="W9" s="42">
        <v>2343.1667898557557</v>
      </c>
      <c r="X9" s="41">
        <v>982.59749580105427</v>
      </c>
      <c r="Y9" s="42">
        <v>2673.402358368056</v>
      </c>
      <c r="Z9" s="41">
        <v>979.66888455246499</v>
      </c>
      <c r="AA9" s="42">
        <v>3104.0734309421969</v>
      </c>
      <c r="AB9" s="41">
        <v>977.09687768891229</v>
      </c>
      <c r="AC9" s="42">
        <v>3688.9805033450571</v>
      </c>
      <c r="AD9" s="41">
        <v>975.25054256104124</v>
      </c>
      <c r="AE9" s="42">
        <v>4527.7381442108272</v>
      </c>
      <c r="AF9" s="41">
        <v>974.78285682799628</v>
      </c>
      <c r="AG9" s="42">
        <v>5821.7444972452331</v>
      </c>
      <c r="AH9" s="41">
        <v>976.66877993355138</v>
      </c>
      <c r="AI9" s="42">
        <v>8020.03939964029</v>
      </c>
      <c r="AJ9" s="41">
        <v>981.80626706716885</v>
      </c>
      <c r="AK9" s="42">
        <v>12250.303693636579</v>
      </c>
      <c r="AL9" s="41">
        <v>990.05187299252714</v>
      </c>
      <c r="AM9" s="42">
        <v>21997.490630602337</v>
      </c>
      <c r="AN9" s="41">
        <v>1000.3407380344296</v>
      </c>
      <c r="AO9" s="42">
        <v>54118.906187004402</v>
      </c>
      <c r="AP9" s="41">
        <v>1002.7008861078566</v>
      </c>
      <c r="AQ9" s="42">
        <v>69865.562912761496</v>
      </c>
      <c r="AR9" s="41">
        <v>1005.3265565368341</v>
      </c>
      <c r="AS9" s="42">
        <v>94474.88328830128</v>
      </c>
      <c r="AT9" s="41">
        <v>1008.5024242421039</v>
      </c>
      <c r="AU9" s="42">
        <v>136835.25747858867</v>
      </c>
      <c r="AV9" s="41">
        <v>1013.023680179428</v>
      </c>
      <c r="AW9" s="42">
        <v>222027.75480049013</v>
      </c>
      <c r="AX9" s="41"/>
      <c r="AY9" s="42"/>
      <c r="AZ9" s="41"/>
      <c r="BA9" s="42"/>
      <c r="BB9" s="41"/>
      <c r="BC9" s="42"/>
      <c r="BD9" s="41"/>
      <c r="BE9" s="42"/>
      <c r="BF9" s="41"/>
      <c r="BG9" s="42"/>
      <c r="BH9" s="41"/>
      <c r="BI9" s="42"/>
      <c r="BJ9" s="41"/>
      <c r="BK9" s="42"/>
      <c r="BL9" s="41"/>
      <c r="BM9" s="42"/>
      <c r="BN9" s="41"/>
      <c r="BO9" s="42"/>
      <c r="BP9" s="41"/>
      <c r="BQ9" s="42"/>
      <c r="BR9" s="41"/>
      <c r="BS9" s="42"/>
      <c r="BT9" s="41"/>
      <c r="BU9" s="42"/>
      <c r="BV9" s="41"/>
      <c r="BW9" s="42"/>
      <c r="BX9" s="41"/>
      <c r="BY9" s="42"/>
      <c r="BZ9" s="41"/>
      <c r="CA9" s="42"/>
      <c r="CB9" s="41"/>
      <c r="CC9" s="42"/>
      <c r="CD9" s="41"/>
      <c r="CE9" s="42"/>
      <c r="CF9" s="41"/>
      <c r="CG9" s="42"/>
      <c r="CH9" s="41"/>
      <c r="CI9" s="42"/>
      <c r="CJ9" s="41"/>
      <c r="CK9" s="42"/>
      <c r="CL9" s="41"/>
      <c r="CM9" s="42"/>
      <c r="CN9" s="41"/>
      <c r="CO9" s="42"/>
      <c r="CP9" s="41"/>
      <c r="CQ9" s="42"/>
      <c r="CR9" s="41"/>
      <c r="CS9" s="42"/>
    </row>
    <row r="10" spans="1:97" x14ac:dyDescent="0.2">
      <c r="A10" t="s">
        <v>15</v>
      </c>
      <c r="B10" s="41">
        <v>1016.8034022777628</v>
      </c>
      <c r="C10" s="42">
        <v>1008.6827325972949</v>
      </c>
      <c r="D10" s="41">
        <v>1013.7436618813372</v>
      </c>
      <c r="E10" s="42">
        <v>1072.2200813865936</v>
      </c>
      <c r="F10" s="41">
        <v>1010.6772254851452</v>
      </c>
      <c r="G10" s="42">
        <v>1143.8115592708525</v>
      </c>
      <c r="H10" s="41">
        <v>1007.6019919368846</v>
      </c>
      <c r="I10" s="42">
        <v>1225.0222652947032</v>
      </c>
      <c r="J10" s="41">
        <v>1004.5152851764541</v>
      </c>
      <c r="K10" s="42">
        <v>1317.8373031182853</v>
      </c>
      <c r="L10" s="41">
        <v>1001.4140927801698</v>
      </c>
      <c r="M10" s="42">
        <v>1424.8140207026888</v>
      </c>
      <c r="N10" s="41">
        <v>998.29559652693592</v>
      </c>
      <c r="O10" s="42">
        <v>1549.307230603421</v>
      </c>
      <c r="P10" s="41">
        <v>995.15811858670691</v>
      </c>
      <c r="Q10" s="42">
        <v>1695.8072584647607</v>
      </c>
      <c r="R10" s="41">
        <v>992.00310183444196</v>
      </c>
      <c r="S10" s="42">
        <v>1870.4747171375855</v>
      </c>
      <c r="T10" s="41">
        <v>988.8388411321672</v>
      </c>
      <c r="U10" s="42">
        <v>2082.0142363601808</v>
      </c>
      <c r="V10" s="41">
        <v>985.68738142688915</v>
      </c>
      <c r="W10" s="42">
        <v>2343.1667898557557</v>
      </c>
      <c r="X10" s="41">
        <v>982.59749580105427</v>
      </c>
      <c r="Y10" s="42">
        <v>2673.402358368056</v>
      </c>
      <c r="Z10" s="41">
        <v>979.66888455246499</v>
      </c>
      <c r="AA10" s="42">
        <v>3104.0734309421969</v>
      </c>
      <c r="AB10" s="41">
        <v>977.09687768891229</v>
      </c>
      <c r="AC10" s="42">
        <v>3688.9805033450571</v>
      </c>
      <c r="AD10" s="41">
        <v>975.25054256104124</v>
      </c>
      <c r="AE10" s="42">
        <v>4527.7381442108272</v>
      </c>
      <c r="AF10" s="41">
        <v>974.78285682799628</v>
      </c>
      <c r="AG10" s="42">
        <v>5821.7444972452331</v>
      </c>
      <c r="AH10" s="41">
        <v>976.66877993355138</v>
      </c>
      <c r="AI10" s="42">
        <v>8020.03939964029</v>
      </c>
      <c r="AJ10" s="41">
        <v>981.80626706716885</v>
      </c>
      <c r="AK10" s="42">
        <v>12250.303693636579</v>
      </c>
      <c r="AL10" s="41">
        <v>990.05187299252714</v>
      </c>
      <c r="AM10" s="42">
        <v>21997.490630602337</v>
      </c>
      <c r="AN10" s="41">
        <v>1000.3407380344296</v>
      </c>
      <c r="AO10" s="42">
        <v>54118.906187004402</v>
      </c>
      <c r="AP10" s="41">
        <v>1002.7008861078566</v>
      </c>
      <c r="AQ10" s="42">
        <v>69865.562912761496</v>
      </c>
      <c r="AR10" s="41">
        <v>1005.3265565368341</v>
      </c>
      <c r="AS10" s="42">
        <v>94474.88328830128</v>
      </c>
      <c r="AT10" s="41">
        <v>1008.5024242421039</v>
      </c>
      <c r="AU10" s="42">
        <v>136835.25747858867</v>
      </c>
      <c r="AV10" s="41">
        <v>1013.023680179428</v>
      </c>
      <c r="AW10" s="42">
        <v>222027.75480049013</v>
      </c>
      <c r="AX10" s="41"/>
      <c r="AY10" s="42"/>
      <c r="AZ10" s="41"/>
      <c r="BA10" s="42"/>
      <c r="BB10" s="41"/>
      <c r="BC10" s="42"/>
      <c r="BD10" s="41"/>
      <c r="BE10" s="42"/>
      <c r="BF10" s="41"/>
      <c r="BG10" s="42"/>
      <c r="BH10" s="41"/>
      <c r="BI10" s="42"/>
      <c r="BJ10" s="41"/>
      <c r="BK10" s="42"/>
      <c r="BL10" s="41"/>
      <c r="BM10" s="42"/>
      <c r="BN10" s="41"/>
      <c r="BO10" s="42"/>
      <c r="BP10" s="41"/>
      <c r="BQ10" s="42"/>
      <c r="BR10" s="41"/>
      <c r="BS10" s="42"/>
      <c r="BT10" s="41"/>
      <c r="BU10" s="42"/>
      <c r="BV10" s="41"/>
      <c r="BW10" s="42"/>
      <c r="BX10" s="41"/>
      <c r="BY10" s="42"/>
      <c r="BZ10" s="41"/>
      <c r="CA10" s="42"/>
      <c r="CB10" s="41"/>
      <c r="CC10" s="42"/>
      <c r="CD10" s="41"/>
      <c r="CE10" s="42"/>
      <c r="CF10" s="41"/>
      <c r="CG10" s="42"/>
      <c r="CH10" s="41"/>
      <c r="CI10" s="42"/>
      <c r="CJ10" s="41"/>
      <c r="CK10" s="42"/>
      <c r="CL10" s="41"/>
      <c r="CM10" s="42"/>
      <c r="CN10" s="41"/>
      <c r="CO10" s="42"/>
      <c r="CP10" s="41"/>
      <c r="CQ10" s="42"/>
      <c r="CR10" s="41"/>
      <c r="CS10" s="42"/>
    </row>
    <row r="11" spans="1:97" x14ac:dyDescent="0.2">
      <c r="A11" t="s">
        <v>29</v>
      </c>
      <c r="B11" s="41">
        <v>1016.8034022777628</v>
      </c>
      <c r="C11" s="42">
        <v>1008.6827325972949</v>
      </c>
      <c r="D11" s="41">
        <v>1013.7436618813372</v>
      </c>
      <c r="E11" s="42">
        <v>1072.2200813865936</v>
      </c>
      <c r="F11" s="41">
        <v>1010.6772254851452</v>
      </c>
      <c r="G11" s="42">
        <v>1143.8115592708525</v>
      </c>
      <c r="H11" s="41">
        <v>1007.6019919368846</v>
      </c>
      <c r="I11" s="42">
        <v>1225.0222652947032</v>
      </c>
      <c r="J11" s="41">
        <v>1004.5152851764541</v>
      </c>
      <c r="K11" s="42">
        <v>1317.8373031182853</v>
      </c>
      <c r="L11" s="41">
        <v>1001.4140927801698</v>
      </c>
      <c r="M11" s="42">
        <v>1424.8140207026888</v>
      </c>
      <c r="N11" s="41">
        <v>998.29559652693592</v>
      </c>
      <c r="O11" s="42">
        <v>1549.307230603421</v>
      </c>
      <c r="P11" s="41">
        <v>995.15811858670691</v>
      </c>
      <c r="Q11" s="42">
        <v>1695.8072584647607</v>
      </c>
      <c r="R11" s="41">
        <v>992.00310183444196</v>
      </c>
      <c r="S11" s="42">
        <v>1870.4747171375855</v>
      </c>
      <c r="T11" s="41">
        <v>988.8388411321672</v>
      </c>
      <c r="U11" s="42">
        <v>2082.0142363601808</v>
      </c>
      <c r="V11" s="41">
        <v>985.68738142688915</v>
      </c>
      <c r="W11" s="42">
        <v>2343.1667898557557</v>
      </c>
      <c r="X11" s="41">
        <v>982.59749580105427</v>
      </c>
      <c r="Y11" s="42">
        <v>2673.402358368056</v>
      </c>
      <c r="Z11" s="41">
        <v>979.66888455246499</v>
      </c>
      <c r="AA11" s="42">
        <v>3104.0734309421969</v>
      </c>
      <c r="AB11" s="41">
        <v>977.09687768891229</v>
      </c>
      <c r="AC11" s="42">
        <v>3688.9805033450571</v>
      </c>
      <c r="AD11" s="41">
        <v>975.25054256104124</v>
      </c>
      <c r="AE11" s="42">
        <v>4527.7381442108272</v>
      </c>
      <c r="AF11" s="41">
        <v>974.78285682799628</v>
      </c>
      <c r="AG11" s="42">
        <v>5821.7444972452331</v>
      </c>
      <c r="AH11" s="41">
        <v>976.66877993355138</v>
      </c>
      <c r="AI11" s="42">
        <v>8020.03939964029</v>
      </c>
      <c r="AJ11" s="41">
        <v>981.80626706716885</v>
      </c>
      <c r="AK11" s="42">
        <v>12250.303693636579</v>
      </c>
      <c r="AL11" s="41">
        <v>990.05187299252714</v>
      </c>
      <c r="AM11" s="42">
        <v>21997.490630602337</v>
      </c>
      <c r="AN11" s="41">
        <v>1000.3407380344296</v>
      </c>
      <c r="AO11" s="42">
        <v>54118.906187004402</v>
      </c>
      <c r="AP11" s="41">
        <v>1002.7008861078566</v>
      </c>
      <c r="AQ11" s="42">
        <v>69865.562912761496</v>
      </c>
      <c r="AR11" s="41">
        <v>1005.3265565368341</v>
      </c>
      <c r="AS11" s="42">
        <v>94474.88328830128</v>
      </c>
      <c r="AT11" s="41">
        <v>1008.5024242421039</v>
      </c>
      <c r="AU11" s="42">
        <v>136835.25747858867</v>
      </c>
      <c r="AV11" s="41">
        <v>1013.023680179428</v>
      </c>
      <c r="AW11" s="42">
        <v>222027.75480049013</v>
      </c>
      <c r="AX11" s="41"/>
      <c r="AY11" s="42"/>
      <c r="AZ11" s="41"/>
      <c r="BA11" s="42"/>
      <c r="BB11" s="41"/>
      <c r="BC11" s="42"/>
      <c r="BD11" s="41"/>
      <c r="BE11" s="42"/>
      <c r="BF11" s="41"/>
      <c r="BG11" s="42"/>
      <c r="BH11" s="41"/>
      <c r="BI11" s="42"/>
      <c r="BJ11" s="41"/>
      <c r="BK11" s="42"/>
      <c r="BL11" s="41"/>
      <c r="BM11" s="42"/>
      <c r="BN11" s="41"/>
      <c r="BO11" s="42"/>
      <c r="BP11" s="41"/>
      <c r="BQ11" s="42"/>
      <c r="BR11" s="41"/>
      <c r="BS11" s="42"/>
      <c r="BT11" s="41"/>
      <c r="BU11" s="42"/>
      <c r="BV11" s="41"/>
      <c r="BW11" s="42"/>
      <c r="BX11" s="41"/>
      <c r="BY11" s="42"/>
      <c r="BZ11" s="41"/>
      <c r="CA11" s="42"/>
      <c r="CB11" s="41"/>
      <c r="CC11" s="42"/>
      <c r="CD11" s="41"/>
      <c r="CE11" s="42"/>
      <c r="CF11" s="41"/>
      <c r="CG11" s="42"/>
      <c r="CH11" s="41"/>
      <c r="CI11" s="42"/>
      <c r="CJ11" s="41"/>
      <c r="CK11" s="42"/>
      <c r="CL11" s="41"/>
      <c r="CM11" s="42"/>
      <c r="CN11" s="41"/>
      <c r="CO11" s="42"/>
      <c r="CP11" s="41"/>
      <c r="CQ11" s="42"/>
      <c r="CR11" s="41"/>
      <c r="CS11" s="42"/>
    </row>
    <row r="12" spans="1:97"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v>1000</v>
      </c>
      <c r="AA12" s="42">
        <v>1000</v>
      </c>
      <c r="AB12" s="41">
        <v>1000</v>
      </c>
      <c r="AC12" s="42">
        <v>1000</v>
      </c>
      <c r="AD12" s="41">
        <v>1000</v>
      </c>
      <c r="AE12" s="42">
        <v>1000</v>
      </c>
      <c r="AF12" s="41">
        <v>1000</v>
      </c>
      <c r="AG12" s="42">
        <v>1000</v>
      </c>
      <c r="AH12" s="41">
        <v>1000</v>
      </c>
      <c r="AI12" s="42">
        <v>1000</v>
      </c>
      <c r="AJ12" s="41">
        <v>1000</v>
      </c>
      <c r="AK12" s="42">
        <v>1000</v>
      </c>
      <c r="AL12" s="41">
        <v>1000</v>
      </c>
      <c r="AM12" s="42">
        <v>1000</v>
      </c>
      <c r="AN12" s="41">
        <v>1000</v>
      </c>
      <c r="AO12" s="42">
        <v>1000</v>
      </c>
      <c r="AP12" s="41">
        <v>1000</v>
      </c>
      <c r="AQ12" s="42">
        <v>1000</v>
      </c>
      <c r="AR12" s="41">
        <v>1000</v>
      </c>
      <c r="AS12" s="42">
        <v>1000</v>
      </c>
      <c r="AT12" s="41">
        <v>1000</v>
      </c>
      <c r="AU12" s="42">
        <v>1000</v>
      </c>
      <c r="AV12" s="41">
        <v>1000</v>
      </c>
      <c r="AW12" s="42">
        <v>1000</v>
      </c>
      <c r="AX12" s="41"/>
      <c r="AY12" s="42"/>
      <c r="AZ12" s="41"/>
      <c r="BA12" s="42"/>
      <c r="BB12" s="41"/>
      <c r="BC12" s="42"/>
      <c r="BD12" s="41"/>
      <c r="BE12" s="42"/>
      <c r="BF12" s="41"/>
      <c r="BG12" s="42"/>
      <c r="BH12" s="41"/>
      <c r="BI12" s="42"/>
      <c r="BJ12" s="41"/>
      <c r="BK12" s="42"/>
      <c r="BL12" s="41"/>
      <c r="BM12" s="42"/>
      <c r="BN12" s="41"/>
      <c r="BO12" s="42"/>
      <c r="BP12" s="41"/>
      <c r="BQ12" s="42"/>
      <c r="BR12" s="41"/>
      <c r="BS12" s="42"/>
      <c r="BT12" s="41"/>
      <c r="BU12" s="42"/>
      <c r="BV12" s="41"/>
      <c r="BW12" s="42"/>
      <c r="BX12" s="41"/>
      <c r="BY12" s="42"/>
      <c r="BZ12" s="41"/>
      <c r="CA12" s="42"/>
      <c r="CB12" s="41"/>
      <c r="CC12" s="42"/>
      <c r="CD12" s="41"/>
      <c r="CE12" s="42"/>
      <c r="CF12" s="41"/>
      <c r="CG12" s="42"/>
      <c r="CH12" s="41"/>
      <c r="CI12" s="42"/>
      <c r="CJ12" s="41"/>
      <c r="CK12" s="42"/>
      <c r="CL12" s="41"/>
      <c r="CM12" s="42"/>
      <c r="CN12" s="41"/>
      <c r="CO12" s="42"/>
      <c r="CP12" s="41"/>
      <c r="CQ12" s="42"/>
      <c r="CR12" s="41"/>
      <c r="CS12" s="42"/>
    </row>
    <row r="13" spans="1:97" x14ac:dyDescent="0.2">
      <c r="A13" t="s">
        <v>17</v>
      </c>
      <c r="B13" s="97">
        <v>1000</v>
      </c>
      <c r="C13" s="98">
        <v>1000</v>
      </c>
      <c r="D13" s="97">
        <v>996.82162637402269</v>
      </c>
      <c r="E13" s="98">
        <v>996.82162637402269</v>
      </c>
      <c r="F13" s="97">
        <v>993.33368843116239</v>
      </c>
      <c r="G13" s="98">
        <v>993.33368843116239</v>
      </c>
      <c r="H13" s="97">
        <v>989.4898601374407</v>
      </c>
      <c r="I13" s="98">
        <v>989.4898601374407</v>
      </c>
      <c r="J13" s="97">
        <v>985.233665486419</v>
      </c>
      <c r="K13" s="98">
        <v>985.233665486419</v>
      </c>
      <c r="L13" s="97">
        <v>980.49558215649688</v>
      </c>
      <c r="M13" s="98">
        <v>980.49558215649688</v>
      </c>
      <c r="N13" s="97">
        <v>975.18887390924522</v>
      </c>
      <c r="O13" s="98">
        <v>975.18887390924522</v>
      </c>
      <c r="P13" s="97">
        <v>969.20416720978028</v>
      </c>
      <c r="Q13" s="98">
        <v>969.20416720978028</v>
      </c>
      <c r="R13" s="97">
        <v>962.40098946956778</v>
      </c>
      <c r="S13" s="98">
        <v>962.40098946956778</v>
      </c>
      <c r="T13" s="97">
        <v>954.59554242036575</v>
      </c>
      <c r="U13" s="98">
        <v>954.59554242036575</v>
      </c>
      <c r="V13" s="97">
        <v>945.54103284267273</v>
      </c>
      <c r="W13" s="98">
        <v>945.54103284267273</v>
      </c>
      <c r="X13" s="97">
        <v>934.89546430929238</v>
      </c>
      <c r="Y13" s="98">
        <v>934.89546430929238</v>
      </c>
      <c r="Z13" s="97">
        <v>922.16512812541032</v>
      </c>
      <c r="AA13" s="98">
        <v>922.16512812541032</v>
      </c>
      <c r="AB13" s="97">
        <v>906.59897613018188</v>
      </c>
      <c r="AC13" s="98">
        <v>906.59897613018188</v>
      </c>
      <c r="AD13" s="97">
        <v>886.97633761631596</v>
      </c>
      <c r="AE13" s="98">
        <v>886.97633761631596</v>
      </c>
      <c r="AF13" s="97">
        <v>861.14708284211076</v>
      </c>
      <c r="AG13" s="98">
        <v>861.14708284211076</v>
      </c>
      <c r="AH13" s="97">
        <v>824.96776738799201</v>
      </c>
      <c r="AI13" s="98">
        <v>824.96776738799201</v>
      </c>
      <c r="AJ13" s="97">
        <v>769.68954216691861</v>
      </c>
      <c r="AK13" s="98">
        <v>769.68954216691861</v>
      </c>
      <c r="AL13" s="97">
        <v>674.64553632142918</v>
      </c>
      <c r="AM13" s="98">
        <v>674.64553632142918</v>
      </c>
      <c r="AN13" s="97">
        <v>478.82720971220948</v>
      </c>
      <c r="AO13" s="98">
        <v>478.82720971220948</v>
      </c>
      <c r="AP13" s="97">
        <v>412.97289858560202</v>
      </c>
      <c r="AQ13" s="98">
        <v>412.97289858560202</v>
      </c>
      <c r="AR13" s="97">
        <v>330.99142264495589</v>
      </c>
      <c r="AS13" s="98">
        <v>330.99142264495589</v>
      </c>
      <c r="AT13" s="97">
        <v>227.73401952118127</v>
      </c>
      <c r="AU13" s="98">
        <v>227.73401952118127</v>
      </c>
      <c r="AV13" s="97">
        <v>101.15574272558386</v>
      </c>
      <c r="AW13" s="98">
        <v>101.15574272558386</v>
      </c>
      <c r="AX13" s="97"/>
      <c r="AY13" s="98"/>
      <c r="AZ13" s="97"/>
      <c r="BA13" s="98"/>
      <c r="BB13" s="97"/>
      <c r="BC13" s="98"/>
      <c r="BD13" s="97"/>
      <c r="BE13" s="98"/>
      <c r="BF13" s="97"/>
      <c r="BG13" s="98"/>
      <c r="BH13" s="97"/>
      <c r="BI13" s="98"/>
      <c r="BJ13" s="97"/>
      <c r="BK13" s="98"/>
      <c r="BL13" s="97"/>
      <c r="BM13" s="98"/>
      <c r="BN13" s="97"/>
      <c r="BO13" s="98"/>
      <c r="BP13" s="97"/>
      <c r="BQ13" s="98"/>
      <c r="BR13" s="97"/>
      <c r="BS13" s="98"/>
      <c r="BT13" s="97"/>
      <c r="BU13" s="98"/>
      <c r="BV13" s="97"/>
      <c r="BW13" s="98"/>
      <c r="BX13" s="97"/>
      <c r="BY13" s="98"/>
      <c r="BZ13" s="97"/>
      <c r="CA13" s="98"/>
      <c r="CB13" s="97"/>
      <c r="CC13" s="98"/>
      <c r="CD13" s="97"/>
      <c r="CE13" s="98"/>
      <c r="CF13" s="97"/>
      <c r="CG13" s="98"/>
      <c r="CH13" s="97"/>
      <c r="CI13" s="98"/>
      <c r="CJ13" s="97"/>
      <c r="CK13" s="98"/>
      <c r="CL13" s="97"/>
      <c r="CM13" s="98"/>
      <c r="CN13" s="97"/>
      <c r="CO13" s="98"/>
      <c r="CP13" s="97"/>
      <c r="CQ13" s="98"/>
      <c r="CR13" s="97"/>
      <c r="CS13" s="98"/>
    </row>
    <row r="14" spans="1:97" x14ac:dyDescent="0.2">
      <c r="A14" t="s">
        <v>36</v>
      </c>
      <c r="B14" s="41">
        <v>1458.0317178388773</v>
      </c>
      <c r="C14" s="42">
        <v>1458.0310870324465</v>
      </c>
      <c r="D14" s="41">
        <v>1453.3975482810599</v>
      </c>
      <c r="E14" s="42">
        <v>1453.3969194795675</v>
      </c>
      <c r="F14" s="41">
        <v>1448.3120241305157</v>
      </c>
      <c r="G14" s="42">
        <v>1448.3113975292372</v>
      </c>
      <c r="H14" s="41">
        <v>1442.7076005603431</v>
      </c>
      <c r="I14" s="42">
        <v>1442.706976383776</v>
      </c>
      <c r="J14" s="41">
        <v>1436.5019337618573</v>
      </c>
      <c r="K14" s="42">
        <v>1436.5013122701253</v>
      </c>
      <c r="L14" s="41">
        <v>1429.5936579850672</v>
      </c>
      <c r="M14" s="42">
        <v>1429.5930394821485</v>
      </c>
      <c r="N14" s="41">
        <v>1421.8563090432572</v>
      </c>
      <c r="O14" s="42">
        <v>1421.8556938878442</v>
      </c>
      <c r="P14" s="41">
        <v>1413.1304168534743</v>
      </c>
      <c r="Q14" s="42">
        <v>1413.1298054732529</v>
      </c>
      <c r="R14" s="41">
        <v>1403.2111679261491</v>
      </c>
      <c r="S14" s="42">
        <v>1403.2105608374159</v>
      </c>
      <c r="T14" s="41">
        <v>1391.8305785565008</v>
      </c>
      <c r="U14" s="42">
        <v>1391.8299763914938</v>
      </c>
      <c r="V14" s="41">
        <v>1378.6288164027485</v>
      </c>
      <c r="W14" s="42">
        <v>1378.6282199493842</v>
      </c>
      <c r="X14" s="41">
        <v>1363.1072398266524</v>
      </c>
      <c r="Y14" s="42">
        <v>1363.1066500885813</v>
      </c>
      <c r="Z14" s="41">
        <v>1344.5460058918004</v>
      </c>
      <c r="AA14" s="42">
        <v>1344.5454241841073</v>
      </c>
      <c r="AB14" s="41">
        <v>1321.8500625580564</v>
      </c>
      <c r="AC14" s="42">
        <v>1321.8494906695921</v>
      </c>
      <c r="AD14" s="41">
        <v>1293.2396332171531</v>
      </c>
      <c r="AE14" s="42">
        <v>1293.2390737067753</v>
      </c>
      <c r="AF14" s="41">
        <v>1255.5797605082207</v>
      </c>
      <c r="AG14" s="42">
        <v>1255.5792172911029</v>
      </c>
      <c r="AH14" s="41">
        <v>1202.8291710464173</v>
      </c>
      <c r="AI14" s="42">
        <v>1202.8286506514444</v>
      </c>
      <c r="AJ14" s="41">
        <v>1122.2317653682514</v>
      </c>
      <c r="AK14" s="42">
        <v>1122.2312798431383</v>
      </c>
      <c r="AL14" s="41">
        <v>983.65459025506402</v>
      </c>
      <c r="AM14" s="42">
        <v>983.65416468432124</v>
      </c>
      <c r="AN14" s="41">
        <v>698.14525912468912</v>
      </c>
      <c r="AO14" s="42">
        <v>698.14495707740593</v>
      </c>
      <c r="AP14" s="41">
        <v>602.12758474566579</v>
      </c>
      <c r="AQ14" s="42">
        <v>602.12732423970556</v>
      </c>
      <c r="AR14" s="41">
        <v>482.59599254895892</v>
      </c>
      <c r="AS14" s="42">
        <v>482.59578375744093</v>
      </c>
      <c r="AT14" s="41">
        <v>332.04342369282034</v>
      </c>
      <c r="AU14" s="42">
        <v>332.04328003673629</v>
      </c>
      <c r="AV14" s="41">
        <v>147.48828133545055</v>
      </c>
      <c r="AW14" s="42">
        <v>147.48821752575753</v>
      </c>
      <c r="AX14" s="41"/>
      <c r="AY14" s="42"/>
      <c r="AZ14" s="41"/>
      <c r="BA14" s="42"/>
      <c r="BB14" s="41"/>
      <c r="BC14" s="42"/>
      <c r="BD14" s="41"/>
      <c r="BE14" s="42"/>
      <c r="BF14" s="41"/>
      <c r="BG14" s="42"/>
      <c r="BH14" s="41"/>
      <c r="BI14" s="42"/>
      <c r="BJ14" s="41"/>
      <c r="BK14" s="42"/>
      <c r="BL14" s="41"/>
      <c r="BM14" s="42"/>
      <c r="BN14" s="41"/>
      <c r="BO14" s="42"/>
      <c r="BP14" s="41"/>
      <c r="BQ14" s="42"/>
      <c r="BR14" s="41"/>
      <c r="BS14" s="42"/>
      <c r="BT14" s="41"/>
      <c r="BU14" s="42"/>
      <c r="BV14" s="41"/>
      <c r="BW14" s="42"/>
      <c r="BX14" s="41"/>
      <c r="BY14" s="42"/>
      <c r="BZ14" s="41"/>
      <c r="CA14" s="42"/>
      <c r="CB14" s="41"/>
      <c r="CC14" s="42"/>
      <c r="CD14" s="41"/>
      <c r="CE14" s="42"/>
      <c r="CF14" s="41"/>
      <c r="CG14" s="42"/>
      <c r="CH14" s="41"/>
      <c r="CI14" s="42"/>
      <c r="CJ14" s="41"/>
      <c r="CK14" s="42"/>
      <c r="CL14" s="41"/>
      <c r="CM14" s="42"/>
      <c r="CN14" s="41"/>
      <c r="CO14" s="42"/>
      <c r="CP14" s="41"/>
      <c r="CQ14" s="42"/>
      <c r="CR14" s="41"/>
      <c r="CS14" s="42"/>
    </row>
    <row r="15" spans="1:97" x14ac:dyDescent="0.2">
      <c r="A15" t="s">
        <v>18</v>
      </c>
      <c r="B15" s="154">
        <v>1000</v>
      </c>
      <c r="C15" s="155">
        <v>1000</v>
      </c>
      <c r="D15" s="154">
        <v>990.7742632859796</v>
      </c>
      <c r="E15" s="155">
        <v>990.7742632859796</v>
      </c>
      <c r="F15" s="154">
        <v>981.33649407781741</v>
      </c>
      <c r="G15" s="155">
        <v>981.33649407781741</v>
      </c>
      <c r="H15" s="154">
        <v>971.64841669033638</v>
      </c>
      <c r="I15" s="155">
        <v>971.64841669033638</v>
      </c>
      <c r="J15" s="154">
        <v>961.66310718300895</v>
      </c>
      <c r="K15" s="155">
        <v>961.66310718300895</v>
      </c>
      <c r="L15" s="154">
        <v>951.32277508023583</v>
      </c>
      <c r="M15" s="155">
        <v>951.32277508023583</v>
      </c>
      <c r="N15" s="154">
        <v>940.55593770010353</v>
      </c>
      <c r="O15" s="155">
        <v>940.55593770010353</v>
      </c>
      <c r="P15" s="154">
        <v>929.27297792388526</v>
      </c>
      <c r="Q15" s="155">
        <v>929.27297792388526</v>
      </c>
      <c r="R15" s="154">
        <v>917.36042210386302</v>
      </c>
      <c r="S15" s="155">
        <v>917.36042210386302</v>
      </c>
      <c r="T15" s="154">
        <v>904.67185684733329</v>
      </c>
      <c r="U15" s="155">
        <v>904.67185684733329</v>
      </c>
      <c r="V15" s="154">
        <v>891.01399082205819</v>
      </c>
      <c r="W15" s="155">
        <v>891.01399082205819</v>
      </c>
      <c r="X15" s="154">
        <v>876.12300438202908</v>
      </c>
      <c r="Y15" s="155">
        <v>876.12300438202908</v>
      </c>
      <c r="Z15" s="154">
        <v>859.62187263119699</v>
      </c>
      <c r="AA15" s="155">
        <v>859.62187263119699</v>
      </c>
      <c r="AB15" s="154">
        <v>840.93647319995341</v>
      </c>
      <c r="AC15" s="155">
        <v>840.93647319995341</v>
      </c>
      <c r="AD15" s="154">
        <v>819.11549646081608</v>
      </c>
      <c r="AE15" s="155">
        <v>819.11549646081608</v>
      </c>
      <c r="AF15" s="154">
        <v>792.4103018928339</v>
      </c>
      <c r="AG15" s="155">
        <v>792.4103018928339</v>
      </c>
      <c r="AH15" s="154">
        <v>757.23881634531006</v>
      </c>
      <c r="AI15" s="155">
        <v>757.23881634531006</v>
      </c>
      <c r="AJ15" s="154">
        <v>705.60382592076974</v>
      </c>
      <c r="AK15" s="155">
        <v>705.60382592076974</v>
      </c>
      <c r="AL15" s="154">
        <v>618.22981406860129</v>
      </c>
      <c r="AM15" s="155">
        <v>618.22981406860129</v>
      </c>
      <c r="AN15" s="154">
        <v>438.76220539616344</v>
      </c>
      <c r="AO15" s="155">
        <v>438.76220539616344</v>
      </c>
      <c r="AP15" s="154">
        <v>378.41772338697979</v>
      </c>
      <c r="AQ15" s="155">
        <v>378.41772338697979</v>
      </c>
      <c r="AR15" s="154">
        <v>303.29585483950569</v>
      </c>
      <c r="AS15" s="155">
        <v>303.29585483950569</v>
      </c>
      <c r="AT15" s="154">
        <v>208.67844450652817</v>
      </c>
      <c r="AU15" s="155">
        <v>208.67844450652817</v>
      </c>
      <c r="AV15" s="154">
        <v>92.691564004554593</v>
      </c>
      <c r="AW15" s="155">
        <v>92.691564004554593</v>
      </c>
      <c r="AX15" s="99"/>
      <c r="AY15" s="100"/>
      <c r="AZ15" s="99"/>
      <c r="BA15" s="100"/>
      <c r="BB15" s="99"/>
      <c r="BC15" s="100"/>
      <c r="BD15" s="99"/>
      <c r="BE15" s="100"/>
      <c r="BF15" s="99"/>
      <c r="BG15" s="100"/>
      <c r="BH15" s="99"/>
      <c r="BI15" s="100"/>
      <c r="BJ15" s="99"/>
      <c r="BK15" s="100"/>
      <c r="BL15" s="99"/>
      <c r="BM15" s="100"/>
      <c r="BN15" s="99"/>
      <c r="BO15" s="100"/>
      <c r="BP15" s="99"/>
      <c r="BQ15" s="100"/>
      <c r="BR15" s="99"/>
      <c r="BS15" s="100"/>
      <c r="BT15" s="99"/>
      <c r="BU15" s="100"/>
      <c r="BV15" s="99"/>
      <c r="BW15" s="100"/>
      <c r="BX15" s="99"/>
      <c r="BY15" s="100"/>
      <c r="BZ15" s="99"/>
      <c r="CA15" s="100"/>
      <c r="CB15" s="99"/>
      <c r="CC15" s="100"/>
      <c r="CD15" s="99"/>
      <c r="CE15" s="100"/>
      <c r="CF15" s="99"/>
      <c r="CG15" s="100"/>
      <c r="CH15" s="99"/>
      <c r="CI15" s="100"/>
      <c r="CJ15" s="99"/>
      <c r="CK15" s="100"/>
      <c r="CL15" s="99"/>
      <c r="CM15" s="100"/>
      <c r="CN15" s="99"/>
      <c r="CO15" s="100"/>
      <c r="CP15" s="99"/>
      <c r="CQ15" s="100"/>
      <c r="CR15" s="99"/>
      <c r="CS15" s="100"/>
    </row>
    <row r="16" spans="1:97" s="29" customFormat="1" x14ac:dyDescent="0.2">
      <c r="A16" t="s">
        <v>61</v>
      </c>
      <c r="B16" s="41">
        <v>1000</v>
      </c>
      <c r="C16" s="42">
        <v>1000</v>
      </c>
      <c r="D16" s="41">
        <v>994.06404816217207</v>
      </c>
      <c r="E16" s="42">
        <v>992.92169813017063</v>
      </c>
      <c r="F16" s="41">
        <v>987.86029956821812</v>
      </c>
      <c r="G16" s="42">
        <v>985.59547946312398</v>
      </c>
      <c r="H16" s="41">
        <v>981.34618240725285</v>
      </c>
      <c r="I16" s="42">
        <v>977.98024717847306</v>
      </c>
      <c r="J16" s="41">
        <v>974.46967166855256</v>
      </c>
      <c r="K16" s="42">
        <v>970.02572856346819</v>
      </c>
      <c r="L16" s="41">
        <v>967.16670396924258</v>
      </c>
      <c r="M16" s="42">
        <v>961.67001683993294</v>
      </c>
      <c r="N16" s="41">
        <v>959.35762561437764</v>
      </c>
      <c r="O16" s="42">
        <v>952.83627068787598</v>
      </c>
      <c r="P16" s="41">
        <v>950.9422265243802</v>
      </c>
      <c r="Q16" s="42">
        <v>943.42792826884511</v>
      </c>
      <c r="R16" s="41">
        <v>941.79253995929469</v>
      </c>
      <c r="S16" s="42">
        <v>933.32201777365253</v>
      </c>
      <c r="T16" s="41">
        <v>931.74207088026196</v>
      </c>
      <c r="U16" s="42">
        <v>922.35896830622573</v>
      </c>
      <c r="V16" s="41">
        <v>920.56877527118775</v>
      </c>
      <c r="W16" s="42">
        <v>910.32665257934445</v>
      </c>
      <c r="X16" s="41">
        <v>907.96681082280872</v>
      </c>
      <c r="Y16" s="42">
        <v>896.93372414568523</v>
      </c>
      <c r="Z16" s="41">
        <v>893.49642610689239</v>
      </c>
      <c r="AA16" s="42">
        <v>881.76207076519404</v>
      </c>
      <c r="AB16" s="41">
        <v>876.4883836602429</v>
      </c>
      <c r="AC16" s="42">
        <v>864.17526864345984</v>
      </c>
      <c r="AD16" s="41">
        <v>855.84654496943745</v>
      </c>
      <c r="AE16" s="42">
        <v>843.12714815904747</v>
      </c>
      <c r="AF16" s="41">
        <v>829.60629572405787</v>
      </c>
      <c r="AG16" s="42">
        <v>816.72763037581649</v>
      </c>
      <c r="AH16" s="41">
        <v>793.8831976336229</v>
      </c>
      <c r="AI16" s="42">
        <v>781.19670081673507</v>
      </c>
      <c r="AJ16" s="41">
        <v>740.27403700226807</v>
      </c>
      <c r="AK16" s="42">
        <v>728.2715796869777</v>
      </c>
      <c r="AL16" s="41">
        <v>648.74975235962177</v>
      </c>
      <c r="AM16" s="42">
        <v>638.18423119804049</v>
      </c>
      <c r="AN16" s="41">
        <v>460.43660375840392</v>
      </c>
      <c r="AO16" s="42">
        <v>452.93328445604203</v>
      </c>
      <c r="AP16" s="41">
        <v>397.11140855091259</v>
      </c>
      <c r="AQ16" s="42">
        <v>390.63996326972591</v>
      </c>
      <c r="AR16" s="41">
        <v>318.27862390860474</v>
      </c>
      <c r="AS16" s="42">
        <v>313.09183661567454</v>
      </c>
      <c r="AT16" s="41">
        <v>218.98714369629712</v>
      </c>
      <c r="AU16" s="42">
        <v>215.41844224567788</v>
      </c>
      <c r="AV16" s="41">
        <v>97.270521715701449</v>
      </c>
      <c r="AW16" s="42">
        <v>95.685362161797613</v>
      </c>
      <c r="AX16" s="41"/>
      <c r="AY16" s="42"/>
      <c r="AZ16" s="41"/>
      <c r="BA16" s="42"/>
      <c r="BB16" s="41"/>
      <c r="BC16" s="42"/>
      <c r="BD16" s="41"/>
      <c r="BE16" s="42"/>
      <c r="BF16" s="41"/>
      <c r="BG16" s="42"/>
      <c r="BH16" s="41"/>
      <c r="BI16" s="42"/>
      <c r="BJ16" s="41"/>
      <c r="BK16" s="42"/>
      <c r="BL16" s="41"/>
      <c r="BM16" s="42"/>
      <c r="BN16" s="41"/>
      <c r="BO16" s="42"/>
      <c r="BP16" s="41"/>
      <c r="BQ16" s="42"/>
      <c r="BR16" s="41"/>
      <c r="BS16" s="42"/>
      <c r="BT16" s="41"/>
      <c r="BU16" s="42"/>
      <c r="BV16" s="41"/>
      <c r="BW16" s="42"/>
      <c r="BX16" s="41"/>
      <c r="BY16" s="42"/>
      <c r="BZ16" s="41"/>
      <c r="CA16" s="42"/>
      <c r="CB16" s="41"/>
      <c r="CC16" s="42"/>
      <c r="CD16" s="41"/>
      <c r="CE16" s="42"/>
      <c r="CF16" s="41"/>
      <c r="CG16" s="42"/>
      <c r="CH16" s="41"/>
      <c r="CI16" s="42"/>
      <c r="CJ16" s="41"/>
      <c r="CK16" s="42"/>
      <c r="CL16" s="41"/>
      <c r="CM16" s="42"/>
      <c r="CN16" s="41"/>
      <c r="CO16" s="42"/>
      <c r="CP16" s="41"/>
      <c r="CQ16" s="42"/>
      <c r="CR16" s="41"/>
      <c r="CS16" s="42"/>
    </row>
    <row r="17" spans="1:97" x14ac:dyDescent="0.2">
      <c r="A17" t="s">
        <v>62</v>
      </c>
      <c r="B17" s="35">
        <v>1000</v>
      </c>
      <c r="C17" s="36">
        <v>999.99999999999977</v>
      </c>
      <c r="D17" s="35">
        <v>997.26952245858104</v>
      </c>
      <c r="E17" s="36">
        <v>1027.8821350207249</v>
      </c>
      <c r="F17" s="35">
        <v>994.53852233407088</v>
      </c>
      <c r="G17" s="36">
        <v>1059.2903422999827</v>
      </c>
      <c r="H17" s="35">
        <v>991.80521819244234</v>
      </c>
      <c r="I17" s="36">
        <v>1094.8847162672059</v>
      </c>
      <c r="J17" s="35">
        <v>989.06732163733989</v>
      </c>
      <c r="K17" s="36">
        <v>1135.4985240718768</v>
      </c>
      <c r="L17" s="35">
        <v>986.32226388569347</v>
      </c>
      <c r="M17" s="36">
        <v>1182.200496102306</v>
      </c>
      <c r="N17" s="35">
        <v>983.56768339257337</v>
      </c>
      <c r="O17" s="36">
        <v>1236.3869291349065</v>
      </c>
      <c r="P17" s="35">
        <v>980.80224136277207</v>
      </c>
      <c r="Q17" s="36">
        <v>1299.9194148668307</v>
      </c>
      <c r="R17" s="35">
        <v>978.02734704708087</v>
      </c>
      <c r="S17" s="36">
        <v>1375.3428497897899</v>
      </c>
      <c r="T17" s="35">
        <v>975.25042436631213</v>
      </c>
      <c r="U17" s="36">
        <v>1466.2409948447792</v>
      </c>
      <c r="V17" s="35">
        <v>972.49084854612124</v>
      </c>
      <c r="W17" s="36">
        <v>1577.842576253337</v>
      </c>
      <c r="X17" s="35">
        <v>969.7911558950824</v>
      </c>
      <c r="Y17" s="36">
        <v>1718.1122829176957</v>
      </c>
      <c r="Z17" s="35">
        <v>967.23786487845166</v>
      </c>
      <c r="AA17" s="36">
        <v>1899.8316523464337</v>
      </c>
      <c r="AB17" s="35">
        <v>964.99991371544002</v>
      </c>
      <c r="AC17" s="36">
        <v>2144.8457975750684</v>
      </c>
      <c r="AD17" s="35">
        <v>963.39595552360652</v>
      </c>
      <c r="AE17" s="36">
        <v>2493.3988521601987</v>
      </c>
      <c r="AF17" s="35">
        <v>962.99000957483008</v>
      </c>
      <c r="AG17" s="36">
        <v>3026.3235558290407</v>
      </c>
      <c r="AH17" s="35">
        <v>964.6278219699949</v>
      </c>
      <c r="AI17" s="36">
        <v>3922.3577336418984</v>
      </c>
      <c r="AJ17" s="35">
        <v>969.10079918832662</v>
      </c>
      <c r="AK17" s="36">
        <v>5626.3605425913365</v>
      </c>
      <c r="AL17" s="35">
        <v>976.31424303466054</v>
      </c>
      <c r="AM17" s="36">
        <v>9504.1012430603023</v>
      </c>
      <c r="AN17" s="35">
        <v>985.37350734411984</v>
      </c>
      <c r="AO17" s="36">
        <v>22146.471287053362</v>
      </c>
      <c r="AP17" s="35">
        <v>987.46058831186758</v>
      </c>
      <c r="AQ17" s="36">
        <v>28322.113316427625</v>
      </c>
      <c r="AR17" s="35">
        <v>989.78636836410226</v>
      </c>
      <c r="AS17" s="36">
        <v>37965.874917965426</v>
      </c>
      <c r="AT17" s="35">
        <v>992.6049577048326</v>
      </c>
      <c r="AU17" s="36">
        <v>54561.069577770366</v>
      </c>
      <c r="AV17" s="35">
        <v>996.62780373217095</v>
      </c>
      <c r="AW17" s="36">
        <v>87954.258193590693</v>
      </c>
      <c r="AX17" s="35"/>
      <c r="AY17" s="36"/>
      <c r="AZ17" s="35"/>
      <c r="BA17" s="36"/>
      <c r="BB17" s="35"/>
      <c r="BC17" s="36"/>
      <c r="BD17" s="35"/>
      <c r="BE17" s="36"/>
      <c r="BF17" s="35"/>
      <c r="BG17" s="36"/>
      <c r="BH17" s="35"/>
      <c r="BI17" s="36"/>
      <c r="BJ17" s="35"/>
      <c r="BK17" s="36"/>
      <c r="BL17" s="35"/>
      <c r="BM17" s="36"/>
      <c r="BN17" s="35"/>
      <c r="BO17" s="36"/>
      <c r="BP17" s="35"/>
      <c r="BQ17" s="36"/>
      <c r="BR17" s="35"/>
      <c r="BS17" s="36"/>
      <c r="BT17" s="35"/>
      <c r="BU17" s="36"/>
      <c r="BV17" s="35"/>
      <c r="BW17" s="36"/>
      <c r="BX17" s="35"/>
      <c r="BY17" s="36"/>
      <c r="BZ17" s="35"/>
      <c r="CA17" s="36"/>
      <c r="CB17" s="35"/>
      <c r="CC17" s="36"/>
      <c r="CD17" s="35"/>
      <c r="CE17" s="36"/>
      <c r="CF17" s="35"/>
      <c r="CG17" s="36"/>
      <c r="CH17" s="35"/>
      <c r="CI17" s="36"/>
      <c r="CJ17" s="35"/>
      <c r="CK17" s="36"/>
      <c r="CL17" s="35"/>
      <c r="CM17" s="36"/>
      <c r="CN17" s="35"/>
      <c r="CO17" s="36"/>
      <c r="CP17" s="35"/>
      <c r="CQ17" s="36"/>
      <c r="CR17" s="35"/>
      <c r="CS17" s="36"/>
    </row>
    <row r="18" spans="1:97" x14ac:dyDescent="0.2">
      <c r="A18" t="s">
        <v>19</v>
      </c>
      <c r="B18" s="33">
        <v>22996.762337</v>
      </c>
      <c r="C18" s="34">
        <v>1272.8228859999999</v>
      </c>
      <c r="D18" s="33">
        <v>23017.758401206938</v>
      </c>
      <c r="E18" s="34">
        <v>1179.6571495680494</v>
      </c>
      <c r="F18" s="33">
        <v>23035.167464099039</v>
      </c>
      <c r="G18" s="34">
        <v>1086.9329220405587</v>
      </c>
      <c r="H18" s="33">
        <v>23048.415922755317</v>
      </c>
      <c r="I18" s="34">
        <v>994.74285052885489</v>
      </c>
      <c r="J18" s="33">
        <v>23056.803661272512</v>
      </c>
      <c r="K18" s="34">
        <v>903.1950980273873</v>
      </c>
      <c r="L18" s="33">
        <v>23059.461689579333</v>
      </c>
      <c r="M18" s="34">
        <v>812.42061398399142</v>
      </c>
      <c r="N18" s="33">
        <v>23055.288483836659</v>
      </c>
      <c r="O18" s="34">
        <v>722.58730033593133</v>
      </c>
      <c r="P18" s="33">
        <v>23042.86280876445</v>
      </c>
      <c r="Q18" s="34">
        <v>633.9120045614286</v>
      </c>
      <c r="R18" s="33">
        <v>23020.301431615437</v>
      </c>
      <c r="S18" s="34">
        <v>546.69058249667592</v>
      </c>
      <c r="T18" s="33">
        <v>22985.041240082512</v>
      </c>
      <c r="U18" s="34">
        <v>461.33468871586319</v>
      </c>
      <c r="V18" s="33">
        <v>22933.478100700457</v>
      </c>
      <c r="W18" s="34">
        <v>378.43586480939558</v>
      </c>
      <c r="X18" s="33">
        <v>22860.355557525145</v>
      </c>
      <c r="Y18" s="34">
        <v>298.85986639346112</v>
      </c>
      <c r="Z18" s="33">
        <v>22757.680634291719</v>
      </c>
      <c r="AA18" s="34">
        <v>223.88983151070187</v>
      </c>
      <c r="AB18" s="33">
        <v>22612.719746418523</v>
      </c>
      <c r="AC18" s="34">
        <v>155.42433554090789</v>
      </c>
      <c r="AD18" s="33">
        <v>22404.149650708245</v>
      </c>
      <c r="AE18" s="34">
        <v>96.185270244073948</v>
      </c>
      <c r="AF18" s="33">
        <v>22094.472206331095</v>
      </c>
      <c r="AG18" s="34">
        <v>49.68303980131406</v>
      </c>
      <c r="AH18" s="33">
        <v>21614.787603429879</v>
      </c>
      <c r="AI18" s="34">
        <v>19.15648823364555</v>
      </c>
      <c r="AJ18" s="33">
        <v>20830.374502387051</v>
      </c>
      <c r="AK18" s="34">
        <v>4.5948254723010047</v>
      </c>
      <c r="AL18" s="33">
        <v>19425.258232608074</v>
      </c>
      <c r="AM18" s="34">
        <v>0.50116172464786179</v>
      </c>
      <c r="AN18" s="33">
        <v>16284.174240007513</v>
      </c>
      <c r="AO18" s="34">
        <v>1.1192821793621223E-2</v>
      </c>
      <c r="AP18" s="33">
        <v>15105.834379499602</v>
      </c>
      <c r="AQ18" s="34">
        <v>3.5370285687323839E-3</v>
      </c>
      <c r="AR18" s="33">
        <v>13506.582221730843</v>
      </c>
      <c r="AS18" s="34">
        <v>8.6824522925129093E-4</v>
      </c>
      <c r="AT18" s="33">
        <v>11186.416562647646</v>
      </c>
      <c r="AU18" s="34">
        <v>1.4347978765832958E-4</v>
      </c>
      <c r="AV18" s="33">
        <v>7439.3542052027533</v>
      </c>
      <c r="AW18" s="34">
        <v>1.1239853674828986E-5</v>
      </c>
      <c r="AX18" s="41"/>
      <c r="AY18" s="42"/>
      <c r="AZ18" s="41"/>
      <c r="BA18" s="42"/>
      <c r="BB18" s="41"/>
      <c r="BC18" s="42"/>
      <c r="BD18" s="41"/>
      <c r="BE18" s="42"/>
      <c r="BF18" s="41"/>
      <c r="BG18" s="42"/>
      <c r="BH18" s="41"/>
      <c r="BI18" s="42"/>
      <c r="BJ18" s="41"/>
      <c r="BK18" s="42"/>
      <c r="BL18" s="41"/>
      <c r="BM18" s="42"/>
      <c r="BN18" s="41"/>
      <c r="BO18" s="42"/>
      <c r="BP18" s="41"/>
      <c r="BQ18" s="42"/>
      <c r="BR18" s="41"/>
      <c r="BS18" s="42"/>
      <c r="BT18" s="41"/>
      <c r="BU18" s="42"/>
      <c r="BV18" s="41"/>
      <c r="BW18" s="42"/>
      <c r="BX18" s="41"/>
      <c r="BY18" s="42"/>
      <c r="BZ18" s="41"/>
      <c r="CA18" s="42"/>
      <c r="CB18" s="41"/>
      <c r="CC18" s="42"/>
      <c r="CD18" s="41"/>
      <c r="CE18" s="42"/>
      <c r="CF18" s="41"/>
      <c r="CG18" s="42"/>
      <c r="CH18" s="41"/>
      <c r="CI18" s="42"/>
      <c r="CJ18" s="41"/>
      <c r="CK18" s="42"/>
      <c r="CL18" s="41"/>
      <c r="CM18" s="42"/>
      <c r="CN18" s="41"/>
      <c r="CO18" s="42"/>
      <c r="CP18" s="41"/>
      <c r="CQ18" s="42"/>
      <c r="CR18" s="41"/>
      <c r="CS18" s="42"/>
    </row>
    <row r="19" spans="1:97" x14ac:dyDescent="0.2">
      <c r="A19" t="s">
        <v>3</v>
      </c>
      <c r="B19" s="41">
        <v>1249.8384379999975</v>
      </c>
      <c r="C19" s="42">
        <v>295.90000800000013</v>
      </c>
      <c r="D19" s="41">
        <v>1242.1728802270429</v>
      </c>
      <c r="E19" s="42">
        <v>299.91755738505026</v>
      </c>
      <c r="F19" s="41">
        <v>1234.3099710914919</v>
      </c>
      <c r="G19" s="42">
        <v>304.74333436465048</v>
      </c>
      <c r="H19" s="41">
        <v>1226.2174993809954</v>
      </c>
      <c r="I19" s="42">
        <v>310.46331547743182</v>
      </c>
      <c r="J19" s="41">
        <v>1217.8558735924653</v>
      </c>
      <c r="K19" s="42">
        <v>317.16965395902014</v>
      </c>
      <c r="L19" s="41">
        <v>1209.1768586187932</v>
      </c>
      <c r="M19" s="42">
        <v>324.95784958840431</v>
      </c>
      <c r="N19" s="41">
        <v>1200.1221216836584</v>
      </c>
      <c r="O19" s="42">
        <v>333.92061438157896</v>
      </c>
      <c r="P19" s="41">
        <v>1190.6218595265912</v>
      </c>
      <c r="Q19" s="42">
        <v>344.13471852436101</v>
      </c>
      <c r="R19" s="41">
        <v>1180.5936309285114</v>
      </c>
      <c r="S19" s="42">
        <v>355.63745442064902</v>
      </c>
      <c r="T19" s="41">
        <v>1169.9423780541968</v>
      </c>
      <c r="U19" s="42">
        <v>368.3841154498603</v>
      </c>
      <c r="V19" s="41">
        <v>1158.5620552040277</v>
      </c>
      <c r="W19" s="42">
        <v>382.16872574002656</v>
      </c>
      <c r="X19" s="41">
        <v>1146.3412670558259</v>
      </c>
      <c r="Y19" s="42">
        <v>396.48072020183145</v>
      </c>
      <c r="Z19" s="41">
        <v>1133.1749596844006</v>
      </c>
      <c r="AA19" s="42">
        <v>410.24157682246926</v>
      </c>
      <c r="AB19" s="41">
        <v>1118.9825387736955</v>
      </c>
      <c r="AC19" s="42">
        <v>421.32871206055097</v>
      </c>
      <c r="AD19" s="41">
        <v>1103.7137316192752</v>
      </c>
      <c r="AE19" s="42">
        <v>425.76771653527288</v>
      </c>
      <c r="AF19" s="41">
        <v>1087.2235187516101</v>
      </c>
      <c r="AG19" s="42">
        <v>416.65377590855098</v>
      </c>
      <c r="AH19" s="41">
        <v>1068.4925156964255</v>
      </c>
      <c r="AI19" s="42">
        <v>383.97453220416099</v>
      </c>
      <c r="AJ19" s="41">
        <v>1042.5619588443728</v>
      </c>
      <c r="AK19" s="42">
        <v>319.04923653231913</v>
      </c>
      <c r="AL19" s="41">
        <v>991.6106044742088</v>
      </c>
      <c r="AM19" s="42">
        <v>224.34418408978823</v>
      </c>
      <c r="AN19" s="41">
        <v>851.74826387207213</v>
      </c>
      <c r="AO19" s="42">
        <v>114.01103603460874</v>
      </c>
      <c r="AP19" s="41">
        <v>794.50459616853323</v>
      </c>
      <c r="AQ19" s="42">
        <v>91.288461471226341</v>
      </c>
      <c r="AR19" s="41">
        <v>714.76939097358218</v>
      </c>
      <c r="AS19" s="42">
        <v>68.499998337436551</v>
      </c>
      <c r="AT19" s="41">
        <v>596.38700814745584</v>
      </c>
      <c r="AU19" s="42">
        <v>45.677768070130831</v>
      </c>
      <c r="AV19" s="41">
        <v>400.80271930197011</v>
      </c>
      <c r="AW19" s="42">
        <v>22.841141767672358</v>
      </c>
      <c r="AX19" s="82"/>
      <c r="AY19" s="83"/>
      <c r="AZ19" s="82"/>
      <c r="BA19" s="83"/>
      <c r="BB19" s="82"/>
      <c r="BC19" s="83"/>
      <c r="BD19" s="82"/>
      <c r="BE19" s="83"/>
      <c r="BF19" s="82"/>
      <c r="BG19" s="83"/>
      <c r="BH19" s="82"/>
      <c r="BI19" s="83"/>
      <c r="BJ19" s="82"/>
      <c r="BK19" s="83"/>
      <c r="BL19" s="82"/>
      <c r="BM19" s="83"/>
      <c r="BN19" s="82"/>
      <c r="BO19" s="83"/>
      <c r="BP19" s="82"/>
      <c r="BQ19" s="83"/>
      <c r="BR19" s="82"/>
      <c r="BS19" s="83"/>
      <c r="BT19" s="82"/>
      <c r="BU19" s="83"/>
      <c r="BV19" s="82"/>
      <c r="BW19" s="83"/>
      <c r="BX19" s="82"/>
      <c r="BY19" s="83"/>
      <c r="BZ19" s="82"/>
      <c r="CA19" s="83"/>
      <c r="CB19" s="82"/>
      <c r="CC19" s="83"/>
      <c r="CD19" s="82"/>
      <c r="CE19" s="83"/>
      <c r="CF19" s="82"/>
      <c r="CG19" s="83"/>
      <c r="CH19" s="82"/>
      <c r="CI19" s="83"/>
      <c r="CJ19" s="82"/>
      <c r="CK19" s="83"/>
      <c r="CL19" s="82"/>
      <c r="CM19" s="83"/>
      <c r="CN19" s="82"/>
      <c r="CO19" s="83"/>
      <c r="CP19" s="82"/>
      <c r="CQ19" s="83"/>
      <c r="CR19" s="82"/>
      <c r="CS19" s="83"/>
    </row>
    <row r="20" spans="1:97" x14ac:dyDescent="0.2">
      <c r="A20" t="s">
        <v>127</v>
      </c>
      <c r="B20" s="82">
        <v>21839.581944999998</v>
      </c>
      <c r="C20" s="83">
        <v>1370.3619069999993</v>
      </c>
      <c r="D20" s="82">
        <v>21836.858742113956</v>
      </c>
      <c r="E20" s="83">
        <v>1301.8438116499992</v>
      </c>
      <c r="F20" s="82">
        <v>21830.501052265328</v>
      </c>
      <c r="G20" s="83">
        <v>1233.3257162999994</v>
      </c>
      <c r="H20" s="82">
        <v>21819.957491206478</v>
      </c>
      <c r="I20" s="83">
        <v>1164.8076209499993</v>
      </c>
      <c r="J20" s="82">
        <v>21804.554669916422</v>
      </c>
      <c r="K20" s="83">
        <v>1096.2895255999997</v>
      </c>
      <c r="L20" s="82">
        <v>21783.45959838845</v>
      </c>
      <c r="M20" s="83">
        <v>1027.7714302499994</v>
      </c>
      <c r="N20" s="82">
        <v>21755.624557466879</v>
      </c>
      <c r="O20" s="83">
        <v>959.25333489999946</v>
      </c>
      <c r="P20" s="82">
        <v>21719.71370417003</v>
      </c>
      <c r="Q20" s="83">
        <v>890.73523954999951</v>
      </c>
      <c r="R20" s="82">
        <v>21673.986621988355</v>
      </c>
      <c r="S20" s="83">
        <v>822.21714419999955</v>
      </c>
      <c r="T20" s="82">
        <v>21616.12602850933</v>
      </c>
      <c r="U20" s="83">
        <v>753.69904884999971</v>
      </c>
      <c r="V20" s="82">
        <v>21542.957870024671</v>
      </c>
      <c r="W20" s="83">
        <v>685.18095349999953</v>
      </c>
      <c r="X20" s="82">
        <v>21449.987633121567</v>
      </c>
      <c r="Y20" s="83">
        <v>616.66285814999969</v>
      </c>
      <c r="Z20" s="82">
        <v>21330.584949407759</v>
      </c>
      <c r="AA20" s="83">
        <v>548.14476279999974</v>
      </c>
      <c r="AB20" s="82">
        <v>21174.46683994136</v>
      </c>
      <c r="AC20" s="83">
        <v>479.62666744999973</v>
      </c>
      <c r="AD20" s="82">
        <v>20964.691200221325</v>
      </c>
      <c r="AE20" s="83">
        <v>411.10857209999972</v>
      </c>
      <c r="AF20" s="82">
        <v>20671.286113422135</v>
      </c>
      <c r="AG20" s="83">
        <v>342.59047674999965</v>
      </c>
      <c r="AH20" s="82">
        <v>20236.774813315213</v>
      </c>
      <c r="AI20" s="83">
        <v>274.07238139999964</v>
      </c>
      <c r="AJ20" s="82">
        <v>19539.556389395271</v>
      </c>
      <c r="AK20" s="83">
        <v>205.5542860499996</v>
      </c>
      <c r="AL20" s="82">
        <v>18276.359342191023</v>
      </c>
      <c r="AM20" s="83">
        <v>137.03619069999962</v>
      </c>
      <c r="AN20" s="82">
        <v>15377.288817318826</v>
      </c>
      <c r="AO20" s="83">
        <v>68.51809534999957</v>
      </c>
      <c r="AP20" s="82">
        <v>14276.378109395093</v>
      </c>
      <c r="AQ20" s="83">
        <v>54.81447627999956</v>
      </c>
      <c r="AR20" s="82">
        <v>12776.622448751557</v>
      </c>
      <c r="AS20" s="83">
        <v>41.110857209999551</v>
      </c>
      <c r="AT20" s="82">
        <v>10593.481349988189</v>
      </c>
      <c r="AU20" s="83">
        <v>27.407238139999553</v>
      </c>
      <c r="AV20" s="82">
        <v>7055.9564202155743</v>
      </c>
      <c r="AW20" s="83">
        <v>13.703619069999549</v>
      </c>
      <c r="AX20" s="41"/>
      <c r="AY20" s="42"/>
      <c r="AZ20" s="41"/>
      <c r="BA20" s="42"/>
      <c r="BB20" s="41"/>
      <c r="BC20" s="42"/>
      <c r="BD20" s="41"/>
      <c r="BE20" s="42"/>
      <c r="BF20" s="41"/>
      <c r="BG20" s="42"/>
      <c r="BH20" s="41"/>
      <c r="BI20" s="42"/>
      <c r="BJ20" s="41"/>
      <c r="BK20" s="42"/>
      <c r="BL20" s="41"/>
      <c r="BM20" s="42"/>
      <c r="BN20" s="41"/>
      <c r="BO20" s="42"/>
      <c r="BP20" s="41"/>
      <c r="BQ20" s="42"/>
      <c r="BR20" s="41"/>
      <c r="BS20" s="42"/>
      <c r="BT20" s="41"/>
      <c r="BU20" s="42"/>
      <c r="BV20" s="41"/>
      <c r="BW20" s="42"/>
      <c r="BX20" s="41"/>
      <c r="BY20" s="42"/>
      <c r="BZ20" s="41"/>
      <c r="CA20" s="42"/>
      <c r="CB20" s="41"/>
      <c r="CC20" s="42"/>
      <c r="CD20" s="41"/>
      <c r="CE20" s="42"/>
      <c r="CF20" s="41"/>
      <c r="CG20" s="42"/>
      <c r="CH20" s="41"/>
      <c r="CI20" s="42"/>
      <c r="CJ20" s="41"/>
      <c r="CK20" s="42"/>
      <c r="CL20" s="41"/>
      <c r="CM20" s="42"/>
      <c r="CN20" s="41"/>
      <c r="CO20" s="42"/>
      <c r="CP20" s="41"/>
      <c r="CQ20" s="42"/>
      <c r="CR20" s="41"/>
      <c r="CS20" s="42"/>
    </row>
    <row r="21" spans="1:97" x14ac:dyDescent="0.2">
      <c r="A21" t="s">
        <v>76</v>
      </c>
      <c r="B21" s="82">
        <v>20589.743506999988</v>
      </c>
      <c r="C21" s="83">
        <v>1074.4618989999965</v>
      </c>
      <c r="D21" s="82">
        <v>20594.697864845715</v>
      </c>
      <c r="E21" s="83">
        <v>1002.1221676591656</v>
      </c>
      <c r="F21" s="82">
        <v>20596.239184124512</v>
      </c>
      <c r="G21" s="83">
        <v>929.42281842122225</v>
      </c>
      <c r="H21" s="82">
        <v>20593.848457334716</v>
      </c>
      <c r="I21" s="83">
        <v>856.37726291673971</v>
      </c>
      <c r="J21" s="82">
        <v>20586.892103005597</v>
      </c>
      <c r="K21" s="83">
        <v>783.01510641475113</v>
      </c>
      <c r="L21" s="82">
        <v>20574.585636150052</v>
      </c>
      <c r="M21" s="83">
        <v>709.38989431515779</v>
      </c>
      <c r="N21" s="82">
        <v>20555.939968345461</v>
      </c>
      <c r="O21" s="83">
        <v>635.59078400959038</v>
      </c>
      <c r="P21" s="82">
        <v>20529.689305723576</v>
      </c>
      <c r="Q21" s="83">
        <v>561.76109190672651</v>
      </c>
      <c r="R21" s="82">
        <v>20494.175666388412</v>
      </c>
      <c r="S21" s="83">
        <v>488.12559514140383</v>
      </c>
      <c r="T21" s="82">
        <v>20447.176132912868</v>
      </c>
      <c r="U21" s="83">
        <v>415.03160263650631</v>
      </c>
      <c r="V21" s="82">
        <v>20385.62043778431</v>
      </c>
      <c r="W21" s="83">
        <v>343.01285154662844</v>
      </c>
      <c r="X21" s="82">
        <v>20305.119893456467</v>
      </c>
      <c r="Y21" s="83">
        <v>272.88552698534858</v>
      </c>
      <c r="Z21" s="82">
        <v>20199.136969692972</v>
      </c>
      <c r="AA21" s="83">
        <v>205.89175766330976</v>
      </c>
      <c r="AB21" s="82">
        <v>20057.44434234377</v>
      </c>
      <c r="AC21" s="83">
        <v>143.89792947568313</v>
      </c>
      <c r="AD21" s="82">
        <v>19863.102763817336</v>
      </c>
      <c r="AE21" s="83">
        <v>89.605969099688593</v>
      </c>
      <c r="AF21" s="82">
        <v>19586.205583109717</v>
      </c>
      <c r="AG21" s="83">
        <v>46.535343405984023</v>
      </c>
      <c r="AH21" s="82">
        <v>19170.196150805314</v>
      </c>
      <c r="AI21" s="83">
        <v>18.019745062205214</v>
      </c>
      <c r="AJ21" s="82">
        <v>18498.399535131164</v>
      </c>
      <c r="AK21" s="83">
        <v>4.3344697505407952</v>
      </c>
      <c r="AL21" s="82">
        <v>17285.516657534492</v>
      </c>
      <c r="AM21" s="83">
        <v>0.47342612220608715</v>
      </c>
      <c r="AN21" s="82">
        <v>14525.785239362638</v>
      </c>
      <c r="AO21" s="83">
        <v>1.0577781982704565E-2</v>
      </c>
      <c r="AP21" s="82">
        <v>13482.040214997474</v>
      </c>
      <c r="AQ21" s="83">
        <v>3.3427448174803594E-3</v>
      </c>
      <c r="AR21" s="82">
        <v>12061.951865323077</v>
      </c>
      <c r="AS21" s="83">
        <v>8.205643027259955E-4</v>
      </c>
      <c r="AT21" s="82">
        <v>9997.1371992776767</v>
      </c>
      <c r="AU21" s="83">
        <v>1.3560124551567095E-4</v>
      </c>
      <c r="AV21" s="82">
        <v>6655.1596193173427</v>
      </c>
      <c r="AW21" s="83">
        <v>1.0622692613888296E-5</v>
      </c>
      <c r="AX21" s="41"/>
      <c r="AY21" s="42"/>
      <c r="AZ21" s="41"/>
      <c r="BA21" s="42"/>
      <c r="BB21" s="41"/>
      <c r="BC21" s="42"/>
      <c r="BD21" s="41"/>
      <c r="BE21" s="42"/>
      <c r="BF21" s="41"/>
      <c r="BG21" s="42"/>
      <c r="BH21" s="41"/>
      <c r="BI21" s="42"/>
      <c r="BJ21" s="41"/>
      <c r="BK21" s="42"/>
      <c r="BL21" s="41"/>
      <c r="BM21" s="42"/>
      <c r="BN21" s="41"/>
      <c r="BO21" s="42"/>
      <c r="BP21" s="41"/>
      <c r="BQ21" s="42"/>
      <c r="BR21" s="41"/>
      <c r="BS21" s="42"/>
      <c r="BT21" s="41"/>
      <c r="BU21" s="42"/>
      <c r="BV21" s="41"/>
      <c r="BW21" s="42"/>
      <c r="BX21" s="41"/>
      <c r="BY21" s="42"/>
      <c r="BZ21" s="41"/>
      <c r="CA21" s="42"/>
      <c r="CB21" s="41"/>
      <c r="CC21" s="42"/>
      <c r="CD21" s="41"/>
      <c r="CE21" s="42"/>
      <c r="CF21" s="41"/>
      <c r="CG21" s="42"/>
      <c r="CH21" s="41"/>
      <c r="CI21" s="42"/>
      <c r="CJ21" s="41"/>
      <c r="CK21" s="42"/>
      <c r="CL21" s="41"/>
      <c r="CM21" s="42"/>
      <c r="CN21" s="41"/>
      <c r="CO21" s="42"/>
      <c r="CP21" s="41"/>
      <c r="CQ21" s="42"/>
      <c r="CR21" s="41"/>
      <c r="CS21" s="42"/>
    </row>
    <row r="22" spans="1:97" x14ac:dyDescent="0.2">
      <c r="A22" t="s">
        <v>28</v>
      </c>
      <c r="B22" s="41">
        <v>5694.0816809131766</v>
      </c>
      <c r="C22" s="42">
        <v>359.80623566884782</v>
      </c>
      <c r="D22" s="41">
        <v>5675.686645477811</v>
      </c>
      <c r="E22" s="42">
        <v>344.89119537081399</v>
      </c>
      <c r="F22" s="41">
        <v>5655.0003338221959</v>
      </c>
      <c r="G22" s="42">
        <v>329.73932158183254</v>
      </c>
      <c r="H22" s="41">
        <v>5631.6841612041917</v>
      </c>
      <c r="I22" s="42">
        <v>314.33843612018279</v>
      </c>
      <c r="J22" s="41">
        <v>5605.3270214639952</v>
      </c>
      <c r="K22" s="42">
        <v>298.67541817462774</v>
      </c>
      <c r="L22" s="41">
        <v>5575.4244507787407</v>
      </c>
      <c r="M22" s="42">
        <v>282.73562141153508</v>
      </c>
      <c r="N22" s="41">
        <v>5541.3457223967562</v>
      </c>
      <c r="O22" s="42">
        <v>266.50180412640549</v>
      </c>
      <c r="P22" s="41">
        <v>5502.2902201792713</v>
      </c>
      <c r="Q22" s="42">
        <v>249.95322019656749</v>
      </c>
      <c r="R22" s="41">
        <v>5457.2148389743206</v>
      </c>
      <c r="S22" s="42">
        <v>233.06341308672563</v>
      </c>
      <c r="T22" s="41">
        <v>5404.7296201473528</v>
      </c>
      <c r="U22" s="42">
        <v>215.79740123336487</v>
      </c>
      <c r="V22" s="41">
        <v>5342.9202931460004</v>
      </c>
      <c r="W22" s="42">
        <v>198.1072537157832</v>
      </c>
      <c r="X22" s="41">
        <v>5269.0572658808032</v>
      </c>
      <c r="Y22" s="42">
        <v>179.92584618134728</v>
      </c>
      <c r="Z22" s="41">
        <v>5179.0843990893754</v>
      </c>
      <c r="AA22" s="42">
        <v>161.15863664539455</v>
      </c>
      <c r="AB22" s="41">
        <v>5066.6922863984209</v>
      </c>
      <c r="AC22" s="42">
        <v>141.6753608442196</v>
      </c>
      <c r="AD22" s="41">
        <v>4921.5913344568116</v>
      </c>
      <c r="AE22" s="42">
        <v>121.31082701007458</v>
      </c>
      <c r="AF22" s="41">
        <v>4726.2870143861319</v>
      </c>
      <c r="AG22" s="42">
        <v>99.906146976109483</v>
      </c>
      <c r="AH22" s="41">
        <v>4450.2944115533555</v>
      </c>
      <c r="AI22" s="42">
        <v>77.465380653114735</v>
      </c>
      <c r="AJ22" s="41">
        <v>4039.5629241674492</v>
      </c>
      <c r="AK22" s="42">
        <v>54.478013124899633</v>
      </c>
      <c r="AL22" s="41">
        <v>3387.7748411429338</v>
      </c>
      <c r="AM22" s="42">
        <v>32.132091704462717</v>
      </c>
      <c r="AN22" s="41">
        <v>2219.4162057311291</v>
      </c>
      <c r="AO22" s="42">
        <v>12.232263718270298</v>
      </c>
      <c r="AP22" s="41">
        <v>1865.2341884930761</v>
      </c>
      <c r="AQ22" s="42">
        <v>8.809841956266709</v>
      </c>
      <c r="AR22" s="41">
        <v>1446.7234188728823</v>
      </c>
      <c r="AS22" s="42">
        <v>5.6933858851635684</v>
      </c>
      <c r="AT22" s="41">
        <v>952.65239259196665</v>
      </c>
      <c r="AU22" s="42">
        <v>2.9965210835884859</v>
      </c>
      <c r="AV22" s="41">
        <v>396.85119210920999</v>
      </c>
      <c r="AW22" s="42">
        <v>0.93168249730414598</v>
      </c>
      <c r="AX22" s="116"/>
      <c r="AY22" s="8"/>
      <c r="AZ22" s="116"/>
      <c r="BA22" s="8"/>
      <c r="BB22" s="116"/>
      <c r="BC22" s="8"/>
      <c r="BD22" s="116"/>
      <c r="BE22" s="8"/>
      <c r="BF22" s="116"/>
      <c r="BG22" s="8"/>
      <c r="BH22" s="116"/>
      <c r="BI22" s="8"/>
      <c r="BJ22" s="116"/>
      <c r="BK22" s="8"/>
      <c r="BL22" s="116"/>
      <c r="BM22" s="8"/>
      <c r="BN22" s="116"/>
      <c r="BO22" s="8"/>
      <c r="BP22" s="116"/>
      <c r="BQ22" s="8"/>
      <c r="BR22" s="116"/>
      <c r="BS22" s="8"/>
      <c r="BT22" s="116"/>
      <c r="BU22" s="8"/>
      <c r="BV22" s="116"/>
      <c r="BW22" s="8"/>
      <c r="BX22" s="116"/>
      <c r="BY22" s="8"/>
      <c r="BZ22" s="116"/>
      <c r="CA22" s="8"/>
      <c r="CB22" s="116"/>
      <c r="CC22" s="8"/>
      <c r="CD22" s="116"/>
      <c r="CE22" s="8"/>
      <c r="CF22" s="116"/>
      <c r="CG22" s="8"/>
      <c r="CH22" s="116"/>
      <c r="CI22" s="8"/>
      <c r="CJ22" s="116"/>
      <c r="CK22" s="8"/>
      <c r="CL22" s="116"/>
      <c r="CM22" s="8"/>
      <c r="CN22" s="116"/>
      <c r="CO22" s="8"/>
      <c r="CP22" s="116"/>
      <c r="CQ22" s="8"/>
      <c r="CR22" s="116"/>
      <c r="CS22" s="8"/>
    </row>
    <row r="23" spans="1:97" x14ac:dyDescent="0.2">
      <c r="A23" t="s">
        <v>7</v>
      </c>
      <c r="B23" s="116">
        <v>2967.2154944027398</v>
      </c>
      <c r="C23" s="8">
        <v>0</v>
      </c>
      <c r="D23" s="116">
        <v>2972.7329720879052</v>
      </c>
      <c r="E23" s="8">
        <v>0</v>
      </c>
      <c r="F23" s="116">
        <v>2977.8646503705045</v>
      </c>
      <c r="G23" s="8">
        <v>0</v>
      </c>
      <c r="H23" s="116">
        <v>2982.5495576104927</v>
      </c>
      <c r="I23" s="8">
        <v>0</v>
      </c>
      <c r="J23" s="116">
        <v>2986.7125563076752</v>
      </c>
      <c r="K23" s="8">
        <v>0</v>
      </c>
      <c r="L23" s="116">
        <v>2990.2599555928673</v>
      </c>
      <c r="M23" s="8">
        <v>0</v>
      </c>
      <c r="N23" s="116">
        <v>2993.0727963458767</v>
      </c>
      <c r="O23" s="8">
        <v>0</v>
      </c>
      <c r="P23" s="116">
        <v>2994.9987765152473</v>
      </c>
      <c r="Q23" s="8">
        <v>0</v>
      </c>
      <c r="R23" s="116">
        <v>2995.838584517649</v>
      </c>
      <c r="S23" s="8">
        <v>0</v>
      </c>
      <c r="T23" s="116">
        <v>2995.3270702121249</v>
      </c>
      <c r="U23" s="8">
        <v>0</v>
      </c>
      <c r="V23" s="116">
        <v>2993.1022533790497</v>
      </c>
      <c r="W23" s="8">
        <v>0</v>
      </c>
      <c r="X23" s="116">
        <v>2988.6554331023794</v>
      </c>
      <c r="Y23" s="8">
        <v>0</v>
      </c>
      <c r="Z23" s="116">
        <v>2981.2437209003324</v>
      </c>
      <c r="AA23" s="8">
        <v>0</v>
      </c>
      <c r="AB23" s="116">
        <v>2969.7255396370215</v>
      </c>
      <c r="AC23" s="8">
        <v>0</v>
      </c>
      <c r="AD23" s="116">
        <v>2952.2205437489447</v>
      </c>
      <c r="AE23" s="8">
        <v>0</v>
      </c>
      <c r="AF23" s="116">
        <v>2925.3223136422384</v>
      </c>
      <c r="AG23" s="8">
        <v>0</v>
      </c>
      <c r="AH23" s="116">
        <v>2882.0546283576659</v>
      </c>
      <c r="AI23" s="8">
        <v>0</v>
      </c>
      <c r="AJ23" s="116">
        <v>2806.0335858809622</v>
      </c>
      <c r="AK23" s="8">
        <v>0</v>
      </c>
      <c r="AL23" s="116">
        <v>2652.3585762033831</v>
      </c>
      <c r="AM23" s="8">
        <v>0</v>
      </c>
      <c r="AN23" s="116">
        <v>2254.7236833052602</v>
      </c>
      <c r="AO23" s="8">
        <v>0</v>
      </c>
      <c r="AP23" s="116">
        <v>2094.7224552382027</v>
      </c>
      <c r="AQ23" s="8">
        <v>0</v>
      </c>
      <c r="AR23" s="116">
        <v>1872.5620888983283</v>
      </c>
      <c r="AS23" s="8">
        <v>0</v>
      </c>
      <c r="AT23" s="116">
        <v>1544.7005342458319</v>
      </c>
      <c r="AU23" s="8">
        <v>0</v>
      </c>
      <c r="AV23" s="116">
        <v>1013.3530502596534</v>
      </c>
      <c r="AW23" s="8">
        <v>0</v>
      </c>
      <c r="AX23" s="59"/>
      <c r="AY23" s="8"/>
      <c r="AZ23" s="59"/>
      <c r="BA23" s="8"/>
      <c r="BB23" s="59"/>
      <c r="BC23" s="8"/>
      <c r="BD23" s="59"/>
      <c r="BE23" s="8"/>
      <c r="BF23" s="59"/>
      <c r="BG23" s="8"/>
      <c r="BH23" s="59"/>
      <c r="BI23" s="8"/>
      <c r="BJ23" s="59"/>
      <c r="BK23" s="8"/>
      <c r="BL23" s="59"/>
      <c r="BM23" s="8"/>
      <c r="BN23" s="59"/>
      <c r="BO23" s="8"/>
      <c r="BP23" s="59"/>
      <c r="BQ23" s="8"/>
      <c r="BR23" s="59"/>
      <c r="BS23" s="8"/>
      <c r="BT23" s="59"/>
      <c r="BU23" s="8"/>
      <c r="BV23" s="59"/>
      <c r="BW23" s="8"/>
      <c r="BX23" s="59"/>
      <c r="BY23" s="8"/>
      <c r="BZ23" s="59"/>
      <c r="CA23" s="8"/>
      <c r="CB23" s="59"/>
      <c r="CC23" s="8"/>
      <c r="CD23" s="59"/>
      <c r="CE23" s="8"/>
      <c r="CF23" s="59"/>
      <c r="CG23" s="8"/>
      <c r="CH23" s="59"/>
      <c r="CI23" s="8"/>
      <c r="CJ23" s="59"/>
      <c r="CK23" s="8"/>
      <c r="CL23" s="59"/>
      <c r="CM23" s="8"/>
      <c r="CN23" s="59"/>
      <c r="CO23" s="8"/>
      <c r="CP23" s="59"/>
      <c r="CQ23" s="8"/>
      <c r="CR23" s="59"/>
      <c r="CS23" s="8"/>
    </row>
    <row r="24" spans="1:97" x14ac:dyDescent="0.2">
      <c r="A24" t="s">
        <v>8</v>
      </c>
      <c r="B24" s="97">
        <v>2640.90721174284</v>
      </c>
      <c r="C24" s="8">
        <v>0</v>
      </c>
      <c r="D24" s="97">
        <v>2667.6117931941976</v>
      </c>
      <c r="E24" s="8">
        <v>0</v>
      </c>
      <c r="F24" s="97">
        <v>2694.9408267608719</v>
      </c>
      <c r="G24" s="8">
        <v>0</v>
      </c>
      <c r="H24" s="97">
        <v>2722.989408236695</v>
      </c>
      <c r="I24" s="8">
        <v>0</v>
      </c>
      <c r="J24" s="97">
        <v>2751.8713736830969</v>
      </c>
      <c r="K24" s="8">
        <v>0</v>
      </c>
      <c r="L24" s="97">
        <v>2781.7248793755939</v>
      </c>
      <c r="M24" s="8">
        <v>0</v>
      </c>
      <c r="N24" s="97">
        <v>2812.7220098834073</v>
      </c>
      <c r="O24" s="8">
        <v>0</v>
      </c>
      <c r="P24" s="97">
        <v>2845.0827567608294</v>
      </c>
      <c r="Q24" s="8">
        <v>0</v>
      </c>
      <c r="R24" s="97">
        <v>2879.0994098306846</v>
      </c>
      <c r="S24" s="8">
        <v>0</v>
      </c>
      <c r="T24" s="97">
        <v>2915.175269337095</v>
      </c>
      <c r="U24" s="8">
        <v>0</v>
      </c>
      <c r="V24" s="97">
        <v>2953.8931782131222</v>
      </c>
      <c r="W24" s="8">
        <v>0</v>
      </c>
      <c r="X24" s="97">
        <v>2996.1354221642709</v>
      </c>
      <c r="Y24" s="8">
        <v>0</v>
      </c>
      <c r="Z24" s="97">
        <v>3043.3003890376781</v>
      </c>
      <c r="AA24" s="8">
        <v>0</v>
      </c>
      <c r="AB24" s="97">
        <v>3097.6937281782307</v>
      </c>
      <c r="AC24" s="8">
        <v>0</v>
      </c>
      <c r="AD24" s="97">
        <v>3163.2025975742067</v>
      </c>
      <c r="AE24" s="8">
        <v>0</v>
      </c>
      <c r="AF24" s="97">
        <v>3246.2415415579126</v>
      </c>
      <c r="AG24" s="8">
        <v>0</v>
      </c>
      <c r="AH24" s="97">
        <v>3356.0469831500909</v>
      </c>
      <c r="AI24" s="8">
        <v>0</v>
      </c>
      <c r="AJ24" s="97">
        <v>3500.4661520720447</v>
      </c>
      <c r="AK24" s="8">
        <v>0</v>
      </c>
      <c r="AL24" s="97">
        <v>3667.9026366340054</v>
      </c>
      <c r="AM24" s="8">
        <v>0</v>
      </c>
      <c r="AN24" s="97">
        <v>3723.6181020291997</v>
      </c>
      <c r="AO24" s="8">
        <v>0</v>
      </c>
      <c r="AP24" s="97">
        <v>3657.0300419514792</v>
      </c>
      <c r="AQ24" s="8">
        <v>0</v>
      </c>
      <c r="AR24" s="97">
        <v>3503.5767171157145</v>
      </c>
      <c r="AS24" s="8">
        <v>0</v>
      </c>
      <c r="AT24" s="97">
        <v>3165.6957806124683</v>
      </c>
      <c r="AU24" s="8">
        <v>0</v>
      </c>
      <c r="AV24" s="97">
        <v>2367.3834940215729</v>
      </c>
      <c r="AW24" s="8">
        <v>0</v>
      </c>
      <c r="AX24" s="41"/>
      <c r="AY24" s="42"/>
      <c r="AZ24" s="41"/>
      <c r="BA24" s="42"/>
      <c r="BB24" s="41"/>
      <c r="BC24" s="42"/>
      <c r="BD24" s="41"/>
      <c r="BE24" s="42"/>
      <c r="BF24" s="41"/>
      <c r="BG24" s="42"/>
      <c r="BH24" s="41"/>
      <c r="BI24" s="42"/>
      <c r="BJ24" s="41"/>
      <c r="BK24" s="42"/>
      <c r="BL24" s="41"/>
      <c r="BM24" s="42"/>
      <c r="BN24" s="41"/>
      <c r="BO24" s="42"/>
      <c r="BP24" s="41"/>
      <c r="BQ24" s="42"/>
      <c r="BR24" s="41"/>
      <c r="BS24" s="42"/>
      <c r="BT24" s="41"/>
      <c r="BU24" s="42"/>
      <c r="BV24" s="41"/>
      <c r="BW24" s="42"/>
      <c r="BX24" s="41"/>
      <c r="BY24" s="42"/>
      <c r="BZ24" s="41"/>
      <c r="CA24" s="42"/>
      <c r="CB24" s="41"/>
      <c r="CC24" s="42"/>
      <c r="CD24" s="41"/>
      <c r="CE24" s="42"/>
      <c r="CF24" s="41"/>
      <c r="CG24" s="42"/>
      <c r="CH24" s="41"/>
      <c r="CI24" s="42"/>
      <c r="CJ24" s="41"/>
      <c r="CK24" s="42"/>
      <c r="CL24" s="41"/>
      <c r="CM24" s="42"/>
      <c r="CN24" s="41"/>
      <c r="CO24" s="42"/>
      <c r="CP24" s="41"/>
      <c r="CQ24" s="42"/>
      <c r="CR24" s="41"/>
      <c r="CS24" s="42"/>
    </row>
    <row r="25" spans="1:97" x14ac:dyDescent="0.2">
      <c r="A25" t="s">
        <v>0</v>
      </c>
      <c r="B25" s="41">
        <v>2407.0188299999995</v>
      </c>
      <c r="C25" s="42">
        <v>198.3609869999998</v>
      </c>
      <c r="D25" s="41">
        <v>2423.0384087986818</v>
      </c>
      <c r="E25" s="42">
        <v>177.46899068080586</v>
      </c>
      <c r="F25" s="41">
        <v>2438.8388670937102</v>
      </c>
      <c r="G25" s="42">
        <v>157.25160392769732</v>
      </c>
      <c r="H25" s="41">
        <v>2454.3641979426643</v>
      </c>
      <c r="I25" s="42">
        <v>137.79539943738058</v>
      </c>
      <c r="J25" s="41">
        <v>2469.5463030373812</v>
      </c>
      <c r="K25" s="42">
        <v>119.19327138166237</v>
      </c>
      <c r="L25" s="41">
        <v>2484.2989715471017</v>
      </c>
      <c r="M25" s="42">
        <v>101.54442724045767</v>
      </c>
      <c r="N25" s="41">
        <v>2498.5079291091374</v>
      </c>
      <c r="O25" s="42">
        <v>84.954623911285552</v>
      </c>
      <c r="P25" s="41">
        <v>2512.015955416919</v>
      </c>
      <c r="Q25" s="42">
        <v>69.535310297657304</v>
      </c>
      <c r="R25" s="41">
        <v>2524.5964353884619</v>
      </c>
      <c r="S25" s="42">
        <v>55.403325726084681</v>
      </c>
      <c r="T25" s="41">
        <v>2535.9091771866169</v>
      </c>
      <c r="U25" s="42">
        <v>42.678926501950684</v>
      </c>
      <c r="V25" s="41">
        <v>2545.4235551432994</v>
      </c>
      <c r="W25" s="42">
        <v>31.483296634018071</v>
      </c>
      <c r="X25" s="41">
        <v>2552.2821388087505</v>
      </c>
      <c r="Y25" s="42">
        <v>21.933197386267974</v>
      </c>
      <c r="Z25" s="41">
        <v>2555.0543980696953</v>
      </c>
      <c r="AA25" s="42">
        <v>14.131259113915048</v>
      </c>
      <c r="AB25" s="41">
        <v>2551.2873377915857</v>
      </c>
      <c r="AC25" s="42">
        <v>8.1472973264499551</v>
      </c>
      <c r="AD25" s="41">
        <v>2536.7006776003377</v>
      </c>
      <c r="AE25" s="42">
        <v>3.9825497950833531</v>
      </c>
      <c r="AF25" s="41">
        <v>2503.8786131312318</v>
      </c>
      <c r="AG25" s="42">
        <v>1.5067079977548778</v>
      </c>
      <c r="AH25" s="41">
        <v>2440.6928029915616</v>
      </c>
      <c r="AI25" s="42">
        <v>0.37819340327537343</v>
      </c>
      <c r="AJ25" s="41">
        <v>2329.1525177760732</v>
      </c>
      <c r="AK25" s="42">
        <v>4.8946004995892078E-2</v>
      </c>
      <c r="AL25" s="41">
        <v>2138.2331539178717</v>
      </c>
      <c r="AM25" s="42">
        <v>2.1069933503668516E-3</v>
      </c>
      <c r="AN25" s="41">
        <v>1757.9214790144486</v>
      </c>
      <c r="AO25" s="42">
        <v>9.8709921779199539E-6</v>
      </c>
      <c r="AP25" s="41">
        <v>1623.4776504272404</v>
      </c>
      <c r="AQ25" s="42">
        <v>1.9596984013297534E-6</v>
      </c>
      <c r="AR25" s="41">
        <v>1444.4440611985769</v>
      </c>
      <c r="AS25" s="42">
        <v>2.7514768618780493E-7</v>
      </c>
      <c r="AT25" s="41">
        <v>1189.199238198089</v>
      </c>
      <c r="AU25" s="42">
        <v>2.2635247170602822E-8</v>
      </c>
      <c r="AV25" s="41">
        <v>784.18365280338662</v>
      </c>
      <c r="AW25" s="42">
        <v>7.018353931086876E-10</v>
      </c>
      <c r="AX25" s="41"/>
      <c r="AY25" s="42"/>
      <c r="AZ25" s="41"/>
      <c r="BA25" s="42"/>
      <c r="BB25" s="41"/>
      <c r="BC25" s="42"/>
      <c r="BD25" s="41"/>
      <c r="BE25" s="42"/>
      <c r="BF25" s="41"/>
      <c r="BG25" s="42"/>
      <c r="BH25" s="41"/>
      <c r="BI25" s="42"/>
      <c r="BJ25" s="41"/>
      <c r="BK25" s="42"/>
      <c r="BL25" s="41"/>
      <c r="BM25" s="42"/>
      <c r="BN25" s="41"/>
      <c r="BO25" s="42"/>
      <c r="BP25" s="41"/>
      <c r="BQ25" s="42"/>
      <c r="BR25" s="41"/>
      <c r="BS25" s="42"/>
      <c r="BT25" s="41"/>
      <c r="BU25" s="42"/>
      <c r="BV25" s="41"/>
      <c r="BW25" s="42"/>
      <c r="BX25" s="41"/>
      <c r="BY25" s="42"/>
      <c r="BZ25" s="41"/>
      <c r="CA25" s="42"/>
      <c r="CB25" s="41"/>
      <c r="CC25" s="42"/>
      <c r="CD25" s="41"/>
      <c r="CE25" s="42"/>
      <c r="CF25" s="41"/>
      <c r="CG25" s="42"/>
      <c r="CH25" s="41"/>
      <c r="CI25" s="42"/>
      <c r="CJ25" s="41"/>
      <c r="CK25" s="42"/>
      <c r="CL25" s="41"/>
      <c r="CM25" s="42"/>
      <c r="CN25" s="41"/>
      <c r="CO25" s="42"/>
      <c r="CP25" s="41"/>
      <c r="CQ25" s="42"/>
      <c r="CR25" s="41"/>
      <c r="CS25" s="42"/>
    </row>
    <row r="26" spans="1:97" x14ac:dyDescent="0.2">
      <c r="A26" t="s">
        <v>27</v>
      </c>
      <c r="B26" s="33">
        <v>4453.9220762806681</v>
      </c>
      <c r="C26" s="34">
        <v>103.68339971933386</v>
      </c>
      <c r="D26" s="33">
        <v>4461.0671328768431</v>
      </c>
      <c r="E26" s="34">
        <v>96.538343123152046</v>
      </c>
      <c r="F26" s="33">
        <v>4468.2008178018013</v>
      </c>
      <c r="G26" s="34">
        <v>89.404658198201304</v>
      </c>
      <c r="H26" s="33">
        <v>4475.3197866263836</v>
      </c>
      <c r="I26" s="34">
        <v>82.285689373615767</v>
      </c>
      <c r="J26" s="33">
        <v>4482.4201485699004</v>
      </c>
      <c r="K26" s="34">
        <v>75.1853274300978</v>
      </c>
      <c r="L26" s="33">
        <v>4489.4970337668428</v>
      </c>
      <c r="M26" s="34">
        <v>68.108442233164837</v>
      </c>
      <c r="N26" s="33">
        <v>4496.543687992923</v>
      </c>
      <c r="O26" s="34">
        <v>61.061788007078782</v>
      </c>
      <c r="P26" s="33">
        <v>4503.5505828400583</v>
      </c>
      <c r="Q26" s="34">
        <v>54.054893159937372</v>
      </c>
      <c r="R26" s="33">
        <v>4510.5032265604432</v>
      </c>
      <c r="S26" s="34">
        <v>47.102249439560559</v>
      </c>
      <c r="T26" s="33">
        <v>4517.3791990596492</v>
      </c>
      <c r="U26" s="34">
        <v>40.2262769403536</v>
      </c>
      <c r="V26" s="33">
        <v>4524.1428156207294</v>
      </c>
      <c r="W26" s="34">
        <v>33.462660379276073</v>
      </c>
      <c r="X26" s="33">
        <v>4530.7367150280088</v>
      </c>
      <c r="Y26" s="34">
        <v>26.868760971992057</v>
      </c>
      <c r="Z26" s="33">
        <v>4537.0682174774229</v>
      </c>
      <c r="AA26" s="34">
        <v>20.537258522579911</v>
      </c>
      <c r="AB26" s="33">
        <v>4542.9885152499064</v>
      </c>
      <c r="AC26" s="34">
        <v>14.616960750098752</v>
      </c>
      <c r="AD26" s="33">
        <v>4548.2658216643431</v>
      </c>
      <c r="AE26" s="34">
        <v>9.3396543356545898</v>
      </c>
      <c r="AF26" s="33">
        <v>4552.570582594617</v>
      </c>
      <c r="AG26" s="34">
        <v>5.0348934053852874</v>
      </c>
      <c r="AH26" s="33">
        <v>4555.5439603228069</v>
      </c>
      <c r="AI26" s="34">
        <v>2.0615156771933112</v>
      </c>
      <c r="AJ26" s="33">
        <v>4557.0648114712467</v>
      </c>
      <c r="AK26" s="34">
        <v>0.54066452875170912</v>
      </c>
      <c r="AL26" s="33">
        <v>4557.5374229485114</v>
      </c>
      <c r="AM26" s="34">
        <v>6.805305148708736E-2</v>
      </c>
      <c r="AN26" s="33">
        <v>4557.6034761757501</v>
      </c>
      <c r="AO26" s="34">
        <v>1.9998242502344676E-3</v>
      </c>
      <c r="AP26" s="33">
        <v>4557.6047819346195</v>
      </c>
      <c r="AQ26" s="34">
        <v>6.9406538159727169E-4</v>
      </c>
      <c r="AR26" s="33">
        <v>4557.6052831749384</v>
      </c>
      <c r="AS26" s="34">
        <v>1.9282506148392986E-4</v>
      </c>
      <c r="AT26" s="33">
        <v>4557.6054378782665</v>
      </c>
      <c r="AU26" s="34">
        <v>3.8121735664324505E-5</v>
      </c>
      <c r="AV26" s="33">
        <v>4557.6054718983833</v>
      </c>
      <c r="AW26" s="34">
        <v>4.1016203938403884E-6</v>
      </c>
      <c r="AX26" s="41"/>
      <c r="AY26" s="42"/>
      <c r="AZ26" s="41"/>
      <c r="BA26" s="42"/>
      <c r="BB26" s="41"/>
      <c r="BC26" s="42"/>
      <c r="BD26" s="41"/>
      <c r="BE26" s="42"/>
      <c r="BF26" s="41"/>
      <c r="BG26" s="42"/>
      <c r="BH26" s="41"/>
      <c r="BI26" s="42"/>
      <c r="BJ26" s="41"/>
      <c r="BK26" s="42"/>
      <c r="BL26" s="41"/>
      <c r="BM26" s="42"/>
      <c r="BN26" s="41"/>
      <c r="BO26" s="42"/>
      <c r="BP26" s="41"/>
      <c r="BQ26" s="42"/>
      <c r="BR26" s="41"/>
      <c r="BS26" s="42"/>
      <c r="BT26" s="41"/>
      <c r="BU26" s="42"/>
      <c r="BV26" s="41"/>
      <c r="BW26" s="42"/>
      <c r="BX26" s="41"/>
      <c r="BY26" s="42"/>
      <c r="BZ26" s="41"/>
      <c r="CA26" s="42"/>
      <c r="CB26" s="41"/>
      <c r="CC26" s="42"/>
      <c r="CD26" s="41"/>
      <c r="CE26" s="42"/>
      <c r="CF26" s="41"/>
      <c r="CG26" s="42"/>
      <c r="CH26" s="41"/>
      <c r="CI26" s="42"/>
      <c r="CJ26" s="41"/>
      <c r="CK26" s="42"/>
      <c r="CL26" s="41"/>
      <c r="CM26" s="42"/>
      <c r="CN26" s="41"/>
      <c r="CO26" s="42"/>
      <c r="CP26" s="41"/>
      <c r="CQ26" s="42"/>
      <c r="CR26" s="41"/>
      <c r="CS26" s="42"/>
    </row>
    <row r="27" spans="1:97" x14ac:dyDescent="0.2">
      <c r="A27" t="s">
        <v>2</v>
      </c>
      <c r="B27" s="35">
        <v>5438.4286200000097</v>
      </c>
      <c r="C27" s="36">
        <v>274.41908699999959</v>
      </c>
      <c r="D27" s="35">
        <v>5457.1061106803663</v>
      </c>
      <c r="E27" s="36">
        <v>255.74161892438983</v>
      </c>
      <c r="F27" s="35">
        <v>5475.7885123892656</v>
      </c>
      <c r="G27" s="36">
        <v>237.05919484518381</v>
      </c>
      <c r="H27" s="35">
        <v>5494.4667793997814</v>
      </c>
      <c r="I27" s="36">
        <v>218.38092785370955</v>
      </c>
      <c r="J27" s="35">
        <v>5513.1304252805048</v>
      </c>
      <c r="K27" s="36">
        <v>199.71729380349828</v>
      </c>
      <c r="L27" s="35">
        <v>5531.7663887569388</v>
      </c>
      <c r="M27" s="36">
        <v>181.0813180189848</v>
      </c>
      <c r="N27" s="35">
        <v>5550.3563629914861</v>
      </c>
      <c r="O27" s="36">
        <v>162.49134545923232</v>
      </c>
      <c r="P27" s="35">
        <v>5568.8747762249814</v>
      </c>
      <c r="Q27" s="36">
        <v>143.97293661752246</v>
      </c>
      <c r="R27" s="35">
        <v>5587.2825522988769</v>
      </c>
      <c r="S27" s="36">
        <v>125.56515549726443</v>
      </c>
      <c r="T27" s="35">
        <v>5605.5194327796171</v>
      </c>
      <c r="U27" s="36">
        <v>107.32827664528467</v>
      </c>
      <c r="V27" s="35">
        <v>5623.4894057411102</v>
      </c>
      <c r="W27" s="36">
        <v>89.358303242237994</v>
      </c>
      <c r="X27" s="35">
        <v>5641.0381214094041</v>
      </c>
      <c r="Y27" s="36">
        <v>71.809586518038202</v>
      </c>
      <c r="Z27" s="35">
        <v>5657.9160454557541</v>
      </c>
      <c r="AA27" s="36">
        <v>54.931664352602915</v>
      </c>
      <c r="AB27" s="35">
        <v>5673.7221994010752</v>
      </c>
      <c r="AC27" s="36">
        <v>39.125509674650559</v>
      </c>
      <c r="AD27" s="35">
        <v>5687.8315325149069</v>
      </c>
      <c r="AE27" s="36">
        <v>25.016173067833698</v>
      </c>
      <c r="AF27" s="35">
        <v>5699.3545234810881</v>
      </c>
      <c r="AG27" s="36">
        <v>13.493187168261455</v>
      </c>
      <c r="AH27" s="35">
        <v>5707.3209248519643</v>
      </c>
      <c r="AI27" s="36">
        <v>5.5267819770700211</v>
      </c>
      <c r="AJ27" s="35">
        <v>5711.3979466648852</v>
      </c>
      <c r="AK27" s="36">
        <v>1.4497600337996424</v>
      </c>
      <c r="AL27" s="35">
        <v>5712.6652160151416</v>
      </c>
      <c r="AM27" s="36">
        <v>0.182491048206715</v>
      </c>
      <c r="AN27" s="35">
        <v>5712.8423442741969</v>
      </c>
      <c r="AO27" s="36">
        <v>5.3627732569982867E-3</v>
      </c>
      <c r="AP27" s="35">
        <v>5712.8458458112373</v>
      </c>
      <c r="AQ27" s="36">
        <v>1.8612215371099452E-3</v>
      </c>
      <c r="AR27" s="35">
        <v>5712.847189914959</v>
      </c>
      <c r="AS27" s="36">
        <v>5.1708400263775884E-4</v>
      </c>
      <c r="AT27" s="35">
        <v>5712.847604769895</v>
      </c>
      <c r="AU27" s="36">
        <v>1.0222808764019749E-4</v>
      </c>
      <c r="AV27" s="35">
        <v>5712.8476959978943</v>
      </c>
      <c r="AW27" s="36">
        <v>1.0998998281757267E-5</v>
      </c>
      <c r="AX27" s="41"/>
      <c r="AY27" s="42"/>
      <c r="AZ27" s="41"/>
      <c r="BA27" s="42"/>
      <c r="BB27" s="41"/>
      <c r="BC27" s="42"/>
      <c r="BD27" s="41"/>
      <c r="BE27" s="42"/>
      <c r="BF27" s="41"/>
      <c r="BG27" s="42"/>
      <c r="BH27" s="41"/>
      <c r="BI27" s="42"/>
      <c r="BJ27" s="41"/>
      <c r="BK27" s="42"/>
      <c r="BL27" s="41"/>
      <c r="BM27" s="42"/>
      <c r="BN27" s="41"/>
      <c r="BO27" s="42"/>
      <c r="BP27" s="41"/>
      <c r="BQ27" s="42"/>
      <c r="BR27" s="41"/>
      <c r="BS27" s="42"/>
      <c r="BT27" s="41"/>
      <c r="BU27" s="42"/>
      <c r="BV27" s="41"/>
      <c r="BW27" s="42"/>
      <c r="BX27" s="41"/>
      <c r="BY27" s="42"/>
      <c r="BZ27" s="41"/>
      <c r="CA27" s="42"/>
      <c r="CB27" s="41"/>
      <c r="CC27" s="42"/>
      <c r="CD27" s="41"/>
      <c r="CE27" s="42"/>
      <c r="CF27" s="41"/>
      <c r="CG27" s="42"/>
      <c r="CH27" s="41"/>
      <c r="CI27" s="42"/>
      <c r="CJ27" s="41"/>
      <c r="CK27" s="42"/>
      <c r="CL27" s="41"/>
      <c r="CM27" s="42"/>
      <c r="CN27" s="41"/>
      <c r="CO27" s="42"/>
      <c r="CP27" s="41"/>
      <c r="CQ27" s="42"/>
      <c r="CR27" s="41"/>
      <c r="CS27" s="42"/>
    </row>
    <row r="28" spans="1:97" x14ac:dyDescent="0.2">
      <c r="A28" t="s">
        <v>35</v>
      </c>
      <c r="B28" s="41">
        <v>11932.388276000003</v>
      </c>
      <c r="C28" s="42">
        <v>425.59270699999968</v>
      </c>
      <c r="D28" s="41">
        <v>11961.467007517605</v>
      </c>
      <c r="E28" s="42">
        <v>396.49727189381673</v>
      </c>
      <c r="F28" s="41">
        <v>11990.501164290545</v>
      </c>
      <c r="G28" s="42">
        <v>367.4130332073679</v>
      </c>
      <c r="H28" s="41">
        <v>12019.476949136866</v>
      </c>
      <c r="I28" s="42">
        <v>338.35409443540243</v>
      </c>
      <c r="J28" s="41">
        <v>12048.378401141877</v>
      </c>
      <c r="K28" s="42">
        <v>309.33671755006822</v>
      </c>
      <c r="L28" s="41">
        <v>12077.185651843422</v>
      </c>
      <c r="M28" s="42">
        <v>280.38114135795951</v>
      </c>
      <c r="N28" s="41">
        <v>12105.870985828515</v>
      </c>
      <c r="O28" s="42">
        <v>251.51566761600168</v>
      </c>
      <c r="P28" s="41">
        <v>12134.395589837957</v>
      </c>
      <c r="Q28" s="42">
        <v>222.77985834198793</v>
      </c>
      <c r="R28" s="41">
        <v>12162.700271113175</v>
      </c>
      <c r="S28" s="42">
        <v>194.2340097516259</v>
      </c>
      <c r="T28" s="41">
        <v>12190.69368348056</v>
      </c>
      <c r="U28" s="42">
        <v>165.97118331702274</v>
      </c>
      <c r="V28" s="41">
        <v>12218.230397429214</v>
      </c>
      <c r="W28" s="42">
        <v>138.13949744768288</v>
      </c>
      <c r="X28" s="41">
        <v>12245.076749748743</v>
      </c>
      <c r="Y28" s="42">
        <v>110.97700394596991</v>
      </c>
      <c r="Z28" s="41">
        <v>12270.855278283792</v>
      </c>
      <c r="AA28" s="42">
        <v>84.868401159844211</v>
      </c>
      <c r="AB28" s="41">
        <v>12294.959967790075</v>
      </c>
      <c r="AC28" s="42">
        <v>60.431595459236476</v>
      </c>
      <c r="AD28" s="41">
        <v>12316.446954770337</v>
      </c>
      <c r="AE28" s="42">
        <v>38.629453475595184</v>
      </c>
      <c r="AF28" s="41">
        <v>12333.974287644358</v>
      </c>
      <c r="AG28" s="42">
        <v>20.831728235701664</v>
      </c>
      <c r="AH28" s="41">
        <v>12346.080804221549</v>
      </c>
      <c r="AI28" s="42">
        <v>8.5314543134203173</v>
      </c>
      <c r="AJ28" s="41">
        <v>12352.273176871822</v>
      </c>
      <c r="AK28" s="42">
        <v>2.2377735422385601</v>
      </c>
      <c r="AL28" s="41">
        <v>12354.197487589827</v>
      </c>
      <c r="AM28" s="42">
        <v>0.28167739898448119</v>
      </c>
      <c r="AN28" s="41">
        <v>12354.466433562326</v>
      </c>
      <c r="AO28" s="42">
        <v>8.2774871383716232E-3</v>
      </c>
      <c r="AP28" s="41">
        <v>12354.471750149249</v>
      </c>
      <c r="AQ28" s="42">
        <v>2.8728114206950338E-3</v>
      </c>
      <c r="AR28" s="41">
        <v>12354.473790995342</v>
      </c>
      <c r="AS28" s="42">
        <v>7.9812363995280795E-4</v>
      </c>
      <c r="AT28" s="41">
        <v>12354.474420893095</v>
      </c>
      <c r="AU28" s="42">
        <v>1.57789946440828E-4</v>
      </c>
      <c r="AV28" s="41">
        <v>12354.474559410242</v>
      </c>
      <c r="AW28" s="42">
        <v>1.6977048499092251E-5</v>
      </c>
      <c r="AX28" s="35"/>
      <c r="AY28" s="36"/>
      <c r="AZ28" s="35"/>
      <c r="BA28" s="36"/>
      <c r="BB28" s="35"/>
      <c r="BC28" s="36"/>
      <c r="BD28" s="35"/>
      <c r="BE28" s="36"/>
      <c r="BF28" s="35"/>
      <c r="BG28" s="36"/>
      <c r="BH28" s="35"/>
      <c r="BI28" s="36"/>
      <c r="BJ28" s="35"/>
      <c r="BK28" s="36"/>
      <c r="BL28" s="35"/>
      <c r="BM28" s="36"/>
      <c r="BN28" s="35"/>
      <c r="BO28" s="36"/>
      <c r="BP28" s="35"/>
      <c r="BQ28" s="36"/>
      <c r="BR28" s="35"/>
      <c r="BS28" s="36"/>
      <c r="BT28" s="35"/>
      <c r="BU28" s="36"/>
      <c r="BV28" s="35"/>
      <c r="BW28" s="36"/>
      <c r="BX28" s="35"/>
      <c r="BY28" s="36"/>
      <c r="BZ28" s="35"/>
      <c r="CA28" s="36"/>
      <c r="CB28" s="35"/>
      <c r="CC28" s="36"/>
      <c r="CD28" s="35"/>
      <c r="CE28" s="36"/>
      <c r="CF28" s="35"/>
      <c r="CG28" s="36"/>
      <c r="CH28" s="35"/>
      <c r="CI28" s="36"/>
      <c r="CJ28" s="35"/>
      <c r="CK28" s="36"/>
      <c r="CL28" s="35"/>
      <c r="CM28" s="36"/>
      <c r="CN28" s="35"/>
      <c r="CO28" s="36"/>
      <c r="CP28" s="35"/>
      <c r="CQ28" s="36"/>
      <c r="CR28" s="35"/>
      <c r="CS28" s="36"/>
    </row>
    <row r="29" spans="1:97" x14ac:dyDescent="0.2">
      <c r="A29" t="s">
        <v>53</v>
      </c>
      <c r="B29" s="35">
        <v>12524.290636000003</v>
      </c>
      <c r="C29" s="36">
        <v>853.02040299999965</v>
      </c>
      <c r="D29" s="35">
        <v>12534.618412563153</v>
      </c>
      <c r="E29" s="36">
        <v>787.85875620573586</v>
      </c>
      <c r="F29" s="35">
        <v>12542.960578994167</v>
      </c>
      <c r="G29" s="36">
        <v>723.25379679851653</v>
      </c>
      <c r="H29" s="35">
        <v>12549.00388080544</v>
      </c>
      <c r="I29" s="36">
        <v>659.29092901039553</v>
      </c>
      <c r="J29" s="35">
        <v>12552.366071841117</v>
      </c>
      <c r="K29" s="36">
        <v>596.06810584019593</v>
      </c>
      <c r="L29" s="35">
        <v>12552.572925282026</v>
      </c>
      <c r="M29" s="36">
        <v>533.70070399127405</v>
      </c>
      <c r="N29" s="35">
        <v>12549.023780054064</v>
      </c>
      <c r="O29" s="36">
        <v>472.33078702799656</v>
      </c>
      <c r="P29" s="35">
        <v>12540.944651678425</v>
      </c>
      <c r="Q29" s="36">
        <v>412.13475500118648</v>
      </c>
      <c r="R29" s="35">
        <v>12527.311849696294</v>
      </c>
      <c r="S29" s="36">
        <v>353.34231645444908</v>
      </c>
      <c r="T29" s="35">
        <v>12506.735296616702</v>
      </c>
      <c r="U29" s="36">
        <v>296.25902305586908</v>
      </c>
      <c r="V29" s="35">
        <v>12477.265867678974</v>
      </c>
      <c r="W29" s="36">
        <v>241.30510525041063</v>
      </c>
      <c r="X29" s="35">
        <v>12436.069755299826</v>
      </c>
      <c r="Y29" s="36">
        <v>189.07122604391438</v>
      </c>
      <c r="Z29" s="35">
        <v>12378.851686189801</v>
      </c>
      <c r="AA29" s="36">
        <v>140.40104361148539</v>
      </c>
      <c r="AB29" s="35">
        <v>12298.788258774288</v>
      </c>
      <c r="AC29" s="36">
        <v>96.500761791122059</v>
      </c>
      <c r="AD29" s="35">
        <v>12184.472798482941</v>
      </c>
      <c r="AE29" s="36">
        <v>59.041738262001758</v>
      </c>
      <c r="AF29" s="35">
        <v>12015.83422454521</v>
      </c>
      <c r="AG29" s="36">
        <v>30.09407614496175</v>
      </c>
      <c r="AH29" s="35">
        <v>11755.829774352746</v>
      </c>
      <c r="AI29" s="36">
        <v>11.423300756658769</v>
      </c>
      <c r="AJ29" s="35">
        <v>11331.42246225191</v>
      </c>
      <c r="AK29" s="36">
        <v>2.690282133209899</v>
      </c>
      <c r="AL29" s="35">
        <v>10570.221545001643</v>
      </c>
      <c r="AM29" s="36">
        <v>0.28739287522140616</v>
      </c>
      <c r="AN29" s="35">
        <v>8864.0915795827132</v>
      </c>
      <c r="AO29" s="36">
        <v>6.2740240783828232E-3</v>
      </c>
      <c r="AP29" s="35">
        <v>8223.3019560538523</v>
      </c>
      <c r="AQ29" s="36">
        <v>1.9732636421163842E-3</v>
      </c>
      <c r="AR29" s="35">
        <v>7353.3123587138689</v>
      </c>
      <c r="AS29" s="36">
        <v>4.8206433203137731E-4</v>
      </c>
      <c r="AT29" s="35">
        <v>6090.7549177587571</v>
      </c>
      <c r="AU29" s="36">
        <v>7.9276518950485887E-5</v>
      </c>
      <c r="AV29" s="35">
        <v>4051.1111877185876</v>
      </c>
      <c r="AW29" s="36">
        <v>6.1798024156211636E-6</v>
      </c>
      <c r="AX29" s="118"/>
      <c r="AZ29" s="119"/>
      <c r="BB29" s="119"/>
      <c r="BD29" s="119"/>
      <c r="BF29" s="119"/>
      <c r="BH29" s="119"/>
      <c r="BJ29" s="119"/>
      <c r="BL29" s="119"/>
      <c r="BN29" s="119"/>
      <c r="BP29" s="119"/>
      <c r="BR29" s="119"/>
      <c r="BT29" s="119"/>
      <c r="BV29" s="119"/>
      <c r="BX29" s="119"/>
      <c r="BZ29" s="119"/>
      <c r="CB29" s="119"/>
      <c r="CD29" s="119"/>
      <c r="CF29" s="119"/>
      <c r="CH29" s="119"/>
      <c r="CJ29" s="119"/>
      <c r="CL29" s="119"/>
      <c r="CN29" s="119"/>
      <c r="CP29" s="119"/>
      <c r="CR29" s="119"/>
    </row>
    <row r="30" spans="1:97" x14ac:dyDescent="0.2">
      <c r="A30" t="s">
        <v>48</v>
      </c>
      <c r="B30" s="119">
        <v>2644238.3989999997</v>
      </c>
      <c r="D30" s="119">
        <v>2696509.5136803398</v>
      </c>
      <c r="F30" s="119">
        <v>2749503.1352341655</v>
      </c>
      <c r="H30" s="119">
        <v>2803375.0876560411</v>
      </c>
      <c r="J30" s="119">
        <v>2858310.5649861498</v>
      </c>
      <c r="L30" s="119">
        <v>2914535.6899144724</v>
      </c>
      <c r="N30" s="119">
        <v>2972334.4617331983</v>
      </c>
      <c r="P30" s="119">
        <v>3032075.330870246</v>
      </c>
      <c r="R30" s="119">
        <v>3094254.2638507271</v>
      </c>
      <c r="T30" s="119">
        <v>3159573.3443008591</v>
      </c>
      <c r="V30" s="119">
        <v>3229071.6793757076</v>
      </c>
      <c r="X30" s="119">
        <v>3304368.5389664415</v>
      </c>
      <c r="Z30" s="119">
        <v>3388109.9558894048</v>
      </c>
      <c r="AB30" s="119">
        <v>3484804.2259479193</v>
      </c>
      <c r="AD30" s="119">
        <v>3602349.4810089329</v>
      </c>
      <c r="AF30" s="119">
        <v>3754486.2864077725</v>
      </c>
      <c r="AH30" s="119">
        <v>3963034.4060182013</v>
      </c>
      <c r="AJ30" s="119">
        <v>4253843.162585279</v>
      </c>
      <c r="AL30" s="119">
        <v>4633944.1708323471</v>
      </c>
      <c r="AN30" s="119">
        <v>4965823.0288037285</v>
      </c>
      <c r="AP30" s="119">
        <v>4946738.0941845495</v>
      </c>
      <c r="AR30" s="119">
        <v>4817049.8762456281</v>
      </c>
      <c r="AT30" s="119">
        <v>4438292.5584348664</v>
      </c>
      <c r="AV30" s="119">
        <v>3403624.2398615004</v>
      </c>
      <c r="AX30" s="86"/>
      <c r="AZ30" s="86"/>
      <c r="BB30" s="86"/>
      <c r="BD30" s="86"/>
      <c r="BF30" s="86"/>
      <c r="BH30" s="86"/>
      <c r="BJ30" s="86"/>
      <c r="BL30" s="86"/>
      <c r="BN30" s="86"/>
      <c r="BP30" s="86"/>
      <c r="BR30" s="86"/>
      <c r="BT30" s="86"/>
      <c r="BV30" s="86"/>
      <c r="BX30" s="86"/>
      <c r="BZ30" s="86"/>
      <c r="CB30" s="86"/>
      <c r="CD30" s="86"/>
      <c r="CF30" s="86"/>
      <c r="CH30" s="86"/>
      <c r="CJ30" s="86"/>
      <c r="CL30" s="86"/>
      <c r="CN30" s="86"/>
      <c r="CP30" s="86"/>
      <c r="CR30" s="86"/>
    </row>
    <row r="31" spans="1:97" x14ac:dyDescent="0.2">
      <c r="A31" t="s">
        <v>47</v>
      </c>
      <c r="B31" s="80">
        <v>0.99999999999999956</v>
      </c>
      <c r="D31" s="80">
        <v>0.99444591610775457</v>
      </c>
      <c r="F31" s="80">
        <v>0.98832398885785544</v>
      </c>
      <c r="H31" s="80">
        <v>0.98155485786275998</v>
      </c>
      <c r="J31" s="80">
        <v>0.97404297476950719</v>
      </c>
      <c r="L31" s="80">
        <v>0.96567204220783953</v>
      </c>
      <c r="N31" s="80">
        <v>0.95629799805413807</v>
      </c>
      <c r="P31" s="80">
        <v>0.94573972610617074</v>
      </c>
      <c r="R31" s="80">
        <v>0.93376390646056395</v>
      </c>
      <c r="T31" s="80">
        <v>0.92006316660733312</v>
      </c>
      <c r="V31" s="80">
        <v>0.90421972939464912</v>
      </c>
      <c r="X31" s="80">
        <v>0.88564636602078417</v>
      </c>
      <c r="Z31" s="80">
        <v>0.86348466526882439</v>
      </c>
      <c r="AB31" s="80">
        <v>0.83642519107603419</v>
      </c>
      <c r="AD31" s="80">
        <v>0.80238481689363084</v>
      </c>
      <c r="AF31" s="80">
        <v>0.75794214216834832</v>
      </c>
      <c r="AH31" s="80">
        <v>0.69744648234885309</v>
      </c>
      <c r="AJ31" s="80">
        <v>0.61173763947405335</v>
      </c>
      <c r="AL31" s="80">
        <v>0.48516789846608083</v>
      </c>
      <c r="AN31" s="80">
        <v>0.28500358745058368</v>
      </c>
      <c r="AP31" s="80">
        <v>0.23086212220297583</v>
      </c>
      <c r="AR31" s="80">
        <v>0.17080624919208309</v>
      </c>
      <c r="AT31" s="80">
        <v>0.10553097572575747</v>
      </c>
      <c r="AV31" s="80">
        <v>4.0042490619631235E-2</v>
      </c>
      <c r="AX31" s="70"/>
      <c r="AZ31" s="70"/>
      <c r="BB31" s="70"/>
      <c r="BD31" s="70"/>
      <c r="BF31" s="70"/>
      <c r="BH31" s="70"/>
      <c r="BJ31" s="70"/>
      <c r="BL31" s="70"/>
      <c r="BN31" s="70"/>
      <c r="BP31" s="70"/>
      <c r="BR31" s="70"/>
      <c r="BT31" s="70"/>
      <c r="BV31" s="70"/>
      <c r="BX31" s="70"/>
      <c r="BZ31" s="70"/>
      <c r="CB31" s="70"/>
      <c r="CD31" s="70"/>
      <c r="CF31" s="70"/>
      <c r="CH31" s="70"/>
      <c r="CJ31" s="70"/>
      <c r="CL31" s="70"/>
      <c r="CN31" s="70"/>
      <c r="CP31" s="70"/>
      <c r="CR31" s="70"/>
    </row>
    <row r="32" spans="1:97" x14ac:dyDescent="0.2">
      <c r="A32" t="s">
        <v>64</v>
      </c>
      <c r="B32" s="86">
        <v>12914691.582000002</v>
      </c>
      <c r="C32" s="38"/>
      <c r="D32" s="86">
        <v>12899771.347745398</v>
      </c>
      <c r="E32" s="38"/>
      <c r="F32" s="86">
        <v>12882952.160985757</v>
      </c>
      <c r="G32" s="38"/>
      <c r="H32" s="86">
        <v>12863958.971456643</v>
      </c>
      <c r="I32" s="38"/>
      <c r="J32" s="86">
        <v>12842451.598879423</v>
      </c>
      <c r="K32" s="38"/>
      <c r="L32" s="86">
        <v>12818009.943411415</v>
      </c>
      <c r="M32" s="38"/>
      <c r="N32" s="86">
        <v>12790113.411956787</v>
      </c>
      <c r="O32" s="38"/>
      <c r="P32" s="86">
        <v>12758120.507229235</v>
      </c>
      <c r="Q32" s="38"/>
      <c r="R32" s="86">
        <v>12721238.658551933</v>
      </c>
      <c r="S32" s="38"/>
      <c r="T32" s="86">
        <v>12678495.729889927</v>
      </c>
      <c r="U32" s="38"/>
      <c r="V32" s="86">
        <v>12628701.875817044</v>
      </c>
      <c r="W32" s="38"/>
      <c r="X32" s="86">
        <v>12570410.512414832</v>
      </c>
      <c r="Y32" s="38"/>
      <c r="Z32" s="86">
        <v>12501863.607233634</v>
      </c>
      <c r="AA32" s="38"/>
      <c r="AB32" s="86">
        <v>12420866.663704714</v>
      </c>
      <c r="AC32" s="38"/>
      <c r="AD32" s="86">
        <v>12324319.793758623</v>
      </c>
      <c r="AE32" s="38"/>
      <c r="AF32" s="86">
        <v>12206174.291808745</v>
      </c>
      <c r="AG32" s="38"/>
      <c r="AH32" s="86">
        <v>12048902.056730084</v>
      </c>
      <c r="AI32" s="38"/>
      <c r="AJ32" s="86">
        <v>11792791.634949818</v>
      </c>
      <c r="AK32" s="38"/>
      <c r="AL32" s="86">
        <v>11240565.136880001</v>
      </c>
      <c r="AM32" s="38"/>
      <c r="AN32" s="86">
        <v>9654710.2006127238</v>
      </c>
      <c r="AO32" s="38"/>
      <c r="AP32" s="86">
        <v>8990748.4614000637</v>
      </c>
      <c r="AQ32" s="38"/>
      <c r="AR32" s="86">
        <v>8058261.2254496114</v>
      </c>
      <c r="AS32" s="38"/>
      <c r="AT32" s="86">
        <v>6668362.5460806945</v>
      </c>
      <c r="AU32" s="38"/>
      <c r="AV32" s="86">
        <v>4394184.9957167143</v>
      </c>
      <c r="AW32" s="38"/>
      <c r="AX32" s="37"/>
      <c r="AY32" s="38"/>
      <c r="AZ32" s="37"/>
      <c r="BA32" s="38"/>
      <c r="BB32" s="37"/>
      <c r="BC32" s="38"/>
      <c r="BD32" s="37"/>
      <c r="BE32" s="38"/>
      <c r="BF32" s="37"/>
      <c r="BG32" s="38"/>
      <c r="BH32" s="37"/>
      <c r="BI32" s="38"/>
      <c r="BJ32" s="37"/>
      <c r="BK32" s="38"/>
      <c r="BL32" s="37"/>
      <c r="BM32" s="38"/>
      <c r="BN32" s="37"/>
      <c r="BO32" s="38"/>
      <c r="BP32" s="37"/>
      <c r="BQ32" s="38"/>
      <c r="BR32" s="37"/>
      <c r="BS32" s="38"/>
      <c r="BT32" s="37"/>
      <c r="BU32" s="38"/>
      <c r="BV32" s="37"/>
      <c r="BW32" s="38"/>
      <c r="BX32" s="37"/>
      <c r="BY32" s="38"/>
      <c r="BZ32" s="37"/>
      <c r="CA32" s="38"/>
      <c r="CB32" s="37"/>
      <c r="CC32" s="38"/>
      <c r="CD32" s="37"/>
      <c r="CE32" s="38"/>
      <c r="CF32" s="37"/>
      <c r="CG32" s="38"/>
      <c r="CH32" s="37"/>
      <c r="CI32" s="38"/>
      <c r="CJ32" s="37"/>
      <c r="CK32" s="38"/>
      <c r="CL32" s="37"/>
      <c r="CM32" s="38"/>
      <c r="CN32" s="37"/>
      <c r="CO32" s="38"/>
      <c r="CP32" s="37"/>
      <c r="CQ32" s="38"/>
      <c r="CR32" s="37"/>
      <c r="CS32" s="38"/>
    </row>
    <row r="33" spans="1:97 16384:16384" x14ac:dyDescent="0.2">
      <c r="A33" t="s">
        <v>54</v>
      </c>
      <c r="B33" s="117">
        <v>6152691.9630000014</v>
      </c>
      <c r="C33" s="40"/>
      <c r="D33" s="117">
        <v>6123490.6292476933</v>
      </c>
      <c r="E33" s="40"/>
      <c r="F33" s="117">
        <v>6092539.6950764162</v>
      </c>
      <c r="G33" s="40"/>
      <c r="H33" s="117">
        <v>6059567.7618738869</v>
      </c>
      <c r="I33" s="40"/>
      <c r="J33" s="117">
        <v>6024242.2790681683</v>
      </c>
      <c r="K33" s="40"/>
      <c r="L33" s="117">
        <v>5986154.2957802135</v>
      </c>
      <c r="M33" s="40"/>
      <c r="N33" s="117">
        <v>5944794.2056039525</v>
      </c>
      <c r="O33" s="40"/>
      <c r="P33" s="117">
        <v>5899521.2685176199</v>
      </c>
      <c r="Q33" s="40"/>
      <c r="R33" s="117">
        <v>5849513.2693079859</v>
      </c>
      <c r="S33" s="40"/>
      <c r="T33" s="117">
        <v>5793699.8357566027</v>
      </c>
      <c r="U33" s="40"/>
      <c r="V33" s="117">
        <v>5730647.450660021</v>
      </c>
      <c r="W33" s="40"/>
      <c r="X33" s="117">
        <v>5658376.6561994106</v>
      </c>
      <c r="Y33" s="40"/>
      <c r="Z33" s="117">
        <v>5574036.0784368003</v>
      </c>
      <c r="AA33" s="40"/>
      <c r="AB33" s="117">
        <v>5473286.8572090948</v>
      </c>
      <c r="AC33" s="40"/>
      <c r="AD33" s="117">
        <v>5349048.2779520005</v>
      </c>
      <c r="AE33" s="40"/>
      <c r="AF33" s="117">
        <v>5188731.6194715137</v>
      </c>
      <c r="AG33" s="40"/>
      <c r="AH33" s="117">
        <v>4967739.0182230314</v>
      </c>
      <c r="AI33" s="40"/>
      <c r="AJ33" s="117">
        <v>4633440.4005657211</v>
      </c>
      <c r="AK33" s="40"/>
      <c r="AL33" s="117">
        <v>4060898.2129610982</v>
      </c>
      <c r="AM33" s="40"/>
      <c r="AN33" s="117">
        <v>2882169.1778704207</v>
      </c>
      <c r="AO33" s="40"/>
      <c r="AP33" s="117">
        <v>2485776.5410477137</v>
      </c>
      <c r="AQ33" s="40"/>
      <c r="AR33" s="117">
        <v>1992311.4399727611</v>
      </c>
      <c r="AS33" s="40"/>
      <c r="AT33" s="117">
        <v>1370781.9814018896</v>
      </c>
      <c r="AU33" s="40"/>
      <c r="AV33" s="117">
        <v>608879.02817741875</v>
      </c>
      <c r="AW33" s="40"/>
      <c r="AX33" s="39"/>
      <c r="AY33" s="40"/>
      <c r="AZ33" s="39"/>
      <c r="BA33" s="40"/>
      <c r="BB33" s="39"/>
      <c r="BC33" s="40"/>
      <c r="BD33" s="39"/>
      <c r="BE33" s="40"/>
      <c r="BF33" s="39"/>
      <c r="BG33" s="40"/>
      <c r="BH33" s="39"/>
      <c r="BI33" s="40"/>
      <c r="BJ33" s="39"/>
      <c r="BK33" s="40"/>
      <c r="BL33" s="39"/>
      <c r="BM33" s="40"/>
      <c r="BN33" s="39"/>
      <c r="BO33" s="40"/>
      <c r="BP33" s="39"/>
      <c r="BQ33" s="40"/>
      <c r="BR33" s="39"/>
      <c r="BS33" s="40"/>
      <c r="BT33" s="39"/>
      <c r="BU33" s="40"/>
      <c r="BV33" s="39"/>
      <c r="BW33" s="40"/>
      <c r="BX33" s="39"/>
      <c r="BY33" s="40"/>
      <c r="BZ33" s="39"/>
      <c r="CA33" s="40"/>
      <c r="CB33" s="39"/>
      <c r="CC33" s="40"/>
      <c r="CD33" s="39"/>
      <c r="CE33" s="40"/>
      <c r="CF33" s="39"/>
      <c r="CG33" s="40"/>
      <c r="CH33" s="39"/>
      <c r="CI33" s="40"/>
      <c r="CJ33" s="39"/>
      <c r="CK33" s="40"/>
      <c r="CL33" s="39"/>
      <c r="CM33" s="40"/>
      <c r="CN33" s="39"/>
      <c r="CO33" s="40"/>
      <c r="CP33" s="39"/>
      <c r="CQ33" s="40"/>
      <c r="CR33" s="39"/>
      <c r="CS33" s="40"/>
    </row>
    <row r="34" spans="1:97 16384:16384" x14ac:dyDescent="0.2">
      <c r="A34" t="s">
        <v>75</v>
      </c>
      <c r="B34" s="70">
        <v>1059641.3710000017</v>
      </c>
      <c r="C34" s="38"/>
      <c r="D34" s="70">
        <v>1058416.9618673944</v>
      </c>
      <c r="E34" s="38"/>
      <c r="F34" s="70">
        <v>1057037.1655652651</v>
      </c>
      <c r="G34" s="38"/>
      <c r="H34" s="70">
        <v>1055478.7825216178</v>
      </c>
      <c r="I34" s="38"/>
      <c r="J34" s="70">
        <v>1053714.0468675583</v>
      </c>
      <c r="K34" s="38"/>
      <c r="L34" s="70">
        <v>1051708.690580362</v>
      </c>
      <c r="M34" s="38"/>
      <c r="N34" s="70">
        <v>1049419.8169551857</v>
      </c>
      <c r="O34" s="38"/>
      <c r="P34" s="70">
        <v>1046794.6876636243</v>
      </c>
      <c r="Q34" s="38"/>
      <c r="R34" s="70">
        <v>1043768.6757653863</v>
      </c>
      <c r="S34" s="38"/>
      <c r="T34" s="70">
        <v>1040261.6101845108</v>
      </c>
      <c r="U34" s="38"/>
      <c r="V34" s="70">
        <v>1036176.0708332632</v>
      </c>
      <c r="W34" s="38"/>
      <c r="X34" s="70">
        <v>1031393.348937361</v>
      </c>
      <c r="Y34" s="38"/>
      <c r="Z34" s="70">
        <v>1025769.1206767403</v>
      </c>
      <c r="AA34" s="38"/>
      <c r="AB34" s="70">
        <v>1019123.3842837893</v>
      </c>
      <c r="AC34" s="38"/>
      <c r="AD34" s="70">
        <v>1011201.7792408729</v>
      </c>
      <c r="AE34" s="38"/>
      <c r="AF34" s="70">
        <v>1001508.0264688254</v>
      </c>
      <c r="AG34" s="38"/>
      <c r="AH34" s="70">
        <v>988603.94849425054</v>
      </c>
      <c r="AI34" s="38"/>
      <c r="AJ34" s="70">
        <v>967590.26840437669</v>
      </c>
      <c r="AK34" s="38"/>
      <c r="AL34" s="70">
        <v>922280.4723472253</v>
      </c>
      <c r="AM34" s="38"/>
      <c r="AN34" s="70">
        <v>792162.18897875992</v>
      </c>
      <c r="AO34" s="38"/>
      <c r="AP34" s="70">
        <v>737684.5947471793</v>
      </c>
      <c r="AQ34" s="38"/>
      <c r="AR34" s="70">
        <v>661174.67216270603</v>
      </c>
      <c r="AS34" s="38"/>
      <c r="AT34" s="70">
        <v>547134.46200313745</v>
      </c>
      <c r="AU34" s="38"/>
      <c r="AV34" s="70">
        <v>360539.79173444607</v>
      </c>
      <c r="AW34" s="38"/>
      <c r="AX34" s="37"/>
      <c r="AY34" s="38"/>
      <c r="AZ34" s="37"/>
      <c r="BA34" s="38"/>
      <c r="BB34" s="37"/>
      <c r="BC34" s="38"/>
      <c r="BD34" s="37"/>
      <c r="BE34" s="38"/>
      <c r="BF34" s="37"/>
      <c r="BG34" s="38"/>
      <c r="BH34" s="37"/>
      <c r="BI34" s="38"/>
      <c r="BJ34" s="37"/>
      <c r="BK34" s="38"/>
      <c r="BL34" s="37"/>
      <c r="BM34" s="38"/>
      <c r="BN34" s="37"/>
      <c r="BO34" s="38"/>
      <c r="BP34" s="37"/>
      <c r="BQ34" s="38"/>
      <c r="BR34" s="37"/>
      <c r="BS34" s="38"/>
      <c r="BT34" s="37"/>
      <c r="BU34" s="38"/>
      <c r="BV34" s="37"/>
      <c r="BW34" s="38"/>
      <c r="BX34" s="37"/>
      <c r="BY34" s="38"/>
      <c r="BZ34" s="37"/>
      <c r="CA34" s="38"/>
      <c r="CB34" s="37"/>
      <c r="CC34" s="38"/>
      <c r="CD34" s="37"/>
      <c r="CE34" s="38"/>
      <c r="CF34" s="37"/>
      <c r="CG34" s="38"/>
      <c r="CH34" s="37"/>
      <c r="CI34" s="38"/>
      <c r="CJ34" s="37"/>
      <c r="CK34" s="38"/>
      <c r="CL34" s="37"/>
      <c r="CM34" s="38"/>
      <c r="CN34" s="37"/>
      <c r="CO34" s="38"/>
      <c r="CP34" s="37"/>
      <c r="CQ34" s="38"/>
      <c r="CR34" s="37"/>
      <c r="CS34" s="38"/>
    </row>
    <row r="35" spans="1:97 16384:16384" x14ac:dyDescent="0.2">
      <c r="A35" t="s">
        <v>78</v>
      </c>
      <c r="B35" s="37">
        <v>1</v>
      </c>
      <c r="C35" s="38"/>
      <c r="D35" s="37">
        <v>1.0008135558571547</v>
      </c>
      <c r="E35" s="38"/>
      <c r="F35" s="37">
        <v>1.0019312390711139</v>
      </c>
      <c r="G35" s="38"/>
      <c r="H35" s="37">
        <v>1.0034066875845065</v>
      </c>
      <c r="I35" s="38"/>
      <c r="J35" s="37">
        <v>1.0053071085081819</v>
      </c>
      <c r="K35" s="38"/>
      <c r="L35" s="37">
        <v>1.0077184771822096</v>
      </c>
      <c r="M35" s="38"/>
      <c r="N35" s="37">
        <v>1.0107533437344001</v>
      </c>
      <c r="O35" s="38"/>
      <c r="P35" s="37">
        <v>1.0145625335616799</v>
      </c>
      <c r="Q35" s="38"/>
      <c r="R35" s="37">
        <v>1.0193540211780152</v>
      </c>
      <c r="S35" s="38"/>
      <c r="T35" s="37">
        <v>1.0254239211481142</v>
      </c>
      <c r="U35" s="38"/>
      <c r="V35" s="37">
        <v>1.0332092833016544</v>
      </c>
      <c r="W35" s="38"/>
      <c r="X35" s="37">
        <v>1.0433825644327741</v>
      </c>
      <c r="Y35" s="38"/>
      <c r="Z35" s="37">
        <v>1.0570286385055008</v>
      </c>
      <c r="AA35" s="38"/>
      <c r="AB35" s="37">
        <v>1.0759946727496497</v>
      </c>
      <c r="AC35" s="38"/>
      <c r="AD35" s="37">
        <v>1.1036194121071281</v>
      </c>
      <c r="AE35" s="38"/>
      <c r="AF35" s="37">
        <v>1.1463237949530087</v>
      </c>
      <c r="AG35" s="38"/>
      <c r="AH35" s="37">
        <v>1.2172078899871204</v>
      </c>
      <c r="AI35" s="38"/>
      <c r="AJ35" s="37">
        <v>1.3449590358426946</v>
      </c>
      <c r="AK35" s="38"/>
      <c r="AL35" s="37">
        <v>1.6038921161928019</v>
      </c>
      <c r="AM35" s="38"/>
      <c r="AN35" s="37">
        <v>2.2794631093842601</v>
      </c>
      <c r="AO35" s="38"/>
      <c r="AP35" s="37">
        <v>2.5574572780352596</v>
      </c>
      <c r="AQ35" s="38"/>
      <c r="AR35" s="37">
        <v>2.9510547359225092</v>
      </c>
      <c r="AS35" s="38"/>
      <c r="AT35" s="37">
        <v>3.5504107188468494</v>
      </c>
      <c r="AU35" s="38"/>
      <c r="AV35" s="37">
        <v>4.5779636503432775</v>
      </c>
      <c r="AW35" s="38"/>
      <c r="AX35" s="39"/>
      <c r="AY35" s="40"/>
      <c r="AZ35" s="39"/>
      <c r="BA35" s="40"/>
      <c r="BB35" s="39"/>
      <c r="BC35" s="40"/>
      <c r="BD35" s="39"/>
      <c r="BE35" s="40"/>
      <c r="BF35" s="39"/>
      <c r="BG35" s="40"/>
      <c r="BH35" s="39"/>
      <c r="BI35" s="40"/>
      <c r="BJ35" s="39"/>
      <c r="BK35" s="40"/>
      <c r="BL35" s="39"/>
      <c r="BM35" s="40"/>
      <c r="BN35" s="39"/>
      <c r="BO35" s="40"/>
      <c r="BP35" s="39"/>
      <c r="BQ35" s="40"/>
      <c r="BR35" s="39"/>
      <c r="BS35" s="40"/>
      <c r="BT35" s="39"/>
      <c r="BU35" s="40"/>
      <c r="BV35" s="39"/>
      <c r="BW35" s="40"/>
      <c r="BX35" s="39"/>
      <c r="BY35" s="40"/>
      <c r="BZ35" s="39"/>
      <c r="CA35" s="40"/>
      <c r="CB35" s="39"/>
      <c r="CC35" s="40"/>
      <c r="CD35" s="39"/>
      <c r="CE35" s="40"/>
      <c r="CF35" s="39"/>
      <c r="CG35" s="40"/>
      <c r="CH35" s="39"/>
      <c r="CI35" s="40"/>
      <c r="CJ35" s="39"/>
      <c r="CK35" s="40"/>
      <c r="CL35" s="39"/>
      <c r="CM35" s="40"/>
      <c r="CN35" s="39"/>
      <c r="CO35" s="40"/>
      <c r="CP35" s="39"/>
      <c r="CQ35" s="40"/>
      <c r="CR35" s="39"/>
      <c r="CS35" s="40"/>
    </row>
    <row r="36" spans="1:97 16384:16384" x14ac:dyDescent="0.2">
      <c r="A36" t="s">
        <v>21</v>
      </c>
      <c r="B36" s="39">
        <v>0.44062059572230788</v>
      </c>
      <c r="C36" s="40">
        <v>0.31782146736791034</v>
      </c>
      <c r="D36" s="39">
        <v>0.44066789708867016</v>
      </c>
      <c r="E36" s="40">
        <v>0.3201272189378106</v>
      </c>
      <c r="F36" s="39">
        <v>0.44071651097194475</v>
      </c>
      <c r="G36" s="40">
        <v>0.32266629129162866</v>
      </c>
      <c r="H36" s="39">
        <v>0.44076649878947971</v>
      </c>
      <c r="I36" s="40">
        <v>0.32547586312489496</v>
      </c>
      <c r="J36" s="39">
        <v>0.44081793326939261</v>
      </c>
      <c r="K36" s="40">
        <v>0.32860150856415671</v>
      </c>
      <c r="L36" s="39">
        <v>0.44087089736537127</v>
      </c>
      <c r="M36" s="40">
        <v>0.33209984767766065</v>
      </c>
      <c r="N36" s="39">
        <v>0.44092547850057967</v>
      </c>
      <c r="O36" s="40">
        <v>0.33604233903427627</v>
      </c>
      <c r="P36" s="39">
        <v>0.44098174842450022</v>
      </c>
      <c r="Q36" s="40">
        <v>0.34052069747886704</v>
      </c>
      <c r="R36" s="39">
        <v>0.44103972335604791</v>
      </c>
      <c r="S36" s="40">
        <v>0.3456551813728661</v>
      </c>
      <c r="T36" s="39">
        <v>0.44109929040328655</v>
      </c>
      <c r="U36" s="40">
        <v>0.35160751686475744</v>
      </c>
      <c r="V36" s="39">
        <v>0.44116005196431118</v>
      </c>
      <c r="W36" s="40">
        <v>0.35860184500324083</v>
      </c>
      <c r="X36" s="39">
        <v>0.44122103742680119</v>
      </c>
      <c r="Y36" s="40">
        <v>0.36696034514423481</v>
      </c>
      <c r="Z36" s="39">
        <v>0.44128014807565857</v>
      </c>
      <c r="AA36" s="40">
        <v>0.3771666025596867</v>
      </c>
      <c r="AB36" s="39">
        <v>0.44133312479841702</v>
      </c>
      <c r="AC36" s="40">
        <v>0.38998410932606797</v>
      </c>
      <c r="AD36" s="39">
        <v>0.44137177481097656</v>
      </c>
      <c r="AE36" s="40">
        <v>0.40668835912215973</v>
      </c>
      <c r="AF36" s="39">
        <v>0.4413816482984978</v>
      </c>
      <c r="AG36" s="40">
        <v>0.42953662839926315</v>
      </c>
      <c r="AH36" s="39">
        <v>0.4413420398695756</v>
      </c>
      <c r="AI36" s="40">
        <v>0.46273293238174362</v>
      </c>
      <c r="AJ36" s="39">
        <v>0.44123688113090581</v>
      </c>
      <c r="AK36" s="40">
        <v>0.51454593875358923</v>
      </c>
      <c r="AL36" s="39">
        <v>0.44107628537741828</v>
      </c>
      <c r="AM36" s="40">
        <v>0.60368643946830836</v>
      </c>
      <c r="AN36" s="39">
        <v>0.44088953310479762</v>
      </c>
      <c r="AO36" s="40">
        <v>0.79056234984112284</v>
      </c>
      <c r="AP36" s="39">
        <v>0.44084876251999977</v>
      </c>
      <c r="AQ36" s="40">
        <v>0.85685092154212161</v>
      </c>
      <c r="AR36" s="39">
        <v>0.44080429130860993</v>
      </c>
      <c r="AS36" s="40">
        <v>0.9439902646523296</v>
      </c>
      <c r="AT36" s="39">
        <v>0.44075173332455087</v>
      </c>
      <c r="AU36" s="40">
        <v>1.0653704667828783</v>
      </c>
      <c r="AV36" s="39">
        <v>0.44067920135747002</v>
      </c>
      <c r="AW36" s="40">
        <v>1.2510126739762957</v>
      </c>
    </row>
    <row r="37" spans="1:97 16384:16384" x14ac:dyDescent="0.2">
      <c r="B37" s="37">
        <v>2.5516951507977208E-2</v>
      </c>
      <c r="C37" s="38">
        <v>0.33292016241876865</v>
      </c>
      <c r="D37" s="37">
        <v>2.4713373697344169E-2</v>
      </c>
      <c r="E37" s="38">
        <v>0.32899909868723665</v>
      </c>
      <c r="F37" s="37">
        <v>2.3892516187126286E-2</v>
      </c>
      <c r="G37" s="38">
        <v>0.3249678617469417</v>
      </c>
      <c r="H37" s="37">
        <v>2.3053083094975026E-2</v>
      </c>
      <c r="I37" s="38">
        <v>0.32081870229298548</v>
      </c>
      <c r="J37" s="37">
        <v>2.219362095493534E-2</v>
      </c>
      <c r="K37" s="38">
        <v>0.31654306841470181</v>
      </c>
      <c r="L37" s="37">
        <v>2.1312458848714532E-2</v>
      </c>
      <c r="M37" s="38">
        <v>0.31213134334690212</v>
      </c>
      <c r="N37" s="37">
        <v>2.0407620723080146E-2</v>
      </c>
      <c r="O37" s="38">
        <v>0.30757245925788707</v>
      </c>
      <c r="P37" s="37">
        <v>1.9476725259026866E-2</v>
      </c>
      <c r="Q37" s="38">
        <v>0.30285346693923565</v>
      </c>
      <c r="R37" s="37">
        <v>1.8516807084503942E-2</v>
      </c>
      <c r="S37" s="38">
        <v>0.29795874964835634</v>
      </c>
      <c r="T37" s="37">
        <v>1.7524052219313625E-2</v>
      </c>
      <c r="U37" s="38">
        <v>0.29286885666695323</v>
      </c>
      <c r="V37" s="37">
        <v>1.6493404315508931E-2</v>
      </c>
      <c r="W37" s="38">
        <v>0.28755878493774334</v>
      </c>
      <c r="X37" s="37">
        <v>1.5417954365132953E-2</v>
      </c>
      <c r="Y37" s="38">
        <v>0.28199535023732997</v>
      </c>
      <c r="Z37" s="37">
        <v>1.4288039884206037E-2</v>
      </c>
      <c r="AA37" s="38">
        <v>0.27613347005809574</v>
      </c>
      <c r="AB37" s="37">
        <v>1.3089999283649749E-2</v>
      </c>
      <c r="AC37" s="38">
        <v>0.26991153926833678</v>
      </c>
      <c r="AD37" s="37">
        <v>1.1804828373024517E-2</v>
      </c>
      <c r="AE37" s="38">
        <v>0.26324824218644549</v>
      </c>
      <c r="AF37" s="37">
        <v>1.0408167140247273E-2</v>
      </c>
      <c r="AG37" s="38">
        <v>0.25605054873713795</v>
      </c>
      <c r="AH37" s="37">
        <v>8.8759244852702358E-3</v>
      </c>
      <c r="AI37" s="38">
        <v>0.24825939324634483</v>
      </c>
      <c r="AJ37" s="37">
        <v>7.1997603818668389E-3</v>
      </c>
      <c r="AK37" s="38">
        <v>0.23995858053696928</v>
      </c>
      <c r="AL37" s="37">
        <v>5.3944251583815618E-3</v>
      </c>
      <c r="AM37" s="38">
        <v>0.23145676633261286</v>
      </c>
      <c r="AN37" s="37">
        <v>3.4563210039341738E-3</v>
      </c>
      <c r="AO37" s="38">
        <v>0.22319413319358367</v>
      </c>
      <c r="AP37" s="37">
        <v>3.0454359095801672E-3</v>
      </c>
      <c r="AQ37" s="38">
        <v>0.22161516249144342</v>
      </c>
      <c r="AR37" s="37">
        <v>2.622223717662046E-3</v>
      </c>
      <c r="AS37" s="38">
        <v>0.22007421257649423</v>
      </c>
      <c r="AT37" s="37">
        <v>2.1821720617826871E-3</v>
      </c>
      <c r="AU37" s="38">
        <v>0.21858097711183674</v>
      </c>
      <c r="AV37" s="37">
        <v>1.7168068329108963E-3</v>
      </c>
      <c r="AW37" s="38">
        <v>0.21715190020106931</v>
      </c>
    </row>
    <row r="38" spans="1:97 16384:16384" x14ac:dyDescent="0.2">
      <c r="A38" t="s">
        <v>22</v>
      </c>
      <c r="B38" s="39">
        <v>0.19367604930693458</v>
      </c>
      <c r="C38" s="40">
        <v>8.1459408736097999E-2</v>
      </c>
      <c r="D38" s="39">
        <v>0.19380979916110888</v>
      </c>
      <c r="E38" s="40">
        <v>8.1835932718672649E-2</v>
      </c>
      <c r="F38" s="39">
        <v>0.19397301212442319</v>
      </c>
      <c r="G38" s="40">
        <v>8.2254071419933669E-2</v>
      </c>
      <c r="H38" s="39">
        <v>0.19417038470778267</v>
      </c>
      <c r="I38" s="40">
        <v>8.2720563741542449E-2</v>
      </c>
      <c r="J38" s="39">
        <v>0.19440769910786995</v>
      </c>
      <c r="K38" s="40">
        <v>8.3243728397447495E-2</v>
      </c>
      <c r="L38" s="39">
        <v>0.19469218727667287</v>
      </c>
      <c r="M38" s="40">
        <v>8.383396612645147E-2</v>
      </c>
      <c r="N38" s="39">
        <v>0.19503306979417365</v>
      </c>
      <c r="O38" s="40">
        <v>8.4504374736023055E-2</v>
      </c>
      <c r="P38" s="39">
        <v>0.19544232069667636</v>
      </c>
      <c r="Q38" s="40">
        <v>8.5271919084944914E-2</v>
      </c>
      <c r="R38" s="39">
        <v>0.19593588902210657</v>
      </c>
      <c r="S38" s="40">
        <v>8.6158882094602318E-2</v>
      </c>
      <c r="T38" s="39">
        <v>0.1965356142664651</v>
      </c>
      <c r="U38" s="40">
        <v>8.7195430832059176E-2</v>
      </c>
      <c r="V38" s="39">
        <v>0.19727242399758582</v>
      </c>
      <c r="W38" s="40">
        <v>8.842359694457079E-2</v>
      </c>
      <c r="X38" s="39">
        <v>0.19819187429639895</v>
      </c>
      <c r="Y38" s="40">
        <v>8.9904212620567275E-2</v>
      </c>
      <c r="Z38" s="39">
        <v>0.19936426257080345</v>
      </c>
      <c r="AA38" s="40">
        <v>9.1729304470883205E-2</v>
      </c>
      <c r="AB38" s="39">
        <v>0.20090411795641874</v>
      </c>
      <c r="AC38" s="40">
        <v>9.4045509020378268E-2</v>
      </c>
      <c r="AD38" s="39">
        <v>0.20300997326718723</v>
      </c>
      <c r="AE38" s="40">
        <v>9.7100671568056574E-2</v>
      </c>
      <c r="AF38" s="39">
        <v>0.20605020749443806</v>
      </c>
      <c r="AG38" s="40">
        <v>0.10134028484408718</v>
      </c>
      <c r="AH38" s="39">
        <v>0.21076052394796255</v>
      </c>
      <c r="AI38" s="40">
        <v>0.10761448821149601</v>
      </c>
      <c r="AJ38" s="39">
        <v>0.21877018154181679</v>
      </c>
      <c r="AK38" s="40">
        <v>0.11766813168661099</v>
      </c>
      <c r="AL38" s="39">
        <v>0.23461914216913901</v>
      </c>
      <c r="AM38" s="40">
        <v>0.13579060039931107</v>
      </c>
      <c r="AN38" s="39">
        <v>0.27987931159434998</v>
      </c>
      <c r="AO38" s="40">
        <v>0.17867024840636392</v>
      </c>
      <c r="AP38" s="39">
        <v>0.30171155511408404</v>
      </c>
      <c r="AQ38" s="40">
        <v>0.19622837873939308</v>
      </c>
      <c r="AR38" s="39">
        <v>0.33743586707243911</v>
      </c>
      <c r="AS38" s="40">
        <v>0.22208594414069815</v>
      </c>
      <c r="AT38" s="39">
        <v>0.40742318260312971</v>
      </c>
      <c r="AU38" s="40">
        <v>0.26569411822036093</v>
      </c>
      <c r="AV38" s="39">
        <v>0.61263455754143237</v>
      </c>
      <c r="AW38" s="40">
        <v>0.36491759701691973</v>
      </c>
    </row>
    <row r="39" spans="1:97 16384:16384" x14ac:dyDescent="0.2">
      <c r="A39" t="s">
        <v>23</v>
      </c>
      <c r="B39" s="135">
        <v>0.23648670801150132</v>
      </c>
      <c r="C39" s="135">
        <v>0.21559880013031099</v>
      </c>
      <c r="D39" s="135">
        <v>0.23708243068509324</v>
      </c>
      <c r="E39" s="135">
        <v>0.21679317504923679</v>
      </c>
      <c r="F39" s="135">
        <v>0.23771429145993564</v>
      </c>
      <c r="G39" s="135">
        <v>0.21809919456679958</v>
      </c>
      <c r="H39" s="135">
        <v>0.23838804357809187</v>
      </c>
      <c r="I39" s="135">
        <v>0.21953505645967433</v>
      </c>
      <c r="J39" s="135">
        <v>0.2391107850972711</v>
      </c>
      <c r="K39" s="135">
        <v>0.22112309316081155</v>
      </c>
      <c r="L39" s="135">
        <v>0.23989139309599614</v>
      </c>
      <c r="M39" s="135">
        <v>0.2228910922520646</v>
      </c>
      <c r="N39" s="135">
        <v>0.24074113697959873</v>
      </c>
      <c r="O39" s="135">
        <v>0.22487434443380058</v>
      </c>
      <c r="P39" s="135">
        <v>0.24167460538396454</v>
      </c>
      <c r="Q39" s="135">
        <v>0.22711817347130064</v>
      </c>
      <c r="R39" s="135">
        <v>0.24271109433108723</v>
      </c>
      <c r="S39" s="135">
        <v>0.22968230936743439</v>
      </c>
      <c r="T39" s="135">
        <v>0.24387684904408266</v>
      </c>
      <c r="U39" s="135">
        <v>0.23264731499821886</v>
      </c>
      <c r="V39" s="135">
        <v>0.24520874596729189</v>
      </c>
      <c r="W39" s="135">
        <v>0.23612535584396718</v>
      </c>
      <c r="X39" s="135">
        <v>0.24676073419831362</v>
      </c>
      <c r="Y39" s="135">
        <v>0.24027845352610167</v>
      </c>
      <c r="Z39" s="135">
        <v>0.24861567118269054</v>
      </c>
      <c r="AA39" s="135">
        <v>0.24535131400095408</v>
      </c>
      <c r="AB39" s="135">
        <v>0.25090843839338245</v>
      </c>
      <c r="AC39" s="135">
        <v>0.25173348522601646</v>
      </c>
      <c r="AD39" s="135">
        <v>0.25387401982181912</v>
      </c>
      <c r="AE39" s="135">
        <v>0.26008320197421253</v>
      </c>
      <c r="AF39" s="135">
        <v>0.257953866028443</v>
      </c>
      <c r="AG39" s="135">
        <v>0.27158537847566599</v>
      </c>
      <c r="AH39" s="135">
        <v>0.26404705100809389</v>
      </c>
      <c r="AI39" s="135">
        <v>0.2885070535717002</v>
      </c>
      <c r="AJ39" s="135">
        <v>0.27418604240698552</v>
      </c>
      <c r="AK39" s="135">
        <v>0.31552015251487431</v>
      </c>
      <c r="AL39" s="135">
        <v>0.29408438990147456</v>
      </c>
      <c r="AM39" s="135">
        <v>0.36413604477664613</v>
      </c>
      <c r="AN39" s="135">
        <v>0.35082174018002654</v>
      </c>
      <c r="AO39" s="135">
        <v>0.47912611813890627</v>
      </c>
      <c r="AP39" s="135">
        <v>0.3781880366412757</v>
      </c>
      <c r="AQ39" s="135">
        <v>0.52621049022993283</v>
      </c>
      <c r="AR39" s="135">
        <v>0.42296763875049864</v>
      </c>
      <c r="AS39" s="135">
        <v>0.5955506407834259</v>
      </c>
      <c r="AT39" s="135">
        <v>0.510695053485274</v>
      </c>
      <c r="AU39" s="135">
        <v>0.7124912108431235</v>
      </c>
      <c r="AV39" s="135">
        <v>0.76792252908223979</v>
      </c>
      <c r="AW39" s="135">
        <v>0.97857130528210512</v>
      </c>
    </row>
    <row r="40" spans="1:97 16384:16384"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c r="AV40" s="135"/>
      <c r="AW40" s="135"/>
    </row>
    <row r="41" spans="1:97 16384:16384" x14ac:dyDescent="0.2">
      <c r="B41" s="162"/>
      <c r="C41" s="135"/>
      <c r="D41" s="162"/>
      <c r="E41" s="135"/>
      <c r="F41" s="162"/>
      <c r="G41" s="135"/>
      <c r="H41" s="162"/>
      <c r="I41" s="135"/>
      <c r="J41" s="162"/>
      <c r="K41" s="135"/>
      <c r="L41" s="162"/>
      <c r="M41" s="135"/>
      <c r="N41" s="162"/>
      <c r="O41" s="135"/>
      <c r="P41" s="162"/>
      <c r="Q41" s="135"/>
      <c r="R41" s="162"/>
      <c r="S41" s="135"/>
      <c r="T41" s="162"/>
      <c r="U41" s="135"/>
      <c r="V41" s="162"/>
      <c r="W41" s="135"/>
      <c r="X41" s="162"/>
      <c r="Y41" s="135"/>
      <c r="Z41" s="162"/>
      <c r="AA41" s="162"/>
      <c r="AB41" s="162"/>
      <c r="AC41" s="135"/>
      <c r="AD41" s="162"/>
      <c r="AE41" s="135"/>
      <c r="AF41" s="162"/>
      <c r="AG41" s="135"/>
      <c r="AH41" s="162"/>
      <c r="AI41" s="135"/>
      <c r="AJ41" s="162"/>
      <c r="AK41" s="135"/>
      <c r="AL41" s="162"/>
      <c r="AM41" s="135"/>
      <c r="AN41" s="162"/>
      <c r="AO41" s="135"/>
      <c r="AP41" s="162"/>
      <c r="AQ41" s="135"/>
      <c r="AR41" s="162"/>
      <c r="AS41" s="135"/>
      <c r="AT41" s="162"/>
      <c r="AU41" s="135"/>
      <c r="AV41" s="162"/>
      <c r="AW41" s="135"/>
    </row>
    <row r="42" spans="1:97 16384:16384" x14ac:dyDescent="0.2">
      <c r="A42" t="s">
        <v>107</v>
      </c>
      <c r="B42" s="162">
        <v>0.10800000000000001</v>
      </c>
      <c r="C42" s="135"/>
      <c r="D42" s="162">
        <v>0.1080000000000013</v>
      </c>
      <c r="E42" s="135"/>
      <c r="F42" s="162">
        <v>0.10799999999999982</v>
      </c>
      <c r="G42" s="135"/>
      <c r="H42" s="162">
        <v>0.10800000000000042</v>
      </c>
      <c r="I42" s="135"/>
      <c r="J42" s="162">
        <v>0.10800000000000071</v>
      </c>
      <c r="K42" s="135"/>
      <c r="L42" s="162">
        <v>0.10799999999999882</v>
      </c>
      <c r="M42" s="135"/>
      <c r="N42" s="162">
        <v>0.10800000000000001</v>
      </c>
      <c r="O42" s="135"/>
      <c r="P42" s="162">
        <v>0.1080000000000011</v>
      </c>
      <c r="Q42" s="135"/>
      <c r="R42" s="162">
        <v>0.10799999999999961</v>
      </c>
      <c r="S42" s="135"/>
      <c r="T42" s="162">
        <v>0.10799999999999982</v>
      </c>
      <c r="U42" s="135"/>
      <c r="V42" s="162">
        <v>0.10799999999999922</v>
      </c>
      <c r="W42" s="135"/>
      <c r="X42" s="162">
        <v>0.10800000000000021</v>
      </c>
      <c r="Y42" s="135"/>
      <c r="Z42" s="162">
        <v>0.10799999999999982</v>
      </c>
      <c r="AA42" s="135"/>
      <c r="AB42" s="162">
        <v>0.10799999999999922</v>
      </c>
      <c r="AC42" s="135"/>
      <c r="AD42" s="162">
        <v>0.10800000000000071</v>
      </c>
      <c r="AE42" s="135"/>
      <c r="AF42" s="162">
        <v>0.10799999999999982</v>
      </c>
      <c r="AG42" s="135"/>
      <c r="AH42" s="162">
        <v>0.10800000000000021</v>
      </c>
      <c r="AI42" s="135"/>
      <c r="AJ42" s="162">
        <v>0.10800000000000051</v>
      </c>
      <c r="AK42" s="135"/>
      <c r="AL42" s="162">
        <v>0.10800000000000051</v>
      </c>
      <c r="AM42" s="135"/>
      <c r="AN42" s="162">
        <v>0.10800000000000021</v>
      </c>
      <c r="AO42" s="135"/>
      <c r="AP42" s="162">
        <v>0.10800000000000001</v>
      </c>
      <c r="AQ42" s="135"/>
      <c r="AR42" s="162">
        <v>0.10800000000000042</v>
      </c>
      <c r="AS42" s="135"/>
      <c r="AT42" s="162">
        <v>0.10799999999999982</v>
      </c>
      <c r="AU42" s="135"/>
      <c r="AV42" s="162">
        <v>0.10799999999999961</v>
      </c>
      <c r="AW42" s="135"/>
      <c r="AX42" s="162"/>
      <c r="AZ42" s="162"/>
      <c r="BB42" s="162"/>
      <c r="BD42" s="162"/>
      <c r="BF42" s="162"/>
      <c r="BH42" s="162"/>
      <c r="BJ42" s="162"/>
      <c r="BL42" s="162"/>
      <c r="BN42" s="162"/>
      <c r="BP42" s="162"/>
      <c r="BR42" s="162"/>
      <c r="BT42" s="162"/>
    </row>
    <row r="43" spans="1:97 16384:16384" x14ac:dyDescent="0.2">
      <c r="A43" t="s">
        <v>108</v>
      </c>
      <c r="B43" s="193">
        <v>0.54976100089584856</v>
      </c>
      <c r="D43" s="193">
        <v>0.55473851280726327</v>
      </c>
      <c r="F43" s="193">
        <v>0.55323966610629616</v>
      </c>
      <c r="H43" s="193">
        <v>0.55174525860819879</v>
      </c>
      <c r="J43" s="193">
        <v>0.55025612697075443</v>
      </c>
      <c r="L43" s="193">
        <v>0.54877329324834589</v>
      </c>
      <c r="N43" s="193">
        <v>0.54729820679883767</v>
      </c>
      <c r="P43" s="193">
        <v>0.54583285219997313</v>
      </c>
      <c r="R43" s="193">
        <v>0.54438027159045932</v>
      </c>
      <c r="T43" s="193">
        <v>0.54294512749884749</v>
      </c>
      <c r="V43" s="193">
        <v>0.54153483851841067</v>
      </c>
      <c r="X43" s="193">
        <v>0.54016130139610863</v>
      </c>
      <c r="Z43" s="193">
        <v>0.53884370991275787</v>
      </c>
      <c r="AB43" s="193">
        <v>0.53761284956708855</v>
      </c>
      <c r="AD43" s="193">
        <v>0.53651662694319457</v>
      </c>
      <c r="AF43" s="193">
        <v>0.53562310368348887</v>
      </c>
      <c r="AH43" s="193">
        <v>0.53500628787398263</v>
      </c>
      <c r="AJ43" s="193">
        <v>0.53469090739676806</v>
      </c>
      <c r="AL43" s="193">
        <v>0.53459291726924829</v>
      </c>
      <c r="AN43" s="193">
        <v>0.53457922254190515</v>
      </c>
      <c r="AP43" s="193">
        <v>0.53457895182145287</v>
      </c>
      <c r="AR43" s="193">
        <v>0.53457884789903787</v>
      </c>
      <c r="AT43" s="193">
        <v>0.53457881582474287</v>
      </c>
      <c r="AV43" s="193">
        <v>0.53457880877139341</v>
      </c>
    </row>
    <row r="44" spans="1:97 16384:16384" x14ac:dyDescent="0.2">
      <c r="A44" t="s">
        <v>142</v>
      </c>
      <c r="B44" s="193">
        <v>0.28997400249337218</v>
      </c>
      <c r="D44" s="193">
        <v>0.29168668251128016</v>
      </c>
      <c r="F44" s="193">
        <v>0.29346941880697763</v>
      </c>
      <c r="H44" s="193">
        <v>0.29533430126089355</v>
      </c>
      <c r="J44" s="193">
        <v>0.29729611010602508</v>
      </c>
      <c r="L44" s="193">
        <v>0.29937308552305691</v>
      </c>
      <c r="N44" s="193">
        <v>0.30158824159214709</v>
      </c>
      <c r="P44" s="193">
        <v>0.30397125414419263</v>
      </c>
      <c r="R44" s="193">
        <v>0.30656167417985208</v>
      </c>
      <c r="T44" s="193">
        <v>0.30941368982477979</v>
      </c>
      <c r="V44" s="193">
        <v>0.31260467952296922</v>
      </c>
      <c r="X44" s="193">
        <v>0.3162496966913389</v>
      </c>
      <c r="Z44" s="193">
        <v>0.32052787840724672</v>
      </c>
      <c r="AB44" s="193">
        <v>0.32573171934497863</v>
      </c>
      <c r="AD44" s="193">
        <v>0.33236047889880305</v>
      </c>
      <c r="AF44" s="193">
        <v>0.34129355608972328</v>
      </c>
      <c r="AH44" s="193">
        <v>0.35408622634990178</v>
      </c>
      <c r="AJ44" s="193">
        <v>0.37347983501312404</v>
      </c>
      <c r="AL44" s="193">
        <v>0.40511258039512604</v>
      </c>
      <c r="AN44" s="193">
        <v>0.46785962244981133</v>
      </c>
      <c r="AP44" s="193">
        <v>0.48990269022041855</v>
      </c>
      <c r="AR44" s="193">
        <v>0.51914591395116494</v>
      </c>
      <c r="AT44" s="193">
        <v>0.56081928739190001</v>
      </c>
      <c r="AV44" s="193">
        <v>0.62781956925649307</v>
      </c>
      <c r="XFD44" s="193"/>
    </row>
    <row r="45" spans="1:97 16384:16384" x14ac:dyDescent="0.2">
      <c r="A45" t="s">
        <v>82</v>
      </c>
      <c r="B45">
        <v>0.2079247050500721</v>
      </c>
      <c r="D45">
        <v>0.20963740168799</v>
      </c>
      <c r="F45">
        <v>0.21142012200322513</v>
      </c>
      <c r="H45">
        <v>0.21328500486127192</v>
      </c>
      <c r="J45">
        <v>0.21524681922456279</v>
      </c>
      <c r="L45">
        <v>0.21732378963208665</v>
      </c>
      <c r="N45">
        <v>0.21953894436119836</v>
      </c>
      <c r="P45">
        <v>0.2219219674118349</v>
      </c>
      <c r="R45">
        <v>0.22451237821261497</v>
      </c>
      <c r="T45">
        <v>0.22736439688444593</v>
      </c>
      <c r="V45">
        <v>0.23055538569828418</v>
      </c>
      <c r="X45">
        <v>0.23420039942147383</v>
      </c>
      <c r="Z45">
        <v>0.23847858136618594</v>
      </c>
      <c r="AB45">
        <v>0.24368242183003211</v>
      </c>
      <c r="AD45">
        <v>0.25031118156127585</v>
      </c>
      <c r="AF45">
        <v>0.25924425853537719</v>
      </c>
      <c r="AH45">
        <v>0.27203692892515824</v>
      </c>
      <c r="AJ45">
        <v>0.2914305375815669</v>
      </c>
      <c r="AL45">
        <v>0.32306328295177539</v>
      </c>
      <c r="AN45">
        <v>0.38581032500652962</v>
      </c>
      <c r="AP45">
        <v>0.40785339277713256</v>
      </c>
      <c r="AR45">
        <v>0.43709661650786746</v>
      </c>
      <c r="AT45">
        <v>0.47876998994859982</v>
      </c>
      <c r="AV45">
        <v>0.54577027181319326</v>
      </c>
    </row>
    <row r="46" spans="1:97 16384:16384" x14ac:dyDescent="0.2">
      <c r="A46" t="s">
        <v>139</v>
      </c>
      <c r="B46">
        <v>8.204929744330007E-2</v>
      </c>
      <c r="D46">
        <v>8.204928082329016E-2</v>
      </c>
      <c r="F46">
        <v>8.2049296803752503E-2</v>
      </c>
      <c r="H46">
        <v>8.2049296399621621E-2</v>
      </c>
      <c r="J46">
        <v>8.2049290881462289E-2</v>
      </c>
      <c r="L46">
        <v>8.204929589097025E-2</v>
      </c>
      <c r="N46">
        <v>8.2049297230948698E-2</v>
      </c>
      <c r="P46">
        <v>8.2049286732357701E-2</v>
      </c>
      <c r="R46">
        <v>8.2049295967237132E-2</v>
      </c>
      <c r="T46">
        <v>8.2049292940333876E-2</v>
      </c>
      <c r="V46">
        <v>8.2049293824684996E-2</v>
      </c>
      <c r="X46">
        <v>8.204929726986504E-2</v>
      </c>
      <c r="Z46">
        <v>8.2049297041060801E-2</v>
      </c>
      <c r="AB46">
        <v>8.2049297514946523E-2</v>
      </c>
      <c r="AD46">
        <v>8.204929733752718E-2</v>
      </c>
      <c r="AF46">
        <v>8.204929755434609E-2</v>
      </c>
      <c r="AH46">
        <v>8.2049297424743511E-2</v>
      </c>
      <c r="AJ46">
        <v>8.2049297431557144E-2</v>
      </c>
      <c r="AL46">
        <v>8.2049297443350697E-2</v>
      </c>
      <c r="AN46">
        <v>8.2049297443281766E-2</v>
      </c>
      <c r="AP46">
        <v>8.2049297443285943E-2</v>
      </c>
      <c r="AR46">
        <v>8.2049297443297475E-2</v>
      </c>
      <c r="AT46">
        <v>8.2049297443300181E-2</v>
      </c>
      <c r="AV46">
        <v>8.2049297443299876E-2</v>
      </c>
    </row>
    <row r="48" spans="1:97 16384:16384" x14ac:dyDescent="0.2">
      <c r="A48" t="s">
        <v>159</v>
      </c>
      <c r="B48">
        <v>1</v>
      </c>
      <c r="D48">
        <v>1.0101118969014191</v>
      </c>
      <c r="F48">
        <v>1.0204602474398838</v>
      </c>
      <c r="H48">
        <v>1.031081060375342</v>
      </c>
      <c r="J48">
        <v>1.0420174406154268</v>
      </c>
      <c r="L48">
        <v>1.0533217021054757</v>
      </c>
      <c r="N48">
        <v>1.0650590060024032</v>
      </c>
      <c r="P48">
        <v>1.0773126538146132</v>
      </c>
      <c r="R48">
        <v>1.0901933233506724</v>
      </c>
      <c r="T48">
        <v>1.1038537273762279</v>
      </c>
      <c r="V48">
        <v>1.1185145638887215</v>
      </c>
      <c r="X48">
        <v>1.1345099172140174</v>
      </c>
      <c r="Z48">
        <v>1.1523692977570699</v>
      </c>
      <c r="AB48">
        <v>1.1729657575261567</v>
      </c>
      <c r="AD48">
        <v>1.1977711990443933</v>
      </c>
      <c r="AF48">
        <v>1.2292145392778069</v>
      </c>
      <c r="AH48">
        <v>1.2707932214457855</v>
      </c>
      <c r="AJ48">
        <v>1.325478659949566</v>
      </c>
      <c r="AL48">
        <v>1.3888797835549134</v>
      </c>
      <c r="AN48">
        <v>1.409976876685431</v>
      </c>
      <c r="AP48">
        <v>1.384762791244778</v>
      </c>
      <c r="AR48">
        <v>1.3266564995305399</v>
      </c>
      <c r="AT48">
        <v>1.1987152621402777</v>
      </c>
      <c r="AV48">
        <v>0.89642812269017291</v>
      </c>
    </row>
    <row r="49" spans="1:48 16321:16384" x14ac:dyDescent="0.2">
      <c r="A49" t="s">
        <v>160</v>
      </c>
      <c r="B49">
        <v>1</v>
      </c>
      <c r="D49">
        <v>0.9960113155344773</v>
      </c>
      <c r="F49">
        <v>0.99141902128141812</v>
      </c>
      <c r="H49">
        <v>0.98613042187254341</v>
      </c>
      <c r="J49">
        <v>0.98003252652659467</v>
      </c>
      <c r="L49">
        <v>0.97298561488935509</v>
      </c>
      <c r="N49">
        <v>0.96481389841981047</v>
      </c>
      <c r="P49">
        <v>0.9552926854171655</v>
      </c>
      <c r="R49">
        <v>0.94412831015996801</v>
      </c>
      <c r="T49">
        <v>0.93092770973350647</v>
      </c>
      <c r="V49">
        <v>0.91514957146064846</v>
      </c>
      <c r="X49">
        <v>0.89602366013997958</v>
      </c>
      <c r="Z49">
        <v>0.87241262396563857</v>
      </c>
      <c r="AB49">
        <v>0.84256827574565429</v>
      </c>
      <c r="AD49">
        <v>0.80369765870901277</v>
      </c>
      <c r="AF49">
        <v>0.75122499125773778</v>
      </c>
      <c r="AH49">
        <v>0.67775420630630423</v>
      </c>
      <c r="AJ49">
        <v>0.57227731228606793</v>
      </c>
      <c r="AL49">
        <v>0.42063024657970877</v>
      </c>
      <c r="AN49">
        <v>0.21006139899388529</v>
      </c>
      <c r="AP49">
        <v>0.16147792658451141</v>
      </c>
      <c r="AR49">
        <v>0.11216038069910178</v>
      </c>
      <c r="AT49">
        <v>6.41430069800904E-2</v>
      </c>
      <c r="AV49">
        <v>2.209623108693725E-2</v>
      </c>
    </row>
    <row r="51" spans="1:48 16321:16384" x14ac:dyDescent="0.2">
      <c r="A51" t="s">
        <v>166</v>
      </c>
      <c r="B51" s="29">
        <v>-372836.41099999985</v>
      </c>
      <c r="D51" s="29">
        <v>-317079.69523944426</v>
      </c>
      <c r="F51" s="29">
        <v>-260156.84747258807</v>
      </c>
      <c r="H51" s="29">
        <v>-201847.78764276532</v>
      </c>
      <c r="J51" s="29">
        <v>-141887.85025335057</v>
      </c>
      <c r="L51" s="29">
        <v>-79952.770692429505</v>
      </c>
      <c r="N51" s="29">
        <v>-15636.930943452753</v>
      </c>
      <c r="P51" s="29">
        <v>51577.983263843693</v>
      </c>
      <c r="R51" s="29">
        <v>122373.09541391535</v>
      </c>
      <c r="T51" s="29">
        <v>197677.59538049204</v>
      </c>
      <c r="V51" s="29">
        <v>278808.55689959088</v>
      </c>
      <c r="X51" s="29">
        <v>367723.19458782813</v>
      </c>
      <c r="Z51" s="29">
        <v>467478.24525593594</v>
      </c>
      <c r="AB51" s="29">
        <v>583094.67357556568</v>
      </c>
      <c r="AD51" s="29">
        <v>723194.79395792261</v>
      </c>
      <c r="AF51" s="29">
        <v>902932.24437290756</v>
      </c>
      <c r="AH51" s="29">
        <v>1148221.6284382748</v>
      </c>
      <c r="AJ51" s="29">
        <v>1498861.8023663894</v>
      </c>
      <c r="AL51" s="29">
        <v>2007971.5946143949</v>
      </c>
      <c r="AN51" s="29">
        <v>2710331.0753824371</v>
      </c>
      <c r="AP51" s="29">
        <v>2846358.0321671786</v>
      </c>
      <c r="AQ51" s="29"/>
      <c r="AR51" s="29">
        <v>2934513.4795120507</v>
      </c>
      <c r="AT51" s="29">
        <v>2880458.324919872</v>
      </c>
      <c r="AV51" s="29">
        <v>2377073.6035664175</v>
      </c>
      <c r="XFD51" s="29"/>
    </row>
    <row r="52" spans="1:48 16321:16384" x14ac:dyDescent="0.2">
      <c r="A52" t="s">
        <v>167</v>
      </c>
      <c r="B52" s="29">
        <v>0</v>
      </c>
      <c r="D52" s="29">
        <v>0</v>
      </c>
      <c r="F52" s="29">
        <v>0</v>
      </c>
      <c r="H52" s="29">
        <v>0</v>
      </c>
      <c r="J52" s="29">
        <v>0</v>
      </c>
      <c r="L52" s="29">
        <v>0</v>
      </c>
      <c r="N52" s="29">
        <v>0</v>
      </c>
      <c r="P52" s="29">
        <v>0</v>
      </c>
      <c r="R52" s="29">
        <v>0</v>
      </c>
      <c r="T52" s="29">
        <v>0</v>
      </c>
      <c r="V52" s="29">
        <v>0</v>
      </c>
      <c r="X52" s="29">
        <v>0</v>
      </c>
      <c r="Z52" s="29">
        <v>0</v>
      </c>
      <c r="AB52" s="29">
        <v>0</v>
      </c>
      <c r="AD52" s="29">
        <v>0</v>
      </c>
      <c r="AF52" s="29">
        <v>0</v>
      </c>
      <c r="AH52" s="29">
        <v>0</v>
      </c>
      <c r="AJ52" s="29">
        <v>0</v>
      </c>
      <c r="AL52" s="29">
        <v>0</v>
      </c>
      <c r="AN52" s="29">
        <v>0</v>
      </c>
      <c r="AP52" s="29">
        <v>0</v>
      </c>
      <c r="AQ52" s="29"/>
      <c r="AR52" s="29">
        <v>0</v>
      </c>
      <c r="AT52" s="29">
        <v>0</v>
      </c>
      <c r="AV52" s="29">
        <v>0</v>
      </c>
    </row>
    <row r="53" spans="1:48 16321:16384" x14ac:dyDescent="0.2">
      <c r="A53" t="s">
        <v>168</v>
      </c>
      <c r="B53" s="29">
        <v>4117761.2200000053</v>
      </c>
      <c r="D53" s="29">
        <v>4079771.855276031</v>
      </c>
      <c r="F53" s="29">
        <v>4040909.3592502298</v>
      </c>
      <c r="H53" s="29">
        <v>4001016.1698994003</v>
      </c>
      <c r="J53" s="29">
        <v>3959899.0578390048</v>
      </c>
      <c r="L53" s="29">
        <v>3917320.0307745263</v>
      </c>
      <c r="N53" s="29">
        <v>3872984.7664857255</v>
      </c>
      <c r="P53" s="29">
        <v>3826524.2352022598</v>
      </c>
      <c r="R53" s="29">
        <v>3777471.1714285449</v>
      </c>
      <c r="T53" s="29">
        <v>3725222.6905325647</v>
      </c>
      <c r="V53" s="29">
        <v>3668982.8591582794</v>
      </c>
      <c r="X53" s="29">
        <v>3607665.331979889</v>
      </c>
      <c r="Z53" s="29">
        <v>3539717.6127245985</v>
      </c>
      <c r="AB53" s="29">
        <v>3462775.5990845133</v>
      </c>
      <c r="AD53" s="29">
        <v>3372922.0251906309</v>
      </c>
      <c r="AF53" s="29">
        <v>3262956.4135471699</v>
      </c>
      <c r="AH53" s="29">
        <v>3118128.6321321041</v>
      </c>
      <c r="AJ53" s="29">
        <v>2905508.0709069292</v>
      </c>
      <c r="AL53" s="29">
        <v>2545722.7534477254</v>
      </c>
      <c r="AN53" s="29">
        <v>1806717.9941970038</v>
      </c>
      <c r="AP53" s="29">
        <v>1558233.8263325316</v>
      </c>
      <c r="AQ53" s="29"/>
      <c r="AR53" s="29">
        <v>1248899.9092446386</v>
      </c>
      <c r="AT53" s="29">
        <v>859288.00623860012</v>
      </c>
      <c r="AV53" s="29">
        <v>381681.72767889517</v>
      </c>
      <c r="XFD53" s="29"/>
    </row>
    <row r="55" spans="1:48 16321:16384" x14ac:dyDescent="0.2">
      <c r="A55" t="s">
        <v>169</v>
      </c>
      <c r="B55" s="193">
        <v>0.20474653863863362</v>
      </c>
      <c r="D55" s="193">
        <v>0.20903545039591973</v>
      </c>
      <c r="F55" s="193">
        <v>0.21342182295457529</v>
      </c>
      <c r="H55" s="193">
        <v>0.21792475348190593</v>
      </c>
      <c r="J55" s="193">
        <v>0.22256736130004598</v>
      </c>
      <c r="L55" s="193">
        <v>0.22737817358400261</v>
      </c>
      <c r="N55" s="193">
        <v>0.23239312787911037</v>
      </c>
      <c r="P55" s="193">
        <v>0.23765846459532633</v>
      </c>
      <c r="R55" s="193">
        <v>0.24323529704165994</v>
      </c>
      <c r="T55" s="193">
        <v>0.24920727281960367</v>
      </c>
      <c r="V55" s="193">
        <v>0.25569308002741931</v>
      </c>
      <c r="X55" s="193">
        <v>0.2628687850490618</v>
      </c>
      <c r="Z55" s="193">
        <v>0.27100839221514378</v>
      </c>
      <c r="AB55" s="193">
        <v>0.28056047297657111</v>
      </c>
      <c r="AD55" s="193">
        <v>0.29229600832276864</v>
      </c>
      <c r="AF55" s="193">
        <v>0.30758910995784433</v>
      </c>
      <c r="AH55" s="193">
        <v>0.3289124923880174</v>
      </c>
      <c r="AJ55" s="193">
        <v>0.36071553659765654</v>
      </c>
      <c r="AL55" s="193">
        <v>0.41225188541708613</v>
      </c>
      <c r="AN55" s="193">
        <v>0.51434200774753225</v>
      </c>
      <c r="AP55" s="193">
        <v>0.5502031466481746</v>
      </c>
      <c r="AR55" s="193">
        <v>0.597777825944934</v>
      </c>
      <c r="AT55" s="193">
        <v>0.66557457363254136</v>
      </c>
      <c r="AV55" s="193">
        <v>0.77457463515514824</v>
      </c>
      <c r="XCS55" s="193"/>
      <c r="XFD55" s="193"/>
    </row>
    <row r="56" spans="1:48 16321:16384" x14ac:dyDescent="0.2">
      <c r="A56" t="s">
        <v>170</v>
      </c>
      <c r="B56" s="193">
        <v>2.933695819171285E-2</v>
      </c>
      <c r="D56" s="193">
        <v>3.4000129901728439E-2</v>
      </c>
      <c r="F56" s="193">
        <v>3.878838698731666E-2</v>
      </c>
      <c r="H56" s="193">
        <v>4.3725289482540057E-2</v>
      </c>
      <c r="J56" s="193">
        <v>4.8839369199976071E-2</v>
      </c>
      <c r="L56" s="193">
        <v>5.4165845684145342E-2</v>
      </c>
      <c r="N56" s="193">
        <v>5.9749111192402921E-2</v>
      </c>
      <c r="P56" s="193">
        <v>6.564635148256219E-2</v>
      </c>
      <c r="R56" s="193">
        <v>7.1933261241059185E-2</v>
      </c>
      <c r="T56" s="193">
        <v>7.8713580043320908E-2</v>
      </c>
      <c r="V56" s="193">
        <v>8.6134712962235682E-2</v>
      </c>
      <c r="X56" s="193">
        <v>9.441549948045376E-2</v>
      </c>
      <c r="Z56" s="193">
        <v>0.10389651225316084</v>
      </c>
      <c r="AB56" s="193">
        <v>0.11513468302117419</v>
      </c>
      <c r="AD56" s="193">
        <v>0.12908479790051208</v>
      </c>
      <c r="AF56" s="193">
        <v>0.14744126191270543</v>
      </c>
      <c r="AH56" s="193">
        <v>0.17323382342443513</v>
      </c>
      <c r="AJ56" s="193">
        <v>0.21187160274080724</v>
      </c>
      <c r="AL56" s="193">
        <v>0.27454885069002616</v>
      </c>
      <c r="AN56" s="193">
        <v>0.39857973414058107</v>
      </c>
      <c r="AP56" s="193">
        <v>0.44210568597936417</v>
      </c>
      <c r="AR56" s="193">
        <v>0.49982143109860899</v>
      </c>
      <c r="AT56" s="193">
        <v>0.58202407299005054</v>
      </c>
      <c r="AV56" s="193">
        <v>0.71409497216778117</v>
      </c>
      <c r="XFD56" s="193"/>
    </row>
    <row r="57" spans="1:48 16321:16384" x14ac:dyDescent="0.2">
      <c r="A57" t="s">
        <v>171</v>
      </c>
      <c r="B57" s="193">
        <v>0.16163977178591823</v>
      </c>
      <c r="D57" s="193">
        <v>0.16131238338216744</v>
      </c>
      <c r="F57" s="193">
        <v>0.16095780472610263</v>
      </c>
      <c r="H57" s="193">
        <v>0.16057168782909073</v>
      </c>
      <c r="J57" s="193">
        <v>0.16014875883118559</v>
      </c>
      <c r="L57" s="193">
        <v>0.15968249490898312</v>
      </c>
      <c r="N57" s="193">
        <v>0.15916464891171808</v>
      </c>
      <c r="P57" s="193">
        <v>0.15858454010696199</v>
      </c>
      <c r="R57" s="193">
        <v>0.15792792734569289</v>
      </c>
      <c r="T57" s="193">
        <v>0.15717517387116337</v>
      </c>
      <c r="V57" s="193">
        <v>0.15629818910864798</v>
      </c>
      <c r="X57" s="193">
        <v>0.1552550980902816</v>
      </c>
      <c r="Y57" s="193"/>
      <c r="Z57" s="193">
        <v>0.1539806744016361</v>
      </c>
      <c r="AB57" s="193">
        <v>0.15236864449963261</v>
      </c>
      <c r="AD57" s="193">
        <v>0.15023854025925579</v>
      </c>
      <c r="AF57" s="193">
        <v>0.14727534491423214</v>
      </c>
      <c r="AH57" s="193">
        <v>0.1429294713577621</v>
      </c>
      <c r="AJ57" s="193">
        <v>0.13624834699523108</v>
      </c>
      <c r="AL57" s="193">
        <v>0.12529097417814167</v>
      </c>
      <c r="AN57" s="193">
        <v>0.10353134607022341</v>
      </c>
      <c r="AP57" s="193">
        <v>9.588661468566323E-2</v>
      </c>
      <c r="AR57" s="193">
        <v>8.5744777769042463E-2</v>
      </c>
      <c r="AT57" s="193">
        <v>7.1292031344391951E-2</v>
      </c>
      <c r="AV57" s="193">
        <v>4.805565352645505E-2</v>
      </c>
      <c r="XFD57" s="193"/>
    </row>
    <row r="58" spans="1:48 16321:16384" x14ac:dyDescent="0.2">
      <c r="A58" t="s">
        <v>172</v>
      </c>
      <c r="B58" s="193">
        <v>1.3769808661002522E-2</v>
      </c>
      <c r="D58" s="193">
        <v>1.3722937112023889E-2</v>
      </c>
      <c r="F58" s="193">
        <v>1.3675631241156002E-2</v>
      </c>
      <c r="H58" s="193">
        <v>1.3627776170275142E-2</v>
      </c>
      <c r="J58" s="193">
        <v>1.3579233268884333E-2</v>
      </c>
      <c r="L58" s="193">
        <v>1.3529832990874164E-2</v>
      </c>
      <c r="N58" s="193">
        <v>1.3479367774989339E-2</v>
      </c>
      <c r="P58" s="193">
        <v>1.3427573005802142E-2</v>
      </c>
      <c r="R58" s="193">
        <v>1.3374108454907869E-2</v>
      </c>
      <c r="T58" s="193">
        <v>1.3318518905119384E-2</v>
      </c>
      <c r="V58" s="193">
        <v>1.3260177956535635E-2</v>
      </c>
      <c r="X58" s="193">
        <v>1.3198187478326481E-2</v>
      </c>
      <c r="Y58" s="193"/>
      <c r="Z58" s="193">
        <v>1.3131205560346809E-2</v>
      </c>
      <c r="AB58" s="193">
        <v>1.3057145455764304E-2</v>
      </c>
      <c r="AD58" s="193">
        <v>1.2972670163000775E-2</v>
      </c>
      <c r="AF58" s="193">
        <v>1.2872503130906725E-2</v>
      </c>
      <c r="AH58" s="193">
        <v>1.2749197605820184E-2</v>
      </c>
      <c r="AJ58" s="193">
        <v>1.2595586861618187E-2</v>
      </c>
      <c r="AL58" s="193">
        <v>1.2412060548918242E-2</v>
      </c>
      <c r="AN58" s="193">
        <v>1.2230927536727798E-2</v>
      </c>
      <c r="AP58" s="193">
        <v>1.22108459831472E-2</v>
      </c>
      <c r="AR58" s="193">
        <v>1.2211617077282511E-2</v>
      </c>
      <c r="AT58" s="193">
        <v>1.2258469298098802E-2</v>
      </c>
      <c r="AV58" s="193">
        <v>1.2424009460911984E-2</v>
      </c>
      <c r="XFD58" s="193"/>
    </row>
    <row r="59" spans="1:48 16321:16384" x14ac:dyDescent="0.2">
      <c r="A59" t="s">
        <v>173</v>
      </c>
      <c r="B59" s="193">
        <v>9.2131398759716778E-4</v>
      </c>
      <c r="D59" s="193">
        <v>5.6407625520105047E-3</v>
      </c>
      <c r="F59" s="193">
        <v>1.0486133069187361E-2</v>
      </c>
      <c r="H59" s="193">
        <v>1.5481139747642534E-2</v>
      </c>
      <c r="J59" s="193">
        <v>2.0654497185823874E-2</v>
      </c>
      <c r="L59" s="193">
        <v>2.6041645327628211E-2</v>
      </c>
      <c r="N59" s="193">
        <v>3.1687245004237849E-2</v>
      </c>
      <c r="P59" s="193">
        <v>3.7648821354665678E-2</v>
      </c>
      <c r="R59" s="193">
        <v>4.4002506926690131E-2</v>
      </c>
      <c r="T59" s="193">
        <v>5.0852632285186862E-2</v>
      </c>
      <c r="V59" s="193">
        <v>5.8347432030463296E-2</v>
      </c>
      <c r="X59" s="193">
        <v>6.670697035829258E-2</v>
      </c>
      <c r="Z59" s="193">
        <v>7.6273721268239142E-2</v>
      </c>
      <c r="AB59" s="193">
        <v>8.7607710865012206E-2</v>
      </c>
      <c r="AD59" s="193">
        <v>0.10166893337344526</v>
      </c>
      <c r="AF59" s="193">
        <v>0.12016052810946592</v>
      </c>
      <c r="AH59" s="193">
        <v>0.1461255807872486</v>
      </c>
      <c r="AJ59" s="193">
        <v>0.18498820804088384</v>
      </c>
      <c r="AL59" s="193">
        <v>0.24794651769771942</v>
      </c>
      <c r="AN59" s="193">
        <v>0.37224986392613624</v>
      </c>
      <c r="AP59" s="193">
        <v>0.41579368800765476</v>
      </c>
      <c r="AR59" s="193">
        <v>0.47347983365366281</v>
      </c>
      <c r="AT59" s="193">
        <v>0.55554781018883015</v>
      </c>
      <c r="AV59" s="193">
        <v>0.6872132316702253</v>
      </c>
      <c r="XFD59" s="193"/>
    </row>
    <row r="60" spans="1:48 16321:16384" x14ac:dyDescent="0.2">
      <c r="A60" t="s">
        <v>174</v>
      </c>
      <c r="B60" s="193">
        <v>2.8415644204115683E-2</v>
      </c>
      <c r="D60" s="193">
        <v>2.8359367349717932E-2</v>
      </c>
      <c r="F60" s="193">
        <v>2.8302253918129301E-2</v>
      </c>
      <c r="H60" s="193">
        <v>2.8244149734897524E-2</v>
      </c>
      <c r="J60" s="193">
        <v>2.8184872014152203E-2</v>
      </c>
      <c r="L60" s="193">
        <v>2.8124200356517123E-2</v>
      </c>
      <c r="N60" s="193">
        <v>2.8061866188165082E-2</v>
      </c>
      <c r="P60" s="193">
        <v>2.7997530127896502E-2</v>
      </c>
      <c r="R60" s="193">
        <v>2.793075431436905E-2</v>
      </c>
      <c r="T60" s="193">
        <v>2.7860947758134042E-2</v>
      </c>
      <c r="V60" s="193">
        <v>2.7787280931772382E-2</v>
      </c>
      <c r="X60" s="193">
        <v>2.770852912216118E-2</v>
      </c>
      <c r="Z60" s="193">
        <v>2.7622790984921694E-2</v>
      </c>
      <c r="AB60" s="193">
        <v>2.7526972156161979E-2</v>
      </c>
      <c r="AD60" s="193">
        <v>2.7415864527066815E-2</v>
      </c>
      <c r="AF60" s="193">
        <v>2.7280733803239504E-2</v>
      </c>
      <c r="AH60" s="193">
        <v>2.7108242637186527E-2</v>
      </c>
      <c r="AJ60" s="193">
        <v>2.6883394699923398E-2</v>
      </c>
      <c r="AL60" s="193">
        <v>2.6602332992306771E-2</v>
      </c>
      <c r="AN60" s="193">
        <v>2.6329870214444811E-2</v>
      </c>
      <c r="AP60" s="193">
        <v>2.6311997971709411E-2</v>
      </c>
      <c r="AR60" s="193">
        <v>2.6341597444946224E-2</v>
      </c>
      <c r="AT60" s="193">
        <v>2.6476262801220396E-2</v>
      </c>
      <c r="AV60" s="193">
        <v>2.6881740497555817E-2</v>
      </c>
      <c r="XFD60" s="193"/>
    </row>
    <row r="62" spans="1:48 16321:16384" x14ac:dyDescent="0.2">
      <c r="A62" t="s">
        <v>175</v>
      </c>
      <c r="B62">
        <v>1</v>
      </c>
      <c r="D62">
        <v>1.0061036739771445</v>
      </c>
      <c r="F62">
        <v>1.0122253624783606</v>
      </c>
      <c r="H62">
        <v>1.0183620362475108</v>
      </c>
      <c r="J62">
        <v>1.0245102033418492</v>
      </c>
      <c r="L62">
        <v>1.0306655194645167</v>
      </c>
      <c r="N62">
        <v>1.0368217719127135</v>
      </c>
      <c r="P62">
        <v>1.0429703544970246</v>
      </c>
      <c r="R62">
        <v>1.0490980058442125</v>
      </c>
      <c r="T62">
        <v>1.0551843026785537</v>
      </c>
      <c r="V62">
        <v>1.0611966170927432</v>
      </c>
      <c r="X62">
        <v>1.067082429788176</v>
      </c>
      <c r="Z62">
        <v>1.0727567055765765</v>
      </c>
      <c r="AB62">
        <v>1.0780825960376861</v>
      </c>
      <c r="AD62">
        <v>1.0828464867881378</v>
      </c>
      <c r="AF62">
        <v>1.0867439264546221</v>
      </c>
      <c r="AH62">
        <v>1.0894419958152235</v>
      </c>
      <c r="AJ62">
        <v>1.0908239353188327</v>
      </c>
      <c r="AL62">
        <v>1.0912536422039454</v>
      </c>
      <c r="AN62">
        <v>1.0913137089368736</v>
      </c>
      <c r="AP62">
        <v>1.0913148963778454</v>
      </c>
      <c r="AR62">
        <v>1.0913153521999361</v>
      </c>
      <c r="AT62">
        <v>1.0913154928853084</v>
      </c>
      <c r="AV62">
        <v>1.0913155238227867</v>
      </c>
    </row>
    <row r="65" spans="1:48 16384:16384" x14ac:dyDescent="0.2">
      <c r="A65" t="s">
        <v>176</v>
      </c>
      <c r="B65" s="191">
        <v>1</v>
      </c>
      <c r="C65" s="191"/>
      <c r="D65" s="191">
        <v>0.99726850813279255</v>
      </c>
      <c r="E65" s="191"/>
      <c r="F65" s="191">
        <v>0.99453585621008889</v>
      </c>
      <c r="G65" s="191"/>
      <c r="H65" s="191">
        <v>0.99180021429672749</v>
      </c>
      <c r="I65" s="191"/>
      <c r="J65" s="191">
        <v>0.98905925793059657</v>
      </c>
      <c r="K65" s="191"/>
      <c r="L65" s="191">
        <v>0.98631038445622887</v>
      </c>
      <c r="M65" s="191"/>
      <c r="N65" s="191">
        <v>0.98355118523659113</v>
      </c>
      <c r="O65" s="191"/>
      <c r="P65" s="191">
        <v>0.98078027911842602</v>
      </c>
      <c r="Q65" s="191"/>
      <c r="R65" s="191">
        <v>0.97799904668722515</v>
      </c>
      <c r="S65" s="191"/>
      <c r="T65" s="191">
        <v>0.97521488162105219</v>
      </c>
      <c r="U65" s="191"/>
      <c r="V65" s="191">
        <v>0.972447179406424</v>
      </c>
      <c r="W65" s="191"/>
      <c r="X65" s="191">
        <v>0.96973857441490252</v>
      </c>
      <c r="Y65" s="191"/>
      <c r="Z65" s="191">
        <v>0.96717585435200248</v>
      </c>
      <c r="AA65" s="191"/>
      <c r="AB65" s="191">
        <v>0.96492857429225731</v>
      </c>
      <c r="AC65" s="191"/>
      <c r="AD65" s="191">
        <v>0.96331663609919704</v>
      </c>
      <c r="AE65" s="191"/>
      <c r="AF65" s="191">
        <v>0.96290630094033502</v>
      </c>
      <c r="AG65" s="191"/>
      <c r="AH65" s="191">
        <v>0.96454649018718819</v>
      </c>
      <c r="AI65" s="191"/>
      <c r="AJ65" s="191">
        <v>0.96903087613170236</v>
      </c>
      <c r="AK65" s="191"/>
      <c r="AL65" s="191">
        <v>0.97626297548599528</v>
      </c>
      <c r="AM65" s="191"/>
      <c r="AN65" s="191">
        <v>0.98534373189139335</v>
      </c>
      <c r="AO65" s="191"/>
      <c r="AP65" s="191">
        <v>0.98743542374770066</v>
      </c>
      <c r="AQ65" s="191"/>
      <c r="AR65" s="191">
        <v>0.98976619514919162</v>
      </c>
      <c r="AS65" s="191"/>
      <c r="AT65" s="191">
        <v>0.99259063056003505</v>
      </c>
      <c r="AU65" s="191"/>
      <c r="AV65" s="191">
        <v>0.99662144741949998</v>
      </c>
    </row>
    <row r="66" spans="1:48 16384:16384" x14ac:dyDescent="0.2">
      <c r="A66" t="s">
        <v>182</v>
      </c>
      <c r="B66" s="191">
        <v>1</v>
      </c>
      <c r="C66" s="191"/>
      <c r="D66" s="191">
        <v>0.99699082399845296</v>
      </c>
      <c r="E66" s="191"/>
      <c r="F66" s="191">
        <v>0.99397506265331714</v>
      </c>
      <c r="G66" s="191"/>
      <c r="H66" s="191">
        <v>0.99095064953533207</v>
      </c>
      <c r="I66" s="191"/>
      <c r="J66" s="191">
        <v>0.98791495280820085</v>
      </c>
      <c r="K66" s="191"/>
      <c r="L66" s="191">
        <v>0.98486500983069192</v>
      </c>
      <c r="M66" s="191"/>
      <c r="N66" s="191">
        <v>0.98179804895482536</v>
      </c>
      <c r="O66" s="191"/>
      <c r="P66" s="191">
        <v>0.97871242007789538</v>
      </c>
      <c r="Q66" s="191"/>
      <c r="R66" s="191">
        <v>0.97560954223032181</v>
      </c>
      <c r="S66" s="191"/>
      <c r="T66" s="191">
        <v>0.97249757319561325</v>
      </c>
      <c r="U66" s="191"/>
      <c r="V66" s="191">
        <v>0.96939819361228541</v>
      </c>
      <c r="W66" s="191"/>
      <c r="X66" s="191">
        <v>0.96635937055277044</v>
      </c>
      <c r="Y66" s="191"/>
      <c r="Z66" s="191">
        <v>0.96347915669625805</v>
      </c>
      <c r="AA66" s="191"/>
      <c r="AB66" s="191">
        <v>0.96094965408268385</v>
      </c>
      <c r="AC66" s="191"/>
      <c r="AD66" s="191">
        <v>0.95913383096118865</v>
      </c>
      <c r="AE66" s="191"/>
      <c r="AF66" s="191">
        <v>0.95867387406883642</v>
      </c>
      <c r="AG66" s="191"/>
      <c r="AH66" s="191">
        <v>0.96052863094841634</v>
      </c>
      <c r="AI66" s="191"/>
      <c r="AJ66" s="191">
        <v>0.96558121743869452</v>
      </c>
      <c r="AK66" s="191"/>
      <c r="AL66" s="191">
        <v>0.97369055883830735</v>
      </c>
      <c r="AM66" s="191"/>
      <c r="AN66" s="191">
        <v>0.98380939303856108</v>
      </c>
      <c r="AO66" s="191"/>
      <c r="AP66" s="191">
        <v>0.98613053797979544</v>
      </c>
      <c r="AQ66" s="191"/>
      <c r="AR66" s="191">
        <v>0.988712817330057</v>
      </c>
      <c r="AS66" s="191"/>
      <c r="AT66" s="191">
        <v>0.99183620155374808</v>
      </c>
      <c r="AU66" s="191"/>
      <c r="AV66" s="191">
        <v>0.99628274050827548</v>
      </c>
      <c r="XFD66" s="191"/>
    </row>
    <row r="67" spans="1:48 16384:16384" x14ac:dyDescent="0.2">
      <c r="A67" t="s">
        <v>183</v>
      </c>
      <c r="B67" s="191">
        <v>1</v>
      </c>
      <c r="C67" s="191"/>
      <c r="D67" s="191">
        <v>1</v>
      </c>
      <c r="E67" s="191"/>
      <c r="F67" s="191">
        <v>1</v>
      </c>
      <c r="G67" s="191"/>
      <c r="H67" s="191">
        <v>1</v>
      </c>
      <c r="I67" s="191"/>
      <c r="J67" s="191">
        <v>1</v>
      </c>
      <c r="K67" s="191"/>
      <c r="L67" s="191">
        <v>1</v>
      </c>
      <c r="M67" s="191"/>
      <c r="N67" s="191">
        <v>1</v>
      </c>
      <c r="O67" s="191"/>
      <c r="P67" s="191">
        <v>1</v>
      </c>
      <c r="Q67" s="191"/>
      <c r="R67" s="191">
        <v>1</v>
      </c>
      <c r="S67" s="191"/>
      <c r="T67" s="191">
        <v>1</v>
      </c>
      <c r="U67" s="191"/>
      <c r="V67" s="191">
        <v>1</v>
      </c>
      <c r="W67" s="191"/>
      <c r="X67" s="191">
        <v>1</v>
      </c>
      <c r="Y67" s="191"/>
      <c r="Z67" s="191">
        <v>1</v>
      </c>
      <c r="AA67" s="191"/>
      <c r="AB67" s="191">
        <v>1</v>
      </c>
      <c r="AC67" s="191"/>
      <c r="AD67" s="191">
        <v>1</v>
      </c>
      <c r="AE67" s="191"/>
      <c r="AF67" s="191">
        <v>1</v>
      </c>
      <c r="AG67" s="191"/>
      <c r="AH67" s="191">
        <v>1</v>
      </c>
      <c r="AI67" s="191"/>
      <c r="AJ67" s="191">
        <v>1</v>
      </c>
      <c r="AK67" s="191"/>
      <c r="AL67" s="191">
        <v>1</v>
      </c>
      <c r="AM67" s="191"/>
      <c r="AN67" s="191">
        <v>1</v>
      </c>
      <c r="AO67" s="191"/>
      <c r="AP67" s="191">
        <v>1</v>
      </c>
      <c r="AQ67" s="191"/>
      <c r="AR67" s="191">
        <v>1</v>
      </c>
      <c r="AS67" s="191"/>
      <c r="AT67" s="191">
        <v>1</v>
      </c>
      <c r="AU67" s="191"/>
      <c r="AV67" s="191">
        <v>1</v>
      </c>
      <c r="XFD67" s="191"/>
    </row>
    <row r="68" spans="1:48 16384:16384" x14ac:dyDescent="0.2">
      <c r="A68" t="s">
        <v>181</v>
      </c>
      <c r="B68" s="191">
        <v>1</v>
      </c>
      <c r="C68" s="191"/>
      <c r="D68" s="191">
        <v>0.99699082399845296</v>
      </c>
      <c r="E68" s="191"/>
      <c r="F68" s="191">
        <v>0.99397506265331714</v>
      </c>
      <c r="G68" s="191"/>
      <c r="H68" s="191">
        <v>0.99095064953533207</v>
      </c>
      <c r="I68" s="191"/>
      <c r="J68" s="191">
        <v>0.98791495280820085</v>
      </c>
      <c r="K68" s="191"/>
      <c r="L68" s="191">
        <v>0.98486500983069192</v>
      </c>
      <c r="M68" s="191"/>
      <c r="N68" s="191">
        <v>0.98179804895482536</v>
      </c>
      <c r="O68" s="191"/>
      <c r="P68" s="191">
        <v>0.97871242007789538</v>
      </c>
      <c r="Q68" s="191"/>
      <c r="R68" s="191">
        <v>0.97560954223032181</v>
      </c>
      <c r="S68" s="191"/>
      <c r="T68" s="191">
        <v>0.97249757319561325</v>
      </c>
      <c r="U68" s="191"/>
      <c r="V68" s="191">
        <v>0.96939819361228541</v>
      </c>
      <c r="W68" s="191"/>
      <c r="X68" s="191">
        <v>0.96635937055277044</v>
      </c>
      <c r="Y68" s="191"/>
      <c r="Z68" s="191">
        <v>0.96347915669625805</v>
      </c>
      <c r="AA68" s="191"/>
      <c r="AB68" s="191">
        <v>0.96094965408268385</v>
      </c>
      <c r="AC68" s="191"/>
      <c r="AD68" s="191">
        <v>0.95913383096118865</v>
      </c>
      <c r="AE68" s="191"/>
      <c r="AF68" s="191">
        <v>0.95867387406883642</v>
      </c>
      <c r="AG68" s="191"/>
      <c r="AH68" s="191">
        <v>0.96052863094841634</v>
      </c>
      <c r="AI68" s="191"/>
      <c r="AJ68" s="191">
        <v>0.96558121743869452</v>
      </c>
      <c r="AK68" s="191"/>
      <c r="AL68" s="191">
        <v>0.97369055883830735</v>
      </c>
      <c r="AM68" s="191"/>
      <c r="AN68" s="191">
        <v>0.98380939303856108</v>
      </c>
      <c r="AO68" s="191"/>
      <c r="AP68" s="191">
        <v>0.98613053797979544</v>
      </c>
      <c r="AQ68" s="191"/>
      <c r="AR68" s="191">
        <v>0.988712817330057</v>
      </c>
      <c r="AS68" s="191"/>
      <c r="AT68" s="191">
        <v>0.99183620155374808</v>
      </c>
      <c r="AU68" s="191"/>
      <c r="AV68" s="191">
        <v>0.99628274050827548</v>
      </c>
      <c r="XFD68" s="191"/>
    </row>
    <row r="69" spans="1:48 16384:16384" x14ac:dyDescent="0.2">
      <c r="A69" t="s">
        <v>177</v>
      </c>
      <c r="B69" s="191">
        <v>1</v>
      </c>
      <c r="C69" s="191"/>
      <c r="D69" s="191">
        <v>1.0015805174724155</v>
      </c>
      <c r="E69" s="191"/>
      <c r="F69" s="191">
        <v>1.0030230408274654</v>
      </c>
      <c r="G69" s="191"/>
      <c r="H69" s="191">
        <v>1.00430681400417</v>
      </c>
      <c r="I69" s="191"/>
      <c r="J69" s="191">
        <v>1.005406262384495</v>
      </c>
      <c r="K69" s="191"/>
      <c r="L69" s="191">
        <v>1.0062895421643236</v>
      </c>
      <c r="M69" s="191"/>
      <c r="N69" s="191">
        <v>1.0069163438668665</v>
      </c>
      <c r="O69" s="191"/>
      <c r="P69" s="191">
        <v>1.0072352958537298</v>
      </c>
      <c r="Q69" s="191"/>
      <c r="R69" s="191">
        <v>1.0071796208099033</v>
      </c>
      <c r="S69" s="191"/>
      <c r="T69" s="191">
        <v>1.006661292254263</v>
      </c>
      <c r="U69" s="191"/>
      <c r="V69" s="191">
        <v>1.0055615318245588</v>
      </c>
      <c r="W69" s="191"/>
      <c r="X69" s="191">
        <v>1.0037157756804849</v>
      </c>
      <c r="Y69" s="191"/>
      <c r="Z69" s="191">
        <v>1.0008875141997091</v>
      </c>
      <c r="AA69" s="191"/>
      <c r="AB69" s="191">
        <v>0.99671889937252622</v>
      </c>
      <c r="AC69" s="191"/>
      <c r="AD69" s="191">
        <v>0.99062631255835853</v>
      </c>
      <c r="AE69" s="191"/>
      <c r="AF69" s="191">
        <v>0.98154790216121934</v>
      </c>
      <c r="AG69" s="191"/>
      <c r="AH69" s="191">
        <v>0.96725341088504102</v>
      </c>
      <c r="AI69" s="191"/>
      <c r="AJ69" s="191">
        <v>0.94231254041164447</v>
      </c>
      <c r="AK69" s="191"/>
      <c r="AL69" s="191">
        <v>0.89153272316993593</v>
      </c>
      <c r="AM69" s="191"/>
      <c r="AN69" s="191">
        <v>0.7586953895718932</v>
      </c>
      <c r="AO69" s="191"/>
      <c r="AP69" s="191">
        <v>0.70502270730935146</v>
      </c>
      <c r="AQ69" s="191"/>
      <c r="AR69" s="191">
        <v>0.63041231147556687</v>
      </c>
      <c r="AS69" s="191"/>
      <c r="AT69" s="191">
        <v>0.52019358593262055</v>
      </c>
      <c r="AU69" s="191"/>
      <c r="AV69" s="191">
        <v>0.34140043382028828</v>
      </c>
    </row>
    <row r="70" spans="1:48 16384:16384" x14ac:dyDescent="0.2">
      <c r="A70" t="s">
        <v>178</v>
      </c>
      <c r="B70" s="138">
        <v>1</v>
      </c>
      <c r="C70" s="138"/>
      <c r="D70" s="138">
        <v>1.0009130008780913</v>
      </c>
      <c r="E70" s="138"/>
      <c r="F70" s="138">
        <v>1.0016700232204969</v>
      </c>
      <c r="G70" s="138"/>
      <c r="H70" s="138">
        <v>1.00224612425864</v>
      </c>
      <c r="I70" s="138"/>
      <c r="J70" s="138">
        <v>1.0026108598850851</v>
      </c>
      <c r="K70" s="138"/>
      <c r="L70" s="138">
        <v>1.0027264426035509</v>
      </c>
      <c r="M70" s="138"/>
      <c r="N70" s="138">
        <v>1.0025449733305498</v>
      </c>
      <c r="O70" s="138"/>
      <c r="P70" s="138">
        <v>1.0020046505281432</v>
      </c>
      <c r="Q70" s="138"/>
      <c r="R70" s="138">
        <v>1.0010235829840084</v>
      </c>
      <c r="S70" s="138"/>
      <c r="T70" s="138">
        <v>0.99949031534327637</v>
      </c>
      <c r="U70" s="138"/>
      <c r="V70" s="138">
        <v>0.99724812408928865</v>
      </c>
      <c r="W70" s="138"/>
      <c r="X70" s="138">
        <v>0.99406843548339896</v>
      </c>
      <c r="Y70" s="138"/>
      <c r="Z70" s="138">
        <v>0.98960367989177256</v>
      </c>
      <c r="AA70" s="138"/>
      <c r="AB70" s="138">
        <v>0.98330014525724851</v>
      </c>
      <c r="AC70" s="138"/>
      <c r="AD70" s="138">
        <v>0.97423060352551072</v>
      </c>
      <c r="AE70" s="138"/>
      <c r="AF70" s="138">
        <v>0.96076447121353292</v>
      </c>
      <c r="AG70" s="138"/>
      <c r="AH70" s="138">
        <v>0.93990568266444052</v>
      </c>
      <c r="AI70" s="138"/>
      <c r="AJ70" s="138">
        <v>0.90579596367235571</v>
      </c>
      <c r="AK70" s="138"/>
      <c r="AL70" s="138">
        <v>0.84469535093443771</v>
      </c>
      <c r="AM70" s="138"/>
      <c r="AN70" s="138">
        <v>0.70810725446370959</v>
      </c>
      <c r="AO70" s="138"/>
      <c r="AP70" s="138">
        <v>0.65686787375262345</v>
      </c>
      <c r="AQ70" s="138"/>
      <c r="AR70" s="138">
        <v>0.58732538188646688</v>
      </c>
      <c r="AS70" s="138"/>
      <c r="AT70" s="138">
        <v>0.48643441188456221</v>
      </c>
      <c r="AU70" s="138"/>
      <c r="AV70" s="138">
        <v>0.32349572066644405</v>
      </c>
    </row>
    <row r="71" spans="1:48 16384:16384" x14ac:dyDescent="0.2">
      <c r="A71" t="s">
        <v>179</v>
      </c>
      <c r="B71" s="138">
        <v>1</v>
      </c>
      <c r="D71" s="138">
        <v>0.92680384878627131</v>
      </c>
      <c r="E71" s="138"/>
      <c r="F71" s="138">
        <v>0.85395457136725206</v>
      </c>
      <c r="G71" s="138"/>
      <c r="H71" s="138">
        <v>0.78152495643361253</v>
      </c>
      <c r="I71" s="138"/>
      <c r="J71" s="138">
        <v>0.70959998281126713</v>
      </c>
      <c r="K71" s="138"/>
      <c r="L71" s="138">
        <v>0.6382825316231715</v>
      </c>
      <c r="M71" s="138"/>
      <c r="N71" s="138">
        <v>0.56770451591010396</v>
      </c>
      <c r="O71" s="138"/>
      <c r="P71" s="138">
        <v>0.49803630303472451</v>
      </c>
      <c r="Q71" s="138"/>
      <c r="R71" s="138">
        <v>0.42951033369200114</v>
      </c>
      <c r="S71" s="138"/>
      <c r="T71" s="138">
        <v>0.3624500264649258</v>
      </c>
      <c r="U71" s="138"/>
      <c r="V71" s="138">
        <v>0.29732012911763089</v>
      </c>
      <c r="W71" s="138"/>
      <c r="X71" s="138">
        <v>0.23480082710695471</v>
      </c>
      <c r="Y71" s="138"/>
      <c r="Z71" s="138">
        <v>0.17590022459000779</v>
      </c>
      <c r="AA71" s="138"/>
      <c r="AB71" s="138">
        <v>0.12210994730723902</v>
      </c>
      <c r="AC71" s="138"/>
      <c r="AD71" s="138">
        <v>7.5568463846802603E-2</v>
      </c>
      <c r="AE71" s="138"/>
      <c r="AF71" s="138">
        <v>3.9033741730908872E-2</v>
      </c>
      <c r="AG71" s="138"/>
      <c r="AH71" s="138">
        <v>1.5050395812607625E-2</v>
      </c>
      <c r="AI71" s="138"/>
      <c r="AJ71" s="138">
        <v>3.6099488175772832E-3</v>
      </c>
      <c r="AK71" s="138"/>
      <c r="AL71" s="138">
        <v>3.9374034687797232E-4</v>
      </c>
      <c r="AM71" s="138"/>
      <c r="AN71" s="138">
        <v>8.7936993565507154E-6</v>
      </c>
      <c r="AO71" s="138"/>
      <c r="AP71" s="138">
        <v>2.7788851124824793E-6</v>
      </c>
      <c r="AQ71" s="138"/>
      <c r="AR71" s="138">
        <v>6.8214143444564919E-7</v>
      </c>
      <c r="AS71" s="138"/>
      <c r="AT71" s="138">
        <v>1.1272565039212343E-7</v>
      </c>
      <c r="AU71" s="138"/>
      <c r="AV71" s="138">
        <v>8.8306502015779967E-9</v>
      </c>
      <c r="XFD71" s="138"/>
    </row>
    <row r="72" spans="1:48 16384:16384" x14ac:dyDescent="0.2">
      <c r="A72" t="s">
        <v>180</v>
      </c>
      <c r="B72" s="138">
        <v>1</v>
      </c>
      <c r="D72" s="138">
        <v>1.0135773885651607</v>
      </c>
      <c r="E72" s="138"/>
      <c r="F72" s="138">
        <v>1.0298861984642134</v>
      </c>
      <c r="G72" s="138"/>
      <c r="H72" s="138">
        <v>1.0492169891304353</v>
      </c>
      <c r="I72" s="138"/>
      <c r="J72" s="138">
        <v>1.071881194268234</v>
      </c>
      <c r="K72" s="138"/>
      <c r="L72" s="138">
        <v>1.0982015572923005</v>
      </c>
      <c r="M72" s="138"/>
      <c r="N72" s="138">
        <v>1.1284914003164841</v>
      </c>
      <c r="O72" s="138"/>
      <c r="P72" s="138">
        <v>1.1630101697204445</v>
      </c>
      <c r="Q72" s="138"/>
      <c r="R72" s="138">
        <v>1.2018838959296305</v>
      </c>
      <c r="S72" s="138"/>
      <c r="T72" s="138">
        <v>1.244961492024901</v>
      </c>
      <c r="U72" s="138"/>
      <c r="V72" s="138">
        <v>1.291546858423966</v>
      </c>
      <c r="W72" s="138"/>
      <c r="X72" s="138">
        <v>1.3399145301876141</v>
      </c>
      <c r="Y72" s="138"/>
      <c r="Z72" s="138">
        <v>1.3864196205850359</v>
      </c>
      <c r="AA72" s="138"/>
      <c r="AB72" s="138">
        <v>1.423888816050829</v>
      </c>
      <c r="AC72" s="138"/>
      <c r="AD72" s="138">
        <v>1.4388905205277072</v>
      </c>
      <c r="AE72" s="138"/>
      <c r="AF72" s="138">
        <v>1.408089775747998</v>
      </c>
      <c r="AG72" s="138"/>
      <c r="AH72" s="138">
        <v>1.2976496175159307</v>
      </c>
      <c r="AI72" s="138"/>
      <c r="AJ72" s="138">
        <v>1.0782332811978801</v>
      </c>
      <c r="AK72" s="138"/>
      <c r="AL72" s="138">
        <v>0.75817566077858345</v>
      </c>
      <c r="AM72" s="138"/>
      <c r="AN72" s="138">
        <v>0.38530257841226112</v>
      </c>
      <c r="AO72" s="138"/>
      <c r="AP72" s="138">
        <v>0.30851118284263884</v>
      </c>
      <c r="AQ72" s="138"/>
      <c r="AR72" s="138">
        <v>0.23149711553044811</v>
      </c>
      <c r="AS72" s="138"/>
      <c r="AT72" s="138">
        <v>0.15436893151463116</v>
      </c>
      <c r="AU72" s="138"/>
      <c r="AV72" s="138">
        <v>7.719209580985327E-2</v>
      </c>
      <c r="XFD72" s="138"/>
    </row>
    <row r="73" spans="1:48 16384:16384" x14ac:dyDescent="0.2">
      <c r="A73" t="s">
        <v>184</v>
      </c>
      <c r="B73" s="193">
        <v>0.47641029008972879</v>
      </c>
      <c r="D73" s="193">
        <v>0.47469761007182087</v>
      </c>
      <c r="E73" s="138"/>
      <c r="F73" s="193">
        <v>0.4729148737761234</v>
      </c>
      <c r="G73" s="138"/>
      <c r="H73" s="193">
        <v>0.47104999132220771</v>
      </c>
      <c r="I73" s="138"/>
      <c r="J73" s="193">
        <v>0.46908818247707595</v>
      </c>
      <c r="K73" s="138"/>
      <c r="L73" s="193">
        <v>0.46701120706004401</v>
      </c>
      <c r="M73" s="138"/>
      <c r="N73" s="193">
        <v>0.46479605099095395</v>
      </c>
      <c r="O73" s="138"/>
      <c r="P73" s="193">
        <v>0.46241303843890863</v>
      </c>
      <c r="Q73" s="138"/>
      <c r="R73" s="193">
        <v>0.45982261840324895</v>
      </c>
      <c r="S73" s="138"/>
      <c r="T73" s="193">
        <v>0.45697060275832119</v>
      </c>
      <c r="U73" s="138"/>
      <c r="V73" s="193">
        <v>0.45377961306013181</v>
      </c>
      <c r="W73" s="138"/>
      <c r="X73" s="193">
        <v>0.45013459589176213</v>
      </c>
      <c r="Y73" s="138"/>
      <c r="Z73" s="193">
        <v>0.44585641417585425</v>
      </c>
      <c r="AA73" s="138"/>
      <c r="AB73" s="193">
        <v>0.4406525732381224</v>
      </c>
      <c r="AC73" s="138"/>
      <c r="AD73" s="193">
        <v>0.4340238136842981</v>
      </c>
      <c r="AE73" s="138"/>
      <c r="AF73" s="193">
        <v>0.42509073649337781</v>
      </c>
      <c r="AG73" s="138"/>
      <c r="AH73" s="193">
        <v>0.4122980662331992</v>
      </c>
      <c r="AI73" s="138"/>
      <c r="AJ73" s="193">
        <v>0.39290445756997694</v>
      </c>
      <c r="AK73" s="138"/>
      <c r="AL73" s="193">
        <v>0.36127171218797494</v>
      </c>
      <c r="AM73" s="138"/>
      <c r="AN73" s="193">
        <v>0.29852467013328959</v>
      </c>
      <c r="AO73" s="138"/>
      <c r="AP73" s="193">
        <v>0.27648160236268271</v>
      </c>
      <c r="AQ73" s="138"/>
      <c r="AR73" s="193">
        <v>0.24723837863193612</v>
      </c>
      <c r="AS73" s="138"/>
      <c r="AT73" s="193">
        <v>0.20556500519120105</v>
      </c>
      <c r="AU73" s="138"/>
      <c r="AV73" s="193">
        <v>0.13856472332660791</v>
      </c>
      <c r="XFD73" s="193"/>
    </row>
    <row r="74" spans="1:48 16384:16384" x14ac:dyDescent="0.2">
      <c r="A74" t="s">
        <v>185</v>
      </c>
      <c r="B74" s="193">
        <v>0.23361570741689888</v>
      </c>
      <c r="D74" s="193">
        <v>0.23361570741689885</v>
      </c>
      <c r="E74" s="138"/>
      <c r="F74" s="193">
        <v>0.23361570741689885</v>
      </c>
      <c r="G74" s="138"/>
      <c r="H74" s="193">
        <v>0.23361570741689888</v>
      </c>
      <c r="I74" s="138"/>
      <c r="J74" s="193">
        <v>0.23361570741689885</v>
      </c>
      <c r="K74" s="138"/>
      <c r="L74" s="193">
        <v>0.23361570741689888</v>
      </c>
      <c r="M74" s="138"/>
      <c r="N74" s="193">
        <v>0.23361570741689888</v>
      </c>
      <c r="O74" s="138"/>
      <c r="P74" s="193">
        <v>0.23361570741689888</v>
      </c>
      <c r="Q74" s="138"/>
      <c r="R74" s="193">
        <v>0.23361570741689888</v>
      </c>
      <c r="S74" s="138"/>
      <c r="T74" s="193">
        <v>0.23361570741689888</v>
      </c>
      <c r="U74" s="138"/>
      <c r="V74" s="193">
        <v>0.23361570741689891</v>
      </c>
      <c r="W74" s="138"/>
      <c r="X74" s="193">
        <v>0.23361570741689888</v>
      </c>
      <c r="Y74" s="138"/>
      <c r="Z74" s="193">
        <v>0.23361570741689888</v>
      </c>
      <c r="AA74" s="138"/>
      <c r="AB74" s="193">
        <v>0.23361570741689891</v>
      </c>
      <c r="AC74" s="138"/>
      <c r="AD74" s="193">
        <v>0.23361570741689891</v>
      </c>
      <c r="AE74" s="138"/>
      <c r="AF74" s="193">
        <v>0.23361570741689891</v>
      </c>
      <c r="AG74" s="138"/>
      <c r="AH74" s="193">
        <v>0.23361570741689888</v>
      </c>
      <c r="AI74" s="138"/>
      <c r="AJ74" s="193">
        <v>0.23361570741689891</v>
      </c>
      <c r="AK74" s="138"/>
      <c r="AL74" s="193">
        <v>0.23361570741689888</v>
      </c>
      <c r="AM74" s="138"/>
      <c r="AN74" s="193">
        <v>0.23361570741689891</v>
      </c>
      <c r="AO74" s="138"/>
      <c r="AP74" s="193">
        <v>0.23361570741689885</v>
      </c>
      <c r="AQ74" s="138"/>
      <c r="AR74" s="193">
        <v>0.23361570741689888</v>
      </c>
      <c r="AS74" s="138"/>
      <c r="AT74" s="193">
        <v>0.23361570741689888</v>
      </c>
      <c r="AU74" s="138"/>
      <c r="AV74" s="193">
        <v>0.23361570741689888</v>
      </c>
      <c r="XFD74" s="193"/>
    </row>
    <row r="75" spans="1:48 16384:16384" x14ac:dyDescent="0.2">
      <c r="A75" t="s">
        <v>186</v>
      </c>
      <c r="B75" s="193">
        <v>0.2079247050500721</v>
      </c>
      <c r="D75" s="193">
        <v>0.20963740168799</v>
      </c>
      <c r="E75" s="138"/>
      <c r="F75" s="193">
        <v>0.21142012200322513</v>
      </c>
      <c r="G75" s="138"/>
      <c r="H75" s="193">
        <v>0.21328500486127192</v>
      </c>
      <c r="I75" s="138"/>
      <c r="J75" s="193">
        <v>0.21524681922456279</v>
      </c>
      <c r="K75" s="138"/>
      <c r="L75" s="193">
        <v>0.21732378963208665</v>
      </c>
      <c r="M75" s="138"/>
      <c r="N75" s="193">
        <v>0.21953894436119836</v>
      </c>
      <c r="O75" s="138"/>
      <c r="P75" s="193">
        <v>0.2219219674118349</v>
      </c>
      <c r="Q75" s="138"/>
      <c r="R75" s="193">
        <v>0.22451237821261497</v>
      </c>
      <c r="S75" s="138"/>
      <c r="T75" s="193">
        <v>0.22736439688444593</v>
      </c>
      <c r="U75" s="138"/>
      <c r="V75" s="193">
        <v>0.23055538569828418</v>
      </c>
      <c r="W75" s="138"/>
      <c r="X75" s="193">
        <v>0.23420039942147383</v>
      </c>
      <c r="Y75" s="138"/>
      <c r="Z75" s="193">
        <v>0.23847858136618594</v>
      </c>
      <c r="AA75" s="138"/>
      <c r="AB75" s="193">
        <v>0.24368242183003211</v>
      </c>
      <c r="AC75" s="138"/>
      <c r="AD75" s="193">
        <v>0.25031118156127585</v>
      </c>
      <c r="AE75" s="138"/>
      <c r="AF75" s="193">
        <v>0.25924425853537719</v>
      </c>
      <c r="AG75" s="138"/>
      <c r="AH75" s="193">
        <v>0.27203692892515824</v>
      </c>
      <c r="AI75" s="138"/>
      <c r="AJ75" s="193">
        <v>0.2914305375815669</v>
      </c>
      <c r="AK75" s="138"/>
      <c r="AL75" s="193">
        <v>0.32306328295177539</v>
      </c>
      <c r="AM75" s="138"/>
      <c r="AN75" s="193">
        <v>0.38581032500652962</v>
      </c>
      <c r="AO75" s="138"/>
      <c r="AP75" s="193">
        <v>0.40785339277713256</v>
      </c>
      <c r="AQ75" s="138"/>
      <c r="AR75" s="193">
        <v>0.43709661650786746</v>
      </c>
      <c r="AS75" s="138"/>
      <c r="AT75" s="193">
        <v>0.47876998994859982</v>
      </c>
      <c r="AU75" s="138"/>
      <c r="AV75" s="193">
        <v>0.54577027181319326</v>
      </c>
      <c r="XFD75" s="193"/>
    </row>
    <row r="76" spans="1:48 16384:16384" x14ac:dyDescent="0.2">
      <c r="A76" t="s">
        <v>187</v>
      </c>
      <c r="B76" s="193">
        <v>0.20173767220514016</v>
      </c>
      <c r="D76" s="193">
        <v>0.20159329412718621</v>
      </c>
      <c r="E76" s="138"/>
      <c r="F76" s="193">
        <v>0.20151363123766847</v>
      </c>
      <c r="G76" s="138"/>
      <c r="H76" s="193">
        <v>0.20150558650969663</v>
      </c>
      <c r="I76" s="138"/>
      <c r="J76" s="193">
        <v>0.20157674369938258</v>
      </c>
      <c r="K76" s="138"/>
      <c r="L76" s="193">
        <v>0.20173516873551098</v>
      </c>
      <c r="M76" s="138"/>
      <c r="N76" s="193">
        <v>0.20198902619622461</v>
      </c>
      <c r="O76" s="138"/>
      <c r="P76" s="193">
        <v>0.20234573456582194</v>
      </c>
      <c r="Q76" s="138"/>
      <c r="R76" s="193">
        <v>0.20281042046012759</v>
      </c>
      <c r="S76" s="138"/>
      <c r="T76" s="193">
        <v>0.20338281122810734</v>
      </c>
      <c r="U76" s="138"/>
      <c r="V76" s="193">
        <v>0.20405160222460303</v>
      </c>
      <c r="W76" s="138"/>
      <c r="X76" s="193">
        <v>0.20478371280338564</v>
      </c>
      <c r="Y76" s="138"/>
      <c r="Z76" s="193">
        <v>0.20550421424347232</v>
      </c>
      <c r="AA76" s="138"/>
      <c r="AB76" s="193">
        <v>0.20605926336823305</v>
      </c>
      <c r="AC76" s="138"/>
      <c r="AD76" s="193">
        <v>0.20615200432255038</v>
      </c>
      <c r="AE76" s="138"/>
      <c r="AF76" s="193">
        <v>0.20525557486183751</v>
      </c>
      <c r="AG76" s="138"/>
      <c r="AH76" s="193">
        <v>0.20259696567384264</v>
      </c>
      <c r="AI76" s="138"/>
      <c r="AJ76" s="193">
        <v>0.19751060952167671</v>
      </c>
      <c r="AK76" s="138"/>
      <c r="AL76" s="193">
        <v>0.19022488948493593</v>
      </c>
      <c r="AM76" s="138"/>
      <c r="AN76" s="193">
        <v>0.18207915642811076</v>
      </c>
      <c r="AO76" s="138"/>
      <c r="AP76" s="193">
        <v>0.18057202460473759</v>
      </c>
      <c r="AQ76" s="138"/>
      <c r="AR76" s="193">
        <v>0.17925009143559154</v>
      </c>
      <c r="AS76" s="138"/>
      <c r="AT76" s="193">
        <v>0.17833452065674979</v>
      </c>
      <c r="AU76" s="138"/>
      <c r="AV76" s="193">
        <v>0.17845940796040249</v>
      </c>
      <c r="XFD76" s="193"/>
    </row>
    <row r="77" spans="1:48 16384:16384" x14ac:dyDescent="0.2">
      <c r="A77" t="s">
        <v>188</v>
      </c>
      <c r="B77" s="193">
        <v>0.11968837476184009</v>
      </c>
      <c r="D77" s="193">
        <v>0.11954401330389605</v>
      </c>
      <c r="E77" s="138"/>
      <c r="F77" s="193">
        <v>0.11946433443391594</v>
      </c>
      <c r="G77" s="138"/>
      <c r="H77" s="193">
        <v>0.11945629011007503</v>
      </c>
      <c r="I77" s="138"/>
      <c r="J77" s="193">
        <v>0.11952745281792029</v>
      </c>
      <c r="K77" s="138"/>
      <c r="L77" s="193">
        <v>0.11968587284454074</v>
      </c>
      <c r="M77" s="138"/>
      <c r="N77" s="193">
        <v>0.11993972896527591</v>
      </c>
      <c r="O77" s="138"/>
      <c r="P77" s="193">
        <v>0.12029644783346426</v>
      </c>
      <c r="Q77" s="138"/>
      <c r="R77" s="193">
        <v>0.12076112449289043</v>
      </c>
      <c r="S77" s="138"/>
      <c r="T77" s="193">
        <v>0.12133351828777343</v>
      </c>
      <c r="U77" s="138"/>
      <c r="V77" s="193">
        <v>0.12200230839991805</v>
      </c>
      <c r="W77" s="138"/>
      <c r="X77" s="193">
        <v>0.1227344155335206</v>
      </c>
      <c r="Y77" s="138"/>
      <c r="Z77" s="193">
        <v>0.1234549172024115</v>
      </c>
      <c r="AA77" s="138"/>
      <c r="AB77" s="193">
        <v>0.12400996585328652</v>
      </c>
      <c r="AC77" s="138"/>
      <c r="AD77" s="193">
        <v>0.12410270698502322</v>
      </c>
      <c r="AE77" s="138"/>
      <c r="AF77" s="193">
        <v>0.12320627730749142</v>
      </c>
      <c r="AG77" s="138"/>
      <c r="AH77" s="193">
        <v>0.12054766824909913</v>
      </c>
      <c r="AI77" s="138"/>
      <c r="AJ77" s="193">
        <v>0.11546131209011953</v>
      </c>
      <c r="AK77" s="138"/>
      <c r="AL77" s="193">
        <v>0.10817559204158526</v>
      </c>
      <c r="AM77" s="138"/>
      <c r="AN77" s="193">
        <v>0.100029858984829</v>
      </c>
      <c r="AO77" s="138"/>
      <c r="AP77" s="193">
        <v>9.8522727161451634E-2</v>
      </c>
      <c r="AQ77" s="138"/>
      <c r="AR77" s="193">
        <v>9.720079399229406E-2</v>
      </c>
      <c r="AS77" s="138"/>
      <c r="AT77" s="193">
        <v>9.6285223213449594E-2</v>
      </c>
      <c r="AU77" s="138"/>
      <c r="AV77" s="193">
        <v>9.6410110517102604E-2</v>
      </c>
      <c r="XFD77" s="193"/>
    </row>
    <row r="78" spans="1:48 16384:16384" x14ac:dyDescent="0.2">
      <c r="A78" t="s">
        <v>189</v>
      </c>
      <c r="B78" s="193">
        <v>0.35290083755094986</v>
      </c>
      <c r="D78" s="193">
        <v>0.35218606442597966</v>
      </c>
      <c r="E78" s="138"/>
      <c r="F78" s="193">
        <v>0.35141192805164778</v>
      </c>
      <c r="G78" s="138"/>
      <c r="H78" s="193">
        <v>0.35056893566088693</v>
      </c>
      <c r="I78" s="138"/>
      <c r="J78" s="193">
        <v>0.34964557307362243</v>
      </c>
      <c r="K78" s="138"/>
      <c r="L78" s="193">
        <v>0.34862759930430764</v>
      </c>
      <c r="M78" s="138"/>
      <c r="N78" s="193">
        <v>0.34749700872144762</v>
      </c>
      <c r="O78" s="138"/>
      <c r="P78" s="193">
        <v>0.34623048256475775</v>
      </c>
      <c r="Q78" s="138"/>
      <c r="R78" s="193">
        <v>0.34479692877750112</v>
      </c>
      <c r="S78" s="138"/>
      <c r="T78" s="193">
        <v>0.34315347531674595</v>
      </c>
      <c r="U78" s="138"/>
      <c r="V78" s="193">
        <v>0.34123879330136286</v>
      </c>
      <c r="W78" s="138"/>
      <c r="X78" s="193">
        <v>0.33896145900847435</v>
      </c>
      <c r="Y78" s="138"/>
      <c r="Z78" s="193">
        <v>0.33617906655843044</v>
      </c>
      <c r="AA78" s="138"/>
      <c r="AB78" s="193">
        <v>0.3326595937319648</v>
      </c>
      <c r="AC78" s="138"/>
      <c r="AD78" s="193">
        <v>0.32800903263235448</v>
      </c>
      <c r="AE78" s="138"/>
      <c r="AF78" s="193">
        <v>0.32153962138951636</v>
      </c>
      <c r="AG78" s="138"/>
      <c r="AH78" s="193">
        <v>0.3120514712849603</v>
      </c>
      <c r="AI78" s="138"/>
      <c r="AJ78" s="193">
        <v>0.29746487352524204</v>
      </c>
      <c r="AK78" s="138"/>
      <c r="AL78" s="193">
        <v>0.27354213540467526</v>
      </c>
      <c r="AM78" s="138"/>
      <c r="AN78" s="193">
        <v>0.22603532034588353</v>
      </c>
      <c r="AO78" s="138"/>
      <c r="AP78" s="193">
        <v>0.20934492296320309</v>
      </c>
      <c r="AQ78" s="138"/>
      <c r="AR78" s="193">
        <v>0.18720270765006294</v>
      </c>
      <c r="AS78" s="138"/>
      <c r="AT78" s="193">
        <v>0.15564867795786866</v>
      </c>
      <c r="AU78" s="138"/>
      <c r="AV78" s="193">
        <v>0.10491774183935387</v>
      </c>
      <c r="XFD78" s="193"/>
    </row>
    <row r="79" spans="1:48 16384:16384" x14ac:dyDescent="0.2">
      <c r="A79" t="s">
        <v>190</v>
      </c>
      <c r="B79" s="193">
        <v>0.44235262381041718</v>
      </c>
      <c r="D79" s="193">
        <v>0.43877851381865024</v>
      </c>
      <c r="F79" s="193">
        <v>0.43516624684795718</v>
      </c>
      <c r="H79" s="193">
        <v>0.43150630702900339</v>
      </c>
      <c r="J79" s="193">
        <v>0.42778708146948013</v>
      </c>
      <c r="L79" s="193">
        <v>0.42399422047681856</v>
      </c>
      <c r="N79" s="193">
        <v>0.42010986613586931</v>
      </c>
      <c r="P79" s="193">
        <v>0.41611105676033133</v>
      </c>
      <c r="R79" s="193">
        <v>0.41196777493957587</v>
      </c>
      <c r="T79" s="193">
        <v>0.40763925431525383</v>
      </c>
      <c r="V79" s="193">
        <v>0.4030681289489686</v>
      </c>
      <c r="X79" s="193">
        <v>0.39816975686698292</v>
      </c>
      <c r="Z79" s="193">
        <v>0.3928125438451307</v>
      </c>
      <c r="AB79" s="193">
        <v>0.38677993528719395</v>
      </c>
      <c r="AD79" s="193">
        <v>0.37969495784532142</v>
      </c>
      <c r="AF79" s="193">
        <v>0.37087127144344784</v>
      </c>
      <c r="AH79" s="193">
        <v>0.35903603623899438</v>
      </c>
      <c r="AJ79" s="193">
        <v>0.34181958975708138</v>
      </c>
      <c r="AL79" s="193">
        <v>0.31420597921292165</v>
      </c>
      <c r="AN79" s="193">
        <v>0.2596226719345216</v>
      </c>
      <c r="AP79" s="193">
        <v>0.24045193040749605</v>
      </c>
      <c r="AR79" s="193">
        <v>0.21501946640672287</v>
      </c>
      <c r="AT79" s="193">
        <v>0.17877674840875379</v>
      </c>
      <c r="AV79" s="193">
        <v>0.12050762300575511</v>
      </c>
      <c r="XFD79" s="193"/>
    </row>
    <row r="80" spans="1:48 16384:16384" x14ac:dyDescent="0.2">
      <c r="A80" t="s">
        <v>169</v>
      </c>
      <c r="B80" s="236">
        <v>0.20474653863863362</v>
      </c>
      <c r="D80" s="236">
        <v>0.20903545039591973</v>
      </c>
      <c r="F80" s="236">
        <v>0.21342182295457529</v>
      </c>
      <c r="H80" s="236">
        <v>0.21792475348190593</v>
      </c>
      <c r="J80" s="236">
        <v>0.22256736130004598</v>
      </c>
      <c r="L80" s="236">
        <v>0.22737817358400261</v>
      </c>
      <c r="N80" s="236">
        <v>0.23239312787911037</v>
      </c>
      <c r="P80" s="236">
        <v>0.23765846459532633</v>
      </c>
      <c r="R80" s="236">
        <v>0.24323529704165994</v>
      </c>
      <c r="T80" s="236">
        <v>0.24920727281960367</v>
      </c>
      <c r="V80" s="236">
        <v>0.25569308002741931</v>
      </c>
      <c r="X80" s="236">
        <v>0.2628687850490618</v>
      </c>
      <c r="Z80" s="236">
        <v>0.27100839221514378</v>
      </c>
      <c r="AB80" s="236">
        <v>0.28056047297657111</v>
      </c>
      <c r="AD80" s="236">
        <v>0.29229600832276864</v>
      </c>
      <c r="AF80" s="236">
        <v>0.30758910995784433</v>
      </c>
      <c r="AH80" s="236">
        <v>0.3289124923880174</v>
      </c>
      <c r="AJ80" s="236">
        <v>0.36071553659765654</v>
      </c>
      <c r="AL80" s="236">
        <v>0.41225188541708613</v>
      </c>
      <c r="AN80" s="236">
        <v>0.51434200774753225</v>
      </c>
      <c r="AP80" s="236">
        <v>0.5502031466481746</v>
      </c>
      <c r="AR80" s="236">
        <v>0.597777825944934</v>
      </c>
      <c r="AT80" s="236">
        <v>0.66557457363254136</v>
      </c>
      <c r="AV80" s="236">
        <v>0.77457463515514824</v>
      </c>
      <c r="XFD80" s="236"/>
    </row>
    <row r="81" spans="1:48 16384:16384" x14ac:dyDescent="0.2">
      <c r="A81" t="s">
        <v>191</v>
      </c>
      <c r="B81" s="236">
        <v>-2.8869168778265276E-2</v>
      </c>
      <c r="D81" s="236">
        <v>-2.4580257020979133E-2</v>
      </c>
      <c r="F81" s="236">
        <v>-2.0193884462323564E-2</v>
      </c>
      <c r="H81" s="236">
        <v>-1.5690953934992938E-2</v>
      </c>
      <c r="J81" s="236">
        <v>-1.1048346116852882E-2</v>
      </c>
      <c r="L81" s="236">
        <v>-6.2375338328962701E-3</v>
      </c>
      <c r="N81" s="236">
        <v>-1.2225795377885102E-3</v>
      </c>
      <c r="P81" s="236">
        <v>4.0427571784274691E-3</v>
      </c>
      <c r="R81" s="236">
        <v>9.6195896247610498E-3</v>
      </c>
      <c r="T81" s="236">
        <v>1.5591565402704777E-2</v>
      </c>
      <c r="V81" s="236">
        <v>2.2077372610520406E-2</v>
      </c>
      <c r="X81" s="236">
        <v>2.9253077632162935E-2</v>
      </c>
      <c r="Z81" s="236">
        <v>3.7392684798244875E-2</v>
      </c>
      <c r="AB81" s="236">
        <v>4.6944765559672211E-2</v>
      </c>
      <c r="AD81" s="236">
        <v>5.8680300905869745E-2</v>
      </c>
      <c r="AF81" s="236">
        <v>7.3973402540945407E-2</v>
      </c>
      <c r="AH81" s="236">
        <v>9.5296784971118542E-2</v>
      </c>
      <c r="AJ81" s="236">
        <v>0.12709982918075763</v>
      </c>
      <c r="AL81" s="236">
        <v>0.17863617800018725</v>
      </c>
      <c r="AN81" s="236">
        <v>0.28072630033063339</v>
      </c>
      <c r="AP81" s="236">
        <v>0.31658743923127575</v>
      </c>
      <c r="AR81" s="236">
        <v>0.36416211852803509</v>
      </c>
      <c r="AT81" s="236">
        <v>0.4319588662156425</v>
      </c>
      <c r="AV81" s="236">
        <v>0.54095892773824927</v>
      </c>
      <c r="XFD81" s="236"/>
    </row>
    <row r="82" spans="1:48 16384:16384" x14ac:dyDescent="0.2">
      <c r="A82" t="s">
        <v>192</v>
      </c>
      <c r="B82" s="236">
        <v>0</v>
      </c>
      <c r="D82" s="236">
        <v>0</v>
      </c>
      <c r="F82" s="236">
        <v>0</v>
      </c>
      <c r="H82" s="236">
        <v>0</v>
      </c>
      <c r="J82" s="236">
        <v>0</v>
      </c>
      <c r="L82" s="236">
        <v>0</v>
      </c>
      <c r="N82" s="236">
        <v>0</v>
      </c>
      <c r="P82" s="236">
        <v>0</v>
      </c>
      <c r="R82" s="236">
        <v>0</v>
      </c>
      <c r="T82" s="236">
        <v>0</v>
      </c>
      <c r="V82" s="236">
        <v>0</v>
      </c>
      <c r="X82" s="236">
        <v>0</v>
      </c>
      <c r="Z82" s="236">
        <v>0</v>
      </c>
      <c r="AB82" s="236">
        <v>0</v>
      </c>
      <c r="AD82" s="236">
        <v>0</v>
      </c>
      <c r="AF82" s="236">
        <v>0</v>
      </c>
      <c r="AH82" s="236">
        <v>0</v>
      </c>
      <c r="AJ82" s="236">
        <v>0</v>
      </c>
      <c r="AL82" s="236">
        <v>0</v>
      </c>
      <c r="AN82" s="236">
        <v>0</v>
      </c>
      <c r="AP82" s="236">
        <v>0</v>
      </c>
      <c r="AR82" s="236">
        <v>0</v>
      </c>
      <c r="AT82" s="236">
        <v>0</v>
      </c>
      <c r="AV82" s="236">
        <v>0</v>
      </c>
    </row>
    <row r="83" spans="1:48 16384:16384" x14ac:dyDescent="0.2">
      <c r="A83" t="s">
        <v>193</v>
      </c>
      <c r="B83" s="236">
        <v>0.31884317127163775</v>
      </c>
      <c r="D83" s="236">
        <v>0.31626698995630548</v>
      </c>
      <c r="F83" s="236">
        <v>0.31366330548735299</v>
      </c>
      <c r="H83" s="236">
        <v>0.31102525892511823</v>
      </c>
      <c r="J83" s="236">
        <v>0.30834447981758628</v>
      </c>
      <c r="L83" s="236">
        <v>0.30561062505557407</v>
      </c>
      <c r="N83" s="236">
        <v>0.30281082283954425</v>
      </c>
      <c r="P83" s="236">
        <v>0.29992852262478681</v>
      </c>
      <c r="R83" s="236">
        <v>0.29694208817386786</v>
      </c>
      <c r="T83" s="236">
        <v>0.29382213551961389</v>
      </c>
      <c r="V83" s="236">
        <v>0.29052731589016989</v>
      </c>
      <c r="X83" s="236">
        <v>0.28699662023104766</v>
      </c>
      <c r="Z83" s="236">
        <v>0.28313519679390053</v>
      </c>
      <c r="AB83" s="236">
        <v>0.27878695527769937</v>
      </c>
      <c r="AD83" s="236">
        <v>0.27368017721341281</v>
      </c>
      <c r="AF83" s="236">
        <v>0.26732015581137963</v>
      </c>
      <c r="AH83" s="236">
        <v>0.25878944134917498</v>
      </c>
      <c r="AJ83" s="236">
        <v>0.24638000575673641</v>
      </c>
      <c r="AL83" s="236">
        <v>0.22647640242706973</v>
      </c>
      <c r="AN83" s="236">
        <v>0.18713332214594516</v>
      </c>
      <c r="AP83" s="236">
        <v>0.17331525100746498</v>
      </c>
      <c r="AR83" s="236">
        <v>0.15498379542479476</v>
      </c>
      <c r="AT83" s="236">
        <v>0.12886042117545685</v>
      </c>
      <c r="AV83" s="236">
        <v>8.6860641518494125E-2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Feuil8"/>
  <dimension ref="A1:XFD83"/>
  <sheetViews>
    <sheetView workbookViewId="0">
      <pane xSplit="1" ySplit="1" topLeftCell="B35" activePane="bottomRight" state="frozen"/>
      <selection pane="topRight" activeCell="B1" sqref="B1"/>
      <selection pane="bottomLeft" activeCell="A2" sqref="A2"/>
      <selection pane="bottomRight" activeCell="B76" sqref="B76"/>
    </sheetView>
  </sheetViews>
  <sheetFormatPr baseColWidth="10" defaultRowHeight="10" x14ac:dyDescent="0.2"/>
  <sheetData>
    <row r="1" spans="1:95" ht="10.5" x14ac:dyDescent="0.25">
      <c r="B1" s="94">
        <v>0</v>
      </c>
      <c r="D1" s="94">
        <v>0.05</v>
      </c>
      <c r="F1" s="94">
        <v>0.1</v>
      </c>
      <c r="H1" s="94">
        <v>0.15000000000000002</v>
      </c>
      <c r="J1" s="94">
        <v>0.2</v>
      </c>
      <c r="L1" s="94">
        <v>0.25</v>
      </c>
      <c r="N1" s="94">
        <v>0.3</v>
      </c>
      <c r="P1" s="94">
        <v>0.35</v>
      </c>
      <c r="R1" s="196">
        <v>0.25</v>
      </c>
      <c r="S1" s="96"/>
      <c r="T1" s="94"/>
      <c r="V1" s="94"/>
      <c r="X1" s="94"/>
      <c r="Z1" s="94"/>
      <c r="AB1" s="94"/>
      <c r="AD1" s="94"/>
      <c r="AF1" s="94"/>
      <c r="AH1" s="94"/>
      <c r="AJ1" s="94"/>
      <c r="AL1" s="94"/>
      <c r="AN1" s="94"/>
      <c r="AP1" s="94"/>
      <c r="AR1" s="94"/>
      <c r="AT1" s="94"/>
      <c r="AV1" s="94"/>
      <c r="AX1" s="94"/>
      <c r="AZ1" s="94"/>
      <c r="BB1" s="94"/>
      <c r="BD1" s="94"/>
      <c r="BF1" s="94"/>
      <c r="BH1" s="94"/>
      <c r="BJ1" s="94"/>
      <c r="BL1" s="94"/>
      <c r="BN1" s="94"/>
      <c r="BP1" s="94"/>
      <c r="BR1" s="94"/>
      <c r="BT1" s="94"/>
      <c r="BV1" s="94"/>
      <c r="BX1" s="94"/>
      <c r="BZ1" s="94"/>
      <c r="CB1" s="94"/>
      <c r="CD1" s="94"/>
      <c r="CF1" s="94"/>
      <c r="CH1" s="94"/>
      <c r="CJ1" s="94"/>
      <c r="CL1" s="94"/>
      <c r="CN1" s="94"/>
      <c r="CP1" s="94"/>
    </row>
    <row r="2" spans="1:95" ht="10.5" x14ac:dyDescent="0.25">
      <c r="A2" s="229" t="s">
        <v>155</v>
      </c>
      <c r="B2" s="226">
        <v>0.16485636072655629</v>
      </c>
      <c r="C2" s="227"/>
      <c r="D2" s="226">
        <v>0.21619906140400463</v>
      </c>
      <c r="E2" s="227"/>
      <c r="F2" s="226">
        <v>0.27562774659217937</v>
      </c>
      <c r="G2" s="227"/>
      <c r="H2" s="226">
        <v>0.34574277892140087</v>
      </c>
      <c r="I2" s="227"/>
      <c r="J2" s="226">
        <v>0.43063217032492157</v>
      </c>
      <c r="K2" s="227"/>
      <c r="L2" s="226">
        <v>0.53736709746979761</v>
      </c>
      <c r="M2" s="227"/>
      <c r="N2" s="226">
        <v>0.68053136476396725</v>
      </c>
      <c r="O2" s="227"/>
      <c r="P2" s="226">
        <v>0.91048066948024797</v>
      </c>
      <c r="Q2" s="227"/>
      <c r="R2" s="230">
        <v>1.0292118005842956</v>
      </c>
      <c r="S2" s="231"/>
      <c r="T2" s="226"/>
      <c r="U2" s="227"/>
      <c r="V2" s="226"/>
      <c r="W2" s="227"/>
      <c r="X2" s="226"/>
      <c r="Y2" s="227"/>
      <c r="Z2" s="226"/>
      <c r="AA2" s="227"/>
      <c r="AB2" s="226"/>
      <c r="AC2" s="227"/>
      <c r="AD2" s="226"/>
      <c r="AE2" s="227"/>
      <c r="AF2" s="226"/>
      <c r="AG2" s="227"/>
      <c r="AH2" s="226"/>
      <c r="AI2" s="227"/>
      <c r="AJ2" s="226"/>
      <c r="AK2" s="227"/>
      <c r="AL2" s="226"/>
      <c r="AM2" s="227"/>
      <c r="AN2" s="226"/>
      <c r="AO2" s="227"/>
      <c r="AP2" s="226"/>
      <c r="AQ2" s="227"/>
      <c r="AR2" s="226"/>
      <c r="AS2" s="227"/>
      <c r="AT2" s="226"/>
      <c r="AU2" s="227"/>
      <c r="AV2" s="226"/>
      <c r="AW2" s="227"/>
      <c r="AX2" s="226"/>
      <c r="AY2" s="228"/>
      <c r="AZ2" s="226"/>
      <c r="BA2" s="228"/>
      <c r="BB2" s="226"/>
      <c r="BC2" s="228"/>
      <c r="BD2" s="226"/>
      <c r="BE2" s="228"/>
      <c r="BF2" s="226"/>
      <c r="BG2" s="228"/>
      <c r="BH2" s="226"/>
      <c r="BI2" s="228"/>
      <c r="BJ2" s="226"/>
      <c r="BK2" s="228"/>
      <c r="BL2" s="226"/>
      <c r="BM2" s="228"/>
      <c r="BN2" s="226"/>
      <c r="BO2" s="228"/>
      <c r="BP2" s="226"/>
      <c r="BQ2" s="228"/>
      <c r="BR2" s="226"/>
      <c r="BS2" s="228"/>
      <c r="BT2" s="226"/>
      <c r="BU2" s="228"/>
      <c r="BV2" s="226"/>
      <c r="BW2" s="228"/>
      <c r="BX2" s="226"/>
      <c r="BY2" s="228"/>
      <c r="BZ2" s="226"/>
      <c r="CA2" s="228"/>
      <c r="CB2" s="226"/>
      <c r="CC2" s="228"/>
      <c r="CD2" s="226"/>
      <c r="CE2" s="228"/>
      <c r="CF2" s="226"/>
      <c r="CG2" s="228"/>
      <c r="CH2" s="226"/>
      <c r="CI2" s="228"/>
      <c r="CJ2" s="226"/>
      <c r="CK2" s="228"/>
      <c r="CL2" s="226"/>
      <c r="CM2" s="228"/>
      <c r="CN2" s="226"/>
      <c r="CO2" s="228"/>
      <c r="CP2" s="226"/>
      <c r="CQ2" s="228"/>
    </row>
    <row r="3" spans="1:95" ht="10.5" x14ac:dyDescent="0.25">
      <c r="A3" t="s">
        <v>12</v>
      </c>
      <c r="B3" s="84">
        <v>1000</v>
      </c>
      <c r="C3" s="85">
        <v>1000</v>
      </c>
      <c r="D3" s="84">
        <v>997.53897519251655</v>
      </c>
      <c r="E3" s="85">
        <v>1036.1433634716275</v>
      </c>
      <c r="F3" s="84">
        <v>995.07871411152269</v>
      </c>
      <c r="G3" s="85">
        <v>1078.126149738353</v>
      </c>
      <c r="H3" s="84">
        <v>992.62011076227543</v>
      </c>
      <c r="I3" s="85">
        <v>1127.6730055754865</v>
      </c>
      <c r="J3" s="84">
        <v>990.16831798891076</v>
      </c>
      <c r="K3" s="85">
        <v>1187.4177746182463</v>
      </c>
      <c r="L3" s="84">
        <v>987.73555616561418</v>
      </c>
      <c r="M3" s="85">
        <v>1261.7641138864394</v>
      </c>
      <c r="N3" s="84">
        <v>985.34460616661079</v>
      </c>
      <c r="O3" s="85">
        <v>1359.4026256680206</v>
      </c>
      <c r="P3" s="84">
        <v>982.99867912623461</v>
      </c>
      <c r="Q3" s="85">
        <v>1508.3632485211906</v>
      </c>
      <c r="R3" s="197">
        <v>984.549858024336</v>
      </c>
      <c r="S3" s="198">
        <v>1481.6852299582974</v>
      </c>
      <c r="T3" s="84"/>
      <c r="U3" s="85"/>
      <c r="V3" s="84"/>
      <c r="W3" s="85"/>
      <c r="X3" s="84"/>
      <c r="Y3" s="85"/>
      <c r="Z3" s="84"/>
      <c r="AA3" s="85"/>
      <c r="AB3" s="84"/>
      <c r="AC3" s="85"/>
      <c r="AD3" s="84"/>
      <c r="AE3" s="85"/>
      <c r="AF3" s="84"/>
      <c r="AG3" s="85"/>
      <c r="AH3" s="84"/>
      <c r="AI3" s="85"/>
      <c r="AJ3" s="84"/>
      <c r="AK3" s="85"/>
      <c r="AL3" s="84"/>
      <c r="AM3" s="85"/>
      <c r="AN3" s="84"/>
      <c r="AO3" s="85"/>
      <c r="AP3" s="84"/>
      <c r="AQ3" s="85"/>
      <c r="AR3" s="84"/>
      <c r="AS3" s="85"/>
      <c r="AT3" s="84"/>
      <c r="AU3" s="85"/>
      <c r="AV3" s="84"/>
      <c r="AW3" s="85"/>
      <c r="AX3" s="84"/>
      <c r="AY3" s="85"/>
      <c r="AZ3" s="84"/>
      <c r="BA3" s="85"/>
      <c r="BB3" s="84"/>
      <c r="BC3" s="85"/>
      <c r="BD3" s="84"/>
      <c r="BE3" s="85"/>
      <c r="BF3" s="84"/>
      <c r="BG3" s="85"/>
      <c r="BH3" s="84"/>
      <c r="BI3" s="85"/>
      <c r="BJ3" s="84"/>
      <c r="BK3" s="85"/>
      <c r="BL3" s="84"/>
      <c r="BM3" s="85"/>
      <c r="BN3" s="84"/>
      <c r="BO3" s="85"/>
      <c r="BP3" s="84"/>
      <c r="BQ3" s="85"/>
      <c r="BR3" s="84"/>
      <c r="BS3" s="85"/>
      <c r="BT3" s="84"/>
      <c r="BU3" s="85"/>
      <c r="BV3" s="84"/>
      <c r="BW3" s="85"/>
      <c r="BX3" s="84"/>
      <c r="BY3" s="85"/>
      <c r="BZ3" s="84"/>
      <c r="CA3" s="85"/>
      <c r="CB3" s="84"/>
      <c r="CC3" s="85"/>
      <c r="CD3" s="84"/>
      <c r="CE3" s="85"/>
      <c r="CF3" s="84"/>
      <c r="CG3" s="85"/>
      <c r="CH3" s="84"/>
      <c r="CI3" s="85"/>
      <c r="CJ3" s="84"/>
      <c r="CK3" s="85"/>
      <c r="CL3" s="84"/>
      <c r="CM3" s="85"/>
      <c r="CN3" s="84"/>
      <c r="CO3" s="85"/>
      <c r="CP3" s="84"/>
      <c r="CQ3" s="85"/>
    </row>
    <row r="4" spans="1:95" ht="10.5" x14ac:dyDescent="0.25">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99">
        <v>1000</v>
      </c>
      <c r="S4" s="200">
        <v>1000</v>
      </c>
      <c r="T4" s="101"/>
      <c r="U4" s="102"/>
      <c r="V4" s="101"/>
      <c r="W4" s="102"/>
      <c r="X4" s="101"/>
      <c r="Y4" s="102"/>
      <c r="Z4" s="101"/>
      <c r="AA4" s="102"/>
      <c r="AB4" s="101"/>
      <c r="AC4" s="102"/>
      <c r="AD4" s="101"/>
      <c r="AE4" s="102"/>
      <c r="AF4" s="101"/>
      <c r="AG4" s="102"/>
      <c r="AH4" s="101"/>
      <c r="AI4" s="102"/>
      <c r="AJ4" s="101"/>
      <c r="AK4" s="102"/>
      <c r="AL4" s="101"/>
      <c r="AM4" s="102"/>
      <c r="AN4" s="101"/>
      <c r="AO4" s="102"/>
      <c r="AP4" s="101"/>
      <c r="AQ4" s="102"/>
      <c r="AR4" s="101"/>
      <c r="AS4" s="102"/>
      <c r="AT4" s="101"/>
      <c r="AU4" s="102"/>
      <c r="AV4" s="101"/>
      <c r="AW4" s="102"/>
      <c r="AX4" s="59"/>
      <c r="AY4" s="60"/>
      <c r="AZ4" s="59"/>
      <c r="BA4" s="60"/>
      <c r="BB4" s="59"/>
      <c r="BC4" s="60"/>
      <c r="BD4" s="59"/>
      <c r="BE4" s="60"/>
      <c r="BF4" s="59"/>
      <c r="BG4" s="60"/>
      <c r="BH4" s="59"/>
      <c r="BI4" s="60"/>
      <c r="BJ4" s="59"/>
      <c r="BK4" s="60"/>
      <c r="BL4" s="59"/>
      <c r="BM4" s="60"/>
      <c r="BN4" s="59"/>
      <c r="BO4" s="60"/>
      <c r="BP4" s="59"/>
      <c r="BQ4" s="60"/>
      <c r="BR4" s="59"/>
      <c r="BS4" s="60"/>
      <c r="BT4" s="59"/>
      <c r="BU4" s="60"/>
      <c r="BV4" s="59"/>
      <c r="BW4" s="60"/>
      <c r="BX4" s="59"/>
      <c r="BY4" s="60"/>
      <c r="BZ4" s="59"/>
      <c r="CA4" s="60"/>
      <c r="CB4" s="59"/>
      <c r="CC4" s="60"/>
      <c r="CD4" s="59"/>
      <c r="CE4" s="60"/>
      <c r="CF4" s="59"/>
      <c r="CG4" s="60"/>
      <c r="CH4" s="59"/>
      <c r="CI4" s="60"/>
      <c r="CJ4" s="59"/>
      <c r="CK4" s="60"/>
      <c r="CL4" s="59"/>
      <c r="CM4" s="60"/>
      <c r="CN4" s="59"/>
      <c r="CO4" s="60"/>
      <c r="CP4" s="59"/>
      <c r="CQ4" s="60"/>
    </row>
    <row r="5" spans="1:95" ht="10.5" x14ac:dyDescent="0.25">
      <c r="A5" t="s">
        <v>128</v>
      </c>
      <c r="B5" s="41">
        <v>1000</v>
      </c>
      <c r="C5" s="42">
        <v>1000</v>
      </c>
      <c r="D5" s="41">
        <v>997.47592950676517</v>
      </c>
      <c r="E5" s="42">
        <v>1023.9381286111591</v>
      </c>
      <c r="F5" s="41">
        <v>994.94994810101866</v>
      </c>
      <c r="G5" s="42">
        <v>1049.9906700940173</v>
      </c>
      <c r="H5" s="41">
        <v>992.42295752232599</v>
      </c>
      <c r="I5" s="42">
        <v>1078.4635187551071</v>
      </c>
      <c r="J5" s="41">
        <v>989.90024728530022</v>
      </c>
      <c r="K5" s="42">
        <v>1109.7652980451057</v>
      </c>
      <c r="L5" s="41">
        <v>987.39441387602869</v>
      </c>
      <c r="M5" s="42">
        <v>1144.5148002636829</v>
      </c>
      <c r="N5" s="41">
        <v>984.9290032633387</v>
      </c>
      <c r="O5" s="42">
        <v>1183.909558046636</v>
      </c>
      <c r="P5" s="41">
        <v>982.50745017301369</v>
      </c>
      <c r="Q5" s="42">
        <v>1232.6216043482586</v>
      </c>
      <c r="R5" s="201">
        <v>984.10892047887853</v>
      </c>
      <c r="S5" s="202">
        <v>1224.7846071517033</v>
      </c>
      <c r="T5" s="41"/>
      <c r="U5" s="42"/>
      <c r="V5" s="41"/>
      <c r="W5" s="42"/>
      <c r="X5" s="41"/>
      <c r="Y5" s="42"/>
      <c r="Z5" s="41"/>
      <c r="AA5" s="42"/>
      <c r="AB5" s="41"/>
      <c r="AC5" s="42"/>
      <c r="AD5" s="41"/>
      <c r="AE5" s="42"/>
      <c r="AF5" s="41"/>
      <c r="AG5" s="42"/>
      <c r="AH5" s="41"/>
      <c r="AI5" s="42"/>
      <c r="AJ5" s="41"/>
      <c r="AK5" s="42"/>
      <c r="AL5" s="41"/>
      <c r="AM5" s="42"/>
      <c r="AN5" s="41"/>
      <c r="AO5" s="42"/>
      <c r="AP5" s="41"/>
      <c r="AQ5" s="42"/>
      <c r="AR5" s="41"/>
      <c r="AS5" s="42"/>
      <c r="AT5" s="41"/>
      <c r="AU5" s="42"/>
      <c r="AV5" s="41"/>
      <c r="AW5" s="42"/>
      <c r="AX5" s="41"/>
      <c r="AY5" s="42"/>
      <c r="AZ5" s="41"/>
      <c r="BA5" s="42"/>
      <c r="BB5" s="41"/>
      <c r="BC5" s="42"/>
      <c r="BD5" s="41"/>
      <c r="BE5" s="42"/>
      <c r="BF5" s="41"/>
      <c r="BG5" s="42"/>
      <c r="BH5" s="41"/>
      <c r="BI5" s="42"/>
      <c r="BJ5" s="41"/>
      <c r="BK5" s="42"/>
      <c r="BL5" s="41"/>
      <c r="BM5" s="42"/>
      <c r="BN5" s="41"/>
      <c r="BO5" s="42"/>
      <c r="BP5" s="41"/>
      <c r="BQ5" s="42"/>
      <c r="BR5" s="41"/>
      <c r="BS5" s="42"/>
      <c r="BT5" s="41"/>
      <c r="BU5" s="42"/>
      <c r="BV5" s="41"/>
      <c r="BW5" s="42"/>
      <c r="BX5" s="41"/>
      <c r="BY5" s="42"/>
      <c r="BZ5" s="41"/>
      <c r="CA5" s="42"/>
      <c r="CB5" s="41"/>
      <c r="CC5" s="42"/>
      <c r="CD5" s="41"/>
      <c r="CE5" s="42"/>
      <c r="CF5" s="41"/>
      <c r="CG5" s="42"/>
      <c r="CH5" s="41"/>
      <c r="CI5" s="42"/>
      <c r="CJ5" s="41"/>
      <c r="CK5" s="42"/>
      <c r="CL5" s="41"/>
      <c r="CM5" s="42"/>
      <c r="CN5" s="41"/>
      <c r="CO5" s="42"/>
      <c r="CP5" s="41"/>
      <c r="CQ5" s="42"/>
    </row>
    <row r="6" spans="1:95" ht="10.5" x14ac:dyDescent="0.25">
      <c r="A6" t="s">
        <v>77</v>
      </c>
      <c r="B6" s="41">
        <v>999.99999999999886</v>
      </c>
      <c r="C6" s="42">
        <v>999.99999999999909</v>
      </c>
      <c r="D6" s="41">
        <v>997.24216904602997</v>
      </c>
      <c r="E6" s="42">
        <v>1038.9402804605138</v>
      </c>
      <c r="F6" s="41">
        <v>994.48354397357502</v>
      </c>
      <c r="G6" s="42">
        <v>1083.9293856860827</v>
      </c>
      <c r="H6" s="41">
        <v>991.72511078078526</v>
      </c>
      <c r="I6" s="42">
        <v>1136.7423409699143</v>
      </c>
      <c r="J6" s="41">
        <v>988.97264027499853</v>
      </c>
      <c r="K6" s="42">
        <v>1200.091423258222</v>
      </c>
      <c r="L6" s="41">
        <v>986.23985894048405</v>
      </c>
      <c r="M6" s="42">
        <v>1278.5147210976229</v>
      </c>
      <c r="N6" s="41">
        <v>983.5524009692424</v>
      </c>
      <c r="O6" s="42">
        <v>1380.9781275478822</v>
      </c>
      <c r="P6" s="41">
        <v>980.91394663633878</v>
      </c>
      <c r="Q6" s="42">
        <v>1536.4681509320303</v>
      </c>
      <c r="R6" s="201">
        <v>982.658729751598</v>
      </c>
      <c r="S6" s="202">
        <v>1508.6798045582641</v>
      </c>
      <c r="T6" s="41"/>
      <c r="U6" s="42"/>
      <c r="V6" s="41"/>
      <c r="W6" s="42"/>
      <c r="X6" s="41"/>
      <c r="Y6" s="42"/>
      <c r="Z6" s="41"/>
      <c r="AA6" s="42"/>
      <c r="AB6" s="41"/>
      <c r="AC6" s="42"/>
      <c r="AD6" s="41"/>
      <c r="AE6" s="42"/>
      <c r="AF6" s="41"/>
      <c r="AG6" s="42"/>
      <c r="AH6" s="41"/>
      <c r="AI6" s="42"/>
      <c r="AJ6" s="41"/>
      <c r="AK6" s="42"/>
      <c r="AL6" s="41"/>
      <c r="AM6" s="42"/>
      <c r="AN6" s="41"/>
      <c r="AO6" s="42"/>
      <c r="AP6" s="41"/>
      <c r="AQ6" s="42"/>
      <c r="AR6" s="41"/>
      <c r="AS6" s="42"/>
      <c r="AT6" s="41"/>
      <c r="AU6" s="42"/>
      <c r="AV6" s="41"/>
      <c r="AW6" s="42"/>
      <c r="AX6" s="41"/>
      <c r="AY6" s="42"/>
      <c r="AZ6" s="41"/>
      <c r="BA6" s="42"/>
      <c r="BB6" s="41"/>
      <c r="BC6" s="42"/>
      <c r="BD6" s="41"/>
      <c r="BE6" s="42"/>
      <c r="BF6" s="41"/>
      <c r="BG6" s="42"/>
      <c r="BH6" s="41"/>
      <c r="BI6" s="42"/>
      <c r="BJ6" s="41"/>
      <c r="BK6" s="42"/>
      <c r="BL6" s="41"/>
      <c r="BM6" s="42"/>
      <c r="BN6" s="41"/>
      <c r="BO6" s="42"/>
      <c r="BP6" s="41"/>
      <c r="BQ6" s="42"/>
      <c r="BR6" s="41"/>
      <c r="BS6" s="42"/>
      <c r="BT6" s="41"/>
      <c r="BU6" s="42"/>
      <c r="BV6" s="41"/>
      <c r="BW6" s="42"/>
      <c r="BX6" s="41"/>
      <c r="BY6" s="42"/>
      <c r="BZ6" s="41"/>
      <c r="CA6" s="42"/>
      <c r="CB6" s="41"/>
      <c r="CC6" s="42"/>
      <c r="CD6" s="41"/>
      <c r="CE6" s="42"/>
      <c r="CF6" s="41"/>
      <c r="CG6" s="42"/>
      <c r="CH6" s="41"/>
      <c r="CI6" s="42"/>
      <c r="CJ6" s="41"/>
      <c r="CK6" s="42"/>
      <c r="CL6" s="41"/>
      <c r="CM6" s="42"/>
      <c r="CN6" s="41"/>
      <c r="CO6" s="42"/>
      <c r="CP6" s="41"/>
      <c r="CQ6" s="42"/>
    </row>
    <row r="7" spans="1:95" ht="10.5" x14ac:dyDescent="0.25">
      <c r="A7" t="s">
        <v>13</v>
      </c>
      <c r="B7" s="33">
        <v>1059.2664648168009</v>
      </c>
      <c r="C7" s="34">
        <v>1059.2664648168009</v>
      </c>
      <c r="D7" s="33">
        <v>1056.5928015884836</v>
      </c>
      <c r="E7" s="34">
        <v>1056.5928015884836</v>
      </c>
      <c r="F7" s="33">
        <v>1053.9171141946256</v>
      </c>
      <c r="G7" s="34">
        <v>1053.9171141946256</v>
      </c>
      <c r="H7" s="33">
        <v>1051.2403578177084</v>
      </c>
      <c r="I7" s="34">
        <v>1051.2403578177084</v>
      </c>
      <c r="J7" s="33">
        <v>1048.568135463177</v>
      </c>
      <c r="K7" s="34">
        <v>1048.568135463177</v>
      </c>
      <c r="L7" s="33">
        <v>1045.913790166318</v>
      </c>
      <c r="M7" s="34">
        <v>1045.913790166318</v>
      </c>
      <c r="N7" s="33">
        <v>1043.302263382292</v>
      </c>
      <c r="O7" s="34">
        <v>1043.302263382292</v>
      </c>
      <c r="P7" s="33">
        <v>1040.7371934009373</v>
      </c>
      <c r="Q7" s="34">
        <v>1040.7371934009373</v>
      </c>
      <c r="R7" s="203">
        <v>1042.43357719034</v>
      </c>
      <c r="S7" s="204">
        <v>1042.43357719034</v>
      </c>
      <c r="T7" s="33"/>
      <c r="U7" s="34"/>
      <c r="V7" s="33"/>
      <c r="W7" s="34"/>
      <c r="X7" s="33"/>
      <c r="Y7" s="34"/>
      <c r="Z7" s="33"/>
      <c r="AA7" s="34"/>
      <c r="AB7" s="33"/>
      <c r="AC7" s="34"/>
      <c r="AD7" s="33"/>
      <c r="AE7" s="34"/>
      <c r="AF7" s="33"/>
      <c r="AG7" s="34"/>
      <c r="AH7" s="33"/>
      <c r="AI7" s="34"/>
      <c r="AJ7" s="33"/>
      <c r="AK7" s="34"/>
      <c r="AL7" s="33"/>
      <c r="AM7" s="34"/>
      <c r="AN7" s="33"/>
      <c r="AO7" s="34"/>
      <c r="AP7" s="33"/>
      <c r="AQ7" s="34"/>
      <c r="AR7" s="33"/>
      <c r="AS7" s="34"/>
      <c r="AT7" s="33"/>
      <c r="AU7" s="34"/>
      <c r="AV7" s="33"/>
      <c r="AW7" s="34"/>
      <c r="AX7" s="33"/>
      <c r="AY7" s="34"/>
      <c r="AZ7" s="33"/>
      <c r="BA7" s="34"/>
      <c r="BB7" s="33"/>
      <c r="BC7" s="34"/>
      <c r="BD7" s="33"/>
      <c r="BE7" s="34"/>
      <c r="BF7" s="33"/>
      <c r="BG7" s="34"/>
      <c r="BH7" s="33"/>
      <c r="BI7" s="34"/>
      <c r="BJ7" s="33"/>
      <c r="BK7" s="34"/>
      <c r="BL7" s="33"/>
      <c r="BM7" s="34"/>
      <c r="BN7" s="33"/>
      <c r="BO7" s="34"/>
      <c r="BP7" s="33"/>
      <c r="BQ7" s="34"/>
      <c r="BR7" s="33"/>
      <c r="BS7" s="34"/>
      <c r="BT7" s="33"/>
      <c r="BU7" s="34"/>
      <c r="BV7" s="33"/>
      <c r="BW7" s="34"/>
      <c r="BX7" s="33"/>
      <c r="BY7" s="34"/>
      <c r="BZ7" s="33"/>
      <c r="CA7" s="34"/>
      <c r="CB7" s="33"/>
      <c r="CC7" s="34"/>
      <c r="CD7" s="33"/>
      <c r="CE7" s="34"/>
      <c r="CF7" s="33"/>
      <c r="CG7" s="34"/>
      <c r="CH7" s="33"/>
      <c r="CI7" s="34"/>
      <c r="CJ7" s="33"/>
      <c r="CK7" s="34"/>
      <c r="CL7" s="33"/>
      <c r="CM7" s="34"/>
      <c r="CN7" s="33"/>
      <c r="CO7" s="34"/>
      <c r="CP7" s="33"/>
      <c r="CQ7" s="34"/>
    </row>
    <row r="8" spans="1:95" ht="10.5" x14ac:dyDescent="0.25">
      <c r="B8" s="35">
        <v>1164.8563607265562</v>
      </c>
      <c r="C8" s="36">
        <v>1164.8563607265562</v>
      </c>
      <c r="D8" s="35">
        <v>1245.3125909526646</v>
      </c>
      <c r="E8" s="36">
        <v>1245.3125909526646</v>
      </c>
      <c r="F8" s="35">
        <v>1339.3972324348435</v>
      </c>
      <c r="G8" s="36">
        <v>1339.3972324348435</v>
      </c>
      <c r="H8" s="35">
        <v>1451.3344926948503</v>
      </c>
      <c r="I8" s="36">
        <v>1451.3344926948503</v>
      </c>
      <c r="J8" s="35">
        <v>1587.6659368935532</v>
      </c>
      <c r="K8" s="36">
        <v>1587.6659368935532</v>
      </c>
      <c r="L8" s="35">
        <v>1759.5393964926034</v>
      </c>
      <c r="M8" s="36">
        <v>1759.5393964926034</v>
      </c>
      <c r="N8" s="35">
        <v>1989.5971453412185</v>
      </c>
      <c r="O8" s="36">
        <v>1989.5971453412185</v>
      </c>
      <c r="P8" s="35">
        <v>2354.8997478910783</v>
      </c>
      <c r="Q8" s="36">
        <v>2354.8997478910783</v>
      </c>
      <c r="R8" s="205">
        <v>2485.3473780062372</v>
      </c>
      <c r="S8" s="206">
        <v>2485.3473780062372</v>
      </c>
      <c r="T8" s="35"/>
      <c r="U8" s="36"/>
      <c r="V8" s="35"/>
      <c r="W8" s="36"/>
      <c r="X8" s="35"/>
      <c r="Y8" s="36"/>
      <c r="Z8" s="35"/>
      <c r="AA8" s="36"/>
      <c r="AB8" s="35"/>
      <c r="AC8" s="36"/>
      <c r="AD8" s="35"/>
      <c r="AE8" s="36"/>
      <c r="AF8" s="35"/>
      <c r="AG8" s="36"/>
      <c r="AH8" s="35"/>
      <c r="AI8" s="36"/>
      <c r="AJ8" s="35"/>
      <c r="AK8" s="36"/>
      <c r="AL8" s="35"/>
      <c r="AM8" s="36"/>
      <c r="AN8" s="35"/>
      <c r="AO8" s="36"/>
      <c r="AP8" s="35"/>
      <c r="AQ8" s="36"/>
      <c r="AR8" s="35"/>
      <c r="AS8" s="36"/>
      <c r="AT8" s="35"/>
      <c r="AU8" s="36"/>
      <c r="AV8" s="35"/>
      <c r="AW8" s="36"/>
      <c r="AX8" s="35"/>
      <c r="AY8" s="36"/>
      <c r="AZ8" s="35"/>
      <c r="BA8" s="36"/>
      <c r="BB8" s="35"/>
      <c r="BC8" s="36"/>
      <c r="BD8" s="35"/>
      <c r="BE8" s="36"/>
      <c r="BF8" s="35"/>
      <c r="BG8" s="36"/>
      <c r="BH8" s="35"/>
      <c r="BI8" s="36"/>
      <c r="BJ8" s="35"/>
      <c r="BK8" s="36"/>
      <c r="BL8" s="35"/>
      <c r="BM8" s="36"/>
      <c r="BN8" s="35"/>
      <c r="BO8" s="36"/>
      <c r="BP8" s="35"/>
      <c r="BQ8" s="36"/>
      <c r="BR8" s="35"/>
      <c r="BS8" s="36"/>
      <c r="BT8" s="35"/>
      <c r="BU8" s="36"/>
      <c r="BV8" s="35"/>
      <c r="BW8" s="36"/>
      <c r="BX8" s="35"/>
      <c r="BY8" s="36"/>
      <c r="BZ8" s="35"/>
      <c r="CA8" s="36"/>
      <c r="CB8" s="35"/>
      <c r="CC8" s="36"/>
      <c r="CD8" s="35"/>
      <c r="CE8" s="36"/>
      <c r="CF8" s="35"/>
      <c r="CG8" s="36"/>
      <c r="CH8" s="35"/>
      <c r="CI8" s="36"/>
      <c r="CJ8" s="35"/>
      <c r="CK8" s="36"/>
      <c r="CL8" s="35"/>
      <c r="CM8" s="36"/>
      <c r="CN8" s="35"/>
      <c r="CO8" s="36"/>
      <c r="CP8" s="35"/>
      <c r="CQ8" s="36"/>
    </row>
    <row r="9" spans="1:95" ht="10.5" x14ac:dyDescent="0.25">
      <c r="A9" t="s">
        <v>14</v>
      </c>
      <c r="B9" s="41">
        <v>1059.2664648168009</v>
      </c>
      <c r="C9" s="42">
        <v>1164.8563607265562</v>
      </c>
      <c r="D9" s="41">
        <v>1056.5928015884836</v>
      </c>
      <c r="E9" s="42">
        <v>1245.3125909526646</v>
      </c>
      <c r="F9" s="41">
        <v>1053.9171141946256</v>
      </c>
      <c r="G9" s="42">
        <v>1339.3972324348435</v>
      </c>
      <c r="H9" s="41">
        <v>1051.2403578177084</v>
      </c>
      <c r="I9" s="42">
        <v>1451.3344926948503</v>
      </c>
      <c r="J9" s="41">
        <v>1048.568135463177</v>
      </c>
      <c r="K9" s="42">
        <v>1587.6659368935532</v>
      </c>
      <c r="L9" s="41">
        <v>1045.913790166318</v>
      </c>
      <c r="M9" s="42">
        <v>1759.5393964926034</v>
      </c>
      <c r="N9" s="41">
        <v>1043.302263382292</v>
      </c>
      <c r="O9" s="42">
        <v>1989.5971453412185</v>
      </c>
      <c r="P9" s="41">
        <v>1040.7371934009373</v>
      </c>
      <c r="Q9" s="42">
        <v>2354.8997478910783</v>
      </c>
      <c r="R9" s="201">
        <v>1042.43357719034</v>
      </c>
      <c r="S9" s="202">
        <v>2485.3473780062372</v>
      </c>
      <c r="T9" s="41"/>
      <c r="U9" s="42"/>
      <c r="V9" s="41"/>
      <c r="W9" s="42"/>
      <c r="X9" s="41"/>
      <c r="Y9" s="42"/>
      <c r="Z9" s="41"/>
      <c r="AA9" s="42"/>
      <c r="AB9" s="41"/>
      <c r="AC9" s="42"/>
      <c r="AD9" s="41"/>
      <c r="AE9" s="42"/>
      <c r="AF9" s="41"/>
      <c r="AG9" s="42"/>
      <c r="AH9" s="41"/>
      <c r="AI9" s="42"/>
      <c r="AJ9" s="41"/>
      <c r="AK9" s="42"/>
      <c r="AL9" s="41"/>
      <c r="AM9" s="42"/>
      <c r="AN9" s="41"/>
      <c r="AO9" s="42"/>
      <c r="AP9" s="41"/>
      <c r="AQ9" s="42"/>
      <c r="AR9" s="41"/>
      <c r="AS9" s="42"/>
      <c r="AT9" s="41"/>
      <c r="AU9" s="42"/>
      <c r="AV9" s="41"/>
      <c r="AW9" s="42"/>
      <c r="AX9" s="41"/>
      <c r="AY9" s="42"/>
      <c r="AZ9" s="41"/>
      <c r="BA9" s="42"/>
      <c r="BB9" s="41"/>
      <c r="BC9" s="42"/>
      <c r="BD9" s="41"/>
      <c r="BE9" s="42"/>
      <c r="BF9" s="41"/>
      <c r="BG9" s="42"/>
      <c r="BH9" s="41"/>
      <c r="BI9" s="42"/>
      <c r="BJ9" s="41"/>
      <c r="BK9" s="42"/>
      <c r="BL9" s="41"/>
      <c r="BM9" s="42"/>
      <c r="BN9" s="41"/>
      <c r="BO9" s="42"/>
      <c r="BP9" s="41"/>
      <c r="BQ9" s="42"/>
      <c r="BR9" s="41"/>
      <c r="BS9" s="42"/>
      <c r="BT9" s="41"/>
      <c r="BU9" s="42"/>
      <c r="BV9" s="41"/>
      <c r="BW9" s="42"/>
      <c r="BX9" s="41"/>
      <c r="BY9" s="42"/>
      <c r="BZ9" s="41"/>
      <c r="CA9" s="42"/>
      <c r="CB9" s="41"/>
      <c r="CC9" s="42"/>
      <c r="CD9" s="41"/>
      <c r="CE9" s="42"/>
      <c r="CF9" s="41"/>
      <c r="CG9" s="42"/>
      <c r="CH9" s="41"/>
      <c r="CI9" s="42"/>
      <c r="CJ9" s="41"/>
      <c r="CK9" s="42"/>
      <c r="CL9" s="41"/>
      <c r="CM9" s="42"/>
      <c r="CN9" s="41"/>
      <c r="CO9" s="42"/>
      <c r="CP9" s="41"/>
      <c r="CQ9" s="42"/>
    </row>
    <row r="10" spans="1:95" ht="10.5" x14ac:dyDescent="0.25">
      <c r="A10" t="s">
        <v>15</v>
      </c>
      <c r="B10" s="41">
        <v>1059.2664648168009</v>
      </c>
      <c r="C10" s="42">
        <v>1164.8563607265562</v>
      </c>
      <c r="D10" s="41">
        <v>1056.5928015884836</v>
      </c>
      <c r="E10" s="42">
        <v>1245.3125909526646</v>
      </c>
      <c r="F10" s="41">
        <v>1053.9171141946256</v>
      </c>
      <c r="G10" s="42">
        <v>1339.3972324348435</v>
      </c>
      <c r="H10" s="41">
        <v>1051.2403578177084</v>
      </c>
      <c r="I10" s="42">
        <v>1451.3344926948503</v>
      </c>
      <c r="J10" s="41">
        <v>1048.568135463177</v>
      </c>
      <c r="K10" s="42">
        <v>1587.6659368935532</v>
      </c>
      <c r="L10" s="41">
        <v>1045.913790166318</v>
      </c>
      <c r="M10" s="42">
        <v>1759.5393964926034</v>
      </c>
      <c r="N10" s="41">
        <v>1043.302263382292</v>
      </c>
      <c r="O10" s="42">
        <v>1989.5971453412185</v>
      </c>
      <c r="P10" s="41">
        <v>1040.7371934009373</v>
      </c>
      <c r="Q10" s="42">
        <v>2354.8997478910783</v>
      </c>
      <c r="R10" s="201">
        <v>1042.43357719034</v>
      </c>
      <c r="S10" s="202">
        <v>2485.3473780062372</v>
      </c>
      <c r="T10" s="41"/>
      <c r="U10" s="42"/>
      <c r="V10" s="41"/>
      <c r="W10" s="42"/>
      <c r="X10" s="41"/>
      <c r="Y10" s="42"/>
      <c r="Z10" s="41"/>
      <c r="AA10" s="42"/>
      <c r="AB10" s="41"/>
      <c r="AC10" s="42"/>
      <c r="AD10" s="41"/>
      <c r="AE10" s="42"/>
      <c r="AF10" s="41"/>
      <c r="AG10" s="42"/>
      <c r="AH10" s="41"/>
      <c r="AI10" s="42"/>
      <c r="AJ10" s="41"/>
      <c r="AK10" s="42"/>
      <c r="AL10" s="41"/>
      <c r="AM10" s="42"/>
      <c r="AN10" s="41"/>
      <c r="AO10" s="42"/>
      <c r="AP10" s="41"/>
      <c r="AQ10" s="42"/>
      <c r="AR10" s="41"/>
      <c r="AS10" s="42"/>
      <c r="AT10" s="41"/>
      <c r="AU10" s="42"/>
      <c r="AV10" s="41"/>
      <c r="AW10" s="42"/>
      <c r="AX10" s="41"/>
      <c r="AY10" s="42"/>
      <c r="AZ10" s="41"/>
      <c r="BA10" s="42"/>
      <c r="BB10" s="41"/>
      <c r="BC10" s="42"/>
      <c r="BD10" s="41"/>
      <c r="BE10" s="42"/>
      <c r="BF10" s="41"/>
      <c r="BG10" s="42"/>
      <c r="BH10" s="41"/>
      <c r="BI10" s="42"/>
      <c r="BJ10" s="41"/>
      <c r="BK10" s="42"/>
      <c r="BL10" s="41"/>
      <c r="BM10" s="42"/>
      <c r="BN10" s="41"/>
      <c r="BO10" s="42"/>
      <c r="BP10" s="41"/>
      <c r="BQ10" s="42"/>
      <c r="BR10" s="41"/>
      <c r="BS10" s="42"/>
      <c r="BT10" s="41"/>
      <c r="BU10" s="42"/>
      <c r="BV10" s="41"/>
      <c r="BW10" s="42"/>
      <c r="BX10" s="41"/>
      <c r="BY10" s="42"/>
      <c r="BZ10" s="41"/>
      <c r="CA10" s="42"/>
      <c r="CB10" s="41"/>
      <c r="CC10" s="42"/>
      <c r="CD10" s="41"/>
      <c r="CE10" s="42"/>
      <c r="CF10" s="41"/>
      <c r="CG10" s="42"/>
      <c r="CH10" s="41"/>
      <c r="CI10" s="42"/>
      <c r="CJ10" s="41"/>
      <c r="CK10" s="42"/>
      <c r="CL10" s="41"/>
      <c r="CM10" s="42"/>
      <c r="CN10" s="41"/>
      <c r="CO10" s="42"/>
      <c r="CP10" s="41"/>
      <c r="CQ10" s="42"/>
    </row>
    <row r="11" spans="1:95" ht="10.5" x14ac:dyDescent="0.25">
      <c r="A11" t="s">
        <v>29</v>
      </c>
      <c r="B11" s="41">
        <v>1059.2664648168009</v>
      </c>
      <c r="C11" s="42">
        <v>1164.8563607265562</v>
      </c>
      <c r="D11" s="41">
        <v>1056.5928015884836</v>
      </c>
      <c r="E11" s="42">
        <v>1245.3125909526646</v>
      </c>
      <c r="F11" s="41">
        <v>1053.9171141946256</v>
      </c>
      <c r="G11" s="42">
        <v>1339.3972324348435</v>
      </c>
      <c r="H11" s="41">
        <v>1051.2403578177084</v>
      </c>
      <c r="I11" s="42">
        <v>1451.3344926948503</v>
      </c>
      <c r="J11" s="41">
        <v>1048.568135463177</v>
      </c>
      <c r="K11" s="42">
        <v>1587.6659368935532</v>
      </c>
      <c r="L11" s="41">
        <v>1045.913790166318</v>
      </c>
      <c r="M11" s="42">
        <v>1759.5393964926034</v>
      </c>
      <c r="N11" s="41">
        <v>1043.302263382292</v>
      </c>
      <c r="O11" s="42">
        <v>1989.5971453412185</v>
      </c>
      <c r="P11" s="41">
        <v>1040.7371934009373</v>
      </c>
      <c r="Q11" s="42">
        <v>2354.8997478910783</v>
      </c>
      <c r="R11" s="201">
        <v>1042.43357719034</v>
      </c>
      <c r="S11" s="202">
        <v>2485.3473780062372</v>
      </c>
      <c r="T11" s="41"/>
      <c r="U11" s="42"/>
      <c r="V11" s="41"/>
      <c r="W11" s="42"/>
      <c r="X11" s="41"/>
      <c r="Y11" s="42"/>
      <c r="Z11" s="41"/>
      <c r="AA11" s="42"/>
      <c r="AB11" s="41"/>
      <c r="AC11" s="42"/>
      <c r="AD11" s="41"/>
      <c r="AE11" s="42"/>
      <c r="AF11" s="41"/>
      <c r="AG11" s="42"/>
      <c r="AH11" s="41"/>
      <c r="AI11" s="42"/>
      <c r="AJ11" s="41"/>
      <c r="AK11" s="42"/>
      <c r="AL11" s="41"/>
      <c r="AM11" s="42"/>
      <c r="AN11" s="41"/>
      <c r="AO11" s="42"/>
      <c r="AP11" s="41"/>
      <c r="AQ11" s="42"/>
      <c r="AR11" s="41"/>
      <c r="AS11" s="42"/>
      <c r="AT11" s="41"/>
      <c r="AU11" s="42"/>
      <c r="AV11" s="41"/>
      <c r="AW11" s="42"/>
      <c r="AX11" s="41"/>
      <c r="AY11" s="42"/>
      <c r="AZ11" s="41"/>
      <c r="BA11" s="42"/>
      <c r="BB11" s="41"/>
      <c r="BC11" s="42"/>
      <c r="BD11" s="41"/>
      <c r="BE11" s="42"/>
      <c r="BF11" s="41"/>
      <c r="BG11" s="42"/>
      <c r="BH11" s="41"/>
      <c r="BI11" s="42"/>
      <c r="BJ11" s="41"/>
      <c r="BK11" s="42"/>
      <c r="BL11" s="41"/>
      <c r="BM11" s="42"/>
      <c r="BN11" s="41"/>
      <c r="BO11" s="42"/>
      <c r="BP11" s="41"/>
      <c r="BQ11" s="42"/>
      <c r="BR11" s="41"/>
      <c r="BS11" s="42"/>
      <c r="BT11" s="41"/>
      <c r="BU11" s="42"/>
      <c r="BV11" s="41"/>
      <c r="BW11" s="42"/>
      <c r="BX11" s="41"/>
      <c r="BY11" s="42"/>
      <c r="BZ11" s="41"/>
      <c r="CA11" s="42"/>
      <c r="CB11" s="41"/>
      <c r="CC11" s="42"/>
      <c r="CD11" s="41"/>
      <c r="CE11" s="42"/>
      <c r="CF11" s="41"/>
      <c r="CG11" s="42"/>
      <c r="CH11" s="41"/>
      <c r="CI11" s="42"/>
      <c r="CJ11" s="41"/>
      <c r="CK11" s="42"/>
      <c r="CL11" s="41"/>
      <c r="CM11" s="42"/>
      <c r="CN11" s="41"/>
      <c r="CO11" s="42"/>
      <c r="CP11" s="41"/>
      <c r="CQ11" s="42"/>
    </row>
    <row r="12" spans="1:95" ht="10.5" x14ac:dyDescent="0.25">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201">
        <v>1000</v>
      </c>
      <c r="S12" s="202">
        <v>1000</v>
      </c>
      <c r="T12" s="41"/>
      <c r="U12" s="42"/>
      <c r="V12" s="41"/>
      <c r="W12" s="42"/>
      <c r="X12" s="41"/>
      <c r="Y12" s="42"/>
      <c r="Z12" s="41"/>
      <c r="AA12" s="42"/>
      <c r="AB12" s="41"/>
      <c r="AC12" s="42"/>
      <c r="AD12" s="41"/>
      <c r="AE12" s="42"/>
      <c r="AF12" s="41"/>
      <c r="AG12" s="42"/>
      <c r="AH12" s="41"/>
      <c r="AI12" s="42"/>
      <c r="AJ12" s="41"/>
      <c r="AK12" s="42"/>
      <c r="AL12" s="41"/>
      <c r="AM12" s="42"/>
      <c r="AN12" s="41"/>
      <c r="AO12" s="42"/>
      <c r="AP12" s="41"/>
      <c r="AQ12" s="42"/>
      <c r="AR12" s="41"/>
      <c r="AS12" s="42"/>
      <c r="AT12" s="41"/>
      <c r="AU12" s="42"/>
      <c r="AV12" s="41"/>
      <c r="AW12" s="42"/>
      <c r="AX12" s="41"/>
      <c r="AY12" s="42"/>
      <c r="AZ12" s="41"/>
      <c r="BA12" s="42"/>
      <c r="BB12" s="41"/>
      <c r="BC12" s="42"/>
      <c r="BD12" s="41"/>
      <c r="BE12" s="42"/>
      <c r="BF12" s="41"/>
      <c r="BG12" s="42"/>
      <c r="BH12" s="41"/>
      <c r="BI12" s="42"/>
      <c r="BJ12" s="41"/>
      <c r="BK12" s="42"/>
      <c r="BL12" s="41"/>
      <c r="BM12" s="42"/>
      <c r="BN12" s="41"/>
      <c r="BO12" s="42"/>
      <c r="BP12" s="41"/>
      <c r="BQ12" s="42"/>
      <c r="BR12" s="41"/>
      <c r="BS12" s="42"/>
      <c r="BT12" s="41"/>
      <c r="BU12" s="42"/>
      <c r="BV12" s="41"/>
      <c r="BW12" s="42"/>
      <c r="BX12" s="41"/>
      <c r="BY12" s="42"/>
      <c r="BZ12" s="41"/>
      <c r="CA12" s="42"/>
      <c r="CB12" s="41"/>
      <c r="CC12" s="42"/>
      <c r="CD12" s="41"/>
      <c r="CE12" s="42"/>
      <c r="CF12" s="41"/>
      <c r="CG12" s="42"/>
      <c r="CH12" s="41"/>
      <c r="CI12" s="42"/>
      <c r="CJ12" s="41"/>
      <c r="CK12" s="42"/>
      <c r="CL12" s="41"/>
      <c r="CM12" s="42"/>
      <c r="CN12" s="41"/>
      <c r="CO12" s="42"/>
      <c r="CP12" s="41"/>
      <c r="CQ12" s="42"/>
    </row>
    <row r="13" spans="1:95" ht="10.5" x14ac:dyDescent="0.25">
      <c r="A13" t="s">
        <v>17</v>
      </c>
      <c r="B13" s="97">
        <v>1000</v>
      </c>
      <c r="C13" s="98">
        <v>1000</v>
      </c>
      <c r="D13" s="97">
        <v>1001.6651170904997</v>
      </c>
      <c r="E13" s="98">
        <v>1001.6651170904997</v>
      </c>
      <c r="F13" s="97">
        <v>1003.8190749303536</v>
      </c>
      <c r="G13" s="98">
        <v>1003.8190749303536</v>
      </c>
      <c r="H13" s="97">
        <v>1006.6054052985872</v>
      </c>
      <c r="I13" s="98">
        <v>1006.6054052985872</v>
      </c>
      <c r="J13" s="97">
        <v>1010.2491425453273</v>
      </c>
      <c r="K13" s="98">
        <v>1010.2491425453273</v>
      </c>
      <c r="L13" s="97">
        <v>1015.1363784669835</v>
      </c>
      <c r="M13" s="98">
        <v>1015.1363784669835</v>
      </c>
      <c r="N13" s="97">
        <v>1022.0512779111502</v>
      </c>
      <c r="O13" s="98">
        <v>1022.0512779111502</v>
      </c>
      <c r="P13" s="97">
        <v>1033.6356085060095</v>
      </c>
      <c r="Q13" s="98">
        <v>1033.6356085060095</v>
      </c>
      <c r="R13" s="207">
        <v>1039.9607631746205</v>
      </c>
      <c r="S13" s="208">
        <v>1039.9607631746205</v>
      </c>
      <c r="T13" s="97"/>
      <c r="U13" s="98"/>
      <c r="V13" s="97"/>
      <c r="W13" s="98"/>
      <c r="X13" s="97"/>
      <c r="Y13" s="98"/>
      <c r="Z13" s="97"/>
      <c r="AA13" s="98"/>
      <c r="AB13" s="97"/>
      <c r="AC13" s="98"/>
      <c r="AD13" s="97"/>
      <c r="AE13" s="98"/>
      <c r="AF13" s="97"/>
      <c r="AG13" s="98"/>
      <c r="AH13" s="97"/>
      <c r="AI13" s="98"/>
      <c r="AJ13" s="97"/>
      <c r="AK13" s="98"/>
      <c r="AL13" s="97"/>
      <c r="AM13" s="98"/>
      <c r="AN13" s="97"/>
      <c r="AO13" s="98"/>
      <c r="AP13" s="97"/>
      <c r="AQ13" s="98"/>
      <c r="AR13" s="97"/>
      <c r="AS13" s="98"/>
      <c r="AT13" s="97"/>
      <c r="AU13" s="98"/>
      <c r="AV13" s="97"/>
      <c r="AW13" s="98"/>
      <c r="AX13" s="97"/>
      <c r="AY13" s="98"/>
      <c r="AZ13" s="97"/>
      <c r="BA13" s="98"/>
      <c r="BB13" s="97"/>
      <c r="BC13" s="98"/>
      <c r="BD13" s="97"/>
      <c r="BE13" s="98"/>
      <c r="BF13" s="97"/>
      <c r="BG13" s="98"/>
      <c r="BH13" s="97"/>
      <c r="BI13" s="98"/>
      <c r="BJ13" s="97"/>
      <c r="BK13" s="98"/>
      <c r="BL13" s="97"/>
      <c r="BM13" s="98"/>
      <c r="BN13" s="97"/>
      <c r="BO13" s="98"/>
      <c r="BP13" s="97"/>
      <c r="BQ13" s="98"/>
      <c r="BR13" s="97"/>
      <c r="BS13" s="98"/>
      <c r="BT13" s="97"/>
      <c r="BU13" s="98"/>
      <c r="BV13" s="97"/>
      <c r="BW13" s="98"/>
      <c r="BX13" s="97"/>
      <c r="BY13" s="98"/>
      <c r="BZ13" s="97"/>
      <c r="CA13" s="98"/>
      <c r="CB13" s="97"/>
      <c r="CC13" s="98"/>
      <c r="CD13" s="97"/>
      <c r="CE13" s="98"/>
      <c r="CF13" s="97"/>
      <c r="CG13" s="98"/>
      <c r="CH13" s="97"/>
      <c r="CI13" s="98"/>
      <c r="CJ13" s="97"/>
      <c r="CK13" s="98"/>
      <c r="CL13" s="97"/>
      <c r="CM13" s="98"/>
      <c r="CN13" s="97"/>
      <c r="CO13" s="98"/>
      <c r="CP13" s="97"/>
      <c r="CQ13" s="98"/>
    </row>
    <row r="14" spans="1:95" ht="10.5" x14ac:dyDescent="0.25">
      <c r="A14" t="s">
        <v>36</v>
      </c>
      <c r="B14" s="41">
        <v>1571.7032514685595</v>
      </c>
      <c r="C14" s="42">
        <v>1562.3699911127492</v>
      </c>
      <c r="D14" s="41">
        <v>1574.3203214137739</v>
      </c>
      <c r="E14" s="42">
        <v>1564.9715200866349</v>
      </c>
      <c r="F14" s="41">
        <v>1577.7057039541985</v>
      </c>
      <c r="G14" s="42">
        <v>1568.3367991777445</v>
      </c>
      <c r="H14" s="41">
        <v>1582.0849884536169</v>
      </c>
      <c r="I14" s="42">
        <v>1572.6900781303989</v>
      </c>
      <c r="J14" s="41">
        <v>1587.8118621318154</v>
      </c>
      <c r="K14" s="42">
        <v>1578.3829438602054</v>
      </c>
      <c r="L14" s="41">
        <v>1595.4931467205763</v>
      </c>
      <c r="M14" s="42">
        <v>1586.0186146036892</v>
      </c>
      <c r="N14" s="41">
        <v>1606.3613166605512</v>
      </c>
      <c r="O14" s="42">
        <v>1596.8222459868177</v>
      </c>
      <c r="P14" s="41">
        <v>1624.5684467225783</v>
      </c>
      <c r="Q14" s="42">
        <v>1614.921256475355</v>
      </c>
      <c r="R14" s="201">
        <v>1634.5097128812758</v>
      </c>
      <c r="S14" s="202">
        <v>1624.8034883187397</v>
      </c>
      <c r="T14" s="41"/>
      <c r="U14" s="42"/>
      <c r="V14" s="41"/>
      <c r="W14" s="42"/>
      <c r="X14" s="41"/>
      <c r="Y14" s="42"/>
      <c r="Z14" s="41"/>
      <c r="AA14" s="42"/>
      <c r="AB14" s="41"/>
      <c r="AC14" s="42"/>
      <c r="AD14" s="41"/>
      <c r="AE14" s="42"/>
      <c r="AF14" s="41"/>
      <c r="AG14" s="42"/>
      <c r="AH14" s="41"/>
      <c r="AI14" s="42"/>
      <c r="AJ14" s="41"/>
      <c r="AK14" s="42"/>
      <c r="AL14" s="41"/>
      <c r="AM14" s="42"/>
      <c r="AN14" s="41"/>
      <c r="AO14" s="42"/>
      <c r="AP14" s="41"/>
      <c r="AQ14" s="42"/>
      <c r="AR14" s="41"/>
      <c r="AS14" s="42"/>
      <c r="AT14" s="41"/>
      <c r="AU14" s="42"/>
      <c r="AV14" s="41"/>
      <c r="AW14" s="42"/>
      <c r="AX14" s="41"/>
      <c r="AY14" s="42"/>
      <c r="AZ14" s="41"/>
      <c r="BA14" s="42"/>
      <c r="BB14" s="41"/>
      <c r="BC14" s="42"/>
      <c r="BD14" s="41"/>
      <c r="BE14" s="42"/>
      <c r="BF14" s="41"/>
      <c r="BG14" s="42"/>
      <c r="BH14" s="41"/>
      <c r="BI14" s="42"/>
      <c r="BJ14" s="41"/>
      <c r="BK14" s="42"/>
      <c r="BL14" s="41"/>
      <c r="BM14" s="42"/>
      <c r="BN14" s="41"/>
      <c r="BO14" s="42"/>
      <c r="BP14" s="41"/>
      <c r="BQ14" s="42"/>
      <c r="BR14" s="41"/>
      <c r="BS14" s="42"/>
      <c r="BT14" s="41"/>
      <c r="BU14" s="42"/>
      <c r="BV14" s="41"/>
      <c r="BW14" s="42"/>
      <c r="BX14" s="41"/>
      <c r="BY14" s="42"/>
      <c r="BZ14" s="41"/>
      <c r="CA14" s="42"/>
      <c r="CB14" s="41"/>
      <c r="CC14" s="42"/>
      <c r="CD14" s="41"/>
      <c r="CE14" s="42"/>
      <c r="CF14" s="41"/>
      <c r="CG14" s="42"/>
      <c r="CH14" s="41"/>
      <c r="CI14" s="42"/>
      <c r="CJ14" s="41"/>
      <c r="CK14" s="42"/>
      <c r="CL14" s="41"/>
      <c r="CM14" s="42"/>
      <c r="CN14" s="41"/>
      <c r="CO14" s="42"/>
      <c r="CP14" s="41"/>
      <c r="CQ14" s="42"/>
    </row>
    <row r="15" spans="1:95" ht="10.5" x14ac:dyDescent="0.25">
      <c r="A15" t="s">
        <v>18</v>
      </c>
      <c r="B15" s="154">
        <v>1000</v>
      </c>
      <c r="C15" s="155">
        <v>1000</v>
      </c>
      <c r="D15" s="154">
        <v>984.99249056924634</v>
      </c>
      <c r="E15" s="155">
        <v>984.99249056924634</v>
      </c>
      <c r="F15" s="154">
        <v>967.28863080839244</v>
      </c>
      <c r="G15" s="155">
        <v>967.28863080839244</v>
      </c>
      <c r="H15" s="154">
        <v>945.81911454588612</v>
      </c>
      <c r="I15" s="155">
        <v>945.81911454588612</v>
      </c>
      <c r="J15" s="154">
        <v>918.75450352232974</v>
      </c>
      <c r="K15" s="155">
        <v>918.75450352232974</v>
      </c>
      <c r="L15" s="154">
        <v>882.54172550618603</v>
      </c>
      <c r="M15" s="155">
        <v>882.54172550618603</v>
      </c>
      <c r="N15" s="154">
        <v>828.52604036752211</v>
      </c>
      <c r="O15" s="155">
        <v>828.52604036752211</v>
      </c>
      <c r="P15" s="154">
        <v>717.48174948683447</v>
      </c>
      <c r="Q15" s="155">
        <v>717.48174948683447</v>
      </c>
      <c r="R15" s="209">
        <v>173.49422659234449</v>
      </c>
      <c r="S15" s="210">
        <v>173.49422659234449</v>
      </c>
      <c r="T15" s="154"/>
      <c r="U15" s="155"/>
      <c r="V15" s="154"/>
      <c r="W15" s="155"/>
      <c r="X15" s="154"/>
      <c r="Y15" s="155"/>
      <c r="Z15" s="154"/>
      <c r="AA15" s="155"/>
      <c r="AB15" s="154"/>
      <c r="AC15" s="155"/>
      <c r="AD15" s="154"/>
      <c r="AE15" s="155"/>
      <c r="AF15" s="154"/>
      <c r="AG15" s="155"/>
      <c r="AH15" s="154"/>
      <c r="AI15" s="155"/>
      <c r="AJ15" s="154"/>
      <c r="AK15" s="155"/>
      <c r="AL15" s="154"/>
      <c r="AM15" s="155"/>
      <c r="AN15" s="154"/>
      <c r="AO15" s="155"/>
      <c r="AP15" s="154"/>
      <c r="AQ15" s="155"/>
      <c r="AR15" s="154"/>
      <c r="AS15" s="155"/>
      <c r="AT15" s="154"/>
      <c r="AU15" s="155"/>
      <c r="AV15" s="154"/>
      <c r="AW15" s="155"/>
      <c r="AX15" s="99"/>
      <c r="AY15" s="100"/>
      <c r="AZ15" s="99"/>
      <c r="BA15" s="100"/>
      <c r="BB15" s="99"/>
      <c r="BC15" s="100"/>
      <c r="BD15" s="99"/>
      <c r="BE15" s="100"/>
      <c r="BF15" s="99"/>
      <c r="BG15" s="100"/>
      <c r="BH15" s="99"/>
      <c r="BI15" s="100"/>
      <c r="BJ15" s="99"/>
      <c r="BK15" s="100"/>
      <c r="BL15" s="99"/>
      <c r="BM15" s="100"/>
      <c r="BN15" s="99"/>
      <c r="BO15" s="100"/>
      <c r="BP15" s="99"/>
      <c r="BQ15" s="100"/>
      <c r="BR15" s="99"/>
      <c r="BS15" s="100"/>
      <c r="BT15" s="99"/>
      <c r="BU15" s="100"/>
      <c r="BV15" s="99"/>
      <c r="BW15" s="100"/>
      <c r="BX15" s="99"/>
      <c r="BY15" s="100"/>
      <c r="BZ15" s="99"/>
      <c r="CA15" s="100"/>
      <c r="CB15" s="99"/>
      <c r="CC15" s="100"/>
      <c r="CD15" s="99"/>
      <c r="CE15" s="100"/>
      <c r="CF15" s="99"/>
      <c r="CG15" s="100"/>
      <c r="CH15" s="99"/>
      <c r="CI15" s="100"/>
      <c r="CJ15" s="99"/>
      <c r="CK15" s="100"/>
      <c r="CL15" s="99"/>
      <c r="CM15" s="100"/>
      <c r="CN15" s="99"/>
      <c r="CO15" s="100"/>
      <c r="CP15" s="99"/>
      <c r="CQ15" s="100"/>
    </row>
    <row r="16" spans="1:95" s="29" customFormat="1" ht="10.5" x14ac:dyDescent="0.25">
      <c r="A16" t="s">
        <v>61</v>
      </c>
      <c r="B16" s="41">
        <v>1000</v>
      </c>
      <c r="C16" s="42">
        <v>1000</v>
      </c>
      <c r="D16" s="41">
        <v>993.67888102386951</v>
      </c>
      <c r="E16" s="42">
        <v>989.08155990180262</v>
      </c>
      <c r="F16" s="41">
        <v>986.84038148525974</v>
      </c>
      <c r="G16" s="42">
        <v>976.44150232533286</v>
      </c>
      <c r="H16" s="41">
        <v>979.34077668762995</v>
      </c>
      <c r="I16" s="42">
        <v>961.42636974149957</v>
      </c>
      <c r="J16" s="41">
        <v>970.9649647022178</v>
      </c>
      <c r="K16" s="42">
        <v>942.93389640529847</v>
      </c>
      <c r="L16" s="41">
        <v>961.35513894710209</v>
      </c>
      <c r="M16" s="42">
        <v>918.85710253557795</v>
      </c>
      <c r="N16" s="41">
        <v>949.78866287945812</v>
      </c>
      <c r="O16" s="42">
        <v>884.15257479545562</v>
      </c>
      <c r="P16" s="41">
        <v>933.70181627033094</v>
      </c>
      <c r="Q16" s="42">
        <v>816.44265813206118</v>
      </c>
      <c r="R16" s="201">
        <v>930.55324173583278</v>
      </c>
      <c r="S16" s="202">
        <v>528.61573033406239</v>
      </c>
      <c r="T16" s="41"/>
      <c r="U16" s="42"/>
      <c r="V16" s="41"/>
      <c r="W16" s="42"/>
      <c r="X16" s="41"/>
      <c r="Y16" s="42"/>
      <c r="Z16" s="41"/>
      <c r="AA16" s="42"/>
      <c r="AB16" s="41"/>
      <c r="AC16" s="42"/>
      <c r="AD16" s="41"/>
      <c r="AE16" s="42"/>
      <c r="AF16" s="41"/>
      <c r="AG16" s="42"/>
      <c r="AH16" s="41"/>
      <c r="AI16" s="42"/>
      <c r="AJ16" s="41"/>
      <c r="AK16" s="42"/>
      <c r="AL16" s="41"/>
      <c r="AM16" s="42"/>
      <c r="AN16" s="41"/>
      <c r="AO16" s="42"/>
      <c r="AP16" s="41"/>
      <c r="AQ16" s="42"/>
      <c r="AR16" s="41"/>
      <c r="AS16" s="42"/>
      <c r="AT16" s="41"/>
      <c r="AU16" s="42"/>
      <c r="AV16" s="41"/>
      <c r="AW16" s="42"/>
      <c r="AX16" s="41"/>
      <c r="AY16" s="42"/>
      <c r="AZ16" s="41"/>
      <c r="BA16" s="42"/>
      <c r="BB16" s="41"/>
      <c r="BC16" s="42"/>
      <c r="BD16" s="41"/>
      <c r="BE16" s="42"/>
      <c r="BF16" s="41"/>
      <c r="BG16" s="42"/>
      <c r="BH16" s="41"/>
      <c r="BI16" s="42"/>
      <c r="BJ16" s="41"/>
      <c r="BK16" s="42"/>
      <c r="BL16" s="41"/>
      <c r="BM16" s="42"/>
      <c r="BN16" s="41"/>
      <c r="BO16" s="42"/>
      <c r="BP16" s="41"/>
      <c r="BQ16" s="42"/>
      <c r="BR16" s="41"/>
      <c r="BS16" s="42"/>
      <c r="BT16" s="41"/>
      <c r="BU16" s="42"/>
      <c r="BV16" s="41"/>
      <c r="BW16" s="42"/>
      <c r="BX16" s="41"/>
      <c r="BY16" s="42"/>
      <c r="BZ16" s="41"/>
      <c r="CA16" s="42"/>
      <c r="CB16" s="41"/>
      <c r="CC16" s="42"/>
      <c r="CD16" s="41"/>
      <c r="CE16" s="42"/>
      <c r="CF16" s="41"/>
      <c r="CG16" s="42"/>
      <c r="CH16" s="41"/>
      <c r="CI16" s="42"/>
      <c r="CJ16" s="41"/>
      <c r="CK16" s="42"/>
      <c r="CL16" s="41"/>
      <c r="CM16" s="42"/>
      <c r="CN16" s="41"/>
      <c r="CO16" s="42"/>
      <c r="CP16" s="41"/>
      <c r="CQ16" s="42"/>
    </row>
    <row r="17" spans="1:95" ht="10.5" x14ac:dyDescent="0.25">
      <c r="A17" t="s">
        <v>62</v>
      </c>
      <c r="B17" s="35">
        <v>999.99999999999977</v>
      </c>
      <c r="C17" s="36">
        <v>1000.0000000000007</v>
      </c>
      <c r="D17" s="35">
        <v>997.60447860086924</v>
      </c>
      <c r="E17" s="36">
        <v>1044.7639454027367</v>
      </c>
      <c r="F17" s="35">
        <v>995.21250587218617</v>
      </c>
      <c r="G17" s="36">
        <v>1096.7810842131209</v>
      </c>
      <c r="H17" s="35">
        <v>992.82496953275393</v>
      </c>
      <c r="I17" s="36">
        <v>1158.2085809428968</v>
      </c>
      <c r="J17" s="35">
        <v>990.44687891997251</v>
      </c>
      <c r="K17" s="36">
        <v>1232.3426152635591</v>
      </c>
      <c r="L17" s="35">
        <v>988.09006652108849</v>
      </c>
      <c r="M17" s="36">
        <v>1324.6976940596508</v>
      </c>
      <c r="N17" s="35">
        <v>985.77651854184955</v>
      </c>
      <c r="O17" s="36">
        <v>1446.1600114570927</v>
      </c>
      <c r="P17" s="35">
        <v>983.50921147201518</v>
      </c>
      <c r="Q17" s="36">
        <v>1631.8241648888754</v>
      </c>
      <c r="R17" s="205">
        <v>985.00810599596139</v>
      </c>
      <c r="S17" s="206">
        <v>1598.2276613509266</v>
      </c>
      <c r="T17" s="35"/>
      <c r="U17" s="36"/>
      <c r="V17" s="35"/>
      <c r="W17" s="36"/>
      <c r="X17" s="35"/>
      <c r="Y17" s="36"/>
      <c r="Z17" s="35"/>
      <c r="AA17" s="36"/>
      <c r="AB17" s="35"/>
      <c r="AC17" s="36"/>
      <c r="AD17" s="35"/>
      <c r="AE17" s="36"/>
      <c r="AF17" s="35"/>
      <c r="AG17" s="36"/>
      <c r="AH17" s="35"/>
      <c r="AI17" s="36"/>
      <c r="AJ17" s="35"/>
      <c r="AK17" s="36"/>
      <c r="AL17" s="35"/>
      <c r="AM17" s="36"/>
      <c r="AN17" s="35"/>
      <c r="AO17" s="36"/>
      <c r="AP17" s="35"/>
      <c r="AQ17" s="36"/>
      <c r="AR17" s="35"/>
      <c r="AS17" s="36"/>
      <c r="AT17" s="35"/>
      <c r="AU17" s="36"/>
      <c r="AV17" s="35"/>
      <c r="AW17" s="36"/>
      <c r="AX17" s="35"/>
      <c r="AY17" s="36"/>
      <c r="AZ17" s="35"/>
      <c r="BA17" s="36"/>
      <c r="BB17" s="35"/>
      <c r="BC17" s="36"/>
      <c r="BD17" s="35"/>
      <c r="BE17" s="36"/>
      <c r="BF17" s="35"/>
      <c r="BG17" s="36"/>
      <c r="BH17" s="35"/>
      <c r="BI17" s="36"/>
      <c r="BJ17" s="35"/>
      <c r="BK17" s="36"/>
      <c r="BL17" s="35"/>
      <c r="BM17" s="36"/>
      <c r="BN17" s="35"/>
      <c r="BO17" s="36"/>
      <c r="BP17" s="35"/>
      <c r="BQ17" s="36"/>
      <c r="BR17" s="35"/>
      <c r="BS17" s="36"/>
      <c r="BT17" s="35"/>
      <c r="BU17" s="36"/>
      <c r="BV17" s="35"/>
      <c r="BW17" s="36"/>
      <c r="BX17" s="35"/>
      <c r="BY17" s="36"/>
      <c r="BZ17" s="35"/>
      <c r="CA17" s="36"/>
      <c r="CB17" s="35"/>
      <c r="CC17" s="36"/>
      <c r="CD17" s="35"/>
      <c r="CE17" s="36"/>
      <c r="CF17" s="35"/>
      <c r="CG17" s="36"/>
      <c r="CH17" s="35"/>
      <c r="CI17" s="36"/>
      <c r="CJ17" s="35"/>
      <c r="CK17" s="36"/>
      <c r="CL17" s="35"/>
      <c r="CM17" s="36"/>
      <c r="CN17" s="35"/>
      <c r="CO17" s="36"/>
      <c r="CP17" s="35"/>
      <c r="CQ17" s="36"/>
    </row>
    <row r="18" spans="1:95" ht="10.5" x14ac:dyDescent="0.25">
      <c r="A18" t="s">
        <v>19</v>
      </c>
      <c r="B18" s="33">
        <v>21498.981358265999</v>
      </c>
      <c r="C18" s="34">
        <v>834.03652123400332</v>
      </c>
      <c r="D18" s="33">
        <v>21763.40794483908</v>
      </c>
      <c r="E18" s="34">
        <v>746.12141109633444</v>
      </c>
      <c r="F18" s="33">
        <v>22057.007604283957</v>
      </c>
      <c r="G18" s="34">
        <v>658.877359909147</v>
      </c>
      <c r="H18" s="33">
        <v>22390.302399573804</v>
      </c>
      <c r="I18" s="34">
        <v>572.37770712099302</v>
      </c>
      <c r="J18" s="33">
        <v>22780.776245381323</v>
      </c>
      <c r="K18" s="34">
        <v>486.67930239600338</v>
      </c>
      <c r="L18" s="33">
        <v>23261.371800681849</v>
      </c>
      <c r="M18" s="34">
        <v>401.74095696435126</v>
      </c>
      <c r="N18" s="33">
        <v>23909.770517065965</v>
      </c>
      <c r="O18" s="34">
        <v>317.04016096723802</v>
      </c>
      <c r="P18" s="33">
        <v>25065.045472955684</v>
      </c>
      <c r="Q18" s="34">
        <v>228.11775208366171</v>
      </c>
      <c r="R18" s="203">
        <v>29002.106744765661</v>
      </c>
      <c r="S18" s="204">
        <v>275.45657674683815</v>
      </c>
      <c r="T18" s="33"/>
      <c r="U18" s="34"/>
      <c r="V18" s="33"/>
      <c r="W18" s="34"/>
      <c r="X18" s="33"/>
      <c r="Y18" s="34"/>
      <c r="Z18" s="33"/>
      <c r="AA18" s="34"/>
      <c r="AB18" s="33"/>
      <c r="AC18" s="34"/>
      <c r="AD18" s="33"/>
      <c r="AE18" s="34"/>
      <c r="AF18" s="33"/>
      <c r="AG18" s="34"/>
      <c r="AH18" s="33"/>
      <c r="AI18" s="34"/>
      <c r="AJ18" s="33"/>
      <c r="AK18" s="34"/>
      <c r="AL18" s="33"/>
      <c r="AM18" s="34"/>
      <c r="AN18" s="33"/>
      <c r="AO18" s="34"/>
      <c r="AP18" s="33"/>
      <c r="AQ18" s="34"/>
      <c r="AR18" s="33"/>
      <c r="AS18" s="34"/>
      <c r="AT18" s="33"/>
      <c r="AU18" s="34"/>
      <c r="AV18" s="33"/>
      <c r="AW18" s="34"/>
      <c r="AX18" s="41"/>
      <c r="AY18" s="42"/>
      <c r="AZ18" s="41"/>
      <c r="BA18" s="42"/>
      <c r="BB18" s="41"/>
      <c r="BC18" s="42"/>
      <c r="BD18" s="41"/>
      <c r="BE18" s="42"/>
      <c r="BF18" s="41"/>
      <c r="BG18" s="42"/>
      <c r="BH18" s="41"/>
      <c r="BI18" s="42"/>
      <c r="BJ18" s="41"/>
      <c r="BK18" s="42"/>
      <c r="BL18" s="41"/>
      <c r="BM18" s="42"/>
      <c r="BN18" s="41"/>
      <c r="BO18" s="42"/>
      <c r="BP18" s="41"/>
      <c r="BQ18" s="42"/>
      <c r="BR18" s="41"/>
      <c r="BS18" s="42"/>
      <c r="BT18" s="41"/>
      <c r="BU18" s="42"/>
      <c r="BV18" s="41"/>
      <c r="BW18" s="42"/>
      <c r="BX18" s="41"/>
      <c r="BY18" s="42"/>
      <c r="BZ18" s="41"/>
      <c r="CA18" s="42"/>
      <c r="CB18" s="41"/>
      <c r="CC18" s="42"/>
      <c r="CD18" s="41"/>
      <c r="CE18" s="42"/>
      <c r="CF18" s="41"/>
      <c r="CG18" s="42"/>
      <c r="CH18" s="41"/>
      <c r="CI18" s="42"/>
      <c r="CJ18" s="41"/>
      <c r="CK18" s="42"/>
      <c r="CL18" s="41"/>
      <c r="CM18" s="42"/>
      <c r="CN18" s="41"/>
      <c r="CO18" s="42"/>
      <c r="CP18" s="41"/>
      <c r="CQ18" s="42"/>
    </row>
    <row r="19" spans="1:95" ht="10.5" x14ac:dyDescent="0.25">
      <c r="A19" t="s">
        <v>3</v>
      </c>
      <c r="B19" s="41">
        <v>1782.2320505062355</v>
      </c>
      <c r="C19" s="42">
        <v>450.22976484179208</v>
      </c>
      <c r="D19" s="41">
        <v>1793.1476913887443</v>
      </c>
      <c r="E19" s="42">
        <v>467.51697467327341</v>
      </c>
      <c r="F19" s="41">
        <v>1806.2110343331155</v>
      </c>
      <c r="G19" s="42">
        <v>486.80546744814438</v>
      </c>
      <c r="H19" s="41">
        <v>1822.2393687816011</v>
      </c>
      <c r="I19" s="42">
        <v>508.43381432931989</v>
      </c>
      <c r="J19" s="41">
        <v>1842.6121920511159</v>
      </c>
      <c r="K19" s="42">
        <v>532.89138857087414</v>
      </c>
      <c r="L19" s="41">
        <v>1869.952248295001</v>
      </c>
      <c r="M19" s="42">
        <v>561.01001300902533</v>
      </c>
      <c r="N19" s="41">
        <v>1910.4492200321174</v>
      </c>
      <c r="O19" s="42">
        <v>594.67993565669997</v>
      </c>
      <c r="P19" s="41">
        <v>1990.8229195700892</v>
      </c>
      <c r="Q19" s="42">
        <v>642.6262317141784</v>
      </c>
      <c r="R19" s="201">
        <v>2312.6576733885681</v>
      </c>
      <c r="S19" s="202">
        <v>723.91583889406525</v>
      </c>
      <c r="T19" s="41"/>
      <c r="U19" s="42"/>
      <c r="V19" s="41"/>
      <c r="W19" s="42"/>
      <c r="X19" s="41"/>
      <c r="Y19" s="42"/>
      <c r="Z19" s="41"/>
      <c r="AA19" s="42"/>
      <c r="AB19" s="41"/>
      <c r="AC19" s="42"/>
      <c r="AD19" s="41"/>
      <c r="AE19" s="42"/>
      <c r="AF19" s="41"/>
      <c r="AG19" s="42"/>
      <c r="AH19" s="41"/>
      <c r="AI19" s="42"/>
      <c r="AJ19" s="41"/>
      <c r="AK19" s="42"/>
      <c r="AL19" s="41"/>
      <c r="AM19" s="42"/>
      <c r="AN19" s="41"/>
      <c r="AO19" s="42"/>
      <c r="AP19" s="41"/>
      <c r="AQ19" s="42"/>
      <c r="AR19" s="41"/>
      <c r="AS19" s="42"/>
      <c r="AT19" s="41"/>
      <c r="AU19" s="42"/>
      <c r="AV19" s="41"/>
      <c r="AW19" s="42"/>
      <c r="AX19" s="82"/>
      <c r="AY19" s="83"/>
      <c r="AZ19" s="82"/>
      <c r="BA19" s="83"/>
      <c r="BB19" s="82"/>
      <c r="BC19" s="83"/>
      <c r="BD19" s="82"/>
      <c r="BE19" s="83"/>
      <c r="BF19" s="82"/>
      <c r="BG19" s="83"/>
      <c r="BH19" s="82"/>
      <c r="BI19" s="83"/>
      <c r="BJ19" s="82"/>
      <c r="BK19" s="83"/>
      <c r="BL19" s="82"/>
      <c r="BM19" s="83"/>
      <c r="BN19" s="82"/>
      <c r="BO19" s="83"/>
      <c r="BP19" s="82"/>
      <c r="BQ19" s="83"/>
      <c r="BR19" s="82"/>
      <c r="BS19" s="83"/>
      <c r="BT19" s="82"/>
      <c r="BU19" s="83"/>
      <c r="BV19" s="82"/>
      <c r="BW19" s="83"/>
      <c r="BX19" s="82"/>
      <c r="BY19" s="83"/>
      <c r="BZ19" s="82"/>
      <c r="CA19" s="83"/>
      <c r="CB19" s="82"/>
      <c r="CC19" s="83"/>
      <c r="CD19" s="82"/>
      <c r="CE19" s="83"/>
      <c r="CF19" s="82"/>
      <c r="CG19" s="83"/>
      <c r="CH19" s="82"/>
      <c r="CI19" s="83"/>
      <c r="CJ19" s="82"/>
      <c r="CK19" s="83"/>
      <c r="CL19" s="82"/>
      <c r="CM19" s="83"/>
      <c r="CN19" s="82"/>
      <c r="CO19" s="83"/>
      <c r="CP19" s="82"/>
      <c r="CQ19" s="83"/>
    </row>
    <row r="20" spans="1:95" ht="10.5" x14ac:dyDescent="0.25">
      <c r="A20" t="s">
        <v>127</v>
      </c>
      <c r="B20" s="82">
        <v>20973.127797372959</v>
      </c>
      <c r="C20" s="83">
        <v>1222.2257935314667</v>
      </c>
      <c r="D20" s="82">
        <v>21208.510394412857</v>
      </c>
      <c r="E20" s="83">
        <v>1161.1145038548932</v>
      </c>
      <c r="F20" s="82">
        <v>21471.628150086341</v>
      </c>
      <c r="G20" s="83">
        <v>1100.0032141783201</v>
      </c>
      <c r="H20" s="82">
        <v>21772.624097217824</v>
      </c>
      <c r="I20" s="83">
        <v>1038.8919245017466</v>
      </c>
      <c r="J20" s="82">
        <v>22128.400783908179</v>
      </c>
      <c r="K20" s="83">
        <v>977.78063482517337</v>
      </c>
      <c r="L20" s="82">
        <v>22570.861628802009</v>
      </c>
      <c r="M20" s="83">
        <v>916.66934514860009</v>
      </c>
      <c r="N20" s="82">
        <v>23175.259173199287</v>
      </c>
      <c r="O20" s="83">
        <v>855.55805547202669</v>
      </c>
      <c r="P20" s="82">
        <v>24269.447029347029</v>
      </c>
      <c r="Q20" s="83">
        <v>794.44676579545353</v>
      </c>
      <c r="R20" s="211">
        <v>28101.141944336428</v>
      </c>
      <c r="S20" s="212">
        <v>916.66934514860009</v>
      </c>
      <c r="T20" s="82"/>
      <c r="U20" s="83"/>
      <c r="V20" s="82"/>
      <c r="W20" s="83"/>
      <c r="X20" s="82"/>
      <c r="Y20" s="83"/>
      <c r="Z20" s="82"/>
      <c r="AA20" s="83"/>
      <c r="AB20" s="82"/>
      <c r="AC20" s="83"/>
      <c r="AD20" s="82"/>
      <c r="AE20" s="83"/>
      <c r="AF20" s="82"/>
      <c r="AG20" s="83"/>
      <c r="AH20" s="82"/>
      <c r="AI20" s="83"/>
      <c r="AJ20" s="82"/>
      <c r="AK20" s="83"/>
      <c r="AL20" s="82"/>
      <c r="AM20" s="83"/>
      <c r="AN20" s="82"/>
      <c r="AO20" s="83"/>
      <c r="AP20" s="82"/>
      <c r="AQ20" s="83"/>
      <c r="AR20" s="82"/>
      <c r="AS20" s="83"/>
      <c r="AT20" s="82"/>
      <c r="AU20" s="83"/>
      <c r="AV20" s="82"/>
      <c r="AW20" s="83"/>
      <c r="AX20" s="41"/>
      <c r="AY20" s="42"/>
      <c r="AZ20" s="41"/>
      <c r="BA20" s="42"/>
      <c r="BB20" s="41"/>
      <c r="BC20" s="42"/>
      <c r="BD20" s="41"/>
      <c r="BE20" s="42"/>
      <c r="BF20" s="41"/>
      <c r="BG20" s="42"/>
      <c r="BH20" s="41"/>
      <c r="BI20" s="42"/>
      <c r="BJ20" s="41"/>
      <c r="BK20" s="42"/>
      <c r="BL20" s="41"/>
      <c r="BM20" s="42"/>
      <c r="BN20" s="41"/>
      <c r="BO20" s="42"/>
      <c r="BP20" s="41"/>
      <c r="BQ20" s="42"/>
      <c r="BR20" s="41"/>
      <c r="BS20" s="42"/>
      <c r="BT20" s="41"/>
      <c r="BU20" s="42"/>
      <c r="BV20" s="41"/>
      <c r="BW20" s="42"/>
      <c r="BX20" s="41"/>
      <c r="BY20" s="42"/>
      <c r="BZ20" s="41"/>
      <c r="CA20" s="42"/>
      <c r="CB20" s="41"/>
      <c r="CC20" s="42"/>
      <c r="CD20" s="41"/>
      <c r="CE20" s="42"/>
      <c r="CF20" s="41"/>
      <c r="CG20" s="42"/>
      <c r="CH20" s="41"/>
      <c r="CI20" s="42"/>
      <c r="CJ20" s="41"/>
      <c r="CK20" s="42"/>
      <c r="CL20" s="41"/>
      <c r="CM20" s="42"/>
      <c r="CN20" s="41"/>
      <c r="CO20" s="42"/>
      <c r="CP20" s="41"/>
      <c r="CQ20" s="42"/>
    </row>
    <row r="21" spans="1:95" ht="10.5" x14ac:dyDescent="0.25">
      <c r="A21" t="s">
        <v>76</v>
      </c>
      <c r="B21" s="82">
        <v>19190.895746866718</v>
      </c>
      <c r="C21" s="83">
        <v>771.99602868966781</v>
      </c>
      <c r="D21" s="82">
        <v>19415.37525124395</v>
      </c>
      <c r="E21" s="83">
        <v>694.35418732126766</v>
      </c>
      <c r="F21" s="82">
        <v>19665.467969815796</v>
      </c>
      <c r="G21" s="83">
        <v>616.44961540017687</v>
      </c>
      <c r="H21" s="82">
        <v>19950.500814270032</v>
      </c>
      <c r="I21" s="83">
        <v>538.35700636871547</v>
      </c>
      <c r="J21" s="82">
        <v>20285.998215620242</v>
      </c>
      <c r="K21" s="83">
        <v>460.14474108771805</v>
      </c>
      <c r="L21" s="82">
        <v>20701.242456422464</v>
      </c>
      <c r="M21" s="83">
        <v>381.79585957225976</v>
      </c>
      <c r="N21" s="82">
        <v>21265.298805346582</v>
      </c>
      <c r="O21" s="83">
        <v>302.84582702675425</v>
      </c>
      <c r="P21" s="82">
        <v>22279.313769913348</v>
      </c>
      <c r="Q21" s="83">
        <v>219.09082702077876</v>
      </c>
      <c r="R21" s="211">
        <v>25789.143292737695</v>
      </c>
      <c r="S21" s="212">
        <v>264.34149152414278</v>
      </c>
      <c r="T21" s="82"/>
      <c r="U21" s="83"/>
      <c r="V21" s="82"/>
      <c r="W21" s="83"/>
      <c r="X21" s="82"/>
      <c r="Y21" s="83"/>
      <c r="Z21" s="82"/>
      <c r="AA21" s="83"/>
      <c r="AB21" s="82"/>
      <c r="AC21" s="83"/>
      <c r="AD21" s="82"/>
      <c r="AE21" s="83"/>
      <c r="AF21" s="82"/>
      <c r="AG21" s="83"/>
      <c r="AH21" s="82"/>
      <c r="AI21" s="83"/>
      <c r="AJ21" s="82"/>
      <c r="AK21" s="83"/>
      <c r="AL21" s="82"/>
      <c r="AM21" s="83"/>
      <c r="AN21" s="82"/>
      <c r="AO21" s="83"/>
      <c r="AP21" s="82"/>
      <c r="AQ21" s="83"/>
      <c r="AR21" s="82"/>
      <c r="AS21" s="83"/>
      <c r="AT21" s="82"/>
      <c r="AU21" s="83"/>
      <c r="AV21" s="82"/>
      <c r="AW21" s="83"/>
      <c r="AX21" s="41"/>
      <c r="AY21" s="42"/>
      <c r="AZ21" s="41"/>
      <c r="BA21" s="42"/>
      <c r="BB21" s="41"/>
      <c r="BC21" s="42"/>
      <c r="BD21" s="41"/>
      <c r="BE21" s="42"/>
      <c r="BF21" s="41"/>
      <c r="BG21" s="42"/>
      <c r="BH21" s="41"/>
      <c r="BI21" s="42"/>
      <c r="BJ21" s="41"/>
      <c r="BK21" s="42"/>
      <c r="BL21" s="41"/>
      <c r="BM21" s="42"/>
      <c r="BN21" s="41"/>
      <c r="BO21" s="42"/>
      <c r="BP21" s="41"/>
      <c r="BQ21" s="42"/>
      <c r="BR21" s="41"/>
      <c r="BS21" s="42"/>
      <c r="BT21" s="41"/>
      <c r="BU21" s="42"/>
      <c r="BV21" s="41"/>
      <c r="BW21" s="42"/>
      <c r="BX21" s="41"/>
      <c r="BY21" s="42"/>
      <c r="BZ21" s="41"/>
      <c r="CA21" s="42"/>
      <c r="CB21" s="41"/>
      <c r="CC21" s="42"/>
      <c r="CD21" s="41"/>
      <c r="CE21" s="42"/>
      <c r="CF21" s="41"/>
      <c r="CG21" s="42"/>
      <c r="CH21" s="41"/>
      <c r="CI21" s="42"/>
      <c r="CJ21" s="41"/>
      <c r="CK21" s="42"/>
      <c r="CL21" s="41"/>
      <c r="CM21" s="42"/>
      <c r="CN21" s="41"/>
      <c r="CO21" s="42"/>
      <c r="CP21" s="41"/>
      <c r="CQ21" s="42"/>
    </row>
    <row r="22" spans="1:95" ht="10.5" x14ac:dyDescent="0.25">
      <c r="A22" t="s">
        <v>28</v>
      </c>
      <c r="B22" s="41">
        <v>5896.9295697243906</v>
      </c>
      <c r="C22" s="42">
        <v>340.53228761636638</v>
      </c>
      <c r="D22" s="41">
        <v>5983.3867946688033</v>
      </c>
      <c r="E22" s="42">
        <v>330.81195736351117</v>
      </c>
      <c r="F22" s="41">
        <v>6080.1042115031969</v>
      </c>
      <c r="G22" s="42">
        <v>320.62451404566093</v>
      </c>
      <c r="H22" s="41">
        <v>6190.9272257061448</v>
      </c>
      <c r="I22" s="42">
        <v>309.93102813598279</v>
      </c>
      <c r="J22" s="41">
        <v>6322.3041223809805</v>
      </c>
      <c r="K22" s="42">
        <v>298.68465586173164</v>
      </c>
      <c r="L22" s="41">
        <v>6486.4635378389848</v>
      </c>
      <c r="M22" s="42">
        <v>286.8340756873327</v>
      </c>
      <c r="N22" s="41">
        <v>6712.3412465603524</v>
      </c>
      <c r="O22" s="42">
        <v>274.35528119898134</v>
      </c>
      <c r="P22" s="41">
        <v>7126.0854997996139</v>
      </c>
      <c r="Q22" s="42">
        <v>261.61436651887703</v>
      </c>
      <c r="R22" s="201">
        <v>8614.9896149588421</v>
      </c>
      <c r="S22" s="202">
        <v>306.06258110826951</v>
      </c>
      <c r="T22" s="41"/>
      <c r="U22" s="42"/>
      <c r="V22" s="41"/>
      <c r="W22" s="42"/>
      <c r="X22" s="41"/>
      <c r="Y22" s="42"/>
      <c r="Z22" s="41"/>
      <c r="AA22" s="42"/>
      <c r="AB22" s="41"/>
      <c r="AC22" s="42"/>
      <c r="AD22" s="41"/>
      <c r="AE22" s="42"/>
      <c r="AF22" s="41"/>
      <c r="AG22" s="42"/>
      <c r="AH22" s="41"/>
      <c r="AI22" s="42"/>
      <c r="AJ22" s="41"/>
      <c r="AK22" s="42"/>
      <c r="AL22" s="41"/>
      <c r="AM22" s="42"/>
      <c r="AN22" s="41"/>
      <c r="AO22" s="42"/>
      <c r="AP22" s="41"/>
      <c r="AQ22" s="42"/>
      <c r="AR22" s="41"/>
      <c r="AS22" s="42"/>
      <c r="AT22" s="41"/>
      <c r="AU22" s="42"/>
      <c r="AV22" s="41"/>
      <c r="AW22" s="42"/>
      <c r="AX22" s="116"/>
      <c r="AY22" s="8"/>
      <c r="AZ22" s="116"/>
      <c r="BA22" s="8"/>
      <c r="BB22" s="116"/>
      <c r="BC22" s="8"/>
      <c r="BD22" s="116"/>
      <c r="BE22" s="8"/>
      <c r="BF22" s="116"/>
      <c r="BG22" s="8"/>
      <c r="BH22" s="116"/>
      <c r="BI22" s="8"/>
      <c r="BJ22" s="116"/>
      <c r="BK22" s="8"/>
      <c r="BL22" s="116"/>
      <c r="BM22" s="8"/>
      <c r="BN22" s="116"/>
      <c r="BO22" s="8"/>
      <c r="BP22" s="116"/>
      <c r="BQ22" s="8"/>
      <c r="BR22" s="116"/>
      <c r="BS22" s="8"/>
      <c r="BT22" s="116"/>
      <c r="BU22" s="8"/>
      <c r="BV22" s="116"/>
      <c r="BW22" s="8"/>
      <c r="BX22" s="116"/>
      <c r="BY22" s="8"/>
      <c r="BZ22" s="116"/>
      <c r="CA22" s="8"/>
      <c r="CB22" s="116"/>
      <c r="CC22" s="8"/>
      <c r="CD22" s="116"/>
      <c r="CE22" s="8"/>
      <c r="CF22" s="116"/>
      <c r="CG22" s="8"/>
      <c r="CH22" s="116"/>
      <c r="CI22" s="8"/>
      <c r="CJ22" s="116"/>
      <c r="CK22" s="8"/>
      <c r="CL22" s="116"/>
      <c r="CM22" s="8"/>
      <c r="CN22" s="116"/>
      <c r="CO22" s="8"/>
      <c r="CP22" s="116"/>
      <c r="CQ22" s="8"/>
    </row>
    <row r="23" spans="1:95" ht="10.5" x14ac:dyDescent="0.25">
      <c r="A23" t="s">
        <v>7</v>
      </c>
      <c r="B23" s="116">
        <v>2396.8717103698964</v>
      </c>
      <c r="C23" s="8">
        <v>0</v>
      </c>
      <c r="D23" s="116">
        <v>2427.0977121099995</v>
      </c>
      <c r="E23" s="8">
        <v>0</v>
      </c>
      <c r="F23" s="116">
        <v>2460.8201817339673</v>
      </c>
      <c r="G23" s="8">
        <v>0</v>
      </c>
      <c r="H23" s="116">
        <v>2499.3116709864694</v>
      </c>
      <c r="I23" s="8">
        <v>0</v>
      </c>
      <c r="J23" s="116">
        <v>2544.6902027746714</v>
      </c>
      <c r="K23" s="8">
        <v>0</v>
      </c>
      <c r="L23" s="116">
        <v>2600.9424419333072</v>
      </c>
      <c r="M23" s="8">
        <v>0</v>
      </c>
      <c r="N23" s="116">
        <v>2677.4256880354537</v>
      </c>
      <c r="O23" s="8">
        <v>0</v>
      </c>
      <c r="P23" s="116">
        <v>2814.5552242037861</v>
      </c>
      <c r="Q23" s="8">
        <v>0</v>
      </c>
      <c r="R23" s="213">
        <v>3270.4451200298363</v>
      </c>
      <c r="S23" s="214">
        <v>0</v>
      </c>
      <c r="T23" s="116"/>
      <c r="U23" s="8"/>
      <c r="V23" s="116"/>
      <c r="W23" s="8"/>
      <c r="X23" s="116"/>
      <c r="Y23" s="8"/>
      <c r="Z23" s="116"/>
      <c r="AA23" s="8"/>
      <c r="AB23" s="116"/>
      <c r="AC23" s="8"/>
      <c r="AD23" s="116"/>
      <c r="AE23" s="8"/>
      <c r="AF23" s="116"/>
      <c r="AG23" s="8"/>
      <c r="AH23" s="116"/>
      <c r="AI23" s="8"/>
      <c r="AJ23" s="116"/>
      <c r="AK23" s="8"/>
      <c r="AL23" s="116"/>
      <c r="AM23" s="8"/>
      <c r="AN23" s="116"/>
      <c r="AO23" s="8"/>
      <c r="AP23" s="116"/>
      <c r="AQ23" s="8"/>
      <c r="AR23" s="116"/>
      <c r="AS23" s="8"/>
      <c r="AT23" s="116"/>
      <c r="AU23" s="8"/>
      <c r="AV23" s="116"/>
      <c r="AW23" s="8"/>
      <c r="AX23" s="59"/>
      <c r="AY23" s="8"/>
      <c r="AZ23" s="59"/>
      <c r="BA23" s="8"/>
      <c r="BB23" s="59"/>
      <c r="BC23" s="8"/>
      <c r="BD23" s="59"/>
      <c r="BE23" s="8"/>
      <c r="BF23" s="59"/>
      <c r="BG23" s="8"/>
      <c r="BH23" s="59"/>
      <c r="BI23" s="8"/>
      <c r="BJ23" s="59"/>
      <c r="BK23" s="8"/>
      <c r="BL23" s="59"/>
      <c r="BM23" s="8"/>
      <c r="BN23" s="59"/>
      <c r="BO23" s="8"/>
      <c r="BP23" s="59"/>
      <c r="BQ23" s="8"/>
      <c r="BR23" s="59"/>
      <c r="BS23" s="8"/>
      <c r="BT23" s="59"/>
      <c r="BU23" s="8"/>
      <c r="BV23" s="59"/>
      <c r="BW23" s="8"/>
      <c r="BX23" s="59"/>
      <c r="BY23" s="8"/>
      <c r="BZ23" s="59"/>
      <c r="CA23" s="8"/>
      <c r="CB23" s="59"/>
      <c r="CC23" s="8"/>
      <c r="CD23" s="59"/>
      <c r="CE23" s="8"/>
      <c r="CF23" s="59"/>
      <c r="CG23" s="8"/>
      <c r="CH23" s="59"/>
      <c r="CI23" s="8"/>
      <c r="CJ23" s="59"/>
      <c r="CK23" s="8"/>
      <c r="CL23" s="59"/>
      <c r="CM23" s="8"/>
      <c r="CN23" s="59"/>
      <c r="CO23" s="8"/>
      <c r="CP23" s="59"/>
      <c r="CQ23" s="8"/>
    </row>
    <row r="24" spans="1:95" ht="10.5" x14ac:dyDescent="0.25">
      <c r="A24" t="s">
        <v>8</v>
      </c>
      <c r="B24" s="97">
        <v>2261.1304131516072</v>
      </c>
      <c r="C24" s="8">
        <v>0</v>
      </c>
      <c r="D24" s="97">
        <v>2266.8521078556701</v>
      </c>
      <c r="E24" s="8">
        <v>0</v>
      </c>
      <c r="F24" s="97">
        <v>2272.6071978459699</v>
      </c>
      <c r="G24" s="8">
        <v>0</v>
      </c>
      <c r="H24" s="97">
        <v>2278.3939002065813</v>
      </c>
      <c r="I24" s="8">
        <v>0</v>
      </c>
      <c r="J24" s="97">
        <v>2284.2002710339575</v>
      </c>
      <c r="K24" s="8">
        <v>0</v>
      </c>
      <c r="L24" s="97">
        <v>2289.9971695843901</v>
      </c>
      <c r="M24" s="8">
        <v>0</v>
      </c>
      <c r="N24" s="97">
        <v>2295.7293423651449</v>
      </c>
      <c r="O24" s="8">
        <v>0</v>
      </c>
      <c r="P24" s="97">
        <v>2301.3875495570596</v>
      </c>
      <c r="Q24" s="8">
        <v>0</v>
      </c>
      <c r="R24" s="207">
        <v>2297.6424316491898</v>
      </c>
      <c r="S24" s="214">
        <v>0</v>
      </c>
      <c r="T24" s="97"/>
      <c r="U24" s="8"/>
      <c r="V24" s="97"/>
      <c r="W24" s="8"/>
      <c r="X24" s="97"/>
      <c r="Y24" s="8"/>
      <c r="Z24" s="97"/>
      <c r="AA24" s="8"/>
      <c r="AB24" s="97"/>
      <c r="AC24" s="8"/>
      <c r="AD24" s="97"/>
      <c r="AE24" s="8"/>
      <c r="AF24" s="97"/>
      <c r="AG24" s="8"/>
      <c r="AH24" s="97"/>
      <c r="AI24" s="8"/>
      <c r="AJ24" s="97"/>
      <c r="AK24" s="8"/>
      <c r="AL24" s="97"/>
      <c r="AM24" s="8"/>
      <c r="AN24" s="97"/>
      <c r="AO24" s="8"/>
      <c r="AP24" s="97"/>
      <c r="AQ24" s="8"/>
      <c r="AR24" s="97"/>
      <c r="AS24" s="8"/>
      <c r="AT24" s="97"/>
      <c r="AU24" s="8"/>
      <c r="AV24" s="97"/>
      <c r="AW24" s="8"/>
      <c r="AX24" s="41"/>
      <c r="AY24" s="42"/>
      <c r="AZ24" s="41"/>
      <c r="BA24" s="42"/>
      <c r="BB24" s="41"/>
      <c r="BC24" s="42"/>
      <c r="BD24" s="41"/>
      <c r="BE24" s="42"/>
      <c r="BF24" s="41"/>
      <c r="BG24" s="42"/>
      <c r="BH24" s="41"/>
      <c r="BI24" s="42"/>
      <c r="BJ24" s="41"/>
      <c r="BK24" s="42"/>
      <c r="BL24" s="41"/>
      <c r="BM24" s="42"/>
      <c r="BN24" s="41"/>
      <c r="BO24" s="42"/>
      <c r="BP24" s="41"/>
      <c r="BQ24" s="42"/>
      <c r="BR24" s="41"/>
      <c r="BS24" s="42"/>
      <c r="BT24" s="41"/>
      <c r="BU24" s="42"/>
      <c r="BV24" s="41"/>
      <c r="BW24" s="42"/>
      <c r="BX24" s="41"/>
      <c r="BY24" s="42"/>
      <c r="BZ24" s="41"/>
      <c r="CA24" s="42"/>
      <c r="CB24" s="41"/>
      <c r="CC24" s="42"/>
      <c r="CD24" s="41"/>
      <c r="CE24" s="42"/>
      <c r="CF24" s="41"/>
      <c r="CG24" s="42"/>
      <c r="CH24" s="41"/>
      <c r="CI24" s="42"/>
      <c r="CJ24" s="41"/>
      <c r="CK24" s="42"/>
      <c r="CL24" s="41"/>
      <c r="CM24" s="42"/>
      <c r="CN24" s="41"/>
      <c r="CO24" s="42"/>
      <c r="CP24" s="41"/>
      <c r="CQ24" s="42"/>
    </row>
    <row r="25" spans="1:95" ht="10.5" x14ac:dyDescent="0.25">
      <c r="A25" t="s">
        <v>0</v>
      </c>
      <c r="B25" s="41">
        <v>2308.08561139929</v>
      </c>
      <c r="C25" s="42">
        <v>62.040492544331705</v>
      </c>
      <c r="D25" s="41">
        <v>2348.0167296625482</v>
      </c>
      <c r="E25" s="42">
        <v>51.696360887027261</v>
      </c>
      <c r="F25" s="41">
        <v>2391.4744804227271</v>
      </c>
      <c r="G25" s="42">
        <v>42.165338759831648</v>
      </c>
      <c r="H25" s="41">
        <v>2439.6518218853557</v>
      </c>
      <c r="I25" s="42">
        <v>33.481623678462064</v>
      </c>
      <c r="J25" s="41">
        <v>2494.5056752147029</v>
      </c>
      <c r="K25" s="42">
        <v>25.675916487399686</v>
      </c>
      <c r="L25" s="41">
        <v>2559.6935739484238</v>
      </c>
      <c r="M25" s="42">
        <v>18.770676970095355</v>
      </c>
      <c r="N25" s="41">
        <v>2643.8277163605039</v>
      </c>
      <c r="O25" s="42">
        <v>12.761691442650584</v>
      </c>
      <c r="P25" s="41">
        <v>2784.8169830569391</v>
      </c>
      <c r="Q25" s="42">
        <v>7.4582574011688809</v>
      </c>
      <c r="R25" s="201">
        <v>3212.0932842038865</v>
      </c>
      <c r="S25" s="202">
        <v>9.3332180330221099</v>
      </c>
      <c r="T25" s="41"/>
      <c r="U25" s="42"/>
      <c r="V25" s="41"/>
      <c r="W25" s="42"/>
      <c r="X25" s="41"/>
      <c r="Y25" s="42"/>
      <c r="Z25" s="41"/>
      <c r="AA25" s="42"/>
      <c r="AB25" s="41"/>
      <c r="AC25" s="42"/>
      <c r="AD25" s="41"/>
      <c r="AE25" s="42"/>
      <c r="AF25" s="41"/>
      <c r="AG25" s="42"/>
      <c r="AH25" s="41"/>
      <c r="AI25" s="42"/>
      <c r="AJ25" s="41"/>
      <c r="AK25" s="42"/>
      <c r="AL25" s="41"/>
      <c r="AM25" s="42"/>
      <c r="AN25" s="41"/>
      <c r="AO25" s="42"/>
      <c r="AP25" s="41"/>
      <c r="AQ25" s="42"/>
      <c r="AR25" s="41"/>
      <c r="AS25" s="42"/>
      <c r="AT25" s="41"/>
      <c r="AU25" s="42"/>
      <c r="AV25" s="41"/>
      <c r="AW25" s="42"/>
      <c r="AX25" s="41"/>
      <c r="AY25" s="42"/>
      <c r="AZ25" s="41"/>
      <c r="BA25" s="42"/>
      <c r="BB25" s="41"/>
      <c r="BC25" s="42"/>
      <c r="BD25" s="41"/>
      <c r="BE25" s="42"/>
      <c r="BF25" s="41"/>
      <c r="BG25" s="42"/>
      <c r="BH25" s="41"/>
      <c r="BI25" s="42"/>
      <c r="BJ25" s="41"/>
      <c r="BK25" s="42"/>
      <c r="BL25" s="41"/>
      <c r="BM25" s="42"/>
      <c r="BN25" s="41"/>
      <c r="BO25" s="42"/>
      <c r="BP25" s="41"/>
      <c r="BQ25" s="42"/>
      <c r="BR25" s="41"/>
      <c r="BS25" s="42"/>
      <c r="BT25" s="41"/>
      <c r="BU25" s="42"/>
      <c r="BV25" s="41"/>
      <c r="BW25" s="42"/>
      <c r="BX25" s="41"/>
      <c r="BY25" s="42"/>
      <c r="BZ25" s="41"/>
      <c r="CA25" s="42"/>
      <c r="CB25" s="41"/>
      <c r="CC25" s="42"/>
      <c r="CD25" s="41"/>
      <c r="CE25" s="42"/>
      <c r="CF25" s="41"/>
      <c r="CG25" s="42"/>
      <c r="CH25" s="41"/>
      <c r="CI25" s="42"/>
      <c r="CJ25" s="41"/>
      <c r="CK25" s="42"/>
      <c r="CL25" s="41"/>
      <c r="CM25" s="42"/>
      <c r="CN25" s="41"/>
      <c r="CO25" s="42"/>
      <c r="CP25" s="41"/>
      <c r="CQ25" s="42"/>
    </row>
    <row r="26" spans="1:95" ht="10.5" x14ac:dyDescent="0.25">
      <c r="A26" t="s">
        <v>27</v>
      </c>
      <c r="B26" s="33">
        <v>3209.4420883953348</v>
      </c>
      <c r="C26" s="34">
        <v>31.623872672841795</v>
      </c>
      <c r="D26" s="33">
        <v>3286.7513857545368</v>
      </c>
      <c r="E26" s="34">
        <v>28.89851867081202</v>
      </c>
      <c r="F26" s="33">
        <v>3376.3337419688419</v>
      </c>
      <c r="G26" s="34">
        <v>26.150546443068372</v>
      </c>
      <c r="H26" s="33">
        <v>3483.067379445667</v>
      </c>
      <c r="I26" s="34">
        <v>23.378285069284114</v>
      </c>
      <c r="J26" s="33">
        <v>3615.3140754123424</v>
      </c>
      <c r="K26" s="34">
        <v>20.580096055425937</v>
      </c>
      <c r="L26" s="33">
        <v>3789.3833322195856</v>
      </c>
      <c r="M26" s="34">
        <v>17.754118132836506</v>
      </c>
      <c r="N26" s="33">
        <v>4045.3058653345629</v>
      </c>
      <c r="O26" s="34">
        <v>14.89681404353019</v>
      </c>
      <c r="P26" s="33">
        <v>4567.0383266562712</v>
      </c>
      <c r="Q26" s="34">
        <v>11.995692096444071</v>
      </c>
      <c r="R26" s="203">
        <v>7245.4631734322984</v>
      </c>
      <c r="S26" s="204">
        <v>21.887840202497664</v>
      </c>
      <c r="T26" s="33"/>
      <c r="U26" s="34"/>
      <c r="V26" s="33"/>
      <c r="W26" s="34"/>
      <c r="X26" s="33"/>
      <c r="Y26" s="34"/>
      <c r="Z26" s="33"/>
      <c r="AA26" s="34"/>
      <c r="AB26" s="33"/>
      <c r="AC26" s="34"/>
      <c r="AD26" s="33"/>
      <c r="AE26" s="34"/>
      <c r="AF26" s="33"/>
      <c r="AG26" s="34"/>
      <c r="AH26" s="33"/>
      <c r="AI26" s="34"/>
      <c r="AJ26" s="33"/>
      <c r="AK26" s="34"/>
      <c r="AL26" s="33"/>
      <c r="AM26" s="34"/>
      <c r="AN26" s="33"/>
      <c r="AO26" s="34"/>
      <c r="AP26" s="33"/>
      <c r="AQ26" s="34"/>
      <c r="AR26" s="33"/>
      <c r="AS26" s="34"/>
      <c r="AT26" s="33"/>
      <c r="AU26" s="34"/>
      <c r="AV26" s="33"/>
      <c r="AW26" s="34"/>
      <c r="AX26" s="41"/>
      <c r="AY26" s="42"/>
      <c r="AZ26" s="41"/>
      <c r="BA26" s="42"/>
      <c r="BB26" s="41"/>
      <c r="BC26" s="42"/>
      <c r="BD26" s="41"/>
      <c r="BE26" s="42"/>
      <c r="BF26" s="41"/>
      <c r="BG26" s="42"/>
      <c r="BH26" s="41"/>
      <c r="BI26" s="42"/>
      <c r="BJ26" s="41"/>
      <c r="BK26" s="42"/>
      <c r="BL26" s="41"/>
      <c r="BM26" s="42"/>
      <c r="BN26" s="41"/>
      <c r="BO26" s="42"/>
      <c r="BP26" s="41"/>
      <c r="BQ26" s="42"/>
      <c r="BR26" s="41"/>
      <c r="BS26" s="42"/>
      <c r="BT26" s="41"/>
      <c r="BU26" s="42"/>
      <c r="BV26" s="41"/>
      <c r="BW26" s="42"/>
      <c r="BX26" s="41"/>
      <c r="BY26" s="42"/>
      <c r="BZ26" s="41"/>
      <c r="CA26" s="42"/>
      <c r="CB26" s="41"/>
      <c r="CC26" s="42"/>
      <c r="CD26" s="41"/>
      <c r="CE26" s="42"/>
      <c r="CF26" s="41"/>
      <c r="CG26" s="42"/>
      <c r="CH26" s="41"/>
      <c r="CI26" s="42"/>
      <c r="CJ26" s="41"/>
      <c r="CK26" s="42"/>
      <c r="CL26" s="41"/>
      <c r="CM26" s="42"/>
      <c r="CN26" s="41"/>
      <c r="CO26" s="42"/>
      <c r="CP26" s="41"/>
      <c r="CQ26" s="42"/>
    </row>
    <row r="27" spans="1:95" ht="10.5" x14ac:dyDescent="0.25">
      <c r="A27" t="s">
        <v>2</v>
      </c>
      <c r="B27" s="35">
        <v>4880.3032028967582</v>
      </c>
      <c r="C27" s="36">
        <v>155.9342317514201</v>
      </c>
      <c r="D27" s="35">
        <v>4895.6455517509339</v>
      </c>
      <c r="E27" s="36">
        <v>140.59182899344088</v>
      </c>
      <c r="F27" s="35">
        <v>4910.9888371855686</v>
      </c>
      <c r="G27" s="36">
        <v>125.24842484517568</v>
      </c>
      <c r="H27" s="35">
        <v>4926.3376086121962</v>
      </c>
      <c r="I27" s="36">
        <v>109.89980046148213</v>
      </c>
      <c r="J27" s="35">
        <v>4941.7015781632945</v>
      </c>
      <c r="K27" s="36">
        <v>94.535675806508351</v>
      </c>
      <c r="L27" s="35">
        <v>4957.1132596634316</v>
      </c>
      <c r="M27" s="36">
        <v>79.124113640730002</v>
      </c>
      <c r="N27" s="35">
        <v>4972.6971767846053</v>
      </c>
      <c r="O27" s="36">
        <v>63.539823250486343</v>
      </c>
      <c r="P27" s="35">
        <v>4989.3033698207364</v>
      </c>
      <c r="Q27" s="36">
        <v>46.932988521289424</v>
      </c>
      <c r="R27" s="205">
        <v>4977.3141006784635</v>
      </c>
      <c r="S27" s="206">
        <v>58.92338713384283</v>
      </c>
      <c r="T27" s="35"/>
      <c r="U27" s="36"/>
      <c r="V27" s="35"/>
      <c r="W27" s="36"/>
      <c r="X27" s="35"/>
      <c r="Y27" s="36"/>
      <c r="Z27" s="35"/>
      <c r="AA27" s="36"/>
      <c r="AB27" s="35"/>
      <c r="AC27" s="36"/>
      <c r="AD27" s="35"/>
      <c r="AE27" s="36"/>
      <c r="AF27" s="35"/>
      <c r="AG27" s="36"/>
      <c r="AH27" s="35"/>
      <c r="AI27" s="36"/>
      <c r="AJ27" s="35"/>
      <c r="AK27" s="36"/>
      <c r="AL27" s="35"/>
      <c r="AM27" s="36"/>
      <c r="AN27" s="35"/>
      <c r="AO27" s="36"/>
      <c r="AP27" s="35"/>
      <c r="AQ27" s="36"/>
      <c r="AR27" s="35"/>
      <c r="AS27" s="36"/>
      <c r="AT27" s="35"/>
      <c r="AU27" s="36"/>
      <c r="AV27" s="35"/>
      <c r="AW27" s="36"/>
      <c r="AX27" s="41"/>
      <c r="AY27" s="42"/>
      <c r="AZ27" s="41"/>
      <c r="BA27" s="42"/>
      <c r="BB27" s="41"/>
      <c r="BC27" s="42"/>
      <c r="BD27" s="41"/>
      <c r="BE27" s="42"/>
      <c r="BF27" s="41"/>
      <c r="BG27" s="42"/>
      <c r="BH27" s="41"/>
      <c r="BI27" s="42"/>
      <c r="BJ27" s="41"/>
      <c r="BK27" s="42"/>
      <c r="BL27" s="41"/>
      <c r="BM27" s="42"/>
      <c r="BN27" s="41"/>
      <c r="BO27" s="42"/>
      <c r="BP27" s="41"/>
      <c r="BQ27" s="42"/>
      <c r="BR27" s="41"/>
      <c r="BS27" s="42"/>
      <c r="BT27" s="41"/>
      <c r="BU27" s="42"/>
      <c r="BV27" s="41"/>
      <c r="BW27" s="42"/>
      <c r="BX27" s="41"/>
      <c r="BY27" s="42"/>
      <c r="BZ27" s="41"/>
      <c r="CA27" s="42"/>
      <c r="CB27" s="41"/>
      <c r="CC27" s="42"/>
      <c r="CD27" s="41"/>
      <c r="CE27" s="42"/>
      <c r="CF27" s="41"/>
      <c r="CG27" s="42"/>
      <c r="CH27" s="41"/>
      <c r="CI27" s="42"/>
      <c r="CJ27" s="41"/>
      <c r="CK27" s="42"/>
      <c r="CL27" s="41"/>
      <c r="CM27" s="42"/>
      <c r="CN27" s="41"/>
      <c r="CO27" s="42"/>
      <c r="CP27" s="41"/>
      <c r="CQ27" s="42"/>
    </row>
    <row r="28" spans="1:95" ht="10.5" x14ac:dyDescent="0.25">
      <c r="A28" t="s">
        <v>35</v>
      </c>
      <c r="B28" s="41">
        <v>9924.5937686277503</v>
      </c>
      <c r="C28" s="42">
        <v>205.34242141823873</v>
      </c>
      <c r="D28" s="41">
        <v>10060.165188665113</v>
      </c>
      <c r="E28" s="42">
        <v>185.73518937734448</v>
      </c>
      <c r="F28" s="41">
        <v>10211.585501727768</v>
      </c>
      <c r="G28" s="42">
        <v>166.07675222129274</v>
      </c>
      <c r="H28" s="41">
        <v>10384.467969952895</v>
      </c>
      <c r="I28" s="42">
        <v>146.35767867880924</v>
      </c>
      <c r="J28" s="41">
        <v>10588.074524348609</v>
      </c>
      <c r="K28" s="42">
        <v>126.56067395440473</v>
      </c>
      <c r="L28" s="41">
        <v>10839.692938465474</v>
      </c>
      <c r="M28" s="42">
        <v>106.64192962867348</v>
      </c>
      <c r="N28" s="41">
        <v>11179.573872150342</v>
      </c>
      <c r="O28" s="42">
        <v>86.446580146229891</v>
      </c>
      <c r="P28" s="41">
        <v>11780.208097531613</v>
      </c>
      <c r="Q28" s="42">
        <v>64.971699705878038</v>
      </c>
      <c r="R28" s="201">
        <v>13654.581619379127</v>
      </c>
      <c r="S28" s="202">
        <v>86.615478736872561</v>
      </c>
      <c r="T28" s="41"/>
      <c r="U28" s="42"/>
      <c r="V28" s="41"/>
      <c r="W28" s="42"/>
      <c r="X28" s="41"/>
      <c r="Y28" s="42"/>
      <c r="Z28" s="41"/>
      <c r="AA28" s="42"/>
      <c r="AB28" s="41"/>
      <c r="AC28" s="42"/>
      <c r="AD28" s="41"/>
      <c r="AE28" s="42"/>
      <c r="AF28" s="41"/>
      <c r="AG28" s="42"/>
      <c r="AH28" s="41"/>
      <c r="AI28" s="42"/>
      <c r="AJ28" s="41"/>
      <c r="AK28" s="42"/>
      <c r="AL28" s="41"/>
      <c r="AM28" s="42"/>
      <c r="AN28" s="41"/>
      <c r="AO28" s="42"/>
      <c r="AP28" s="41"/>
      <c r="AQ28" s="42"/>
      <c r="AR28" s="41"/>
      <c r="AS28" s="42"/>
      <c r="AT28" s="41"/>
      <c r="AU28" s="42"/>
      <c r="AV28" s="41"/>
      <c r="AW28" s="42"/>
      <c r="AX28" s="35"/>
      <c r="AY28" s="36"/>
      <c r="AZ28" s="35"/>
      <c r="BA28" s="36"/>
      <c r="BB28" s="35"/>
      <c r="BC28" s="36"/>
      <c r="BD28" s="35"/>
      <c r="BE28" s="36"/>
      <c r="BF28" s="35"/>
      <c r="BG28" s="36"/>
      <c r="BH28" s="35"/>
      <c r="BI28" s="36"/>
      <c r="BJ28" s="35"/>
      <c r="BK28" s="36"/>
      <c r="BL28" s="35"/>
      <c r="BM28" s="36"/>
      <c r="BN28" s="35"/>
      <c r="BO28" s="36"/>
      <c r="BP28" s="35"/>
      <c r="BQ28" s="36"/>
      <c r="BR28" s="35"/>
      <c r="BS28" s="36"/>
      <c r="BT28" s="35"/>
      <c r="BU28" s="36"/>
      <c r="BV28" s="35"/>
      <c r="BW28" s="36"/>
      <c r="BX28" s="35"/>
      <c r="BY28" s="36"/>
      <c r="BZ28" s="35"/>
      <c r="CA28" s="36"/>
      <c r="CB28" s="35"/>
      <c r="CC28" s="36"/>
      <c r="CD28" s="35"/>
      <c r="CE28" s="36"/>
      <c r="CF28" s="35"/>
      <c r="CG28" s="36"/>
      <c r="CH28" s="35"/>
      <c r="CI28" s="36"/>
      <c r="CJ28" s="35"/>
      <c r="CK28" s="36"/>
      <c r="CL28" s="35"/>
      <c r="CM28" s="36"/>
      <c r="CN28" s="35"/>
      <c r="CO28" s="36"/>
      <c r="CP28" s="35"/>
      <c r="CQ28" s="36"/>
    </row>
    <row r="29" spans="1:95" ht="10.5" x14ac:dyDescent="0.25">
      <c r="A29" t="s">
        <v>53</v>
      </c>
      <c r="B29" s="35">
        <v>10476.875482049762</v>
      </c>
      <c r="C29" s="36">
        <v>680.10699657273528</v>
      </c>
      <c r="D29" s="35">
        <v>10605.270667809675</v>
      </c>
      <c r="E29" s="36">
        <v>607.22003279777527</v>
      </c>
      <c r="F29" s="35">
        <v>10747.847551153072</v>
      </c>
      <c r="G29" s="36">
        <v>535.08805839377771</v>
      </c>
      <c r="H29" s="35">
        <v>10909.730071882377</v>
      </c>
      <c r="I29" s="36">
        <v>463.78410784231869</v>
      </c>
      <c r="J29" s="35">
        <v>11099.433992125178</v>
      </c>
      <c r="K29" s="36">
        <v>393.36911840882937</v>
      </c>
      <c r="L29" s="35">
        <v>11333.006599786289</v>
      </c>
      <c r="M29" s="36">
        <v>323.82628018034609</v>
      </c>
      <c r="N29" s="35">
        <v>11648.290676344643</v>
      </c>
      <c r="O29" s="36">
        <v>254.75217923646429</v>
      </c>
      <c r="P29" s="35">
        <v>12210.453639472558</v>
      </c>
      <c r="Q29" s="36">
        <v>182.56905279760042</v>
      </c>
      <c r="R29" s="205">
        <v>14128.904217750893</v>
      </c>
      <c r="S29" s="206">
        <v>220.61076444603907</v>
      </c>
      <c r="T29" s="35"/>
      <c r="U29" s="36"/>
      <c r="V29" s="35"/>
      <c r="W29" s="36"/>
      <c r="X29" s="35"/>
      <c r="Y29" s="36"/>
      <c r="Z29" s="35"/>
      <c r="AA29" s="36"/>
      <c r="AB29" s="35"/>
      <c r="AC29" s="36"/>
      <c r="AD29" s="35"/>
      <c r="AE29" s="36"/>
      <c r="AF29" s="35"/>
      <c r="AG29" s="36"/>
      <c r="AH29" s="35"/>
      <c r="AI29" s="36"/>
      <c r="AJ29" s="35"/>
      <c r="AK29" s="36"/>
      <c r="AL29" s="35"/>
      <c r="AM29" s="36"/>
      <c r="AN29" s="35"/>
      <c r="AO29" s="36"/>
      <c r="AP29" s="35"/>
      <c r="AQ29" s="36"/>
      <c r="AR29" s="35"/>
      <c r="AS29" s="36"/>
      <c r="AT29" s="35"/>
      <c r="AU29" s="36"/>
      <c r="AV29" s="35"/>
      <c r="AW29" s="36"/>
      <c r="AX29" s="119"/>
      <c r="AZ29" s="119"/>
      <c r="BB29" s="119"/>
      <c r="BD29" s="119"/>
      <c r="BF29" s="119"/>
      <c r="BH29" s="119"/>
      <c r="BJ29" s="119"/>
      <c r="BL29" s="119"/>
      <c r="BN29" s="119"/>
      <c r="BP29" s="119"/>
      <c r="BR29" s="119"/>
      <c r="BT29" s="119"/>
      <c r="BV29" s="119"/>
      <c r="BX29" s="119"/>
      <c r="BZ29" s="119"/>
      <c r="CB29" s="119"/>
      <c r="CD29" s="119"/>
      <c r="CF29" s="119"/>
      <c r="CH29" s="119"/>
      <c r="CJ29" s="119"/>
      <c r="CL29" s="119"/>
      <c r="CN29" s="119"/>
      <c r="CP29" s="119"/>
    </row>
    <row r="30" spans="1:95" ht="10.5" x14ac:dyDescent="0.25">
      <c r="A30" t="s">
        <v>48</v>
      </c>
      <c r="B30" s="119">
        <v>3437517.2752293102</v>
      </c>
      <c r="D30" s="119">
        <v>3550782.7451078631</v>
      </c>
      <c r="F30" s="119">
        <v>3679658.9024898587</v>
      </c>
      <c r="H30" s="119">
        <v>3829966.550365054</v>
      </c>
      <c r="J30" s="119">
        <v>4011451.9387970641</v>
      </c>
      <c r="L30" s="119">
        <v>4242527.2852743175</v>
      </c>
      <c r="N30" s="119">
        <v>4566432.1287045078</v>
      </c>
      <c r="P30" s="119">
        <v>5169174.410764141</v>
      </c>
      <c r="R30" s="9">
        <v>7298922.7119947989</v>
      </c>
      <c r="S30" s="96"/>
      <c r="T30" s="119"/>
      <c r="V30" s="119"/>
      <c r="X30" s="119"/>
      <c r="Z30" s="119"/>
      <c r="AB30" s="119"/>
      <c r="AD30" s="119"/>
      <c r="AF30" s="119"/>
      <c r="AH30" s="119"/>
      <c r="AJ30" s="119"/>
      <c r="AL30" s="119"/>
      <c r="AN30" s="119"/>
      <c r="AP30" s="119"/>
      <c r="AR30" s="119"/>
      <c r="AT30" s="119"/>
      <c r="AV30" s="119"/>
      <c r="AX30" s="86"/>
      <c r="AZ30" s="86"/>
      <c r="BB30" s="86"/>
      <c r="BD30" s="86"/>
      <c r="BF30" s="86"/>
      <c r="BH30" s="86"/>
      <c r="BJ30" s="86"/>
      <c r="BL30" s="86"/>
      <c r="BN30" s="86"/>
      <c r="BP30" s="86"/>
      <c r="BR30" s="86"/>
      <c r="BT30" s="86"/>
      <c r="BV30" s="86"/>
      <c r="BX30" s="86"/>
      <c r="BZ30" s="86"/>
      <c r="CB30" s="86"/>
      <c r="CD30" s="86"/>
      <c r="CF30" s="86"/>
      <c r="CH30" s="86"/>
      <c r="CJ30" s="86"/>
      <c r="CL30" s="86"/>
      <c r="CN30" s="86"/>
      <c r="CP30" s="86"/>
    </row>
    <row r="31" spans="1:95" ht="10.5" x14ac:dyDescent="0.25">
      <c r="A31" t="s">
        <v>47</v>
      </c>
      <c r="B31" s="80">
        <v>0.99999999999999845</v>
      </c>
      <c r="D31" s="80">
        <v>1.0119962350786778</v>
      </c>
      <c r="F31" s="80">
        <v>1.0253427343539427</v>
      </c>
      <c r="H31" s="80">
        <v>1.0405790709511853</v>
      </c>
      <c r="J31" s="80">
        <v>1.0586223617299855</v>
      </c>
      <c r="L31" s="80">
        <v>1.0812379798278553</v>
      </c>
      <c r="N31" s="80">
        <v>1.1126750266868091</v>
      </c>
      <c r="P31" s="80">
        <v>1.1718505725835073</v>
      </c>
      <c r="R31" s="215">
        <v>1.4130995186212332</v>
      </c>
      <c r="S31" s="96"/>
      <c r="T31" s="80"/>
      <c r="V31" s="80"/>
      <c r="X31" s="80"/>
      <c r="Z31" s="80"/>
      <c r="AB31" s="80"/>
      <c r="AD31" s="80"/>
      <c r="AF31" s="80"/>
      <c r="AH31" s="80"/>
      <c r="AJ31" s="80"/>
      <c r="AL31" s="80"/>
      <c r="AN31" s="80"/>
      <c r="AP31" s="80"/>
      <c r="AR31" s="80"/>
      <c r="AT31" s="80"/>
      <c r="AV31" s="80"/>
      <c r="AX31" s="70"/>
      <c r="AZ31" s="70"/>
      <c r="BB31" s="70"/>
      <c r="BD31" s="70"/>
      <c r="BF31" s="70"/>
      <c r="BH31" s="70"/>
      <c r="BJ31" s="70"/>
      <c r="BL31" s="70"/>
      <c r="BN31" s="70"/>
      <c r="BP31" s="70"/>
      <c r="BR31" s="70"/>
      <c r="BT31" s="70"/>
      <c r="BV31" s="70"/>
      <c r="BX31" s="70"/>
      <c r="BZ31" s="70"/>
      <c r="CB31" s="70"/>
      <c r="CD31" s="70"/>
      <c r="CF31" s="70"/>
      <c r="CH31" s="70"/>
      <c r="CJ31" s="70"/>
      <c r="CL31" s="70"/>
      <c r="CN31" s="70"/>
      <c r="CP31" s="70"/>
    </row>
    <row r="32" spans="1:95" ht="10.5" x14ac:dyDescent="0.25">
      <c r="A32" t="s">
        <v>64</v>
      </c>
      <c r="B32" s="86">
        <v>11714820.670945669</v>
      </c>
      <c r="C32" s="38"/>
      <c r="D32" s="86">
        <v>11832609.727389965</v>
      </c>
      <c r="E32" s="38"/>
      <c r="F32" s="86">
        <v>11966632.912891578</v>
      </c>
      <c r="G32" s="38"/>
      <c r="H32" s="86">
        <v>12122943.320126388</v>
      </c>
      <c r="I32" s="38"/>
      <c r="J32" s="86">
        <v>12311676.79097815</v>
      </c>
      <c r="K32" s="38"/>
      <c r="L32" s="86">
        <v>12551980.696236745</v>
      </c>
      <c r="M32" s="38"/>
      <c r="N32" s="86">
        <v>12888821.450895822</v>
      </c>
      <c r="O32" s="38"/>
      <c r="P32" s="86">
        <v>13515635.84189406</v>
      </c>
      <c r="Q32" s="38"/>
      <c r="R32" s="216">
        <v>15730440.689802475</v>
      </c>
      <c r="S32" s="217"/>
      <c r="T32" s="86"/>
      <c r="U32" s="38"/>
      <c r="V32" s="86"/>
      <c r="W32" s="38"/>
      <c r="X32" s="86"/>
      <c r="Y32" s="38"/>
      <c r="Z32" s="86"/>
      <c r="AA32" s="38"/>
      <c r="AB32" s="86"/>
      <c r="AC32" s="38"/>
      <c r="AD32" s="86"/>
      <c r="AE32" s="38"/>
      <c r="AF32" s="86"/>
      <c r="AG32" s="38"/>
      <c r="AH32" s="86"/>
      <c r="AI32" s="38"/>
      <c r="AJ32" s="86"/>
      <c r="AK32" s="38"/>
      <c r="AL32" s="86"/>
      <c r="AM32" s="38"/>
      <c r="AN32" s="86"/>
      <c r="AO32" s="38"/>
      <c r="AP32" s="86"/>
      <c r="AQ32" s="38"/>
      <c r="AR32" s="86"/>
      <c r="AS32" s="38"/>
      <c r="AT32" s="86"/>
      <c r="AU32" s="38"/>
      <c r="AV32" s="86"/>
      <c r="AW32" s="38"/>
      <c r="AX32" s="37"/>
      <c r="AY32" s="38"/>
      <c r="AZ32" s="37"/>
      <c r="BA32" s="38"/>
      <c r="BB32" s="37"/>
      <c r="BC32" s="38"/>
      <c r="BD32" s="37"/>
      <c r="BE32" s="38"/>
      <c r="BF32" s="37"/>
      <c r="BG32" s="38"/>
      <c r="BH32" s="37"/>
      <c r="BI32" s="38"/>
      <c r="BJ32" s="37"/>
      <c r="BK32" s="38"/>
      <c r="BL32" s="37"/>
      <c r="BM32" s="38"/>
      <c r="BN32" s="37"/>
      <c r="BO32" s="38"/>
      <c r="BP32" s="37"/>
      <c r="BQ32" s="38"/>
      <c r="BR32" s="37"/>
      <c r="BS32" s="38"/>
      <c r="BT32" s="37"/>
      <c r="BU32" s="38"/>
      <c r="BV32" s="37"/>
      <c r="BW32" s="38"/>
      <c r="BX32" s="37"/>
      <c r="BY32" s="38"/>
      <c r="BZ32" s="37"/>
      <c r="CA32" s="38"/>
      <c r="CB32" s="37"/>
      <c r="CC32" s="38"/>
      <c r="CD32" s="37"/>
      <c r="CE32" s="38"/>
      <c r="CF32" s="37"/>
      <c r="CG32" s="38"/>
      <c r="CH32" s="37"/>
      <c r="CI32" s="38"/>
      <c r="CJ32" s="37"/>
      <c r="CK32" s="38"/>
      <c r="CL32" s="37"/>
      <c r="CM32" s="38"/>
      <c r="CN32" s="37"/>
      <c r="CO32" s="38"/>
      <c r="CP32" s="37"/>
      <c r="CQ32" s="38"/>
    </row>
    <row r="33" spans="1:95 16382:16384" ht="10.5" x14ac:dyDescent="0.25">
      <c r="A33" t="s">
        <v>54</v>
      </c>
      <c r="B33" s="117">
        <v>6643090.9398582997</v>
      </c>
      <c r="C33" s="40"/>
      <c r="D33" s="117">
        <v>6733967.7121091224</v>
      </c>
      <c r="E33" s="40"/>
      <c r="F33" s="117">
        <v>6837369.4713535625</v>
      </c>
      <c r="G33" s="40"/>
      <c r="H33" s="117">
        <v>6957966.1434648503</v>
      </c>
      <c r="I33" s="40"/>
      <c r="J33" s="117">
        <v>7103578.0994206266</v>
      </c>
      <c r="K33" s="40"/>
      <c r="L33" s="117">
        <v>7288977.5200651977</v>
      </c>
      <c r="M33" s="40"/>
      <c r="N33" s="117">
        <v>7548857.2994135087</v>
      </c>
      <c r="O33" s="40"/>
      <c r="P33" s="117">
        <v>8032457.8287565513</v>
      </c>
      <c r="Q33" s="40"/>
      <c r="R33" s="218">
        <v>9741226.2752424311</v>
      </c>
      <c r="S33" s="219"/>
      <c r="T33" s="117"/>
      <c r="U33" s="40"/>
      <c r="V33" s="117"/>
      <c r="W33" s="40"/>
      <c r="X33" s="117"/>
      <c r="Y33" s="40"/>
      <c r="Z33" s="117"/>
      <c r="AA33" s="40"/>
      <c r="AB33" s="117"/>
      <c r="AC33" s="40"/>
      <c r="AD33" s="117"/>
      <c r="AE33" s="40"/>
      <c r="AF33" s="117"/>
      <c r="AG33" s="40"/>
      <c r="AH33" s="117"/>
      <c r="AI33" s="40"/>
      <c r="AJ33" s="117"/>
      <c r="AK33" s="40"/>
      <c r="AL33" s="117"/>
      <c r="AM33" s="40"/>
      <c r="AN33" s="117"/>
      <c r="AO33" s="40"/>
      <c r="AP33" s="117"/>
      <c r="AQ33" s="40"/>
      <c r="AR33" s="117"/>
      <c r="AS33" s="40"/>
      <c r="AT33" s="117"/>
      <c r="AU33" s="40"/>
      <c r="AV33" s="117"/>
      <c r="AW33" s="40"/>
      <c r="AX33" s="39"/>
      <c r="AY33" s="40"/>
      <c r="AZ33" s="39"/>
      <c r="BA33" s="40"/>
      <c r="BB33" s="39"/>
      <c r="BC33" s="40"/>
      <c r="BD33" s="39"/>
      <c r="BE33" s="40"/>
      <c r="BF33" s="39"/>
      <c r="BG33" s="40"/>
      <c r="BH33" s="39"/>
      <c r="BI33" s="40"/>
      <c r="BJ33" s="39"/>
      <c r="BK33" s="40"/>
      <c r="BL33" s="39"/>
      <c r="BM33" s="40"/>
      <c r="BN33" s="39"/>
      <c r="BO33" s="40"/>
      <c r="BP33" s="39"/>
      <c r="BQ33" s="40"/>
      <c r="BR33" s="39"/>
      <c r="BS33" s="40"/>
      <c r="BT33" s="39"/>
      <c r="BU33" s="40"/>
      <c r="BV33" s="39"/>
      <c r="BW33" s="40"/>
      <c r="BX33" s="39"/>
      <c r="BY33" s="40"/>
      <c r="BZ33" s="39"/>
      <c r="CA33" s="40"/>
      <c r="CB33" s="39"/>
      <c r="CC33" s="40"/>
      <c r="CD33" s="39"/>
      <c r="CE33" s="40"/>
      <c r="CF33" s="39"/>
      <c r="CG33" s="40"/>
      <c r="CH33" s="39"/>
      <c r="CI33" s="40"/>
      <c r="CJ33" s="39"/>
      <c r="CK33" s="40"/>
      <c r="CL33" s="39"/>
      <c r="CM33" s="40"/>
      <c r="CN33" s="39"/>
      <c r="CO33" s="40"/>
      <c r="CP33" s="39"/>
      <c r="CQ33" s="40"/>
    </row>
    <row r="34" spans="1:95 16382:16384" ht="10.5" x14ac:dyDescent="0.25">
      <c r="A34" t="s">
        <v>75</v>
      </c>
      <c r="B34" s="70">
        <v>137664.28859559423</v>
      </c>
      <c r="C34" s="38"/>
      <c r="D34" s="70">
        <v>139048.42448755773</v>
      </c>
      <c r="E34" s="38"/>
      <c r="F34" s="70">
        <v>140623.31740129914</v>
      </c>
      <c r="G34" s="38"/>
      <c r="H34" s="70">
        <v>142460.26245289686</v>
      </c>
      <c r="I34" s="38"/>
      <c r="J34" s="70">
        <v>144678.01108011237</v>
      </c>
      <c r="K34" s="38"/>
      <c r="L34" s="70">
        <v>147501.98961449286</v>
      </c>
      <c r="M34" s="38"/>
      <c r="N34" s="70">
        <v>151460.25211433717</v>
      </c>
      <c r="O34" s="38"/>
      <c r="P34" s="70">
        <v>158826.08917384059</v>
      </c>
      <c r="Q34" s="38"/>
      <c r="R34" s="220">
        <v>184852.9899542752</v>
      </c>
      <c r="S34" s="217"/>
      <c r="T34" s="70"/>
      <c r="U34" s="38"/>
      <c r="V34" s="70"/>
      <c r="W34" s="38"/>
      <c r="X34" s="70"/>
      <c r="Y34" s="38"/>
      <c r="Z34" s="70"/>
      <c r="AA34" s="38"/>
      <c r="AB34" s="70"/>
      <c r="AC34" s="38"/>
      <c r="AD34" s="70"/>
      <c r="AE34" s="38"/>
      <c r="AF34" s="70"/>
      <c r="AG34" s="38"/>
      <c r="AH34" s="70"/>
      <c r="AI34" s="38"/>
      <c r="AJ34" s="70"/>
      <c r="AK34" s="38"/>
      <c r="AL34" s="70"/>
      <c r="AM34" s="38"/>
      <c r="AN34" s="70"/>
      <c r="AO34" s="38"/>
      <c r="AP34" s="70"/>
      <c r="AQ34" s="38"/>
      <c r="AR34" s="70"/>
      <c r="AS34" s="38"/>
      <c r="AT34" s="70"/>
      <c r="AU34" s="38"/>
      <c r="AV34" s="70"/>
      <c r="AW34" s="38"/>
      <c r="AX34" s="37"/>
      <c r="AY34" s="38"/>
      <c r="AZ34" s="37"/>
      <c r="BA34" s="38"/>
      <c r="BB34" s="37"/>
      <c r="BC34" s="38"/>
      <c r="BD34" s="37"/>
      <c r="BE34" s="38"/>
      <c r="BF34" s="37"/>
      <c r="BG34" s="38"/>
      <c r="BH34" s="37"/>
      <c r="BI34" s="38"/>
      <c r="BJ34" s="37"/>
      <c r="BK34" s="38"/>
      <c r="BL34" s="37"/>
      <c r="BM34" s="38"/>
      <c r="BN34" s="37"/>
      <c r="BO34" s="38"/>
      <c r="BP34" s="37"/>
      <c r="BQ34" s="38"/>
      <c r="BR34" s="37"/>
      <c r="BS34" s="38"/>
      <c r="BT34" s="37"/>
      <c r="BU34" s="38"/>
      <c r="BV34" s="37"/>
      <c r="BW34" s="38"/>
      <c r="BX34" s="37"/>
      <c r="BY34" s="38"/>
      <c r="BZ34" s="37"/>
      <c r="CA34" s="38"/>
      <c r="CB34" s="37"/>
      <c r="CC34" s="38"/>
      <c r="CD34" s="37"/>
      <c r="CE34" s="38"/>
      <c r="CF34" s="37"/>
      <c r="CG34" s="38"/>
      <c r="CH34" s="37"/>
      <c r="CI34" s="38"/>
      <c r="CJ34" s="37"/>
      <c r="CK34" s="38"/>
      <c r="CL34" s="37"/>
      <c r="CM34" s="38"/>
      <c r="CN34" s="37"/>
      <c r="CO34" s="38"/>
      <c r="CP34" s="37"/>
      <c r="CQ34" s="38"/>
    </row>
    <row r="35" spans="1:95 16382:16384" ht="10.5" x14ac:dyDescent="0.25">
      <c r="A35" t="s">
        <v>21</v>
      </c>
      <c r="B35" s="37">
        <v>0.47796858982439111</v>
      </c>
      <c r="C35" s="38">
        <v>0.17068593284758601</v>
      </c>
      <c r="D35" s="37">
        <v>0.47798876522791123</v>
      </c>
      <c r="E35" s="38">
        <v>0.17223647515977694</v>
      </c>
      <c r="F35" s="37">
        <v>0.47800990071196109</v>
      </c>
      <c r="G35" s="38">
        <v>0.17397565643109691</v>
      </c>
      <c r="H35" s="37">
        <v>0.47803200127449275</v>
      </c>
      <c r="I35" s="38">
        <v>0.17595066054491221</v>
      </c>
      <c r="J35" s="37">
        <v>0.47805502941814199</v>
      </c>
      <c r="K35" s="38">
        <v>0.1782315914764383</v>
      </c>
      <c r="L35" s="37">
        <v>0.47807886925799364</v>
      </c>
      <c r="M35" s="38">
        <v>0.18093292236835945</v>
      </c>
      <c r="N35" s="37">
        <v>0.47810327454562584</v>
      </c>
      <c r="O35" s="38">
        <v>0.18427756195470213</v>
      </c>
      <c r="P35" s="37">
        <v>0.4781281728687749</v>
      </c>
      <c r="Q35" s="38">
        <v>0.18900094424214597</v>
      </c>
      <c r="R35" s="221">
        <v>0.47811160299832639</v>
      </c>
      <c r="S35" s="217">
        <v>0.18812783370144537</v>
      </c>
      <c r="T35" s="37"/>
      <c r="U35" s="38"/>
      <c r="V35" s="37"/>
      <c r="W35" s="38"/>
      <c r="X35" s="37"/>
      <c r="Y35" s="38"/>
      <c r="Z35" s="37"/>
      <c r="AA35" s="38"/>
      <c r="AB35" s="37"/>
      <c r="AC35" s="38"/>
      <c r="AD35" s="37"/>
      <c r="AE35" s="38"/>
      <c r="AF35" s="37"/>
      <c r="AG35" s="38"/>
      <c r="AH35" s="37"/>
      <c r="AI35" s="38"/>
      <c r="AJ35" s="37"/>
      <c r="AK35" s="38"/>
      <c r="AL35" s="37"/>
      <c r="AM35" s="38"/>
      <c r="AN35" s="37"/>
      <c r="AO35" s="38"/>
      <c r="AP35" s="37"/>
      <c r="AQ35" s="38"/>
      <c r="AR35" s="37"/>
      <c r="AS35" s="38"/>
      <c r="AT35" s="37"/>
      <c r="AU35" s="38"/>
      <c r="AV35" s="37"/>
      <c r="AW35" s="38"/>
      <c r="AX35" s="39"/>
      <c r="AY35" s="40"/>
      <c r="AZ35" s="39"/>
      <c r="BA35" s="40"/>
      <c r="BB35" s="39"/>
      <c r="BC35" s="40"/>
      <c r="BD35" s="39"/>
      <c r="BE35" s="40"/>
      <c r="BF35" s="39"/>
      <c r="BG35" s="40"/>
      <c r="BH35" s="39"/>
      <c r="BI35" s="40"/>
      <c r="BJ35" s="39"/>
      <c r="BK35" s="40"/>
      <c r="BL35" s="39"/>
      <c r="BM35" s="40"/>
      <c r="BN35" s="39"/>
      <c r="BO35" s="40"/>
      <c r="BP35" s="39"/>
      <c r="BQ35" s="40"/>
      <c r="BR35" s="39"/>
      <c r="BS35" s="40"/>
      <c r="BT35" s="39"/>
      <c r="BU35" s="40"/>
      <c r="BV35" s="39"/>
      <c r="BW35" s="40"/>
      <c r="BX35" s="39"/>
      <c r="BY35" s="40"/>
      <c r="BZ35" s="39"/>
      <c r="CA35" s="40"/>
      <c r="CB35" s="39"/>
      <c r="CC35" s="40"/>
      <c r="CD35" s="39"/>
      <c r="CE35" s="40"/>
      <c r="CF35" s="39"/>
      <c r="CG35" s="40"/>
      <c r="CH35" s="39"/>
      <c r="CI35" s="40"/>
      <c r="CJ35" s="39"/>
      <c r="CK35" s="40"/>
      <c r="CL35" s="39"/>
      <c r="CM35" s="40"/>
      <c r="CN35" s="39"/>
      <c r="CO35" s="40"/>
      <c r="CP35" s="39"/>
      <c r="CQ35" s="40"/>
    </row>
    <row r="36" spans="1:95 16382:16384" ht="10.5" x14ac:dyDescent="0.25">
      <c r="B36" s="39">
        <v>2.2053138497825992E-2</v>
      </c>
      <c r="C36" s="40">
        <v>0.48867583383045671</v>
      </c>
      <c r="D36" s="39">
        <v>2.1521900021723984E-2</v>
      </c>
      <c r="E36" s="40">
        <v>0.48505862143208489</v>
      </c>
      <c r="F36" s="39">
        <v>2.0958784557205592E-2</v>
      </c>
      <c r="G36" s="40">
        <v>0.48125885929341744</v>
      </c>
      <c r="H36" s="39">
        <v>2.0357065499814832E-2</v>
      </c>
      <c r="I36" s="40">
        <v>0.47723740110026236</v>
      </c>
      <c r="J36" s="39">
        <v>1.9706513390097484E-2</v>
      </c>
      <c r="K36" s="40">
        <v>0.47293215272256661</v>
      </c>
      <c r="L36" s="39">
        <v>1.8989739188550118E-2</v>
      </c>
      <c r="M36" s="40">
        <v>0.46823178080412625</v>
      </c>
      <c r="N36" s="39">
        <v>1.8170363067239341E-2</v>
      </c>
      <c r="O36" s="40">
        <v>0.46288631541333447</v>
      </c>
      <c r="P36" s="39">
        <v>1.7109368627895142E-2</v>
      </c>
      <c r="Q36" s="40">
        <v>0.455840396134708</v>
      </c>
      <c r="R36" s="222">
        <v>1.6797513684740171E-2</v>
      </c>
      <c r="S36" s="219">
        <v>0.44814133077179108</v>
      </c>
      <c r="T36" s="39"/>
      <c r="U36" s="40"/>
      <c r="V36" s="39"/>
      <c r="W36" s="40"/>
      <c r="X36" s="39"/>
      <c r="Y36" s="40"/>
      <c r="Z36" s="39"/>
      <c r="AA36" s="40"/>
      <c r="AB36" s="39"/>
      <c r="AC36" s="40"/>
      <c r="AD36" s="39"/>
      <c r="AE36" s="40"/>
      <c r="AF36" s="39"/>
      <c r="AG36" s="40"/>
      <c r="AH36" s="39"/>
      <c r="AI36" s="40"/>
      <c r="AJ36" s="39"/>
      <c r="AK36" s="40"/>
      <c r="AL36" s="39"/>
      <c r="AM36" s="40"/>
      <c r="AN36" s="39"/>
      <c r="AO36" s="40"/>
      <c r="AP36" s="39"/>
      <c r="AQ36" s="40"/>
      <c r="AR36" s="39"/>
      <c r="AS36" s="40"/>
      <c r="AT36" s="39"/>
      <c r="AU36" s="40"/>
      <c r="AV36" s="39"/>
      <c r="AW36" s="40"/>
    </row>
    <row r="37" spans="1:95 16382:16384" ht="10.5" x14ac:dyDescent="0.25">
      <c r="A37" t="s">
        <v>22</v>
      </c>
      <c r="B37" s="37">
        <v>0.14928344905798796</v>
      </c>
      <c r="C37" s="38">
        <v>3.7916652170162192E-2</v>
      </c>
      <c r="D37" s="37">
        <v>0.15102190769410032</v>
      </c>
      <c r="E37" s="38">
        <v>3.8731657128494905E-2</v>
      </c>
      <c r="F37" s="37">
        <v>0.15307306424073061</v>
      </c>
      <c r="G37" s="38">
        <v>3.968955079390539E-2</v>
      </c>
      <c r="H37" s="37">
        <v>0.15556142642861165</v>
      </c>
      <c r="I37" s="38">
        <v>4.0844157238189321E-2</v>
      </c>
      <c r="J37" s="37">
        <v>0.15870021444705282</v>
      </c>
      <c r="K37" s="38">
        <v>4.2286770680624162E-2</v>
      </c>
      <c r="L37" s="37">
        <v>0.16290455114553945</v>
      </c>
      <c r="M37" s="38">
        <v>4.4192950270718671E-2</v>
      </c>
      <c r="N37" s="37">
        <v>0.16919049316877233</v>
      </c>
      <c r="O37" s="38">
        <v>4.6987151400890131E-2</v>
      </c>
      <c r="P37" s="37">
        <v>0.18220746224394235</v>
      </c>
      <c r="Q37" s="38">
        <v>5.2585526496178495E-2</v>
      </c>
      <c r="R37" s="221">
        <v>0.24982540879517207</v>
      </c>
      <c r="S37" s="217">
        <v>7.9460220049906299E-2</v>
      </c>
      <c r="T37" s="37"/>
      <c r="U37" s="38"/>
      <c r="V37" s="37"/>
      <c r="W37" s="38"/>
      <c r="X37" s="37"/>
      <c r="Y37" s="38"/>
      <c r="Z37" s="37"/>
      <c r="AA37" s="38"/>
      <c r="AB37" s="37"/>
      <c r="AC37" s="38"/>
      <c r="AD37" s="37"/>
      <c r="AE37" s="38"/>
      <c r="AF37" s="37"/>
      <c r="AG37" s="38"/>
      <c r="AH37" s="37"/>
      <c r="AI37" s="38"/>
      <c r="AJ37" s="37"/>
      <c r="AK37" s="38"/>
      <c r="AL37" s="37"/>
      <c r="AM37" s="38"/>
      <c r="AN37" s="37"/>
      <c r="AO37" s="38"/>
      <c r="AP37" s="37"/>
      <c r="AQ37" s="38"/>
      <c r="AR37" s="37"/>
      <c r="AS37" s="38"/>
      <c r="AT37" s="37"/>
      <c r="AU37" s="38"/>
      <c r="AV37" s="37"/>
      <c r="AW37" s="38"/>
    </row>
    <row r="38" spans="1:95 16382:16384" ht="10.5" x14ac:dyDescent="0.25">
      <c r="A38" t="s">
        <v>23</v>
      </c>
      <c r="B38" s="39">
        <v>0.22700160168381014</v>
      </c>
      <c r="C38" s="40">
        <v>0.18696331369363389</v>
      </c>
      <c r="D38" s="39">
        <v>0.22494848068644852</v>
      </c>
      <c r="E38" s="40">
        <v>0.18843022985610122</v>
      </c>
      <c r="F38" s="39">
        <v>0.22264982291758137</v>
      </c>
      <c r="G38" s="40">
        <v>0.1900936842972511</v>
      </c>
      <c r="H38" s="39">
        <v>0.22002103949725879</v>
      </c>
      <c r="I38" s="40">
        <v>0.19200573169466709</v>
      </c>
      <c r="J38" s="39">
        <v>0.21692419630192353</v>
      </c>
      <c r="K38" s="40">
        <v>0.19424634526492796</v>
      </c>
      <c r="L38" s="39">
        <v>0.21310494076355918</v>
      </c>
      <c r="M38" s="40">
        <v>0.19695306706742158</v>
      </c>
      <c r="N38" s="39">
        <v>0.20797762041401721</v>
      </c>
      <c r="O38" s="40">
        <v>0.20041569199509823</v>
      </c>
      <c r="P38" s="39">
        <v>0.19905423172696901</v>
      </c>
      <c r="Q38" s="40">
        <v>0.20574018502548125</v>
      </c>
      <c r="R38" s="222">
        <v>0.17161905321160076</v>
      </c>
      <c r="S38" s="219">
        <v>0.21391170916930807</v>
      </c>
      <c r="T38" s="39"/>
      <c r="U38" s="40"/>
      <c r="V38" s="39"/>
      <c r="W38" s="40"/>
      <c r="X38" s="39"/>
      <c r="Y38" s="40"/>
      <c r="Z38" s="39"/>
      <c r="AA38" s="40"/>
      <c r="AB38" s="39"/>
      <c r="AC38" s="40"/>
      <c r="AD38" s="39"/>
      <c r="AE38" s="40"/>
      <c r="AF38" s="39"/>
      <c r="AG38" s="40"/>
      <c r="AH38" s="39"/>
      <c r="AI38" s="40"/>
      <c r="AJ38" s="39"/>
      <c r="AK38" s="40"/>
      <c r="AL38" s="39"/>
      <c r="AM38" s="40"/>
      <c r="AN38" s="39"/>
      <c r="AO38" s="40"/>
      <c r="AP38" s="39"/>
      <c r="AQ38" s="40"/>
      <c r="AR38" s="39"/>
      <c r="AS38" s="40"/>
      <c r="AT38" s="39"/>
      <c r="AU38" s="40"/>
      <c r="AV38" s="39"/>
      <c r="AW38" s="40"/>
    </row>
    <row r="39" spans="1:95 16382:16384" x14ac:dyDescent="0.2">
      <c r="B39" s="135"/>
      <c r="C39" s="135"/>
      <c r="D39" s="135"/>
      <c r="E39" s="135"/>
      <c r="F39" s="135"/>
      <c r="G39" s="135"/>
      <c r="H39" s="135"/>
      <c r="I39" s="135"/>
      <c r="J39" s="135"/>
      <c r="K39" s="135"/>
      <c r="L39" s="135"/>
      <c r="M39" s="135"/>
      <c r="N39" s="135"/>
      <c r="O39" s="135"/>
      <c r="P39" s="135"/>
      <c r="Q39" s="135"/>
      <c r="R39" s="135"/>
      <c r="S39" s="135"/>
      <c r="T39" s="135"/>
      <c r="U39" s="135"/>
      <c r="V39" s="135"/>
      <c r="W39" s="135"/>
      <c r="X39" s="135"/>
      <c r="Y39" s="135"/>
      <c r="Z39" s="135"/>
      <c r="AA39" s="135"/>
      <c r="AB39" s="135"/>
      <c r="AC39" s="135"/>
      <c r="AD39" s="135"/>
      <c r="AE39" s="135"/>
      <c r="AF39" s="135"/>
      <c r="AG39" s="135"/>
      <c r="AH39" s="135"/>
      <c r="AI39" s="135"/>
      <c r="AJ39" s="135"/>
      <c r="AK39" s="135"/>
      <c r="AL39" s="135"/>
      <c r="AM39" s="135"/>
      <c r="AN39" s="135"/>
      <c r="AO39" s="135"/>
      <c r="AP39" s="135"/>
      <c r="AQ39" s="135"/>
      <c r="AR39" s="135"/>
      <c r="AS39" s="135"/>
      <c r="AT39" s="135"/>
      <c r="AU39" s="135"/>
    </row>
    <row r="40" spans="1:95 16382:16384"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95 16382:16384" x14ac:dyDescent="0.2">
      <c r="A41" t="s">
        <v>107</v>
      </c>
      <c r="B41" s="162">
        <f>1-SUM(B26:C26)/SUM($B$26:$C$26)</f>
        <v>0</v>
      </c>
      <c r="C41" s="135"/>
      <c r="D41" s="162">
        <f>1-SUM(D26:E26)/SUM($B$26:$C$26)</f>
        <v>-2.3012164594327311E-2</v>
      </c>
      <c r="E41" s="135"/>
      <c r="F41" s="162">
        <f>1-SUM(F26:G26)/SUM($B$26:$C$26)</f>
        <v>-4.9804085841725465E-2</v>
      </c>
      <c r="G41" s="135"/>
      <c r="H41" s="162">
        <f>1-SUM(H26:I26)/SUM($B$26:$C$26)</f>
        <v>-8.1880377207538269E-2</v>
      </c>
      <c r="I41" s="135"/>
      <c r="J41" s="162">
        <f>1-SUM(J26:K26)/SUM($B$26:$C$26)</f>
        <v>-0.12182047978729393</v>
      </c>
      <c r="K41" s="135"/>
      <c r="L41" s="162">
        <f>1-SUM(L26:M26)/SUM($B$26:$C$26)</f>
        <v>-0.17465596074992629</v>
      </c>
      <c r="M41" s="135"/>
      <c r="N41" s="162">
        <f>1-SUM(N26:O26)/SUM($B$26:$C$26)</f>
        <v>-0.25273682428849709</v>
      </c>
      <c r="O41" s="135"/>
      <c r="P41" s="162">
        <f>1-SUM(P26:Q26)/SUM($B$26:$C$26)</f>
        <v>-0.41281728720003508</v>
      </c>
      <c r="Q41" s="135"/>
      <c r="R41" s="162">
        <f>1-SUM(R26:S26)/SUM($B$26:$C$26)</f>
        <v>-1.2422718639270314</v>
      </c>
      <c r="S41" s="135"/>
      <c r="T41" s="162">
        <f>1-SUM(T26:U26)/SUM($B$26:$C$26)</f>
        <v>1</v>
      </c>
      <c r="U41" s="135"/>
      <c r="V41" s="162">
        <f>1-SUM(V26:W26)/SUM($B$26:$C$26)</f>
        <v>1</v>
      </c>
      <c r="W41" s="135"/>
      <c r="X41" s="162">
        <f>1-SUM(X26:Y26)/SUM($B$26:$C$26)</f>
        <v>1</v>
      </c>
      <c r="Y41" s="162"/>
      <c r="Z41" s="162">
        <f>1-SUM(Z26:AA26)/SUM($B$26:$C$26)</f>
        <v>1</v>
      </c>
      <c r="AA41" s="135"/>
      <c r="AB41" s="162">
        <f>1-SUM(AB26:AC26)/SUM($B$26:$C$26)</f>
        <v>1</v>
      </c>
      <c r="AC41" s="135"/>
      <c r="AD41" s="162">
        <f>1-SUM(AD26:AE26)/SUM($B$26:$C$26)</f>
        <v>1</v>
      </c>
      <c r="AE41" s="135"/>
      <c r="AF41" s="162">
        <f>1-SUM(AF26:AG26)/SUM($B$26:$C$26)</f>
        <v>1</v>
      </c>
      <c r="AG41" s="135"/>
      <c r="AH41" s="162">
        <f>1-SUM(AH26:AI26)/SUM($B$26:$C$26)</f>
        <v>1</v>
      </c>
      <c r="AI41" s="135"/>
      <c r="AJ41" s="162">
        <f>1-SUM(AJ26:AK26)/SUM($B$26:$C$26)</f>
        <v>1</v>
      </c>
      <c r="AK41" s="135"/>
      <c r="AL41" s="162">
        <f>1-SUM(AL26:AM26)/SUM($B$26:$C$26)</f>
        <v>1</v>
      </c>
      <c r="AM41" s="135"/>
      <c r="AN41" s="162">
        <f>1-SUM(AN26:AO26)/SUM($B$26:$C$26)</f>
        <v>1</v>
      </c>
      <c r="AO41" s="135"/>
      <c r="AP41" s="162">
        <f>1-SUM(AP26:AQ26)/SUM($B$26:$C$26)</f>
        <v>1</v>
      </c>
      <c r="AQ41" s="135"/>
      <c r="AR41" s="162">
        <f>1-SUM(AR26:AS26)/SUM($B$26:$C$26)</f>
        <v>1</v>
      </c>
      <c r="AS41" s="135"/>
      <c r="AT41" s="162">
        <f>1-SUM(AT26:AU26)/SUM($B$26:$C$26)</f>
        <v>1</v>
      </c>
      <c r="AU41" s="135"/>
    </row>
    <row r="42" spans="1:95 16382:16384" x14ac:dyDescent="0.2">
      <c r="A42" t="s">
        <v>108</v>
      </c>
      <c r="B42" s="162">
        <f t="array" ref="B42">SUM(B15:C15*B27:C27)/SUM(B15:C15*B27:C27,B13:C13*B26:C26)</f>
        <v>0.60843939069027198</v>
      </c>
      <c r="C42" s="135"/>
      <c r="D42" s="162">
        <f t="array" ref="D42">SUM(D15:E15*D27:E27)/SUM(D15:E15*D27:E27,D13:E13*D26:E26)</f>
        <v>0.59898088794926418</v>
      </c>
      <c r="E42" s="135"/>
      <c r="F42" s="162">
        <f t="array" ref="F42">SUM(F15:G15*F27:G27)/SUM(F15:G15*F27:G27,F13:G13*F26:G26)</f>
        <v>0.58784970675667836</v>
      </c>
      <c r="G42" s="135"/>
      <c r="H42" s="162">
        <f t="array" ref="H42">SUM(H15:I15*H27:I27)/SUM(H15:I15*H27:I27,H13:I13*H26:I26)</f>
        <v>0.57438598240368477</v>
      </c>
      <c r="I42" s="135"/>
      <c r="J42" s="162">
        <f t="array" ref="J42">SUM(J15:K15*J27:K27)/SUM(J15:K15*J27:K27,J13:K13*J26:K26)</f>
        <v>0.55746270321875036</v>
      </c>
      <c r="K42" s="135"/>
      <c r="L42" s="162">
        <f t="array" ref="L42">SUM(L15:M15*L27:M27)/SUM(L15:M15*L27:M27,L13:M13*L26:M26)</f>
        <v>0.53489555050903614</v>
      </c>
      <c r="M42" s="135"/>
      <c r="N42" s="162">
        <f t="array" ref="N42">SUM(N15:O15*N27:O27)/SUM(N15:O15*N27:O27,N13:O13*N26:O26)</f>
        <v>0.50137689811204555</v>
      </c>
      <c r="O42" s="135"/>
      <c r="P42" s="162">
        <f t="array" ref="P42">SUM(P15:Q15*P27:Q27)/SUM(P15:Q15*P27:Q27,P13:Q13*P26:Q26)</f>
        <v>0.43292695930033331</v>
      </c>
      <c r="Q42" s="135"/>
      <c r="R42" s="162">
        <f t="array" ref="R42">SUM(R15:S15*R27:S27)/SUM(R15:S15*R27:S27,R13:S13*R26:S26)</f>
        <v>0.10362998979908987</v>
      </c>
      <c r="S42" s="135"/>
      <c r="T42" s="162" t="e">
        <f t="array" ref="T42">SUM(T15:U15*T27:U27)/SUM(T15:U15*T27:U27,T13:U13*T26:U26)</f>
        <v>#DIV/0!</v>
      </c>
      <c r="U42" s="135"/>
      <c r="V42" s="162" t="e">
        <f t="array" ref="V42">SUM(V15:W15*V27:W27)/SUM(V15:W15*V27:W27,V13:W13*V26:W26)</f>
        <v>#DIV/0!</v>
      </c>
      <c r="W42" s="135"/>
      <c r="X42" s="162" t="e">
        <f t="array" ref="X42">SUM(X15:Y15*X27:Y27)/SUM(X15:Y15*X27:Y27,X13:Y13*X26:Y26)</f>
        <v>#DIV/0!</v>
      </c>
      <c r="Y42" s="135"/>
      <c r="Z42" s="162" t="e">
        <f t="array" ref="Z42">SUM(Z15:AA15*Z27:AA27)/SUM(Z15:AA15*Z27:AA27,Z13:AA13*Z26:AA26)</f>
        <v>#DIV/0!</v>
      </c>
      <c r="AA42" s="135"/>
      <c r="AB42" s="162" t="e">
        <f t="array" ref="AB42">SUM(AB15:AC15*AB27:AC27)/SUM(AB15:AC15*AB27:AC27,AB13:AC13*AB26:AC26)</f>
        <v>#DIV/0!</v>
      </c>
      <c r="AC42" s="135"/>
      <c r="AD42" s="162" t="e">
        <f t="array" ref="AD42">SUM(AD15:AE15*AD27:AE27)/SUM(AD15:AE15*AD27:AE27,AD13:AE13*AD26:AE26)</f>
        <v>#DIV/0!</v>
      </c>
      <c r="AE42" s="135"/>
      <c r="AF42" s="162" t="e">
        <f t="array" ref="AF42">SUM(AF15:AG15*AF27:AG27)/SUM(AF15:AG15*AF27:AG27,AF13:AG13*AF26:AG26)</f>
        <v>#DIV/0!</v>
      </c>
      <c r="AG42" s="135"/>
      <c r="AH42" s="162" t="e">
        <f t="array" ref="AH42">SUM(AH15:AI15*AH27:AI27)/SUM(AH15:AI15*AH27:AI27,AH13:AI13*AH26:AI26)</f>
        <v>#DIV/0!</v>
      </c>
      <c r="AI42" s="135"/>
      <c r="AJ42" s="162" t="e">
        <f t="array" ref="AJ42">SUM(AJ15:AK15*AJ27:AK27)/SUM(AJ15:AK15*AJ27:AK27,AJ13:AK13*AJ26:AK26)</f>
        <v>#DIV/0!</v>
      </c>
      <c r="AK42" s="135"/>
      <c r="AL42" s="162" t="e">
        <f t="array" ref="AL42">SUM(AL15:AM15*AL27:AM27)/SUM(AL15:AM15*AL27:AM27,AL13:AM13*AL26:AM26)</f>
        <v>#DIV/0!</v>
      </c>
      <c r="AM42" s="135"/>
      <c r="AN42" s="162" t="e">
        <f t="array" ref="AN42">SUM(AN15:AO15*AN27:AO27)/SUM(AN15:AO15*AN27:AO27,AN13:AO13*AN26:AO26)</f>
        <v>#DIV/0!</v>
      </c>
      <c r="AO42" s="135"/>
      <c r="AP42" s="162" t="e">
        <f t="array" ref="AP42">SUM(AP15:AQ15*AP27:AQ27)/SUM(AP15:AQ15*AP27:AQ27,AP13:AQ13*AP26:AQ26)</f>
        <v>#DIV/0!</v>
      </c>
      <c r="AQ42" s="135"/>
      <c r="AR42" s="162" t="e">
        <f t="array" ref="AR42">SUM(AR15:AS15*AR27:AS27)/SUM(AR15:AS15*AR27:AS27,AR13:AS13*AR26:AS26)</f>
        <v>#DIV/0!</v>
      </c>
      <c r="AS42" s="135"/>
      <c r="AT42" s="162" t="e">
        <f t="array" ref="AT42">SUM(AT15:AU15*AT27:AU27)/SUM(AT15:AU15*AT27:AU27,AT13:AU13*AT26:AU26)</f>
        <v>#DIV/0!</v>
      </c>
      <c r="AU42" s="135"/>
      <c r="AV42" s="162"/>
      <c r="AX42" s="162"/>
      <c r="AZ42" s="162"/>
      <c r="BB42" s="162"/>
      <c r="BD42" s="162"/>
      <c r="BF42" s="162"/>
      <c r="BH42" s="162"/>
      <c r="BJ42" s="162"/>
      <c r="BL42" s="162"/>
      <c r="BN42" s="162"/>
      <c r="BP42" s="162"/>
      <c r="BR42" s="162"/>
    </row>
    <row r="43" spans="1:95 16382:16384" x14ac:dyDescent="0.2">
      <c r="A43" t="s">
        <v>142</v>
      </c>
      <c r="B43" s="193">
        <f>(SUM(B11:C11*B24:C24)+B34)/B32</f>
        <v>0.21620509429616314</v>
      </c>
      <c r="D43" s="193">
        <f>(SUM(D11:E11*D24:E24)+D34)/D32</f>
        <v>0.21416983254737415</v>
      </c>
      <c r="F43" s="193">
        <f>(SUM(F11:G11*F24:G24)+F34)/F32</f>
        <v>0.21190279300046858</v>
      </c>
      <c r="H43" s="193">
        <f>(SUM(H11:I11*H24:I24)+H34)/H32</f>
        <v>0.20932209401184362</v>
      </c>
      <c r="J43" s="193">
        <f>(SUM(J11:K11*J24:K24)+J34)/J32</f>
        <v>0.20629339718890449</v>
      </c>
      <c r="L43" s="193">
        <f>(SUM(L11:M11*L24:M24)+L34)/L32</f>
        <v>0.20256895467397917</v>
      </c>
      <c r="N43" s="193">
        <f>(SUM(N11:O11*N24:O24)+N34)/N32</f>
        <v>0.19758205828353961</v>
      </c>
      <c r="P43" s="193">
        <f>(SUM(P11:Q11*P24:Q24)+P34)/P32</f>
        <v>0.18896378522653406</v>
      </c>
      <c r="R43" s="193">
        <f>(SUM(R11:S11*R24:S24)+R34)/R32</f>
        <v>0.16401273555897103</v>
      </c>
      <c r="T43" s="193" t="e">
        <f>(SUM(T11:U11*T24:U24)+T34)/T32</f>
        <v>#DIV/0!</v>
      </c>
      <c r="V43" s="193" t="e">
        <f>(SUM(V11:W11*V24:W24)+V34)/V32</f>
        <v>#DIV/0!</v>
      </c>
      <c r="X43" s="193" t="e">
        <f>(SUM(X11:Y11*X24:Y24)+X34)/X32</f>
        <v>#DIV/0!</v>
      </c>
      <c r="Z43" s="193" t="e">
        <f>(SUM(Z11:AA11*Z24:AA24)+Z34)/Z32</f>
        <v>#DIV/0!</v>
      </c>
      <c r="AB43" s="193" t="e">
        <f>(SUM(AB11:AC11*AB24:AC24)+AB34)/AB32</f>
        <v>#DIV/0!</v>
      </c>
      <c r="AD43" s="193" t="e">
        <f>(SUM(AD11:AE11*AD24:AE24)+AD34)/AD32</f>
        <v>#DIV/0!</v>
      </c>
      <c r="AF43" s="193" t="e">
        <f>(SUM(AF11:AG11*AF24:AG24)+AF34)/AF32</f>
        <v>#DIV/0!</v>
      </c>
      <c r="AH43" s="193" t="e">
        <f>(SUM(AH11:AI11*AH24:AI24)+AH34)/AH32</f>
        <v>#DIV/0!</v>
      </c>
      <c r="AJ43" s="193" t="e">
        <f>(SUM(AJ11:AK11*AJ24:AK24)+AJ34)/AJ32</f>
        <v>#DIV/0!</v>
      </c>
      <c r="AL43" s="193" t="e">
        <f>(SUM(AL11:AM11*AL24:AM24)+AL34)/AL32</f>
        <v>#DIV/0!</v>
      </c>
      <c r="AN43" s="193" t="e">
        <f>(SUM(AN11:AO11*AN24:AO24)+AN34)/AN32</f>
        <v>#DIV/0!</v>
      </c>
      <c r="AP43" s="193" t="e">
        <f>(SUM(AP11:AQ11*AP24:AQ24)+AP34)/AP32</f>
        <v>#DIV/0!</v>
      </c>
      <c r="AR43" s="193" t="e">
        <f>(SUM(AR11:AS11*AR24:AS24)+AR34)/AR32</f>
        <v>#DIV/0!</v>
      </c>
      <c r="AT43" s="193" t="e">
        <f>(SUM(AT11:AU11*AT24:AU24)+AT34)/AT32</f>
        <v>#DIV/0!</v>
      </c>
    </row>
    <row r="44" spans="1:95 16382:16384" x14ac:dyDescent="0.2">
      <c r="A44" t="s">
        <v>82</v>
      </c>
      <c r="B44" s="193">
        <f>SUM(B11:C11*B24:C24)/B32</f>
        <v>0.20445380142857192</v>
      </c>
      <c r="D44" s="193">
        <f>SUM(D11:E11*D24:E24)/D32</f>
        <v>0.2024185428749285</v>
      </c>
      <c r="F44" s="193">
        <f>SUM(F11:G11*F24:G24)/F32</f>
        <v>0.20015150770368248</v>
      </c>
      <c r="H44" s="193">
        <f>SUM(H11:I11*H24:I24)/H32</f>
        <v>0.19757080072513944</v>
      </c>
      <c r="J44" s="193">
        <f>SUM(J11:K11*J24:K24)/J32</f>
        <v>0.19454211314072914</v>
      </c>
      <c r="L44" s="193">
        <f>SUM(L11:M11*L24:M24)/L32</f>
        <v>0.19081766273176673</v>
      </c>
      <c r="N44" s="193">
        <f>SUM(N11:O11*N24:O24)/N32</f>
        <v>0.18583077034062143</v>
      </c>
      <c r="P44" s="193">
        <f>SUM(P11:Q11*P24:Q24)/P32</f>
        <v>0.17721250019401408</v>
      </c>
      <c r="R44" s="193">
        <f>SUM(R11:S11*R24:S24)/R32</f>
        <v>0.15226144431421212</v>
      </c>
      <c r="T44" s="193" t="e">
        <f>SUM(T11:U11*T24:U24)/T32</f>
        <v>#DIV/0!</v>
      </c>
      <c r="V44" s="193" t="e">
        <f>SUM(V11:W11*V24:W24)/V32</f>
        <v>#DIV/0!</v>
      </c>
      <c r="X44" s="193" t="e">
        <f>SUM(X11:Y11*X24:Y24)/X32</f>
        <v>#DIV/0!</v>
      </c>
      <c r="Z44" s="193" t="e">
        <f>SUM(Z11:AA11*Z24:AA24)/Z32</f>
        <v>#DIV/0!</v>
      </c>
      <c r="AB44" s="193" t="e">
        <f>SUM(AB11:AC11*AB24:AC24)/AB32</f>
        <v>#DIV/0!</v>
      </c>
      <c r="AD44" s="193" t="e">
        <f>SUM(AD11:AE11*AD24:AE24)/AD32</f>
        <v>#DIV/0!</v>
      </c>
      <c r="AF44" s="193" t="e">
        <f>SUM(AF11:AG11*AF24:AG24)/AF32</f>
        <v>#DIV/0!</v>
      </c>
      <c r="AH44" s="193" t="e">
        <f>SUM(AH11:AI11*AH24:AI24)/AH32</f>
        <v>#DIV/0!</v>
      </c>
      <c r="AJ44" s="193" t="e">
        <f>SUM(AJ11:AK11*AJ24:AK24)/AJ32</f>
        <v>#DIV/0!</v>
      </c>
      <c r="AL44" s="193" t="e">
        <f>SUM(AL11:AM11*AL24:AM24)/AL32</f>
        <v>#DIV/0!</v>
      </c>
      <c r="AN44" s="193" t="e">
        <f>SUM(AN11:AO11*AN24:AO24)/AN32</f>
        <v>#DIV/0!</v>
      </c>
      <c r="AP44" s="193" t="e">
        <f>SUM(AP11:AQ11*AP24:AQ24)/AP32</f>
        <v>#DIV/0!</v>
      </c>
      <c r="AR44" s="193" t="e">
        <f>SUM(AR11:AS11*AR24:AS24)/AR32</f>
        <v>#DIV/0!</v>
      </c>
      <c r="AT44" s="193" t="e">
        <f>SUM(AT11:AU11*AT24:AU24)/AT32</f>
        <v>#DIV/0!</v>
      </c>
      <c r="XFB44" s="193"/>
    </row>
    <row r="45" spans="1:95 16382:16384" x14ac:dyDescent="0.2">
      <c r="A45" t="s">
        <v>139</v>
      </c>
      <c r="B45" s="193">
        <f>B34/B32</f>
        <v>1.1751292867591238E-2</v>
      </c>
      <c r="D45" s="193">
        <f>D34/D32</f>
        <v>1.1751289672445658E-2</v>
      </c>
      <c r="F45" s="193">
        <f>F34/F32</f>
        <v>1.1751285296786077E-2</v>
      </c>
      <c r="H45" s="193">
        <f>H34/H32</f>
        <v>1.1751293286704208E-2</v>
      </c>
      <c r="J45" s="193">
        <f>J34/J32</f>
        <v>1.1751284048175362E-2</v>
      </c>
      <c r="L45" s="193">
        <f>L34/L32</f>
        <v>1.1751291942212434E-2</v>
      </c>
      <c r="N45" s="193">
        <f>N34/N32</f>
        <v>1.1751287942918172E-2</v>
      </c>
      <c r="P45" s="193">
        <f>P34/P32</f>
        <v>1.1751285032520006E-2</v>
      </c>
      <c r="R45" s="193">
        <f>R34/R32</f>
        <v>1.1751291244758913E-2</v>
      </c>
      <c r="T45" s="193" t="e">
        <f>T34/T32</f>
        <v>#DIV/0!</v>
      </c>
      <c r="V45" s="193" t="e">
        <f>V34/V32</f>
        <v>#DIV/0!</v>
      </c>
      <c r="X45" s="193" t="e">
        <f>X34/X32</f>
        <v>#DIV/0!</v>
      </c>
      <c r="Z45" s="193" t="e">
        <f>Z34/Z32</f>
        <v>#DIV/0!</v>
      </c>
      <c r="AB45" s="193" t="e">
        <f>AB34/AB32</f>
        <v>#DIV/0!</v>
      </c>
      <c r="AD45" s="193" t="e">
        <f>AD34/AD32</f>
        <v>#DIV/0!</v>
      </c>
      <c r="AF45" s="193" t="e">
        <f>AF34/AF32</f>
        <v>#DIV/0!</v>
      </c>
      <c r="AH45" s="193" t="e">
        <f>AH34/AH32</f>
        <v>#DIV/0!</v>
      </c>
      <c r="AJ45" s="193" t="e">
        <f>AJ34/AJ32</f>
        <v>#DIV/0!</v>
      </c>
      <c r="AL45" s="193" t="e">
        <f>AL34/AL32</f>
        <v>#DIV/0!</v>
      </c>
      <c r="AN45" s="193" t="e">
        <f>AN34/AN32</f>
        <v>#DIV/0!</v>
      </c>
      <c r="AP45" s="193" t="e">
        <f>AP34/AP32</f>
        <v>#DIV/0!</v>
      </c>
      <c r="AR45" s="193" t="e">
        <f>AR34/AR32</f>
        <v>#DIV/0!</v>
      </c>
      <c r="AT45" s="193" t="e">
        <f>AT34/AT32</f>
        <v>#DIV/0!</v>
      </c>
      <c r="AV45" s="193" t="e">
        <f>AV34/AV32</f>
        <v>#DIV/0!</v>
      </c>
      <c r="XFD45" s="193"/>
    </row>
    <row r="51" spans="1:48 16321:16384" x14ac:dyDescent="0.2">
      <c r="A51" t="s">
        <v>166</v>
      </c>
      <c r="B51" s="29">
        <v>898591.45196639095</v>
      </c>
      <c r="D51" s="29">
        <v>986328.77374055982</v>
      </c>
      <c r="F51" s="29">
        <v>1086158.3980049016</v>
      </c>
      <c r="H51" s="29">
        <v>1202589.2550592632</v>
      </c>
      <c r="J51" s="29">
        <v>1343170.8775422131</v>
      </c>
      <c r="L51" s="29">
        <v>1522165.7178274137</v>
      </c>
      <c r="N51" s="29">
        <v>1773067.8483392284</v>
      </c>
      <c r="P51" s="29">
        <v>2239962.106054347</v>
      </c>
      <c r="R51" s="29">
        <v>3889700.906517406</v>
      </c>
      <c r="T51" s="29">
        <v>0</v>
      </c>
      <c r="V51" s="29">
        <v>0</v>
      </c>
      <c r="X51" s="29">
        <v>0</v>
      </c>
      <c r="Z51" s="29">
        <v>0</v>
      </c>
      <c r="AB51" s="29">
        <v>0</v>
      </c>
      <c r="AD51" s="29">
        <v>0</v>
      </c>
      <c r="AF51" s="29">
        <v>0</v>
      </c>
      <c r="AH51" s="29">
        <v>0</v>
      </c>
      <c r="AJ51" s="29">
        <v>0</v>
      </c>
      <c r="AL51" s="29">
        <v>0</v>
      </c>
      <c r="AN51" s="29">
        <v>0</v>
      </c>
      <c r="AP51" s="29">
        <v>0</v>
      </c>
      <c r="AQ51" s="29"/>
      <c r="AR51" s="29">
        <v>0</v>
      </c>
      <c r="AT51" s="29">
        <v>0</v>
      </c>
      <c r="AV51" s="29">
        <v>0</v>
      </c>
      <c r="XFD51" s="29"/>
    </row>
    <row r="52" spans="1:48 16321:16384" x14ac:dyDescent="0.2">
      <c r="A52" t="s">
        <v>167</v>
      </c>
      <c r="B52" s="29">
        <v>639893.22495732247</v>
      </c>
      <c r="D52" s="29">
        <v>655708.56971348159</v>
      </c>
      <c r="F52" s="29">
        <v>674328.03346979595</v>
      </c>
      <c r="H52" s="29">
        <v>696860.76590800134</v>
      </c>
      <c r="J52" s="29">
        <v>725202.62369193556</v>
      </c>
      <c r="L52" s="29">
        <v>763031.71627724427</v>
      </c>
      <c r="N52" s="29">
        <v>819294.50354678871</v>
      </c>
      <c r="P52" s="29">
        <v>934460.55639255641</v>
      </c>
      <c r="R52" s="29">
        <v>1492150.8596400067</v>
      </c>
      <c r="T52" s="29">
        <v>0</v>
      </c>
      <c r="V52" s="29">
        <v>0</v>
      </c>
      <c r="X52" s="29">
        <v>0</v>
      </c>
      <c r="Z52" s="29">
        <v>0</v>
      </c>
      <c r="AB52" s="29">
        <v>0</v>
      </c>
      <c r="AD52" s="29">
        <v>0</v>
      </c>
      <c r="AF52" s="29">
        <v>0</v>
      </c>
      <c r="AH52" s="29">
        <v>0</v>
      </c>
      <c r="AJ52" s="29">
        <v>0</v>
      </c>
      <c r="AL52" s="29">
        <v>0</v>
      </c>
      <c r="AN52" s="29">
        <v>0</v>
      </c>
      <c r="AP52" s="29">
        <v>0</v>
      </c>
      <c r="AQ52" s="29"/>
      <c r="AR52" s="29">
        <v>0</v>
      </c>
      <c r="AT52" s="29">
        <v>0</v>
      </c>
      <c r="AV52" s="29">
        <v>0</v>
      </c>
    </row>
    <row r="53" spans="1:48 16321:16384" x14ac:dyDescent="0.2">
      <c r="A53" t="s">
        <v>168</v>
      </c>
      <c r="B53" s="29">
        <v>994319.23090072128</v>
      </c>
      <c r="D53" s="29">
        <v>979396.96518312744</v>
      </c>
      <c r="F53" s="29">
        <v>961793.65447885811</v>
      </c>
      <c r="H53" s="29">
        <v>940446.12977079034</v>
      </c>
      <c r="J53" s="29">
        <v>913535.23855521006</v>
      </c>
      <c r="L53" s="29">
        <v>877528.19905435189</v>
      </c>
      <c r="N53" s="29">
        <v>823819.30414616584</v>
      </c>
      <c r="P53" s="29">
        <v>713405.74887139932</v>
      </c>
      <c r="R53" s="29">
        <v>172508.64777207168</v>
      </c>
      <c r="T53" s="29">
        <v>0</v>
      </c>
      <c r="V53" s="29">
        <v>0</v>
      </c>
      <c r="X53" s="29">
        <v>0</v>
      </c>
      <c r="Z53" s="29">
        <v>0</v>
      </c>
      <c r="AB53" s="29">
        <v>0</v>
      </c>
      <c r="AD53" s="29">
        <v>0</v>
      </c>
      <c r="AF53" s="29">
        <v>0</v>
      </c>
      <c r="AH53" s="29">
        <v>0</v>
      </c>
      <c r="AJ53" s="29">
        <v>0</v>
      </c>
      <c r="AL53" s="29">
        <v>0</v>
      </c>
      <c r="AN53" s="29">
        <v>0</v>
      </c>
      <c r="AP53" s="29">
        <v>0</v>
      </c>
      <c r="AQ53" s="29"/>
      <c r="AR53" s="29">
        <v>0</v>
      </c>
      <c r="AT53" s="29">
        <v>0</v>
      </c>
      <c r="AV53" s="29">
        <v>0</v>
      </c>
      <c r="XFD53" s="29"/>
    </row>
    <row r="55" spans="1:48 16321:16384" x14ac:dyDescent="0.2">
      <c r="A55" t="s">
        <v>169</v>
      </c>
      <c r="B55" s="193">
        <v>0.29343319644276039</v>
      </c>
      <c r="D55" s="193">
        <v>0.30008449758032324</v>
      </c>
      <c r="F55" s="193">
        <v>0.3074932547254613</v>
      </c>
      <c r="H55" s="193">
        <v>0.31592711845864874</v>
      </c>
      <c r="J55" s="193">
        <v>0.3258249876845864</v>
      </c>
      <c r="L55" s="193">
        <v>0.33799663877321651</v>
      </c>
      <c r="N55" s="193">
        <v>0.35429400167438302</v>
      </c>
      <c r="P55" s="193">
        <v>0.38245884035595185</v>
      </c>
      <c r="R55" s="193">
        <v>0.46399988760177896</v>
      </c>
      <c r="T55" s="193" t="e">
        <v>#DIV/0!</v>
      </c>
      <c r="V55" s="193" t="e">
        <v>#DIV/0!</v>
      </c>
      <c r="X55" s="193" t="e">
        <v>#DIV/0!</v>
      </c>
      <c r="Z55" s="193" t="e">
        <v>#DIV/0!</v>
      </c>
      <c r="AB55" s="193" t="e">
        <v>#DIV/0!</v>
      </c>
      <c r="AD55" s="193" t="e">
        <v>#DIV/0!</v>
      </c>
      <c r="AF55" s="193" t="e">
        <v>#DIV/0!</v>
      </c>
      <c r="AH55" s="193" t="e">
        <v>#DIV/0!</v>
      </c>
      <c r="AJ55" s="193" t="e">
        <v>#DIV/0!</v>
      </c>
      <c r="AL55" s="193" t="e">
        <v>#DIV/0!</v>
      </c>
      <c r="AN55" s="193" t="e">
        <v>#DIV/0!</v>
      </c>
      <c r="AP55" s="193" t="e">
        <v>#DIV/0!</v>
      </c>
      <c r="AR55" s="193" t="e">
        <v>#DIV/0!</v>
      </c>
      <c r="AT55" s="193" t="e">
        <v>#DIV/0!</v>
      </c>
      <c r="AV55" s="193" t="e">
        <v>#DIV/0!</v>
      </c>
      <c r="XCS55" s="193"/>
      <c r="XFD55" s="193"/>
    </row>
    <row r="56" spans="1:48 16321:16384" x14ac:dyDescent="0.2">
      <c r="A56" t="s">
        <v>170</v>
      </c>
      <c r="B56" s="193">
        <v>0.12330490389763608</v>
      </c>
      <c r="D56" s="193">
        <v>0.12768289750492404</v>
      </c>
      <c r="F56" s="193">
        <v>0.13240727143042663</v>
      </c>
      <c r="H56" s="193">
        <v>0.13758884675678404</v>
      </c>
      <c r="J56" s="193">
        <v>0.14340114370740284</v>
      </c>
      <c r="L56" s="193">
        <v>0.15014418714748298</v>
      </c>
      <c r="N56" s="193">
        <v>0.15844178967993133</v>
      </c>
      <c r="P56" s="193">
        <v>0.17052796754992319</v>
      </c>
      <c r="R56" s="193">
        <v>0.17764974051826693</v>
      </c>
      <c r="T56" s="193" t="e">
        <v>#DIV/0!</v>
      </c>
      <c r="V56" s="193" t="e">
        <v>#DIV/0!</v>
      </c>
      <c r="X56" s="193" t="e">
        <v>#DIV/0!</v>
      </c>
      <c r="Z56" s="193" t="e">
        <v>#DIV/0!</v>
      </c>
      <c r="AB56" s="193" t="e">
        <v>#DIV/0!</v>
      </c>
      <c r="AD56" s="193" t="e">
        <v>#DIV/0!</v>
      </c>
      <c r="AF56" s="193" t="e">
        <v>#DIV/0!</v>
      </c>
      <c r="AH56" s="193" t="e">
        <v>#DIV/0!</v>
      </c>
      <c r="AJ56" s="193" t="e">
        <v>#DIV/0!</v>
      </c>
      <c r="AL56" s="193" t="e">
        <v>#DIV/0!</v>
      </c>
      <c r="AN56" s="193" t="e">
        <v>#DIV/0!</v>
      </c>
      <c r="AP56" s="193" t="e">
        <v>#DIV/0!</v>
      </c>
      <c r="AR56" s="193" t="e">
        <v>#DIV/0!</v>
      </c>
      <c r="AT56" s="193" t="e">
        <v>#DIV/0!</v>
      </c>
      <c r="AV56" s="193" t="e">
        <v>#DIV/0!</v>
      </c>
      <c r="XFD56" s="193"/>
    </row>
    <row r="57" spans="1:48 16321:16384" x14ac:dyDescent="0.2">
      <c r="A57" t="s">
        <v>171</v>
      </c>
      <c r="B57" s="193">
        <v>0.15814435802029927</v>
      </c>
      <c r="D57" s="193">
        <v>0.16044254401283303</v>
      </c>
      <c r="F57" s="193">
        <v>0.16315326548544218</v>
      </c>
      <c r="H57" s="193">
        <v>0.1664338600947986</v>
      </c>
      <c r="J57" s="193">
        <v>0.17055051991752559</v>
      </c>
      <c r="L57" s="193">
        <v>0.17601443377647052</v>
      </c>
      <c r="N57" s="193">
        <v>0.18405678844988416</v>
      </c>
      <c r="P57" s="193">
        <v>0.20019671112186291</v>
      </c>
      <c r="R57" s="193">
        <v>0.27466385393861609</v>
      </c>
      <c r="T57" s="193" t="e">
        <v>#DIV/0!</v>
      </c>
      <c r="V57" s="193" t="e">
        <v>#DIV/0!</v>
      </c>
      <c r="X57" s="193" t="e">
        <v>#DIV/0!</v>
      </c>
      <c r="Y57" s="193"/>
      <c r="Z57" s="193" t="e">
        <v>#DIV/0!</v>
      </c>
      <c r="AB57" s="193" t="e">
        <v>#DIV/0!</v>
      </c>
      <c r="AD57" s="193" t="e">
        <v>#DIV/0!</v>
      </c>
      <c r="AF57" s="193" t="e">
        <v>#DIV/0!</v>
      </c>
      <c r="AH57" s="193" t="e">
        <v>#DIV/0!</v>
      </c>
      <c r="AJ57" s="193" t="e">
        <v>#DIV/0!</v>
      </c>
      <c r="AL57" s="193" t="e">
        <v>#DIV/0!</v>
      </c>
      <c r="AN57" s="193" t="e">
        <v>#DIV/0!</v>
      </c>
      <c r="AP57" s="193" t="e">
        <v>#DIV/0!</v>
      </c>
      <c r="AR57" s="193" t="e">
        <v>#DIV/0!</v>
      </c>
      <c r="AT57" s="193" t="e">
        <v>#DIV/0!</v>
      </c>
      <c r="AV57" s="193" t="e">
        <v>#DIV/0!</v>
      </c>
      <c r="XFD57" s="193"/>
    </row>
    <row r="58" spans="1:48 16321:16384" x14ac:dyDescent="0.2">
      <c r="A58" t="s">
        <v>172</v>
      </c>
      <c r="B58" s="193">
        <v>1.1983934524824984E-2</v>
      </c>
      <c r="D58" s="193">
        <v>1.1959056062566149E-2</v>
      </c>
      <c r="F58" s="193">
        <v>1.1932717809592482E-2</v>
      </c>
      <c r="H58" s="193">
        <v>1.1904411607066087E-2</v>
      </c>
      <c r="J58" s="193">
        <v>1.1873324059657964E-2</v>
      </c>
      <c r="L58" s="193">
        <v>1.1838017849262977E-2</v>
      </c>
      <c r="N58" s="193">
        <v>1.1795423544567481E-2</v>
      </c>
      <c r="P58" s="193">
        <v>1.1734161684165731E-2</v>
      </c>
      <c r="R58" s="193">
        <v>1.1686293144895936E-2</v>
      </c>
      <c r="T58" s="193" t="e">
        <v>#DIV/0!</v>
      </c>
      <c r="V58" s="193" t="e">
        <v>#DIV/0!</v>
      </c>
      <c r="X58" s="193" t="e">
        <v>#DIV/0!</v>
      </c>
      <c r="Y58" s="193"/>
      <c r="Z58" s="193" t="e">
        <v>#DIV/0!</v>
      </c>
      <c r="AB58" s="193" t="e">
        <v>#DIV/0!</v>
      </c>
      <c r="AD58" s="193" t="e">
        <v>#DIV/0!</v>
      </c>
      <c r="AF58" s="193" t="e">
        <v>#DIV/0!</v>
      </c>
      <c r="AH58" s="193" t="e">
        <v>#DIV/0!</v>
      </c>
      <c r="AJ58" s="193" t="e">
        <v>#DIV/0!</v>
      </c>
      <c r="AL58" s="193" t="e">
        <v>#DIV/0!</v>
      </c>
      <c r="AN58" s="193" t="e">
        <v>#DIV/0!</v>
      </c>
      <c r="AP58" s="193" t="e">
        <v>#DIV/0!</v>
      </c>
      <c r="AR58" s="193" t="e">
        <v>#DIV/0!</v>
      </c>
      <c r="AT58" s="193" t="e">
        <v>#DIV/0!</v>
      </c>
      <c r="AV58" s="193" t="e">
        <v>#DIV/0!</v>
      </c>
      <c r="XFD58" s="193"/>
    </row>
    <row r="59" spans="1:48 16321:16384" x14ac:dyDescent="0.2">
      <c r="A59" t="s">
        <v>173</v>
      </c>
      <c r="B59" s="193">
        <v>1.7199725200015354E-2</v>
      </c>
      <c r="D59" s="193">
        <v>2.1723111378617155E-2</v>
      </c>
      <c r="F59" s="193">
        <v>2.6602984406436755E-2</v>
      </c>
      <c r="H59" s="193">
        <v>3.1953679356397563E-2</v>
      </c>
      <c r="J59" s="193">
        <v>3.7954374369136248E-2</v>
      </c>
      <c r="L59" s="193">
        <v>4.4915157816046825E-2</v>
      </c>
      <c r="N59" s="193">
        <v>5.3481422496995792E-2</v>
      </c>
      <c r="P59" s="193">
        <v>6.5967317549121898E-2</v>
      </c>
      <c r="R59" s="193">
        <v>7.345752560047572E-2</v>
      </c>
      <c r="T59" s="193" t="e">
        <v>#DIV/0!</v>
      </c>
      <c r="V59" s="193" t="e">
        <v>#DIV/0!</v>
      </c>
      <c r="X59" s="193" t="e">
        <v>#DIV/0!</v>
      </c>
      <c r="Z59" s="193" t="e">
        <v>#DIV/0!</v>
      </c>
      <c r="AB59" s="193" t="e">
        <v>#DIV/0!</v>
      </c>
      <c r="AD59" s="193" t="e">
        <v>#DIV/0!</v>
      </c>
      <c r="AF59" s="193" t="e">
        <v>#DIV/0!</v>
      </c>
      <c r="AH59" s="193" t="e">
        <v>#DIV/0!</v>
      </c>
      <c r="AJ59" s="193" t="e">
        <v>#DIV/0!</v>
      </c>
      <c r="AL59" s="193" t="e">
        <v>#DIV/0!</v>
      </c>
      <c r="AN59" s="193" t="e">
        <v>#DIV/0!</v>
      </c>
      <c r="AP59" s="193" t="e">
        <v>#DIV/0!</v>
      </c>
      <c r="AR59" s="193" t="e">
        <v>#DIV/0!</v>
      </c>
      <c r="AT59" s="193" t="e">
        <v>#DIV/0!</v>
      </c>
      <c r="AV59" s="193" t="e">
        <v>#DIV/0!</v>
      </c>
      <c r="XFD59" s="193"/>
    </row>
    <row r="60" spans="1:48 16321:16384" x14ac:dyDescent="0.2">
      <c r="A60" t="s">
        <v>174</v>
      </c>
      <c r="B60" s="193">
        <v>0.10610517869762073</v>
      </c>
      <c r="D60" s="193">
        <v>0.1059597861263069</v>
      </c>
      <c r="F60" s="193">
        <v>0.10580428702398988</v>
      </c>
      <c r="H60" s="193">
        <v>0.10563516740038648</v>
      </c>
      <c r="J60" s="193">
        <v>0.10544676933826659</v>
      </c>
      <c r="L60" s="193">
        <v>0.10522902933143616</v>
      </c>
      <c r="N60" s="193">
        <v>0.10496036718293554</v>
      </c>
      <c r="P60" s="193">
        <v>0.10456065000080128</v>
      </c>
      <c r="R60" s="193">
        <v>0.10419221491779121</v>
      </c>
      <c r="T60" s="193" t="e">
        <v>#DIV/0!</v>
      </c>
      <c r="V60" s="193" t="e">
        <v>#DIV/0!</v>
      </c>
      <c r="X60" s="193" t="e">
        <v>#DIV/0!</v>
      </c>
      <c r="Z60" s="193" t="e">
        <v>#DIV/0!</v>
      </c>
      <c r="AB60" s="193" t="e">
        <v>#DIV/0!</v>
      </c>
      <c r="AD60" s="193" t="e">
        <v>#DIV/0!</v>
      </c>
      <c r="AF60" s="193" t="e">
        <v>#DIV/0!</v>
      </c>
      <c r="AH60" s="193" t="e">
        <v>#DIV/0!</v>
      </c>
      <c r="AJ60" s="193" t="e">
        <v>#DIV/0!</v>
      </c>
      <c r="AL60" s="193" t="e">
        <v>#DIV/0!</v>
      </c>
      <c r="AN60" s="193" t="e">
        <v>#DIV/0!</v>
      </c>
      <c r="AP60" s="193" t="e">
        <v>#DIV/0!</v>
      </c>
      <c r="AR60" s="193" t="e">
        <v>#DIV/0!</v>
      </c>
      <c r="AT60" s="193" t="e">
        <v>#DIV/0!</v>
      </c>
      <c r="AV60" s="193" t="e">
        <v>#DIV/0!</v>
      </c>
      <c r="XFD60" s="193"/>
    </row>
    <row r="62" spans="1:48 16321:16384" x14ac:dyDescent="0.2">
      <c r="A62" t="s">
        <v>175</v>
      </c>
      <c r="B62">
        <v>1</v>
      </c>
      <c r="D62">
        <v>1.0169266534322692</v>
      </c>
      <c r="F62">
        <v>1.037765815660866</v>
      </c>
      <c r="H62">
        <v>1.0642684101197155</v>
      </c>
      <c r="J62">
        <v>1.0995855135101102</v>
      </c>
      <c r="L62">
        <v>1.1502417949528077</v>
      </c>
      <c r="N62">
        <v>1.2335777369867376</v>
      </c>
      <c r="P62">
        <v>1.4406437644515671</v>
      </c>
      <c r="R62">
        <v>5.9942096264574447</v>
      </c>
      <c r="T62" t="e">
        <v>#DIV/0!</v>
      </c>
      <c r="V62" t="e">
        <v>#DIV/0!</v>
      </c>
      <c r="X62" t="e">
        <v>#DIV/0!</v>
      </c>
      <c r="Z62" t="e">
        <v>#DIV/0!</v>
      </c>
      <c r="AB62" t="e">
        <v>#DIV/0!</v>
      </c>
      <c r="AD62" t="e">
        <v>#DIV/0!</v>
      </c>
      <c r="AF62" t="e">
        <v>#DIV/0!</v>
      </c>
      <c r="AH62" t="e">
        <v>#DIV/0!</v>
      </c>
      <c r="AJ62" t="e">
        <v>#DIV/0!</v>
      </c>
      <c r="AL62" t="e">
        <v>#DIV/0!</v>
      </c>
      <c r="AN62" t="e">
        <v>#DIV/0!</v>
      </c>
      <c r="AP62" t="e">
        <v>#DIV/0!</v>
      </c>
      <c r="AR62" t="e">
        <v>#DIV/0!</v>
      </c>
      <c r="AT62" t="e">
        <v>#DIV/0!</v>
      </c>
      <c r="AV62" t="e">
        <v>#DIV/0!</v>
      </c>
    </row>
    <row r="65" spans="1:48 16384:16384" x14ac:dyDescent="0.2">
      <c r="A65" t="s">
        <v>176</v>
      </c>
      <c r="B65" s="191">
        <v>1</v>
      </c>
      <c r="C65" s="191"/>
      <c r="D65" s="191">
        <v>0.99759163990393218</v>
      </c>
      <c r="E65" s="191"/>
      <c r="F65" s="191">
        <v>0.99518611789009437</v>
      </c>
      <c r="G65" s="191"/>
      <c r="H65" s="191">
        <v>0.99278430119757166</v>
      </c>
      <c r="I65" s="191"/>
      <c r="J65" s="191">
        <v>0.99039120871789965</v>
      </c>
      <c r="K65" s="191"/>
      <c r="L65" s="191">
        <v>0.98801872967897642</v>
      </c>
      <c r="M65" s="191"/>
      <c r="N65" s="191">
        <v>0.98568899010358535</v>
      </c>
      <c r="O65" s="191"/>
      <c r="P65" s="191">
        <v>0.98340495953715934</v>
      </c>
      <c r="Q65" s="191"/>
      <c r="R65" s="191">
        <v>0.98491464673980078</v>
      </c>
      <c r="S65" s="191"/>
      <c r="T65" s="191" t="e">
        <v>#DIV/0!</v>
      </c>
      <c r="U65" s="191"/>
      <c r="V65" s="191" t="e">
        <v>#DIV/0!</v>
      </c>
      <c r="W65" s="191"/>
      <c r="X65" s="191" t="e">
        <v>#DIV/0!</v>
      </c>
      <c r="Y65" s="191"/>
      <c r="Z65" s="191" t="e">
        <v>#DIV/0!</v>
      </c>
      <c r="AA65" s="191"/>
      <c r="AB65" s="191" t="e">
        <v>#DIV/0!</v>
      </c>
      <c r="AC65" s="191"/>
      <c r="AD65" s="191" t="e">
        <v>#DIV/0!</v>
      </c>
      <c r="AE65" s="191"/>
      <c r="AF65" s="191" t="e">
        <v>#DIV/0!</v>
      </c>
      <c r="AG65" s="191"/>
      <c r="AH65" s="191" t="e">
        <v>#DIV/0!</v>
      </c>
      <c r="AI65" s="191"/>
      <c r="AJ65" s="191" t="e">
        <v>#DIV/0!</v>
      </c>
      <c r="AK65" s="191"/>
      <c r="AL65" s="191" t="e">
        <v>#DIV/0!</v>
      </c>
      <c r="AM65" s="191"/>
      <c r="AN65" s="191" t="e">
        <v>#DIV/0!</v>
      </c>
      <c r="AO65" s="191"/>
      <c r="AP65" s="191" t="e">
        <v>#DIV/0!</v>
      </c>
      <c r="AQ65" s="191"/>
      <c r="AR65" s="191" t="e">
        <v>#DIV/0!</v>
      </c>
      <c r="AS65" s="191"/>
      <c r="AT65" s="191" t="e">
        <v>#DIV/0!</v>
      </c>
      <c r="AU65" s="191"/>
      <c r="AV65" s="191" t="e">
        <v>#DIV/0!</v>
      </c>
    </row>
    <row r="66" spans="1:48 16384:16384" x14ac:dyDescent="0.2">
      <c r="A66" t="s">
        <v>182</v>
      </c>
      <c r="B66" s="191">
        <v>1</v>
      </c>
      <c r="C66" s="191"/>
      <c r="D66" s="191">
        <v>0.99747592950676511</v>
      </c>
      <c r="E66" s="191"/>
      <c r="F66" s="191">
        <v>0.99494994810101878</v>
      </c>
      <c r="G66" s="191"/>
      <c r="H66" s="191">
        <v>0.9924229575223259</v>
      </c>
      <c r="I66" s="191"/>
      <c r="J66" s="191">
        <v>0.98990024728530024</v>
      </c>
      <c r="K66" s="191"/>
      <c r="L66" s="191">
        <v>0.98739441387602866</v>
      </c>
      <c r="M66" s="191"/>
      <c r="N66" s="191">
        <v>0.98492900326333865</v>
      </c>
      <c r="O66" s="191"/>
      <c r="P66" s="191">
        <v>0.98250745017301355</v>
      </c>
      <c r="Q66" s="191"/>
      <c r="R66" s="191">
        <v>0.98410892047887866</v>
      </c>
      <c r="S66" s="191"/>
      <c r="T66" s="191" t="e">
        <v>#DIV/0!</v>
      </c>
      <c r="U66" s="191"/>
      <c r="V66" s="191" t="e">
        <v>#DIV/0!</v>
      </c>
      <c r="W66" s="191"/>
      <c r="X66" s="191" t="e">
        <v>#DIV/0!</v>
      </c>
      <c r="Y66" s="191"/>
      <c r="Z66" s="191" t="e">
        <v>#DIV/0!</v>
      </c>
      <c r="AA66" s="191"/>
      <c r="AB66" s="191" t="e">
        <v>#DIV/0!</v>
      </c>
      <c r="AC66" s="191"/>
      <c r="AD66" s="191" t="e">
        <v>#DIV/0!</v>
      </c>
      <c r="AE66" s="191"/>
      <c r="AF66" s="191" t="e">
        <v>#DIV/0!</v>
      </c>
      <c r="AG66" s="191"/>
      <c r="AH66" s="191" t="e">
        <v>#DIV/0!</v>
      </c>
      <c r="AI66" s="191"/>
      <c r="AJ66" s="191" t="e">
        <v>#DIV/0!</v>
      </c>
      <c r="AK66" s="191"/>
      <c r="AL66" s="191" t="e">
        <v>#DIV/0!</v>
      </c>
      <c r="AM66" s="191"/>
      <c r="AN66" s="191" t="e">
        <v>#DIV/0!</v>
      </c>
      <c r="AO66" s="191"/>
      <c r="AP66" s="191" t="e">
        <v>#DIV/0!</v>
      </c>
      <c r="AQ66" s="191"/>
      <c r="AR66" s="191" t="e">
        <v>#DIV/0!</v>
      </c>
      <c r="AS66" s="191"/>
      <c r="AT66" s="191" t="e">
        <v>#DIV/0!</v>
      </c>
      <c r="AU66" s="191"/>
      <c r="AV66" s="191" t="e">
        <v>#DIV/0!</v>
      </c>
      <c r="XFD66" s="191"/>
    </row>
    <row r="67" spans="1:48 16384:16384" x14ac:dyDescent="0.2">
      <c r="A67" t="s">
        <v>183</v>
      </c>
      <c r="B67" s="191">
        <v>1</v>
      </c>
      <c r="C67" s="191"/>
      <c r="D67" s="191">
        <v>1</v>
      </c>
      <c r="E67" s="191"/>
      <c r="F67" s="191">
        <v>1</v>
      </c>
      <c r="G67" s="191"/>
      <c r="H67" s="191">
        <v>1</v>
      </c>
      <c r="I67" s="191"/>
      <c r="J67" s="191">
        <v>1</v>
      </c>
      <c r="K67" s="191"/>
      <c r="L67" s="191">
        <v>1</v>
      </c>
      <c r="M67" s="191"/>
      <c r="N67" s="191">
        <v>1</v>
      </c>
      <c r="O67" s="191"/>
      <c r="P67" s="191">
        <v>1</v>
      </c>
      <c r="Q67" s="191"/>
      <c r="R67" s="191">
        <v>1</v>
      </c>
      <c r="S67" s="191"/>
      <c r="T67" s="191" t="e">
        <v>#DIV/0!</v>
      </c>
      <c r="U67" s="191"/>
      <c r="V67" s="191" t="e">
        <v>#DIV/0!</v>
      </c>
      <c r="W67" s="191"/>
      <c r="X67" s="191" t="e">
        <v>#DIV/0!</v>
      </c>
      <c r="Y67" s="191"/>
      <c r="Z67" s="191" t="e">
        <v>#DIV/0!</v>
      </c>
      <c r="AA67" s="191"/>
      <c r="AB67" s="191" t="e">
        <v>#DIV/0!</v>
      </c>
      <c r="AC67" s="191"/>
      <c r="AD67" s="191" t="e">
        <v>#DIV/0!</v>
      </c>
      <c r="AE67" s="191"/>
      <c r="AF67" s="191" t="e">
        <v>#DIV/0!</v>
      </c>
      <c r="AG67" s="191"/>
      <c r="AH67" s="191" t="e">
        <v>#DIV/0!</v>
      </c>
      <c r="AI67" s="191"/>
      <c r="AJ67" s="191" t="e">
        <v>#DIV/0!</v>
      </c>
      <c r="AK67" s="191"/>
      <c r="AL67" s="191" t="e">
        <v>#DIV/0!</v>
      </c>
      <c r="AM67" s="191"/>
      <c r="AN67" s="191" t="e">
        <v>#DIV/0!</v>
      </c>
      <c r="AO67" s="191"/>
      <c r="AP67" s="191" t="e">
        <v>#DIV/0!</v>
      </c>
      <c r="AQ67" s="191"/>
      <c r="AR67" s="191" t="e">
        <v>#DIV/0!</v>
      </c>
      <c r="AS67" s="191"/>
      <c r="AT67" s="191" t="e">
        <v>#DIV/0!</v>
      </c>
      <c r="AU67" s="191"/>
      <c r="AV67" s="191" t="e">
        <v>#DIV/0!</v>
      </c>
      <c r="XFD67" s="191"/>
    </row>
    <row r="68" spans="1:48 16384:16384" x14ac:dyDescent="0.2">
      <c r="A68" t="s">
        <v>181</v>
      </c>
      <c r="B68" s="191">
        <v>1</v>
      </c>
      <c r="C68" s="191"/>
      <c r="D68" s="191">
        <v>0.99747592950676511</v>
      </c>
      <c r="E68" s="191"/>
      <c r="F68" s="191">
        <v>0.99494994810101878</v>
      </c>
      <c r="G68" s="191"/>
      <c r="H68" s="191">
        <v>0.9924229575223259</v>
      </c>
      <c r="I68" s="191"/>
      <c r="J68" s="191">
        <v>0.98990024728530024</v>
      </c>
      <c r="K68" s="191"/>
      <c r="L68" s="191">
        <v>0.98739441387602866</v>
      </c>
      <c r="M68" s="191"/>
      <c r="N68" s="191">
        <v>0.98492900326333865</v>
      </c>
      <c r="O68" s="191"/>
      <c r="P68" s="191">
        <v>0.98250745017301355</v>
      </c>
      <c r="Q68" s="191"/>
      <c r="R68" s="191">
        <v>0.98410892047887866</v>
      </c>
      <c r="S68" s="191"/>
      <c r="T68" s="191" t="e">
        <v>#DIV/0!</v>
      </c>
      <c r="U68" s="191"/>
      <c r="V68" s="191" t="e">
        <v>#DIV/0!</v>
      </c>
      <c r="W68" s="191"/>
      <c r="X68" s="191" t="e">
        <v>#DIV/0!</v>
      </c>
      <c r="Y68" s="191"/>
      <c r="Z68" s="191" t="e">
        <v>#DIV/0!</v>
      </c>
      <c r="AA68" s="191"/>
      <c r="AB68" s="191" t="e">
        <v>#DIV/0!</v>
      </c>
      <c r="AC68" s="191"/>
      <c r="AD68" s="191" t="e">
        <v>#DIV/0!</v>
      </c>
      <c r="AE68" s="191"/>
      <c r="AF68" s="191" t="e">
        <v>#DIV/0!</v>
      </c>
      <c r="AG68" s="191"/>
      <c r="AH68" s="191" t="e">
        <v>#DIV/0!</v>
      </c>
      <c r="AI68" s="191"/>
      <c r="AJ68" s="191" t="e">
        <v>#DIV/0!</v>
      </c>
      <c r="AK68" s="191"/>
      <c r="AL68" s="191" t="e">
        <v>#DIV/0!</v>
      </c>
      <c r="AM68" s="191"/>
      <c r="AN68" s="191" t="e">
        <v>#DIV/0!</v>
      </c>
      <c r="AO68" s="191"/>
      <c r="AP68" s="191" t="e">
        <v>#DIV/0!</v>
      </c>
      <c r="AQ68" s="191"/>
      <c r="AR68" s="191" t="e">
        <v>#DIV/0!</v>
      </c>
      <c r="AS68" s="191"/>
      <c r="AT68" s="191" t="e">
        <v>#DIV/0!</v>
      </c>
      <c r="AU68" s="191"/>
      <c r="AV68" s="191" t="e">
        <v>#DIV/0!</v>
      </c>
      <c r="XFD68" s="191"/>
    </row>
    <row r="69" spans="1:48 16384:16384" x14ac:dyDescent="0.2">
      <c r="A69" t="s">
        <v>177</v>
      </c>
      <c r="B69" s="191">
        <v>1</v>
      </c>
      <c r="C69" s="191"/>
      <c r="D69" s="191">
        <v>1.0124931522920257</v>
      </c>
      <c r="E69" s="191"/>
      <c r="F69" s="191">
        <v>1.0264363288544951</v>
      </c>
      <c r="G69" s="191"/>
      <c r="H69" s="191">
        <v>1.0423594995827448</v>
      </c>
      <c r="I69" s="191"/>
      <c r="J69" s="191">
        <v>1.061145127567984</v>
      </c>
      <c r="K69" s="191"/>
      <c r="L69" s="191">
        <v>1.084454762427403</v>
      </c>
      <c r="M69" s="191"/>
      <c r="N69" s="191">
        <v>1.1161887910900803</v>
      </c>
      <c r="O69" s="191"/>
      <c r="P69" s="191">
        <v>1.1731902439313193</v>
      </c>
      <c r="Q69" s="191"/>
      <c r="R69" s="191">
        <v>1.3633477596498751</v>
      </c>
      <c r="S69" s="191"/>
      <c r="T69" s="191" t="e">
        <v>#DIV/0!</v>
      </c>
      <c r="U69" s="191"/>
      <c r="V69" s="191" t="e">
        <v>#DIV/0!</v>
      </c>
      <c r="W69" s="191"/>
      <c r="X69" s="191" t="e">
        <v>#DIV/0!</v>
      </c>
      <c r="Y69" s="191"/>
      <c r="Z69" s="191" t="e">
        <v>#DIV/0!</v>
      </c>
      <c r="AA69" s="191"/>
      <c r="AB69" s="191" t="e">
        <v>#DIV/0!</v>
      </c>
      <c r="AC69" s="191"/>
      <c r="AD69" s="191" t="e">
        <v>#DIV/0!</v>
      </c>
      <c r="AE69" s="191"/>
      <c r="AF69" s="191" t="e">
        <v>#DIV/0!</v>
      </c>
      <c r="AG69" s="191"/>
      <c r="AH69" s="191" t="e">
        <v>#DIV/0!</v>
      </c>
      <c r="AI69" s="191"/>
      <c r="AJ69" s="191" t="e">
        <v>#DIV/0!</v>
      </c>
      <c r="AK69" s="191"/>
      <c r="AL69" s="191" t="e">
        <v>#DIV/0!</v>
      </c>
      <c r="AM69" s="191"/>
      <c r="AN69" s="191" t="e">
        <v>#DIV/0!</v>
      </c>
      <c r="AO69" s="191"/>
      <c r="AP69" s="191" t="e">
        <v>#DIV/0!</v>
      </c>
      <c r="AQ69" s="191"/>
      <c r="AR69" s="191" t="e">
        <v>#DIV/0!</v>
      </c>
      <c r="AS69" s="191"/>
      <c r="AT69" s="191" t="e">
        <v>#DIV/0!</v>
      </c>
      <c r="AU69" s="191"/>
      <c r="AV69" s="191" t="e">
        <v>#DIV/0!</v>
      </c>
    </row>
    <row r="70" spans="1:48 16384:16384" x14ac:dyDescent="0.2">
      <c r="A70" t="s">
        <v>178</v>
      </c>
      <c r="B70" s="138">
        <v>1</v>
      </c>
      <c r="C70" s="138"/>
      <c r="D70" s="138">
        <v>1.0122994937372423</v>
      </c>
      <c r="E70" s="138"/>
      <c r="F70" s="138">
        <v>1.0259559388753741</v>
      </c>
      <c r="G70" s="138"/>
      <c r="H70" s="138">
        <v>1.041458756880363</v>
      </c>
      <c r="I70" s="138"/>
      <c r="J70" s="138">
        <v>1.0596211916162481</v>
      </c>
      <c r="K70" s="138"/>
      <c r="L70" s="138">
        <v>1.0819755323774092</v>
      </c>
      <c r="M70" s="138"/>
      <c r="N70" s="138">
        <v>1.1121350411271025</v>
      </c>
      <c r="O70" s="138"/>
      <c r="P70" s="138">
        <v>1.1658713059592749</v>
      </c>
      <c r="Q70" s="138"/>
      <c r="R70" s="138">
        <v>1.3489991112353255</v>
      </c>
      <c r="S70" s="138"/>
      <c r="T70" s="138">
        <v>0</v>
      </c>
      <c r="U70" s="138"/>
      <c r="V70" s="138">
        <v>0</v>
      </c>
      <c r="W70" s="138"/>
      <c r="X70" s="138">
        <v>0</v>
      </c>
      <c r="Y70" s="138"/>
      <c r="Z70" s="138">
        <v>0</v>
      </c>
      <c r="AA70" s="138"/>
      <c r="AB70" s="138">
        <v>0</v>
      </c>
      <c r="AC70" s="138"/>
      <c r="AD70" s="138">
        <v>0</v>
      </c>
      <c r="AE70" s="138"/>
      <c r="AF70" s="138">
        <v>0</v>
      </c>
      <c r="AG70" s="138"/>
      <c r="AH70" s="138">
        <v>0</v>
      </c>
      <c r="AI70" s="138"/>
      <c r="AJ70" s="138">
        <v>0</v>
      </c>
      <c r="AK70" s="138"/>
      <c r="AL70" s="138">
        <v>0</v>
      </c>
      <c r="AM70" s="138"/>
      <c r="AN70" s="138">
        <v>0</v>
      </c>
      <c r="AO70" s="138"/>
      <c r="AP70" s="138">
        <v>0</v>
      </c>
      <c r="AQ70" s="138"/>
      <c r="AR70" s="138">
        <v>0</v>
      </c>
      <c r="AS70" s="138"/>
      <c r="AT70" s="138">
        <v>0</v>
      </c>
      <c r="AU70" s="138"/>
      <c r="AV70" s="138">
        <v>0</v>
      </c>
    </row>
    <row r="71" spans="1:48 16384:16384" x14ac:dyDescent="0.2">
      <c r="A71" t="s">
        <v>179</v>
      </c>
      <c r="B71" s="138">
        <v>1</v>
      </c>
      <c r="D71" s="138">
        <v>0.89459081479118729</v>
      </c>
      <c r="E71" s="138"/>
      <c r="F71" s="138">
        <v>0.78998622138788521</v>
      </c>
      <c r="G71" s="138"/>
      <c r="H71" s="138">
        <v>0.68627415292813365</v>
      </c>
      <c r="I71" s="138"/>
      <c r="J71" s="138">
        <v>0.58352277149198972</v>
      </c>
      <c r="K71" s="138"/>
      <c r="L71" s="138">
        <v>0.48168269222785737</v>
      </c>
      <c r="M71" s="138"/>
      <c r="N71" s="138">
        <v>0.38012743194765564</v>
      </c>
      <c r="O71" s="138"/>
      <c r="P71" s="138">
        <v>0.27351050736501181</v>
      </c>
      <c r="Q71" s="138"/>
      <c r="R71" s="138">
        <v>0.33026920252758818</v>
      </c>
      <c r="S71" s="138"/>
      <c r="T71" s="138">
        <v>0</v>
      </c>
      <c r="U71" s="138"/>
      <c r="V71" s="138">
        <v>0</v>
      </c>
      <c r="W71" s="138"/>
      <c r="X71" s="138">
        <v>0</v>
      </c>
      <c r="Y71" s="138"/>
      <c r="Z71" s="138">
        <v>0</v>
      </c>
      <c r="AA71" s="138"/>
      <c r="AB71" s="138">
        <v>0</v>
      </c>
      <c r="AC71" s="138"/>
      <c r="AD71" s="138">
        <v>0</v>
      </c>
      <c r="AE71" s="138"/>
      <c r="AF71" s="138">
        <v>0</v>
      </c>
      <c r="AG71" s="138"/>
      <c r="AH71" s="138">
        <v>0</v>
      </c>
      <c r="AI71" s="138"/>
      <c r="AJ71" s="138">
        <v>0</v>
      </c>
      <c r="AK71" s="138"/>
      <c r="AL71" s="138">
        <v>0</v>
      </c>
      <c r="AM71" s="138"/>
      <c r="AN71" s="138">
        <v>0</v>
      </c>
      <c r="AO71" s="138"/>
      <c r="AP71" s="138">
        <v>0</v>
      </c>
      <c r="AQ71" s="138"/>
      <c r="AR71" s="138">
        <v>0</v>
      </c>
      <c r="AS71" s="138"/>
      <c r="AT71" s="138">
        <v>0</v>
      </c>
      <c r="AU71" s="138"/>
      <c r="AV71" s="138">
        <v>0</v>
      </c>
      <c r="XFD71" s="138"/>
    </row>
    <row r="72" spans="1:48 16384:16384" x14ac:dyDescent="0.2">
      <c r="A72" t="s">
        <v>180</v>
      </c>
      <c r="B72" s="138">
        <v>1</v>
      </c>
      <c r="D72" s="138">
        <v>1.0383964170773026</v>
      </c>
      <c r="E72" s="138"/>
      <c r="F72" s="138">
        <v>1.0812378600051127</v>
      </c>
      <c r="G72" s="138"/>
      <c r="H72" s="138">
        <v>1.1292763251847207</v>
      </c>
      <c r="I72" s="138"/>
      <c r="J72" s="138">
        <v>1.1835987537566044</v>
      </c>
      <c r="K72" s="138"/>
      <c r="L72" s="138">
        <v>1.2460526975735617</v>
      </c>
      <c r="M72" s="138"/>
      <c r="N72" s="138">
        <v>1.3208365641166944</v>
      </c>
      <c r="O72" s="138"/>
      <c r="P72" s="138">
        <v>1.4273295146090423</v>
      </c>
      <c r="Q72" s="138"/>
      <c r="R72" s="138">
        <v>1.6078808986528128</v>
      </c>
      <c r="S72" s="138"/>
      <c r="T72" s="138">
        <v>0</v>
      </c>
      <c r="U72" s="138"/>
      <c r="V72" s="138">
        <v>0</v>
      </c>
      <c r="W72" s="138"/>
      <c r="X72" s="138">
        <v>0</v>
      </c>
      <c r="Y72" s="138"/>
      <c r="Z72" s="138">
        <v>0</v>
      </c>
      <c r="AA72" s="138"/>
      <c r="AB72" s="138">
        <v>0</v>
      </c>
      <c r="AC72" s="138"/>
      <c r="AD72" s="138">
        <v>0</v>
      </c>
      <c r="AE72" s="138"/>
      <c r="AF72" s="138">
        <v>0</v>
      </c>
      <c r="AG72" s="138"/>
      <c r="AH72" s="138">
        <v>0</v>
      </c>
      <c r="AI72" s="138"/>
      <c r="AJ72" s="138">
        <v>0</v>
      </c>
      <c r="AK72" s="138"/>
      <c r="AL72" s="138">
        <v>0</v>
      </c>
      <c r="AM72" s="138"/>
      <c r="AN72" s="138">
        <v>0</v>
      </c>
      <c r="AO72" s="138"/>
      <c r="AP72" s="138">
        <v>0</v>
      </c>
      <c r="AQ72" s="138"/>
      <c r="AR72" s="138">
        <v>0</v>
      </c>
      <c r="AS72" s="138"/>
      <c r="AT72" s="138">
        <v>0</v>
      </c>
      <c r="AU72" s="138"/>
      <c r="AV72" s="138">
        <v>0</v>
      </c>
      <c r="XFD72" s="138"/>
    </row>
    <row r="73" spans="1:48 16384:16384" x14ac:dyDescent="0.2">
      <c r="A73" t="s">
        <v>184</v>
      </c>
      <c r="B73" s="193">
        <v>0.56706723273486059</v>
      </c>
      <c r="D73" s="193">
        <v>0.56910249448364947</v>
      </c>
      <c r="E73" s="138"/>
      <c r="F73" s="193">
        <v>0.57136953403055502</v>
      </c>
      <c r="G73" s="138"/>
      <c r="H73" s="193">
        <v>0.5739502330191798</v>
      </c>
      <c r="I73" s="138"/>
      <c r="J73" s="193">
        <v>0.57697892984211907</v>
      </c>
      <c r="K73" s="138"/>
      <c r="L73" s="193">
        <v>0.5807033723570445</v>
      </c>
      <c r="M73" s="138"/>
      <c r="N73" s="193">
        <v>0.58569026874748409</v>
      </c>
      <c r="O73" s="138"/>
      <c r="P73" s="193">
        <v>0.59430854180448955</v>
      </c>
      <c r="Q73" s="138"/>
      <c r="R73" s="193">
        <v>0.61925959147205267</v>
      </c>
      <c r="S73" s="138"/>
      <c r="T73" s="193" t="e">
        <v>#DIV/0!</v>
      </c>
      <c r="U73" s="138"/>
      <c r="V73" s="193" t="e">
        <v>#DIV/0!</v>
      </c>
      <c r="W73" s="138"/>
      <c r="X73" s="193" t="e">
        <v>#DIV/0!</v>
      </c>
      <c r="Y73" s="138"/>
      <c r="Z73" s="193" t="e">
        <v>#DIV/0!</v>
      </c>
      <c r="AA73" s="138"/>
      <c r="AB73" s="193" t="e">
        <v>#DIV/0!</v>
      </c>
      <c r="AC73" s="138"/>
      <c r="AD73" s="193" t="e">
        <v>#DIV/0!</v>
      </c>
      <c r="AE73" s="138"/>
      <c r="AF73" s="193" t="e">
        <v>#DIV/0!</v>
      </c>
      <c r="AG73" s="138"/>
      <c r="AH73" s="193" t="e">
        <v>#DIV/0!</v>
      </c>
      <c r="AI73" s="138"/>
      <c r="AJ73" s="193" t="e">
        <v>#DIV/0!</v>
      </c>
      <c r="AK73" s="138"/>
      <c r="AL73" s="193" t="e">
        <v>#DIV/0!</v>
      </c>
      <c r="AM73" s="138"/>
      <c r="AN73" s="193" t="e">
        <v>#DIV/0!</v>
      </c>
      <c r="AO73" s="138"/>
      <c r="AP73" s="193" t="e">
        <v>#DIV/0!</v>
      </c>
      <c r="AQ73" s="138"/>
      <c r="AR73" s="193" t="e">
        <v>#DIV/0!</v>
      </c>
      <c r="AS73" s="138"/>
      <c r="AT73" s="193" t="e">
        <v>#DIV/0!</v>
      </c>
      <c r="AU73" s="138"/>
      <c r="AV73" s="193" t="e">
        <v>#DIV/0!</v>
      </c>
      <c r="XFD73" s="193"/>
    </row>
    <row r="74" spans="1:48 16384:16384" x14ac:dyDescent="0.2">
      <c r="A74" t="s">
        <v>185</v>
      </c>
      <c r="B74" s="193">
        <v>0.21672767296897655</v>
      </c>
      <c r="D74" s="193">
        <v>0.21672767296897655</v>
      </c>
      <c r="E74" s="138"/>
      <c r="F74" s="193">
        <v>0.21672767296897655</v>
      </c>
      <c r="G74" s="138"/>
      <c r="H74" s="193">
        <v>0.21672767296897658</v>
      </c>
      <c r="I74" s="138"/>
      <c r="J74" s="193">
        <v>0.21672767296897655</v>
      </c>
      <c r="K74" s="138"/>
      <c r="L74" s="193">
        <v>0.21672767296897655</v>
      </c>
      <c r="M74" s="138"/>
      <c r="N74" s="193">
        <v>0.21672767296897655</v>
      </c>
      <c r="O74" s="138"/>
      <c r="P74" s="193">
        <v>0.21672767296897655</v>
      </c>
      <c r="Q74" s="138"/>
      <c r="R74" s="193">
        <v>0.21672767296897655</v>
      </c>
      <c r="S74" s="138"/>
      <c r="T74" s="193" t="e">
        <v>#DIV/0!</v>
      </c>
      <c r="U74" s="138"/>
      <c r="V74" s="193" t="e">
        <v>#DIV/0!</v>
      </c>
      <c r="W74" s="138"/>
      <c r="X74" s="193" t="e">
        <v>#DIV/0!</v>
      </c>
      <c r="Y74" s="138"/>
      <c r="Z74" s="193" t="e">
        <v>#DIV/0!</v>
      </c>
      <c r="AA74" s="138"/>
      <c r="AB74" s="193" t="e">
        <v>#DIV/0!</v>
      </c>
      <c r="AC74" s="138"/>
      <c r="AD74" s="193" t="e">
        <v>#DIV/0!</v>
      </c>
      <c r="AE74" s="138"/>
      <c r="AF74" s="193" t="e">
        <v>#DIV/0!</v>
      </c>
      <c r="AG74" s="138"/>
      <c r="AH74" s="193" t="e">
        <v>#DIV/0!</v>
      </c>
      <c r="AI74" s="138"/>
      <c r="AJ74" s="193" t="e">
        <v>#DIV/0!</v>
      </c>
      <c r="AK74" s="138"/>
      <c r="AL74" s="193" t="e">
        <v>#DIV/0!</v>
      </c>
      <c r="AM74" s="138"/>
      <c r="AN74" s="193" t="e">
        <v>#DIV/0!</v>
      </c>
      <c r="AO74" s="138"/>
      <c r="AP74" s="193" t="e">
        <v>#DIV/0!</v>
      </c>
      <c r="AQ74" s="138"/>
      <c r="AR74" s="193" t="e">
        <v>#DIV/0!</v>
      </c>
      <c r="AS74" s="138"/>
      <c r="AT74" s="193" t="e">
        <v>#DIV/0!</v>
      </c>
      <c r="AU74" s="138"/>
      <c r="AV74" s="193" t="e">
        <v>#DIV/0!</v>
      </c>
      <c r="XFD74" s="193"/>
    </row>
    <row r="75" spans="1:48 16384:16384" x14ac:dyDescent="0.2">
      <c r="A75" t="s">
        <v>186</v>
      </c>
      <c r="B75" s="193">
        <v>0.20445380142857192</v>
      </c>
      <c r="D75" s="193">
        <v>0.2024185428749285</v>
      </c>
      <c r="E75" s="138"/>
      <c r="F75" s="193">
        <v>0.20015150770368248</v>
      </c>
      <c r="G75" s="138"/>
      <c r="H75" s="193">
        <v>0.19757080072513944</v>
      </c>
      <c r="I75" s="138"/>
      <c r="J75" s="193">
        <v>0.19454211314072914</v>
      </c>
      <c r="K75" s="138"/>
      <c r="L75" s="193">
        <v>0.19081766273176673</v>
      </c>
      <c r="M75" s="138"/>
      <c r="N75" s="193">
        <v>0.18583077034062143</v>
      </c>
      <c r="O75" s="138"/>
      <c r="P75" s="193">
        <v>0.17721250019401408</v>
      </c>
      <c r="Q75" s="138"/>
      <c r="R75" s="193">
        <v>0.15226144431421212</v>
      </c>
      <c r="S75" s="138"/>
      <c r="T75" s="193" t="e">
        <v>#DIV/0!</v>
      </c>
      <c r="U75" s="138"/>
      <c r="V75" s="193" t="e">
        <v>#DIV/0!</v>
      </c>
      <c r="W75" s="138"/>
      <c r="X75" s="193" t="e">
        <v>#DIV/0!</v>
      </c>
      <c r="Y75" s="138"/>
      <c r="Z75" s="193" t="e">
        <v>#DIV/0!</v>
      </c>
      <c r="AA75" s="138"/>
      <c r="AB75" s="193" t="e">
        <v>#DIV/0!</v>
      </c>
      <c r="AC75" s="138"/>
      <c r="AD75" s="193" t="e">
        <v>#DIV/0!</v>
      </c>
      <c r="AE75" s="138"/>
      <c r="AF75" s="193" t="e">
        <v>#DIV/0!</v>
      </c>
      <c r="AG75" s="138"/>
      <c r="AH75" s="193" t="e">
        <v>#DIV/0!</v>
      </c>
      <c r="AI75" s="138"/>
      <c r="AJ75" s="193" t="e">
        <v>#DIV/0!</v>
      </c>
      <c r="AK75" s="138"/>
      <c r="AL75" s="193" t="e">
        <v>#DIV/0!</v>
      </c>
      <c r="AM75" s="138"/>
      <c r="AN75" s="193" t="e">
        <v>#DIV/0!</v>
      </c>
      <c r="AO75" s="138"/>
      <c r="AP75" s="193" t="e">
        <v>#DIV/0!</v>
      </c>
      <c r="AQ75" s="138"/>
      <c r="AR75" s="193" t="e">
        <v>#DIV/0!</v>
      </c>
      <c r="AS75" s="138"/>
      <c r="AT75" s="193" t="e">
        <v>#DIV/0!</v>
      </c>
      <c r="AU75" s="138"/>
      <c r="AV75" s="193" t="e">
        <v>#DIV/0!</v>
      </c>
      <c r="XFD75" s="193"/>
    </row>
    <row r="76" spans="1:48 16384:16384" x14ac:dyDescent="0.2">
      <c r="A76" t="s">
        <v>187</v>
      </c>
      <c r="B76" s="193">
        <v>0.20231859885161138</v>
      </c>
      <c r="D76" s="193">
        <v>0.20280505702767768</v>
      </c>
      <c r="E76" s="138"/>
      <c r="F76" s="193">
        <v>0.2033688036474165</v>
      </c>
      <c r="G76" s="138"/>
      <c r="H76" s="193">
        <v>0.20400437255678219</v>
      </c>
      <c r="I76" s="138"/>
      <c r="J76" s="193">
        <v>0.20469848538818539</v>
      </c>
      <c r="K76" s="138"/>
      <c r="L76" s="193">
        <v>0.20542289805238292</v>
      </c>
      <c r="M76" s="138"/>
      <c r="N76" s="193">
        <v>0.20611577388392727</v>
      </c>
      <c r="O76" s="138"/>
      <c r="P76" s="193">
        <v>0.20659592142923577</v>
      </c>
      <c r="Q76" s="138"/>
      <c r="R76" s="193">
        <v>0.20478933589732506</v>
      </c>
      <c r="S76" s="138"/>
      <c r="T76" s="193" t="e">
        <v>#DIV/0!</v>
      </c>
      <c r="U76" s="138"/>
      <c r="V76" s="193" t="e">
        <v>#DIV/0!</v>
      </c>
      <c r="W76" s="138"/>
      <c r="X76" s="193" t="e">
        <v>#DIV/0!</v>
      </c>
      <c r="Y76" s="138"/>
      <c r="Z76" s="193" t="e">
        <v>#DIV/0!</v>
      </c>
      <c r="AA76" s="138"/>
      <c r="AB76" s="193" t="e">
        <v>#DIV/0!</v>
      </c>
      <c r="AC76" s="138"/>
      <c r="AD76" s="193" t="e">
        <v>#DIV/0!</v>
      </c>
      <c r="AE76" s="138"/>
      <c r="AF76" s="193" t="e">
        <v>#DIV/0!</v>
      </c>
      <c r="AG76" s="138"/>
      <c r="AH76" s="193" t="e">
        <v>#DIV/0!</v>
      </c>
      <c r="AI76" s="138"/>
      <c r="AJ76" s="193" t="e">
        <v>#DIV/0!</v>
      </c>
      <c r="AK76" s="138"/>
      <c r="AL76" s="193" t="e">
        <v>#DIV/0!</v>
      </c>
      <c r="AM76" s="138"/>
      <c r="AN76" s="193" t="e">
        <v>#DIV/0!</v>
      </c>
      <c r="AO76" s="138"/>
      <c r="AP76" s="193" t="e">
        <v>#DIV/0!</v>
      </c>
      <c r="AQ76" s="138"/>
      <c r="AR76" s="193" t="e">
        <v>#DIV/0!</v>
      </c>
      <c r="AS76" s="138"/>
      <c r="AT76" s="193" t="e">
        <v>#DIV/0!</v>
      </c>
      <c r="AU76" s="138"/>
      <c r="AV76" s="193" t="e">
        <v>#DIV/0!</v>
      </c>
      <c r="XFD76" s="193"/>
    </row>
    <row r="77" spans="1:48 16384:16384" x14ac:dyDescent="0.2">
      <c r="A77" t="s">
        <v>188</v>
      </c>
      <c r="B77" s="193">
        <v>0.19056730598402016</v>
      </c>
      <c r="D77" s="193">
        <v>0.19105376735523202</v>
      </c>
      <c r="E77" s="138"/>
      <c r="F77" s="193">
        <v>0.1916175183506304</v>
      </c>
      <c r="G77" s="138"/>
      <c r="H77" s="193">
        <v>0.19225307927007798</v>
      </c>
      <c r="I77" s="138"/>
      <c r="J77" s="193">
        <v>0.19294720134001003</v>
      </c>
      <c r="K77" s="138"/>
      <c r="L77" s="193">
        <v>0.19367160611017051</v>
      </c>
      <c r="M77" s="138"/>
      <c r="N77" s="193">
        <v>0.19436448594100908</v>
      </c>
      <c r="O77" s="138"/>
      <c r="P77" s="193">
        <v>0.19484463639671576</v>
      </c>
      <c r="Q77" s="138"/>
      <c r="R77" s="193">
        <v>0.19303804465256613</v>
      </c>
      <c r="S77" s="138"/>
      <c r="T77" s="193" t="e">
        <v>#DIV/0!</v>
      </c>
      <c r="U77" s="138"/>
      <c r="V77" s="193" t="e">
        <v>#DIV/0!</v>
      </c>
      <c r="W77" s="138"/>
      <c r="X77" s="193" t="e">
        <v>#DIV/0!</v>
      </c>
      <c r="Y77" s="138"/>
      <c r="Z77" s="193" t="e">
        <v>#DIV/0!</v>
      </c>
      <c r="AA77" s="138"/>
      <c r="AB77" s="193" t="e">
        <v>#DIV/0!</v>
      </c>
      <c r="AC77" s="138"/>
      <c r="AD77" s="193" t="e">
        <v>#DIV/0!</v>
      </c>
      <c r="AE77" s="138"/>
      <c r="AF77" s="193" t="e">
        <v>#DIV/0!</v>
      </c>
      <c r="AG77" s="138"/>
      <c r="AH77" s="193" t="e">
        <v>#DIV/0!</v>
      </c>
      <c r="AI77" s="138"/>
      <c r="AJ77" s="193" t="e">
        <v>#DIV/0!</v>
      </c>
      <c r="AK77" s="138"/>
      <c r="AL77" s="193" t="e">
        <v>#DIV/0!</v>
      </c>
      <c r="AM77" s="138"/>
      <c r="AN77" s="193" t="e">
        <v>#DIV/0!</v>
      </c>
      <c r="AO77" s="138"/>
      <c r="AP77" s="193" t="e">
        <v>#DIV/0!</v>
      </c>
      <c r="AQ77" s="138"/>
      <c r="AR77" s="193" t="e">
        <v>#DIV/0!</v>
      </c>
      <c r="AS77" s="138"/>
      <c r="AT77" s="193" t="e">
        <v>#DIV/0!</v>
      </c>
      <c r="AU77" s="138"/>
      <c r="AV77" s="193" t="e">
        <v>#DIV/0!</v>
      </c>
      <c r="XFD77" s="193"/>
    </row>
    <row r="78" spans="1:48 16384:16384" x14ac:dyDescent="0.2">
      <c r="A78" t="s">
        <v>189</v>
      </c>
      <c r="B78" s="193">
        <v>0.27666372811889955</v>
      </c>
      <c r="D78" s="193">
        <v>0.2806794888248127</v>
      </c>
      <c r="E78" s="138"/>
      <c r="F78" s="193">
        <v>0.28541684663688754</v>
      </c>
      <c r="G78" s="138"/>
      <c r="H78" s="193">
        <v>0.2911510073157505</v>
      </c>
      <c r="I78" s="138"/>
      <c r="J78" s="193">
        <v>0.29834757941359485</v>
      </c>
      <c r="K78" s="138"/>
      <c r="L78" s="193">
        <v>0.3079007064467118</v>
      </c>
      <c r="M78" s="138"/>
      <c r="N78" s="193">
        <v>0.32196390902352318</v>
      </c>
      <c r="O78" s="138"/>
      <c r="P78" s="193">
        <v>0.35019089517581276</v>
      </c>
      <c r="Q78" s="138"/>
      <c r="R78" s="193">
        <v>0.48045442943610223</v>
      </c>
      <c r="S78" s="138"/>
      <c r="T78" s="193" t="e">
        <v>#DIV/0!</v>
      </c>
      <c r="U78" s="138"/>
      <c r="V78" s="193" t="e">
        <v>#DIV/0!</v>
      </c>
      <c r="W78" s="138"/>
      <c r="X78" s="193" t="e">
        <v>#DIV/0!</v>
      </c>
      <c r="Y78" s="138"/>
      <c r="Z78" s="193" t="e">
        <v>#DIV/0!</v>
      </c>
      <c r="AA78" s="138"/>
      <c r="AB78" s="193" t="e">
        <v>#DIV/0!</v>
      </c>
      <c r="AC78" s="138"/>
      <c r="AD78" s="193" t="e">
        <v>#DIV/0!</v>
      </c>
      <c r="AE78" s="138"/>
      <c r="AF78" s="193" t="e">
        <v>#DIV/0!</v>
      </c>
      <c r="AG78" s="138"/>
      <c r="AH78" s="193" t="e">
        <v>#DIV/0!</v>
      </c>
      <c r="AI78" s="138"/>
      <c r="AJ78" s="193" t="e">
        <v>#DIV/0!</v>
      </c>
      <c r="AK78" s="138"/>
      <c r="AL78" s="193" t="e">
        <v>#DIV/0!</v>
      </c>
      <c r="AM78" s="138"/>
      <c r="AN78" s="193" t="e">
        <v>#DIV/0!</v>
      </c>
      <c r="AO78" s="138"/>
      <c r="AP78" s="193" t="e">
        <v>#DIV/0!</v>
      </c>
      <c r="AQ78" s="138"/>
      <c r="AR78" s="193" t="e">
        <v>#DIV/0!</v>
      </c>
      <c r="AS78" s="138"/>
      <c r="AT78" s="193" t="e">
        <v>#DIV/0!</v>
      </c>
      <c r="AU78" s="138"/>
      <c r="AV78" s="193" t="e">
        <v>#DIV/0!</v>
      </c>
      <c r="XFD78" s="193"/>
    </row>
    <row r="79" spans="1:48 16384:16384" x14ac:dyDescent="0.2">
      <c r="A79" t="s">
        <v>190</v>
      </c>
      <c r="B79" s="193">
        <v>0.42990307543833983</v>
      </c>
      <c r="D79" s="193">
        <v>0.41923600245806131</v>
      </c>
      <c r="F79" s="193">
        <v>0.40708987073280195</v>
      </c>
      <c r="H79" s="193">
        <v>0.39292187393014005</v>
      </c>
      <c r="J79" s="193">
        <v>0.37582741461198416</v>
      </c>
      <c r="L79" s="193">
        <v>0.35410264953858445</v>
      </c>
      <c r="N79" s="193">
        <v>0.32374205165992642</v>
      </c>
      <c r="P79" s="193">
        <v>0.2673501798570258</v>
      </c>
      <c r="R79" s="193">
        <v>5.5545686552176288E-2</v>
      </c>
      <c r="T79" s="193" t="e">
        <v>#DIV/0!</v>
      </c>
      <c r="V79" s="193" t="e">
        <v>#DIV/0!</v>
      </c>
      <c r="X79" s="193" t="e">
        <v>#DIV/0!</v>
      </c>
      <c r="Z79" s="193" t="e">
        <v>#DIV/0!</v>
      </c>
      <c r="AB79" s="193" t="e">
        <v>#DIV/0!</v>
      </c>
      <c r="AD79" s="193" t="e">
        <v>#DIV/0!</v>
      </c>
      <c r="AF79" s="193" t="e">
        <v>#DIV/0!</v>
      </c>
      <c r="AH79" s="193" t="e">
        <v>#DIV/0!</v>
      </c>
      <c r="AJ79" s="193" t="e">
        <v>#DIV/0!</v>
      </c>
      <c r="AL79" s="193" t="e">
        <v>#DIV/0!</v>
      </c>
      <c r="AN79" s="193" t="e">
        <v>#DIV/0!</v>
      </c>
      <c r="AP79" s="193" t="e">
        <v>#DIV/0!</v>
      </c>
      <c r="AR79" s="193" t="e">
        <v>#DIV/0!</v>
      </c>
      <c r="AT79" s="193" t="e">
        <v>#DIV/0!</v>
      </c>
      <c r="AV79" s="193" t="e">
        <v>#DIV/0!</v>
      </c>
      <c r="XFD79" s="193"/>
    </row>
    <row r="80" spans="1:48 16384:16384" x14ac:dyDescent="0.2">
      <c r="A80" t="s">
        <v>169</v>
      </c>
      <c r="B80" s="236">
        <v>0.29343319644276039</v>
      </c>
      <c r="D80" s="236">
        <v>0.30008449758032324</v>
      </c>
      <c r="F80" s="236">
        <v>0.3074932547254613</v>
      </c>
      <c r="H80" s="236">
        <v>0.31592711845864874</v>
      </c>
      <c r="J80" s="236">
        <v>0.3258249876845864</v>
      </c>
      <c r="L80" s="236">
        <v>0.33799663877321651</v>
      </c>
      <c r="N80" s="236">
        <v>0.35429400167438302</v>
      </c>
      <c r="P80" s="236">
        <v>0.38245884035595185</v>
      </c>
      <c r="R80" s="236">
        <v>0.46399988760177896</v>
      </c>
      <c r="T80" s="236" t="e">
        <v>#DIV/0!</v>
      </c>
      <c r="V80" s="236" t="e">
        <v>#DIV/0!</v>
      </c>
      <c r="X80" s="236" t="e">
        <v>#DIV/0!</v>
      </c>
      <c r="Z80" s="236" t="e">
        <v>#DIV/0!</v>
      </c>
      <c r="AB80" s="236" t="e">
        <v>#DIV/0!</v>
      </c>
      <c r="AD80" s="236" t="e">
        <v>#DIV/0!</v>
      </c>
      <c r="AF80" s="236" t="e">
        <v>#DIV/0!</v>
      </c>
      <c r="AH80" s="236" t="e">
        <v>#DIV/0!</v>
      </c>
      <c r="AJ80" s="236" t="e">
        <v>#DIV/0!</v>
      </c>
      <c r="AL80" s="236" t="e">
        <v>#DIV/0!</v>
      </c>
      <c r="AN80" s="236" t="e">
        <v>#DIV/0!</v>
      </c>
      <c r="AP80" s="236" t="e">
        <v>#DIV/0!</v>
      </c>
      <c r="AR80" s="236" t="e">
        <v>#DIV/0!</v>
      </c>
      <c r="AT80" s="236" t="e">
        <v>#DIV/0!</v>
      </c>
      <c r="AV80" s="236" t="e">
        <v>#DIV/0!</v>
      </c>
      <c r="XFD80" s="236"/>
    </row>
    <row r="81" spans="1:48 16384:16384" x14ac:dyDescent="0.2">
      <c r="A81" t="s">
        <v>191</v>
      </c>
      <c r="B81" s="236">
        <v>7.6705523473783829E-2</v>
      </c>
      <c r="D81" s="236">
        <v>8.3356824611346664E-2</v>
      </c>
      <c r="F81" s="236">
        <v>9.0765581756484734E-2</v>
      </c>
      <c r="H81" s="236">
        <v>9.9199445489672189E-2</v>
      </c>
      <c r="J81" s="236">
        <v>0.10909731471560986</v>
      </c>
      <c r="L81" s="236">
        <v>0.12126896580423994</v>
      </c>
      <c r="N81" s="236">
        <v>0.13756632870540647</v>
      </c>
      <c r="P81" s="236">
        <v>0.16573116738697527</v>
      </c>
      <c r="R81" s="236">
        <v>0.24727221463280241</v>
      </c>
      <c r="T81" s="236" t="e">
        <v>#DIV/0!</v>
      </c>
      <c r="V81" s="236" t="e">
        <v>#DIV/0!</v>
      </c>
      <c r="X81" s="236" t="e">
        <v>#DIV/0!</v>
      </c>
      <c r="Z81" s="236" t="e">
        <v>#DIV/0!</v>
      </c>
      <c r="AB81" s="236" t="e">
        <v>#DIV/0!</v>
      </c>
      <c r="AD81" s="236" t="e">
        <v>#DIV/0!</v>
      </c>
      <c r="AF81" s="236" t="e">
        <v>#DIV/0!</v>
      </c>
      <c r="AH81" s="236" t="e">
        <v>#DIV/0!</v>
      </c>
      <c r="AJ81" s="236" t="e">
        <v>#DIV/0!</v>
      </c>
      <c r="AL81" s="236" t="e">
        <v>#DIV/0!</v>
      </c>
      <c r="AN81" s="236" t="e">
        <v>#DIV/0!</v>
      </c>
      <c r="AP81" s="236" t="e">
        <v>#DIV/0!</v>
      </c>
      <c r="AR81" s="236" t="e">
        <v>#DIV/0!</v>
      </c>
      <c r="AT81" s="236" t="e">
        <v>#DIV/0!</v>
      </c>
      <c r="AV81" s="236" t="e">
        <v>#DIV/0!</v>
      </c>
      <c r="XFD81" s="236"/>
    </row>
    <row r="82" spans="1:48 16384:16384" x14ac:dyDescent="0.2">
      <c r="A82" t="s">
        <v>192</v>
      </c>
      <c r="B82" s="236">
        <v>5.4622536949655895E-2</v>
      </c>
      <c r="D82" s="236">
        <v>5.5415380446095189E-2</v>
      </c>
      <c r="F82" s="236">
        <v>5.6350690990391007E-2</v>
      </c>
      <c r="H82" s="236">
        <v>5.7482803268664971E-2</v>
      </c>
      <c r="J82" s="236">
        <v>5.8903643752519184E-2</v>
      </c>
      <c r="L82" s="236">
        <v>6.0789745837165891E-2</v>
      </c>
      <c r="N82" s="236">
        <v>6.3566285456599647E-2</v>
      </c>
      <c r="P82" s="236">
        <v>6.9139222699092978E-2</v>
      </c>
      <c r="R82" s="236">
        <v>9.4857536992419972E-2</v>
      </c>
      <c r="T82" s="236" t="e">
        <v>#DIV/0!</v>
      </c>
      <c r="V82" s="236" t="e">
        <v>#DIV/0!</v>
      </c>
      <c r="X82" s="236" t="e">
        <v>#DIV/0!</v>
      </c>
      <c r="Z82" s="236" t="e">
        <v>#DIV/0!</v>
      </c>
      <c r="AB82" s="236" t="e">
        <v>#DIV/0!</v>
      </c>
      <c r="AD82" s="236" t="e">
        <v>#DIV/0!</v>
      </c>
      <c r="AF82" s="236" t="e">
        <v>#DIV/0!</v>
      </c>
      <c r="AH82" s="236" t="e">
        <v>#DIV/0!</v>
      </c>
      <c r="AJ82" s="236" t="e">
        <v>#DIV/0!</v>
      </c>
      <c r="AL82" s="236" t="e">
        <v>#DIV/0!</v>
      </c>
      <c r="AN82" s="236" t="e">
        <v>#DIV/0!</v>
      </c>
      <c r="AP82" s="236" t="e">
        <v>#DIV/0!</v>
      </c>
      <c r="AR82" s="236" t="e">
        <v>#DIV/0!</v>
      </c>
      <c r="AT82" s="236" t="e">
        <v>#DIV/0!</v>
      </c>
      <c r="AV82" s="236" t="e">
        <v>#DIV/0!</v>
      </c>
    </row>
    <row r="83" spans="1:48 16384:16384" x14ac:dyDescent="0.2">
      <c r="A83" t="s">
        <v>193</v>
      </c>
      <c r="B83" s="236">
        <v>8.4877033872722163E-2</v>
      </c>
      <c r="D83" s="236">
        <v>8.2771002149765197E-2</v>
      </c>
      <c r="F83" s="236">
        <v>8.0372955490489215E-2</v>
      </c>
      <c r="H83" s="236">
        <v>7.7575726037543299E-2</v>
      </c>
      <c r="J83" s="236">
        <v>7.4200716447059251E-2</v>
      </c>
      <c r="L83" s="236">
        <v>6.9911531916030334E-2</v>
      </c>
      <c r="N83" s="236">
        <v>6.3917349408925767E-2</v>
      </c>
      <c r="P83" s="236">
        <v>5.2783735609395033E-2</v>
      </c>
      <c r="R83" s="236">
        <v>1.0966548946330749E-2</v>
      </c>
      <c r="T83" s="236" t="e">
        <v>#DIV/0!</v>
      </c>
      <c r="V83" s="236" t="e">
        <v>#DIV/0!</v>
      </c>
      <c r="X83" s="236" t="e">
        <v>#DIV/0!</v>
      </c>
      <c r="Z83" s="236" t="e">
        <v>#DIV/0!</v>
      </c>
      <c r="AB83" s="236" t="e">
        <v>#DIV/0!</v>
      </c>
      <c r="AD83" s="236" t="e">
        <v>#DIV/0!</v>
      </c>
      <c r="AF83" s="236" t="e">
        <v>#DIV/0!</v>
      </c>
      <c r="AH83" s="236" t="e">
        <v>#DIV/0!</v>
      </c>
      <c r="AJ83" s="236" t="e">
        <v>#DIV/0!</v>
      </c>
      <c r="AL83" s="236" t="e">
        <v>#DIV/0!</v>
      </c>
      <c r="AN83" s="236" t="e">
        <v>#DIV/0!</v>
      </c>
      <c r="AP83" s="236" t="e">
        <v>#DIV/0!</v>
      </c>
      <c r="AR83" s="236" t="e">
        <v>#DIV/0!</v>
      </c>
      <c r="AT83" s="236" t="e">
        <v>#DIV/0!</v>
      </c>
      <c r="AV83" s="236" t="e">
        <v>#DIV/0!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Feuil16"/>
  <dimension ref="A1:AY93"/>
  <sheetViews>
    <sheetView workbookViewId="0">
      <selection activeCell="U19" sqref="U19"/>
    </sheetView>
  </sheetViews>
  <sheetFormatPr baseColWidth="10" defaultRowHeight="10" x14ac:dyDescent="0.2"/>
  <cols>
    <col min="1" max="1" width="19.6640625" customWidth="1"/>
    <col min="26" max="26" width="12"/>
  </cols>
  <sheetData>
    <row r="1" spans="1:27" x14ac:dyDescent="0.2">
      <c r="A1" t="s">
        <v>97</v>
      </c>
    </row>
    <row r="2" spans="1:27" x14ac:dyDescent="0.2">
      <c r="A2" t="s">
        <v>147</v>
      </c>
      <c r="B2" s="94">
        <v>0</v>
      </c>
      <c r="C2" s="94">
        <v>0.05</v>
      </c>
      <c r="D2" s="94">
        <v>0.1</v>
      </c>
      <c r="E2" s="94">
        <v>0.15000000000000002</v>
      </c>
      <c r="F2" s="94">
        <v>0.2</v>
      </c>
      <c r="G2" s="94">
        <v>0.25</v>
      </c>
      <c r="H2" s="94">
        <v>0.3</v>
      </c>
      <c r="I2" s="94">
        <v>0.35</v>
      </c>
      <c r="J2" s="94">
        <v>0.39999999999999997</v>
      </c>
      <c r="K2" s="94">
        <v>0.44999999999999996</v>
      </c>
      <c r="L2" s="94">
        <v>0.49999999999999994</v>
      </c>
      <c r="M2" s="94">
        <v>0.54999999999999993</v>
      </c>
      <c r="N2" s="94">
        <v>0.6</v>
      </c>
      <c r="O2" s="94">
        <v>0.65</v>
      </c>
      <c r="P2" s="94">
        <v>0.70000000000000007</v>
      </c>
      <c r="Q2" s="94">
        <v>0.75000000000000011</v>
      </c>
      <c r="R2" s="94">
        <v>0.80000000000000016</v>
      </c>
      <c r="S2" s="94">
        <v>0.8500000000000002</v>
      </c>
      <c r="T2" s="94">
        <v>0.90000000000000024</v>
      </c>
      <c r="U2" s="94">
        <v>0.95000000000000029</v>
      </c>
      <c r="V2" s="94">
        <v>0.9600000000000003</v>
      </c>
      <c r="W2" s="94">
        <v>0.97000000000000031</v>
      </c>
      <c r="X2" s="94">
        <v>0.98000000000000032</v>
      </c>
      <c r="Y2" s="94">
        <v>0.99000000000000032</v>
      </c>
    </row>
    <row r="3" spans="1:27" x14ac:dyDescent="0.2">
      <c r="A3" t="s">
        <v>89</v>
      </c>
      <c r="B3" s="80">
        <f>NeoClassical!B$31</f>
        <v>1</v>
      </c>
      <c r="C3" s="80">
        <f>NeoClassical!D$31</f>
        <v>0.99334584998173547</v>
      </c>
      <c r="D3" s="80">
        <f>NeoClassical!F$31</f>
        <v>0.98618977343658798</v>
      </c>
      <c r="E3" s="80">
        <f>NeoClassical!H$31</f>
        <v>0.97846476991396281</v>
      </c>
      <c r="F3" s="80">
        <f>NeoClassical!J$31</f>
        <v>0.97009051426869153</v>
      </c>
      <c r="G3" s="80">
        <f>NeoClassical!L$31</f>
        <v>0.96096860580254162</v>
      </c>
      <c r="H3" s="80">
        <f>NeoClassical!N$31</f>
        <v>0.95097837942777186</v>
      </c>
      <c r="I3" s="80">
        <f>NeoClassical!P$31</f>
        <v>0.93996707159343196</v>
      </c>
      <c r="J3" s="80">
        <f>NeoClassical!R$31</f>
        <v>0.92773797072118225</v>
      </c>
      <c r="K3" s="80">
        <f>NeoClassical!T$31</f>
        <v>0.91403084987320837</v>
      </c>
      <c r="L3" s="80">
        <f>NeoClassical!V$31</f>
        <v>0.89848994911744717</v>
      </c>
      <c r="M3" s="80">
        <f>NeoClassical!X$31</f>
        <v>0.8806107233647793</v>
      </c>
      <c r="N3" s="80">
        <f>NeoClassical!Z$31</f>
        <v>0.85964600692326598</v>
      </c>
      <c r="O3" s="80">
        <f>NeoClassical!AB$31</f>
        <v>0.83443539228920049</v>
      </c>
      <c r="P3" s="80">
        <f>NeoClassical!AD$31</f>
        <v>0.80308548988928385</v>
      </c>
      <c r="Q3" s="80">
        <f>NeoClassical!AF$31</f>
        <v>0.76237915418844926</v>
      </c>
      <c r="R3" s="80">
        <f>NeoClassical!AH$31</f>
        <v>0.70677779099265736</v>
      </c>
      <c r="S3" s="80">
        <f>NeoClassical!AJ$31</f>
        <v>0.62694262650855104</v>
      </c>
      <c r="T3" s="80">
        <f>NeoClassical!AL$31</f>
        <v>0.50641103504755847</v>
      </c>
      <c r="U3" s="80">
        <f>NeoClassical!AN$31</f>
        <v>0.30856575829341004</v>
      </c>
      <c r="V3" s="80">
        <f>NeoClassical!AP$31</f>
        <v>0.25315476989376873</v>
      </c>
      <c r="W3" s="80">
        <f>NeoClassical!AR$31</f>
        <v>0.19045780743679727</v>
      </c>
      <c r="X3" s="80">
        <f>NeoClassical!AT$31</f>
        <v>0.12045670284524095</v>
      </c>
      <c r="Y3" s="80">
        <f>NeoClassical!AV$31</f>
        <v>4.74023306442896E-2</v>
      </c>
    </row>
    <row r="4" spans="1:27" x14ac:dyDescent="0.2">
      <c r="A4" t="s">
        <v>163</v>
      </c>
      <c r="B4" s="80">
        <f>Kaldorian!B$31</f>
        <v>1</v>
      </c>
      <c r="C4" s="80">
        <f>Kaldorian!D$31</f>
        <v>0.99788368140043981</v>
      </c>
      <c r="D4" s="80">
        <f>Kaldorian!F$31</f>
        <v>0.99535612734382217</v>
      </c>
      <c r="E4" s="80">
        <f>Kaldorian!H$31</f>
        <v>0.99236133040867369</v>
      </c>
      <c r="F4" s="80">
        <f>Kaldorian!J$31</f>
        <v>0.9888320177857487</v>
      </c>
      <c r="G4" s="80">
        <f>Kaldorian!L$31</f>
        <v>0.98468578252174277</v>
      </c>
      <c r="H4" s="80">
        <f>Kaldorian!N$31</f>
        <v>0.97982154341510375</v>
      </c>
      <c r="I4" s="80">
        <f>Kaldorian!P$31</f>
        <v>0.97411188133862336</v>
      </c>
      <c r="J4" s="80">
        <f>Kaldorian!R$31</f>
        <v>0.96739367724745629</v>
      </c>
      <c r="K4" s="80">
        <f>Kaldorian!T$31</f>
        <v>0.95945306294149713</v>
      </c>
      <c r="L4" s="80">
        <f>Kaldorian!V$31</f>
        <v>0.95000128453192823</v>
      </c>
      <c r="M4" s="80">
        <f>Kaldorian!X$31</f>
        <v>0.93863497103888704</v>
      </c>
      <c r="N4" s="80">
        <f>Kaldorian!Z$31</f>
        <v>0.92476673826325395</v>
      </c>
      <c r="O4" s="80">
        <f>Kaldorian!AB$31</f>
        <v>0.90749835942629564</v>
      </c>
      <c r="P4" s="80">
        <f>Kaldorian!AD$31</f>
        <v>0.88537705665485622</v>
      </c>
      <c r="Q4" s="80">
        <f>Kaldorian!AF$31</f>
        <v>0.85591385990003432</v>
      </c>
      <c r="R4" s="80">
        <f>Kaldorian!AH$31</f>
        <v>0.81463038708727298</v>
      </c>
      <c r="S4" s="80">
        <f>Kaldorian!AJ$31</f>
        <v>0.75313380478232672</v>
      </c>
      <c r="T4" s="80">
        <f>Kaldorian!AL$31</f>
        <v>0.65403919764976615</v>
      </c>
      <c r="U4" s="80">
        <f>Kaldorian!AN$31</f>
        <v>0</v>
      </c>
      <c r="V4" s="80">
        <f>Kaldorian!AP$31</f>
        <v>0</v>
      </c>
      <c r="W4" s="80">
        <f>Kaldorian!AR$31</f>
        <v>0</v>
      </c>
      <c r="X4" s="80">
        <f>Kaldorian!AT$31</f>
        <v>0</v>
      </c>
      <c r="Y4" s="80">
        <f>Kaldorian!AV$31</f>
        <v>0</v>
      </c>
    </row>
    <row r="5" spans="1:27" x14ac:dyDescent="0.2">
      <c r="A5" t="s">
        <v>90</v>
      </c>
      <c r="B5" s="80">
        <f>Johansen!B$31</f>
        <v>1</v>
      </c>
      <c r="C5" s="80">
        <f>Johansen!D$31</f>
        <v>0.99790882036410855</v>
      </c>
      <c r="D5" s="80">
        <f>Johansen!F$31</f>
        <v>0.99540690123397912</v>
      </c>
      <c r="E5" s="80">
        <f>Johansen!H$31</f>
        <v>0.99243833821989336</v>
      </c>
      <c r="F5" s="80">
        <f>Johansen!J$31</f>
        <v>0.98893585337614343</v>
      </c>
      <c r="G5" s="80">
        <f>Johansen!L$31</f>
        <v>0.98481710031934966</v>
      </c>
      <c r="H5" s="80">
        <f>Johansen!N$31</f>
        <v>0.9799808955374264</v>
      </c>
      <c r="I5" s="80">
        <f>Johansen!P$31</f>
        <v>0.97429957077697626</v>
      </c>
      <c r="J5" s="80">
        <f>Johansen!R$31</f>
        <v>0.96760949638762861</v>
      </c>
      <c r="K5" s="80">
        <f>Johansen!T$31</f>
        <v>0.95969591390644571</v>
      </c>
      <c r="L5" s="80">
        <f>Johansen!V$31</f>
        <v>0.95026852554015206</v>
      </c>
      <c r="M5" s="80">
        <f>Johansen!X$31</f>
        <v>0.93892145382248393</v>
      </c>
      <c r="N5" s="80">
        <f>Johansen!Z$31</f>
        <v>0.92506338602011196</v>
      </c>
      <c r="O5" s="80">
        <f>Johansen!AB$31</f>
        <v>0.90778998530987409</v>
      </c>
      <c r="P5" s="80">
        <f>Johansen!AD$31</f>
        <v>0.8856401792812294</v>
      </c>
      <c r="Q5" s="80">
        <f>Johansen!AF$31</f>
        <v>0.85611700108401989</v>
      </c>
      <c r="R5" s="80">
        <f>Johansen!AH$31</f>
        <v>0.81474716811209136</v>
      </c>
      <c r="S5" s="80">
        <f>Johansen!AJ$31</f>
        <v>0.75317323063134423</v>
      </c>
      <c r="T5" s="80">
        <f>Johansen!AL$31</f>
        <v>0.65404469415223732</v>
      </c>
      <c r="U5" s="80">
        <f>Johansen!AN$31</f>
        <v>0.47087601861925815</v>
      </c>
      <c r="V5" s="80">
        <f>Johansen!AP$31</f>
        <v>0.41360171552680919</v>
      </c>
      <c r="W5" s="80">
        <f>Johansen!AR$31</f>
        <v>0.34415582479330664</v>
      </c>
      <c r="X5" s="80">
        <f>Johansen!AT$31</f>
        <v>0.25789089494595729</v>
      </c>
      <c r="Y5" s="80">
        <f>Johansen!AV$31</f>
        <v>0.14734260508684568</v>
      </c>
    </row>
    <row r="6" spans="1:27" x14ac:dyDescent="0.2">
      <c r="A6" t="s">
        <v>146</v>
      </c>
      <c r="B6" s="80">
        <f>'Keynes-K'!B$31</f>
        <v>1</v>
      </c>
      <c r="C6" s="80">
        <f>'Keynes-K'!D$31</f>
        <v>1.0026726888818545</v>
      </c>
      <c r="D6" s="80">
        <f>'Keynes-K'!F$31</f>
        <v>1.0044367459298218</v>
      </c>
      <c r="E6" s="80">
        <f>'Keynes-K'!H$31</f>
        <v>1.0051967385567597</v>
      </c>
      <c r="F6" s="80">
        <f>'Keynes-K'!J$31</f>
        <v>1.0048351141510672</v>
      </c>
      <c r="G6" s="80">
        <f>'Keynes-K'!L$31</f>
        <v>1.0032067383371734</v>
      </c>
      <c r="H6" s="80">
        <f>'Keynes-K'!N$31</f>
        <v>1.0001310002502084</v>
      </c>
      <c r="I6" s="80">
        <f>'Keynes-K'!P$31</f>
        <v>0.99538106347390498</v>
      </c>
      <c r="J6" s="80">
        <f>'Keynes-K'!R$31</f>
        <v>0.98866825311936657</v>
      </c>
      <c r="K6" s="80">
        <f>'Keynes-K'!T$31</f>
        <v>0.97961904720878634</v>
      </c>
      <c r="L6" s="80">
        <f>'Keynes-K'!V$31</f>
        <v>0.96773990477718808</v>
      </c>
      <c r="M6" s="80">
        <f>'Keynes-K'!X$31</f>
        <v>0.95236122587028915</v>
      </c>
      <c r="N6" s="80">
        <f>'Keynes-K'!Z$31</f>
        <v>0.93254489996725065</v>
      </c>
      <c r="O6" s="80">
        <f>'Keynes-K'!AB$31</f>
        <v>0.90692367470879987</v>
      </c>
      <c r="P6" s="80">
        <f>'Keynes-K'!AD$31</f>
        <v>0.87341283962892458</v>
      </c>
      <c r="Q6" s="80">
        <f>'Keynes-K'!AF$31</f>
        <v>0.82868008800656112</v>
      </c>
      <c r="R6" s="80">
        <f>'Keynes-K'!AH$31</f>
        <v>0.76719307767810863</v>
      </c>
      <c r="S6" s="80">
        <f>'Keynes-K'!AJ$31</f>
        <v>0.67965318040275113</v>
      </c>
      <c r="T6" s="80">
        <f>'Keynes-K'!AL$31</f>
        <v>0.55042310554219798</v>
      </c>
      <c r="U6" s="80">
        <f>'Keynes-K'!AN$31</f>
        <v>0</v>
      </c>
      <c r="V6" s="80">
        <f>'Keynes-K'!AP$31</f>
        <v>0</v>
      </c>
      <c r="W6" s="80">
        <f>'Keynes-K'!AR$31</f>
        <v>0</v>
      </c>
      <c r="X6" s="80">
        <f>'Keynes-K'!AT$31</f>
        <v>0</v>
      </c>
      <c r="Y6" s="80">
        <f>'Keynes-K'!AV$31</f>
        <v>0</v>
      </c>
    </row>
    <row r="7" spans="1:27" x14ac:dyDescent="0.2">
      <c r="A7" t="s">
        <v>144</v>
      </c>
      <c r="B7" s="80">
        <f>'Keynes-M'!B$31</f>
        <v>1</v>
      </c>
      <c r="C7" s="80">
        <f>'Keynes-M'!D$31</f>
        <v>1.0857076806079833</v>
      </c>
      <c r="D7" s="80">
        <f>'Keynes-M'!F$31</f>
        <v>1.1693860787829622</v>
      </c>
      <c r="E7" s="80">
        <f>'Keynes-M'!H$31</f>
        <v>1.253820185264279</v>
      </c>
      <c r="F7" s="80">
        <f>'Keynes-M'!J$31</f>
        <v>1.3420397873961951</v>
      </c>
      <c r="G7" s="80">
        <f>'Keynes-M'!L$31</f>
        <v>1.438600393272343</v>
      </c>
      <c r="H7" s="80">
        <f>'Keynes-M'!N$31</f>
        <v>1.5521696208281579</v>
      </c>
      <c r="I7" s="80">
        <f>'Keynes-M'!P$31</f>
        <v>1.703799056422501</v>
      </c>
      <c r="J7" s="80">
        <f>'Keynes-M'!R$31</f>
        <v>1.9699531939386277</v>
      </c>
      <c r="K7" s="80">
        <f>'Keynes-M'!T$31</f>
        <v>0</v>
      </c>
      <c r="L7" s="80">
        <f>'Keynes-M'!V$31</f>
        <v>0</v>
      </c>
      <c r="M7" s="80">
        <f>'Keynes-M'!X$31</f>
        <v>0</v>
      </c>
      <c r="N7" s="80">
        <f>'Keynes-M'!Z$31</f>
        <v>0</v>
      </c>
      <c r="O7" s="80">
        <f>'Keynes-M'!AB$31</f>
        <v>0</v>
      </c>
      <c r="P7" s="80">
        <f>'Keynes-M'!AD$31</f>
        <v>0</v>
      </c>
      <c r="Q7" s="80">
        <f>'Keynes-M'!AF$31</f>
        <v>0</v>
      </c>
      <c r="R7" s="80">
        <f>'Keynes-M'!AH$31</f>
        <v>0</v>
      </c>
      <c r="S7" s="80">
        <f>'Keynes-M'!AJ$31</f>
        <v>0</v>
      </c>
      <c r="T7" s="80">
        <f>'Keynes-M'!AL$31</f>
        <v>0</v>
      </c>
      <c r="U7" s="80">
        <f>'Keynes-M'!AN$31</f>
        <v>0</v>
      </c>
      <c r="V7" s="80">
        <f>'Keynes-M'!AP$31</f>
        <v>0</v>
      </c>
      <c r="W7" s="80">
        <f>'Keynes-M'!AR$31</f>
        <v>0</v>
      </c>
      <c r="X7" s="80">
        <f>'Keynes-K'!AT$31</f>
        <v>0</v>
      </c>
      <c r="Y7" s="80">
        <f>'Keynes-K'!AV$31</f>
        <v>0</v>
      </c>
    </row>
    <row r="8" spans="1:27" x14ac:dyDescent="0.2">
      <c r="A8" t="s">
        <v>162</v>
      </c>
      <c r="B8" s="80">
        <f>Keynesian!B$31</f>
        <v>1</v>
      </c>
      <c r="C8" s="80">
        <f>Keynesian!D$31</f>
        <v>0.97804571325299594</v>
      </c>
      <c r="D8" s="80">
        <f>Keynesian!F$31</f>
        <v>0.95478545441819773</v>
      </c>
      <c r="E8" s="80">
        <f>Keynesian!H$31</f>
        <v>0.93010651634955155</v>
      </c>
      <c r="F8" s="80">
        <f>Keynesian!J$31</f>
        <v>0.90388166300851625</v>
      </c>
      <c r="G8" s="80">
        <f>Keynesian!L$31</f>
        <v>0.87596655409340685</v>
      </c>
      <c r="H8" s="80">
        <f>Keynesian!N$31</f>
        <v>0.84619692916094658</v>
      </c>
      <c r="I8" s="80">
        <f>Keynesian!P$31</f>
        <v>0.81438515047467286</v>
      </c>
      <c r="J8" s="80">
        <f>Keynesian!R$31</f>
        <v>0.78031623615223711</v>
      </c>
      <c r="K8" s="80">
        <f>Keynesian!T$31</f>
        <v>0.74374309978950648</v>
      </c>
      <c r="L8" s="80">
        <f>Keynesian!V$31</f>
        <v>0.70438200458992628</v>
      </c>
      <c r="M8" s="80">
        <f>Keynesian!X$31</f>
        <v>0.66190837457886331</v>
      </c>
      <c r="N8" s="80">
        <f>Keynesian!Z$31</f>
        <v>0.61595689996820657</v>
      </c>
      <c r="O8" s="80">
        <f>Keynesian!AB$31</f>
        <v>0.56613551422586694</v>
      </c>
      <c r="P8" s="80">
        <f>Keynesian!AD$31</f>
        <v>0.51208871183369942</v>
      </c>
      <c r="Q8" s="80">
        <f>Keynesian!AF$31</f>
        <v>0.45376689951647786</v>
      </c>
      <c r="R8" s="80">
        <f>Keynesian!AH$31</f>
        <v>0.39287974893122263</v>
      </c>
      <c r="S8" s="80">
        <f>Keynesian!AJ$31</f>
        <v>0</v>
      </c>
      <c r="T8" s="80">
        <f>Keynesian!AL$31</f>
        <v>0</v>
      </c>
      <c r="U8" s="80">
        <f>Keynesian!AN$31</f>
        <v>0</v>
      </c>
      <c r="V8" s="80">
        <f>Keynesian!AP$31</f>
        <v>0</v>
      </c>
      <c r="W8" s="80">
        <f>Keynesian!AR$31</f>
        <v>0</v>
      </c>
      <c r="X8" s="80">
        <f>Keynesian!AT$31</f>
        <v>0</v>
      </c>
      <c r="Y8" s="80">
        <f>Keynesian!AV$31</f>
        <v>0</v>
      </c>
    </row>
    <row r="9" spans="1:27" x14ac:dyDescent="0.2">
      <c r="A9" t="s">
        <v>157</v>
      </c>
      <c r="B9" s="80">
        <f>'Neo-K2'!B$31</f>
        <v>1</v>
      </c>
      <c r="C9" s="80">
        <f>'Neo-K2'!D$31</f>
        <v>0.98445458147058551</v>
      </c>
      <c r="D9" s="80">
        <f>'Neo-K2'!F$31</f>
        <v>0.96744361971376969</v>
      </c>
      <c r="E9" s="80">
        <f>'Neo-K2'!H$31</f>
        <v>0.94874358893099486</v>
      </c>
      <c r="F9" s="80">
        <f>'Neo-K2'!J$31</f>
        <v>0.92809169472654585</v>
      </c>
      <c r="G9" s="80">
        <f>'Neo-K2'!L$31</f>
        <v>0.90517987083574414</v>
      </c>
      <c r="H9" s="80">
        <f>'Neo-K2'!N$31</f>
        <v>0.8796520794398498</v>
      </c>
      <c r="I9" s="80">
        <f>'Neo-K2'!P$31</f>
        <v>0.85110530395563699</v>
      </c>
      <c r="J9" s="80">
        <f>'Neo-K2'!R$31</f>
        <v>0.81909939241785024</v>
      </c>
      <c r="K9" s="80">
        <f>'Neo-K2'!T$31</f>
        <v>0.78318293078408419</v>
      </c>
      <c r="L9" s="80">
        <f>'Neo-K2'!V$31</f>
        <v>0.74294595537032082</v>
      </c>
      <c r="M9" s="80">
        <f>'Neo-K2'!X$31</f>
        <v>0.69811185432067502</v>
      </c>
      <c r="N9" s="80">
        <f>'Neo-K2'!Z$31</f>
        <v>0.64867085005087521</v>
      </c>
      <c r="O9" s="80">
        <f>'Neo-K2'!AB$31</f>
        <v>0.59503525520361533</v>
      </c>
      <c r="P9" s="80">
        <f>'Neo-K2'!AD$31</f>
        <v>0.53811976613826473</v>
      </c>
      <c r="Q9" s="80">
        <f>'Neo-K2'!AF$31</f>
        <v>0.47914836695629887</v>
      </c>
      <c r="R9" s="80">
        <f>'Neo-K2'!AH$31</f>
        <v>0.41895215985973411</v>
      </c>
      <c r="S9" s="80">
        <f>'Neo-K2'!AJ$31</f>
        <v>0.35666825971668559</v>
      </c>
      <c r="T9" s="80">
        <f>'Neo-K2'!AL$31</f>
        <v>0.2878326546843708</v>
      </c>
      <c r="U9" s="80">
        <f>'Neo-K2'!AN$31</f>
        <v>0.19982944513960627</v>
      </c>
      <c r="V9" s="80">
        <f>'Neo-K2'!AP$31</f>
        <v>0.17701255133431149</v>
      </c>
      <c r="W9" s="80">
        <f>'Neo-K2'!AR$31</f>
        <v>0.1508229426374407</v>
      </c>
      <c r="X9" s="80">
        <f>'Neo-K2'!AT$31</f>
        <v>0.11946200850484039</v>
      </c>
      <c r="Y9" s="80">
        <f>'Neo-K2'!AV$31</f>
        <v>7.8679685803707156E-2</v>
      </c>
    </row>
    <row r="10" spans="1:27" x14ac:dyDescent="0.2">
      <c r="A10" t="s">
        <v>158</v>
      </c>
      <c r="B10" s="80">
        <f>'Neo-K1'!B$31</f>
        <v>1</v>
      </c>
      <c r="C10" s="80">
        <f>'Neo-K1'!D$31</f>
        <v>0.98755014238399486</v>
      </c>
      <c r="D10" s="80">
        <f>'Neo-K1'!F$31</f>
        <v>0.97402792407145244</v>
      </c>
      <c r="E10" s="80">
        <f>'Neo-K1'!H$31</f>
        <v>0.95927484684485664</v>
      </c>
      <c r="F10" s="80">
        <f>'Neo-K1'!J$31</f>
        <v>0.94309994748299208</v>
      </c>
      <c r="G10" s="80">
        <f>'Neo-K1'!L$31</f>
        <v>0.92527091613971868</v>
      </c>
      <c r="H10" s="80">
        <f>'Neo-K1'!N$31</f>
        <v>0.90550348050905749</v>
      </c>
      <c r="I10" s="80">
        <f>'Neo-K1'!P$31</f>
        <v>0.88344696199351991</v>
      </c>
      <c r="J10" s="80">
        <f>'Neo-K1'!R$31</f>
        <v>0.85866562387470258</v>
      </c>
      <c r="K10" s="80">
        <f>'Neo-K1'!T$31</f>
        <v>0.8306154625383283</v>
      </c>
      <c r="L10" s="80">
        <f>'Neo-K1'!V$31</f>
        <v>0.79861453011935857</v>
      </c>
      <c r="M10" s="80">
        <f>'Neo-K1'!X$31</f>
        <v>0.76181008900230651</v>
      </c>
      <c r="N10" s="80">
        <f>'Neo-K1'!Z$31</f>
        <v>0.71914419658787154</v>
      </c>
      <c r="O10" s="80">
        <f>'Neo-K1'!AB$31</f>
        <v>0.66932958133524556</v>
      </c>
      <c r="P10" s="80">
        <f>'Neo-K1'!AD$31</f>
        <v>0.61085604387615666</v>
      </c>
      <c r="Q10" s="80">
        <f>'Neo-K1'!AF$31</f>
        <v>0.54205907298262268</v>
      </c>
      <c r="R10" s="80">
        <f>'Neo-K1'!AH$31</f>
        <v>0.46128268259274002</v>
      </c>
      <c r="S10" s="80">
        <f>'Neo-K1'!AJ$31</f>
        <v>0.36713963053806725</v>
      </c>
      <c r="T10" s="80">
        <f>'Neo-K1'!AL$31</f>
        <v>0.2588029914906691</v>
      </c>
      <c r="U10" s="80">
        <f>'Neo-K1'!AN$31</f>
        <v>0.13619980152950534</v>
      </c>
      <c r="V10" s="80">
        <f>'Neo-K1'!AP$31</f>
        <v>0.1100148911785061</v>
      </c>
      <c r="W10" s="80">
        <f>'Neo-K1'!AR$31</f>
        <v>8.3292825746948407E-2</v>
      </c>
      <c r="X10" s="80">
        <f>'Neo-K1'!AT$31</f>
        <v>5.6042938978986809E-2</v>
      </c>
      <c r="Y10" s="80">
        <f>'Neo-K1'!AV$31</f>
        <v>2.8275134168512409E-2</v>
      </c>
    </row>
    <row r="11" spans="1:27" x14ac:dyDescent="0.2">
      <c r="A11" t="s">
        <v>149</v>
      </c>
      <c r="B11" s="80">
        <f>'NC heteroS'!B$31</f>
        <v>0.99999999999999956</v>
      </c>
      <c r="C11" s="80">
        <f>'NC heteroS'!D$31</f>
        <v>0.99444591610775457</v>
      </c>
      <c r="D11" s="80">
        <f>'NC heteroS'!F$31</f>
        <v>0.98832398885785544</v>
      </c>
      <c r="E11" s="80">
        <f>'NC heteroS'!H$31</f>
        <v>0.98155485786275998</v>
      </c>
      <c r="F11" s="80">
        <f>'NC heteroS'!J$31</f>
        <v>0.97404297476950719</v>
      </c>
      <c r="G11" s="80">
        <f>'NC heteroS'!L$31</f>
        <v>0.96567204220783953</v>
      </c>
      <c r="H11" s="80">
        <f>'NC heteroS'!N$31</f>
        <v>0.95629799805413807</v>
      </c>
      <c r="I11" s="80">
        <f>'NC heteroS'!P$31</f>
        <v>0.94573972610617074</v>
      </c>
      <c r="J11" s="80">
        <f>'NC heteroS'!R$31</f>
        <v>0.93376390646056395</v>
      </c>
      <c r="K11" s="80">
        <f>'NC heteroS'!T$31</f>
        <v>0.92006316660733312</v>
      </c>
      <c r="L11" s="80">
        <f>'NC heteroS'!V$31</f>
        <v>0.90421972939464912</v>
      </c>
      <c r="M11" s="80">
        <f>'NC heteroS'!X$31</f>
        <v>0.88564636602078417</v>
      </c>
      <c r="N11" s="80">
        <f>'NC heteroS'!Z$31</f>
        <v>0.86348466526882439</v>
      </c>
      <c r="O11" s="80">
        <f>'NC heteroS'!AB$31</f>
        <v>0.83642519107603419</v>
      </c>
      <c r="P11" s="80">
        <f>'NC heteroS'!AD$31</f>
        <v>0.80238481689363084</v>
      </c>
      <c r="Q11" s="80">
        <f>'NC heteroS'!AF$31</f>
        <v>0.75794214216834832</v>
      </c>
      <c r="R11" s="80">
        <f>'NC heteroS'!AH$31</f>
        <v>0.69744648234885309</v>
      </c>
      <c r="S11" s="80">
        <f>'NC heteroS'!AJ$31</f>
        <v>0.61173763947405335</v>
      </c>
      <c r="T11" s="80">
        <f>'NC heteroS'!AL$31</f>
        <v>0.48516789846608083</v>
      </c>
      <c r="U11" s="80">
        <f>'NC heteroS'!AN$31</f>
        <v>0.28500358745058368</v>
      </c>
      <c r="V11" s="80">
        <f>'NC heteroS'!AP$31</f>
        <v>0.23086212220297583</v>
      </c>
      <c r="W11" s="80">
        <f>'NC heteroS'!AR$31</f>
        <v>0.17080624919208309</v>
      </c>
      <c r="X11" s="80">
        <f>'NC heteroS'!AT$31</f>
        <v>0.10553097572575747</v>
      </c>
      <c r="Y11" s="80">
        <f>'NC heteroS'!AV$31</f>
        <v>4.0042490619631235E-2</v>
      </c>
    </row>
    <row r="16" spans="1:27" x14ac:dyDescent="0.2">
      <c r="A16" t="str">
        <f>A1</f>
        <v>Utility</v>
      </c>
      <c r="AA16" t="s">
        <v>101</v>
      </c>
    </row>
    <row r="17" spans="1:51" x14ac:dyDescent="0.2">
      <c r="A17" t="str">
        <f t="shared" ref="A17:A26" si="0">A2</f>
        <v>Fossil energy control</v>
      </c>
      <c r="B17" s="94">
        <v>0</v>
      </c>
      <c r="C17" s="94">
        <v>0.05</v>
      </c>
      <c r="D17" s="94">
        <v>0.1</v>
      </c>
      <c r="E17" s="94">
        <v>0.15000000000000002</v>
      </c>
      <c r="F17" s="94">
        <v>0.2</v>
      </c>
      <c r="G17" s="94">
        <v>0.25</v>
      </c>
      <c r="H17" s="94">
        <v>0.3</v>
      </c>
      <c r="I17" s="94">
        <v>0.35</v>
      </c>
      <c r="J17" s="94">
        <v>0.39999999999999997</v>
      </c>
      <c r="K17" s="94">
        <v>0.44999999999999996</v>
      </c>
      <c r="L17" s="94">
        <v>0.49999999999999994</v>
      </c>
      <c r="M17" s="94">
        <v>0.54999999999999993</v>
      </c>
      <c r="N17" s="94">
        <v>0.6</v>
      </c>
      <c r="O17" s="94">
        <v>0.65</v>
      </c>
      <c r="P17" s="94">
        <v>0.70000000000000007</v>
      </c>
      <c r="Q17" s="94">
        <v>0.75000000000000011</v>
      </c>
      <c r="R17" s="94">
        <v>0.80000000000000016</v>
      </c>
      <c r="S17" s="94">
        <v>0.8500000000000002</v>
      </c>
      <c r="T17" s="94">
        <v>0.90000000000000024</v>
      </c>
      <c r="U17" s="94">
        <v>0.95000000000000029</v>
      </c>
      <c r="V17" s="94">
        <v>0.9600000000000003</v>
      </c>
      <c r="W17" s="94">
        <v>0.97000000000000031</v>
      </c>
      <c r="X17" s="94">
        <v>0.98000000000000032</v>
      </c>
      <c r="Y17" s="94">
        <v>0.99000000000000032</v>
      </c>
      <c r="Z17" s="139"/>
      <c r="AA17" t="s">
        <v>96</v>
      </c>
      <c r="AB17" s="94">
        <v>0</v>
      </c>
      <c r="AC17" s="94">
        <v>0.05</v>
      </c>
      <c r="AD17" s="94">
        <v>0.1</v>
      </c>
      <c r="AE17" s="94">
        <v>0.15000000000000002</v>
      </c>
      <c r="AF17" s="94">
        <v>0.2</v>
      </c>
      <c r="AG17" s="94">
        <v>0.25</v>
      </c>
      <c r="AH17" s="94">
        <v>0.3</v>
      </c>
      <c r="AI17" s="94">
        <v>0.35</v>
      </c>
      <c r="AJ17" s="94">
        <v>0.39999999999999997</v>
      </c>
      <c r="AK17" s="94">
        <v>0.44999999999999996</v>
      </c>
      <c r="AL17" s="94">
        <v>0.49999999999999994</v>
      </c>
      <c r="AM17" s="94">
        <v>0.54999999999999993</v>
      </c>
      <c r="AN17" s="94">
        <v>0.6</v>
      </c>
      <c r="AO17" s="94">
        <v>0.65</v>
      </c>
      <c r="AP17" s="94">
        <v>0.70000000000000007</v>
      </c>
      <c r="AQ17" s="94">
        <v>0.75000000000000011</v>
      </c>
      <c r="AR17" s="94">
        <v>0.80000000000000016</v>
      </c>
      <c r="AS17" s="94">
        <v>0.8500000000000002</v>
      </c>
      <c r="AT17" s="94">
        <v>0.90000000000000024</v>
      </c>
      <c r="AU17" s="94">
        <v>0.95000000000000029</v>
      </c>
      <c r="AV17" s="94">
        <v>0.9600000000000003</v>
      </c>
      <c r="AW17" s="94">
        <v>0.97000000000000031</v>
      </c>
      <c r="AX17" s="94">
        <v>0.98000000000000032</v>
      </c>
      <c r="AY17" s="94">
        <v>0.99000000000000032</v>
      </c>
    </row>
    <row r="18" spans="1:51" x14ac:dyDescent="0.2">
      <c r="A18" t="str">
        <f t="shared" si="0"/>
        <v>Neoclassical</v>
      </c>
      <c r="B18" s="80">
        <f>IF(B3&gt;0,100*B3,"")</f>
        <v>100</v>
      </c>
      <c r="C18" s="80">
        <f t="shared" ref="C18:Y18" si="1">IF(C3&gt;0,100*C3,"")</f>
        <v>99.334584998173554</v>
      </c>
      <c r="D18" s="80">
        <f t="shared" si="1"/>
        <v>98.618977343658798</v>
      </c>
      <c r="E18" s="80">
        <f t="shared" si="1"/>
        <v>97.846476991396287</v>
      </c>
      <c r="F18" s="80">
        <f t="shared" si="1"/>
        <v>97.009051426869149</v>
      </c>
      <c r="G18" s="80">
        <f t="shared" si="1"/>
        <v>96.096860580254159</v>
      </c>
      <c r="H18" s="80">
        <f t="shared" si="1"/>
        <v>95.09783794277719</v>
      </c>
      <c r="I18" s="80">
        <f t="shared" si="1"/>
        <v>93.996707159343202</v>
      </c>
      <c r="J18" s="80">
        <f t="shared" si="1"/>
        <v>92.773797072118228</v>
      </c>
      <c r="K18" s="80">
        <f t="shared" si="1"/>
        <v>91.403084987320838</v>
      </c>
      <c r="L18" s="80">
        <f t="shared" si="1"/>
        <v>89.848994911744711</v>
      </c>
      <c r="M18" s="80">
        <f t="shared" si="1"/>
        <v>88.061072336477935</v>
      </c>
      <c r="N18" s="80">
        <f t="shared" si="1"/>
        <v>85.964600692326599</v>
      </c>
      <c r="O18" s="80">
        <f t="shared" si="1"/>
        <v>83.443539228920045</v>
      </c>
      <c r="P18" s="80">
        <f t="shared" si="1"/>
        <v>80.308548988928379</v>
      </c>
      <c r="Q18" s="80">
        <f t="shared" si="1"/>
        <v>76.237915418844921</v>
      </c>
      <c r="R18" s="80">
        <f t="shared" si="1"/>
        <v>70.677779099265734</v>
      </c>
      <c r="S18" s="80">
        <f t="shared" si="1"/>
        <v>62.694262650855102</v>
      </c>
      <c r="T18" s="80">
        <f t="shared" si="1"/>
        <v>50.641103504755847</v>
      </c>
      <c r="U18" s="80">
        <f t="shared" si="1"/>
        <v>30.856575829341004</v>
      </c>
      <c r="V18" s="80">
        <f t="shared" si="1"/>
        <v>25.315476989376872</v>
      </c>
      <c r="W18" s="80">
        <f t="shared" si="1"/>
        <v>19.045780743679728</v>
      </c>
      <c r="X18" s="80">
        <f t="shared" si="1"/>
        <v>12.045670284524094</v>
      </c>
      <c r="Y18" s="80">
        <f t="shared" si="1"/>
        <v>4.7402330644289599</v>
      </c>
      <c r="Z18" s="138"/>
      <c r="AA18" t="s">
        <v>89</v>
      </c>
      <c r="AB18" s="138">
        <f t="shared" ref="AB18:AB23" si="2">1-B18</f>
        <v>-99</v>
      </c>
      <c r="AC18" s="138">
        <f t="shared" ref="AC18:AC23" si="3">1-C18</f>
        <v>-98.334584998173554</v>
      </c>
      <c r="AD18" s="138">
        <f t="shared" ref="AD18:AD23" si="4">1-D18</f>
        <v>-97.618977343658798</v>
      </c>
      <c r="AE18" s="138">
        <f t="shared" ref="AE18:AE23" si="5">1-E18</f>
        <v>-96.846476991396287</v>
      </c>
      <c r="AF18" s="138">
        <f t="shared" ref="AF18:AF23" si="6">1-F18</f>
        <v>-96.009051426869149</v>
      </c>
      <c r="AG18" s="138">
        <f t="shared" ref="AG18:AG23" si="7">1-G18</f>
        <v>-95.096860580254159</v>
      </c>
      <c r="AH18" s="138">
        <f t="shared" ref="AH18:AH23" si="8">1-H18</f>
        <v>-94.09783794277719</v>
      </c>
      <c r="AI18" s="138">
        <f t="shared" ref="AI18:AI23" si="9">1-I18</f>
        <v>-92.996707159343202</v>
      </c>
      <c r="AJ18" s="138">
        <f t="shared" ref="AJ18:AJ23" si="10">1-J18</f>
        <v>-91.773797072118228</v>
      </c>
      <c r="AK18" s="138">
        <f t="shared" ref="AK18:AK23" si="11">1-K18</f>
        <v>-90.403084987320838</v>
      </c>
      <c r="AL18" s="138">
        <f t="shared" ref="AL18:AL23" si="12">1-L18</f>
        <v>-88.848994911744711</v>
      </c>
      <c r="AM18" s="138">
        <f t="shared" ref="AM18:AM23" si="13">1-M18</f>
        <v>-87.061072336477935</v>
      </c>
      <c r="AN18" s="138">
        <f t="shared" ref="AN18:AN23" si="14">1-N18</f>
        <v>-84.964600692326599</v>
      </c>
      <c r="AO18" s="138">
        <f t="shared" ref="AO18:AO23" si="15">1-O18</f>
        <v>-82.443539228920045</v>
      </c>
      <c r="AP18" s="138">
        <f t="shared" ref="AP18:AP23" si="16">1-P18</f>
        <v>-79.308548988928379</v>
      </c>
      <c r="AQ18" s="138">
        <f t="shared" ref="AQ18:AQ23" si="17">1-Q18</f>
        <v>-75.237915418844921</v>
      </c>
      <c r="AR18" s="138">
        <f t="shared" ref="AR18:AR23" si="18">1-R18</f>
        <v>-69.677779099265734</v>
      </c>
      <c r="AS18" s="138">
        <f t="shared" ref="AS18:AS23" si="19">1-S18</f>
        <v>-61.694262650855102</v>
      </c>
      <c r="AT18" s="138">
        <f t="shared" ref="AT18:AT23" si="20">1-T18</f>
        <v>-49.641103504755847</v>
      </c>
      <c r="AU18" s="138">
        <f t="shared" ref="AU18:AU23" si="21">1-U18</f>
        <v>-29.856575829341004</v>
      </c>
      <c r="AV18" s="138">
        <f t="shared" ref="AV18:AV23" si="22">1-V18</f>
        <v>-24.315476989376872</v>
      </c>
      <c r="AW18" s="138">
        <f t="shared" ref="AW18:AW23" si="23">1-W18</f>
        <v>-18.045780743679728</v>
      </c>
      <c r="AX18" s="138">
        <f t="shared" ref="AX18:AX23" si="24">1-X18</f>
        <v>-11.045670284524094</v>
      </c>
      <c r="AY18" s="138">
        <f t="shared" ref="AY18:AY23" si="25">1-Y18</f>
        <v>-3.7402330644289599</v>
      </c>
    </row>
    <row r="19" spans="1:51" x14ac:dyDescent="0.2">
      <c r="A19" t="str">
        <f t="shared" si="0"/>
        <v>Kaldorian</v>
      </c>
      <c r="B19" s="80">
        <f t="shared" ref="B19:Y19" si="26">IF(B4&gt;0,100*B4,"")</f>
        <v>100</v>
      </c>
      <c r="C19" s="80">
        <f t="shared" si="26"/>
        <v>99.788368140043985</v>
      </c>
      <c r="D19" s="80">
        <f t="shared" si="26"/>
        <v>99.535612734382212</v>
      </c>
      <c r="E19" s="80">
        <f t="shared" si="26"/>
        <v>99.236133040867372</v>
      </c>
      <c r="F19" s="80">
        <f t="shared" si="26"/>
        <v>98.883201778574872</v>
      </c>
      <c r="G19" s="80">
        <f t="shared" si="26"/>
        <v>98.468578252174282</v>
      </c>
      <c r="H19" s="80">
        <f t="shared" si="26"/>
        <v>97.98215434151038</v>
      </c>
      <c r="I19" s="80">
        <f t="shared" si="26"/>
        <v>97.411188133862339</v>
      </c>
      <c r="J19" s="80">
        <f t="shared" si="26"/>
        <v>96.739367724745634</v>
      </c>
      <c r="K19" s="80">
        <f t="shared" si="26"/>
        <v>95.945306294149717</v>
      </c>
      <c r="L19" s="80">
        <f t="shared" si="26"/>
        <v>95.000128453192829</v>
      </c>
      <c r="M19" s="80">
        <f t="shared" si="26"/>
        <v>93.863497103888704</v>
      </c>
      <c r="N19" s="80">
        <f t="shared" si="26"/>
        <v>92.476673826325396</v>
      </c>
      <c r="O19" s="80">
        <f t="shared" si="26"/>
        <v>90.749835942629559</v>
      </c>
      <c r="P19" s="80">
        <f t="shared" si="26"/>
        <v>88.537705665485618</v>
      </c>
      <c r="Q19" s="80">
        <f t="shared" si="26"/>
        <v>85.591385990003431</v>
      </c>
      <c r="R19" s="80">
        <f t="shared" si="26"/>
        <v>81.463038708727296</v>
      </c>
      <c r="S19" s="80">
        <f t="shared" si="26"/>
        <v>75.313380478232673</v>
      </c>
      <c r="T19" s="80">
        <f t="shared" si="26"/>
        <v>65.403919764976621</v>
      </c>
      <c r="U19" s="80" t="str">
        <f t="shared" si="26"/>
        <v/>
      </c>
      <c r="V19" s="80" t="str">
        <f t="shared" si="26"/>
        <v/>
      </c>
      <c r="W19" s="80" t="str">
        <f t="shared" si="26"/>
        <v/>
      </c>
      <c r="X19" s="80" t="str">
        <f t="shared" si="26"/>
        <v/>
      </c>
      <c r="Y19" s="80" t="str">
        <f t="shared" si="26"/>
        <v/>
      </c>
      <c r="Z19" s="138"/>
      <c r="AA19" t="s">
        <v>90</v>
      </c>
      <c r="AB19" s="138">
        <f t="shared" si="2"/>
        <v>-99</v>
      </c>
      <c r="AC19" s="138">
        <f t="shared" si="3"/>
        <v>-98.788368140043985</v>
      </c>
      <c r="AD19" s="138">
        <f t="shared" si="4"/>
        <v>-98.535612734382212</v>
      </c>
      <c r="AE19" s="138">
        <f t="shared" si="5"/>
        <v>-98.236133040867372</v>
      </c>
      <c r="AF19" s="138">
        <f t="shared" si="6"/>
        <v>-97.883201778574872</v>
      </c>
      <c r="AG19" s="138">
        <f t="shared" si="7"/>
        <v>-97.468578252174282</v>
      </c>
      <c r="AH19" s="138">
        <f t="shared" si="8"/>
        <v>-96.98215434151038</v>
      </c>
      <c r="AI19" s="138">
        <f t="shared" si="9"/>
        <v>-96.411188133862339</v>
      </c>
      <c r="AJ19" s="138">
        <f t="shared" si="10"/>
        <v>-95.739367724745634</v>
      </c>
      <c r="AK19" s="138">
        <f t="shared" si="11"/>
        <v>-94.945306294149717</v>
      </c>
      <c r="AL19" s="138">
        <f t="shared" si="12"/>
        <v>-94.000128453192829</v>
      </c>
      <c r="AM19" s="138">
        <f t="shared" si="13"/>
        <v>-92.863497103888704</v>
      </c>
      <c r="AN19" s="138">
        <f t="shared" si="14"/>
        <v>-91.476673826325396</v>
      </c>
      <c r="AO19" s="138">
        <f t="shared" si="15"/>
        <v>-89.749835942629559</v>
      </c>
      <c r="AP19" s="138">
        <f t="shared" si="16"/>
        <v>-87.537705665485618</v>
      </c>
      <c r="AQ19" s="138">
        <f t="shared" si="17"/>
        <v>-84.591385990003431</v>
      </c>
      <c r="AR19" s="138">
        <f t="shared" si="18"/>
        <v>-80.463038708727296</v>
      </c>
      <c r="AS19" s="138">
        <f t="shared" si="19"/>
        <v>-74.313380478232673</v>
      </c>
      <c r="AT19" s="138">
        <f t="shared" si="20"/>
        <v>-64.403919764976621</v>
      </c>
      <c r="AU19" s="138" t="e">
        <f t="shared" si="21"/>
        <v>#VALUE!</v>
      </c>
      <c r="AV19" s="138" t="e">
        <f t="shared" si="22"/>
        <v>#VALUE!</v>
      </c>
      <c r="AW19" s="138" t="e">
        <f t="shared" si="23"/>
        <v>#VALUE!</v>
      </c>
      <c r="AX19" s="138" t="e">
        <f t="shared" si="24"/>
        <v>#VALUE!</v>
      </c>
      <c r="AY19" s="138" t="e">
        <f t="shared" si="25"/>
        <v>#VALUE!</v>
      </c>
    </row>
    <row r="20" spans="1:51" x14ac:dyDescent="0.2">
      <c r="A20" t="str">
        <f t="shared" si="0"/>
        <v>Johansen</v>
      </c>
      <c r="B20" s="80">
        <f t="shared" ref="B20:Y20" si="27">IF(B5&gt;0,100*B5,"")</f>
        <v>100</v>
      </c>
      <c r="C20" s="80">
        <f t="shared" si="27"/>
        <v>99.790882036410849</v>
      </c>
      <c r="D20" s="80">
        <f t="shared" si="27"/>
        <v>99.540690123397908</v>
      </c>
      <c r="E20" s="80">
        <f t="shared" si="27"/>
        <v>99.243833821989341</v>
      </c>
      <c r="F20" s="80">
        <f t="shared" si="27"/>
        <v>98.89358533761434</v>
      </c>
      <c r="G20" s="80">
        <f t="shared" si="27"/>
        <v>98.481710031934966</v>
      </c>
      <c r="H20" s="80">
        <f t="shared" si="27"/>
        <v>97.998089553742645</v>
      </c>
      <c r="I20" s="80">
        <f t="shared" si="27"/>
        <v>97.429957077697622</v>
      </c>
      <c r="J20" s="80">
        <f t="shared" si="27"/>
        <v>96.760949638762867</v>
      </c>
      <c r="K20" s="80">
        <f t="shared" si="27"/>
        <v>95.969591390644567</v>
      </c>
      <c r="L20" s="80">
        <f t="shared" si="27"/>
        <v>95.026852554015207</v>
      </c>
      <c r="M20" s="80">
        <f t="shared" si="27"/>
        <v>93.892145382248387</v>
      </c>
      <c r="N20" s="80">
        <f t="shared" si="27"/>
        <v>92.506338602011198</v>
      </c>
      <c r="O20" s="80">
        <f t="shared" si="27"/>
        <v>90.778998530987408</v>
      </c>
      <c r="P20" s="80">
        <f t="shared" si="27"/>
        <v>88.564017928122936</v>
      </c>
      <c r="Q20" s="80">
        <f t="shared" si="27"/>
        <v>85.61170010840199</v>
      </c>
      <c r="R20" s="80">
        <f t="shared" si="27"/>
        <v>81.474716811209134</v>
      </c>
      <c r="S20" s="80">
        <f t="shared" si="27"/>
        <v>75.317323063134424</v>
      </c>
      <c r="T20" s="80">
        <f t="shared" si="27"/>
        <v>65.40446941522373</v>
      </c>
      <c r="U20" s="80">
        <f t="shared" si="27"/>
        <v>47.087601861925812</v>
      </c>
      <c r="V20" s="80">
        <f t="shared" si="27"/>
        <v>41.360171552680917</v>
      </c>
      <c r="W20" s="80">
        <f t="shared" si="27"/>
        <v>34.415582479330666</v>
      </c>
      <c r="X20" s="80">
        <f t="shared" si="27"/>
        <v>25.789089494595729</v>
      </c>
      <c r="Y20" s="80">
        <f t="shared" si="27"/>
        <v>14.734260508684569</v>
      </c>
      <c r="Z20" s="138"/>
      <c r="AA20" t="s">
        <v>93</v>
      </c>
      <c r="AB20" s="138">
        <f t="shared" si="2"/>
        <v>-99</v>
      </c>
      <c r="AC20" s="138">
        <f t="shared" si="3"/>
        <v>-98.790882036410849</v>
      </c>
      <c r="AD20" s="138">
        <f t="shared" si="4"/>
        <v>-98.540690123397908</v>
      </c>
      <c r="AE20" s="138">
        <f t="shared" si="5"/>
        <v>-98.243833821989341</v>
      </c>
      <c r="AF20" s="138">
        <f t="shared" si="6"/>
        <v>-97.89358533761434</v>
      </c>
      <c r="AG20" s="138">
        <f t="shared" si="7"/>
        <v>-97.481710031934966</v>
      </c>
      <c r="AH20" s="138">
        <f t="shared" si="8"/>
        <v>-96.998089553742645</v>
      </c>
      <c r="AI20" s="138">
        <f t="shared" si="9"/>
        <v>-96.429957077697622</v>
      </c>
      <c r="AJ20" s="138">
        <f t="shared" si="10"/>
        <v>-95.760949638762867</v>
      </c>
      <c r="AK20" s="138">
        <f t="shared" si="11"/>
        <v>-94.969591390644567</v>
      </c>
      <c r="AL20" s="138">
        <f t="shared" si="12"/>
        <v>-94.026852554015207</v>
      </c>
      <c r="AM20" s="138">
        <f t="shared" si="13"/>
        <v>-92.892145382248387</v>
      </c>
      <c r="AN20" s="138">
        <f t="shared" si="14"/>
        <v>-91.506338602011198</v>
      </c>
      <c r="AO20" s="138">
        <f t="shared" si="15"/>
        <v>-89.778998530987408</v>
      </c>
      <c r="AP20" s="138">
        <f t="shared" si="16"/>
        <v>-87.564017928122936</v>
      </c>
      <c r="AQ20" s="138">
        <f t="shared" si="17"/>
        <v>-84.61170010840199</v>
      </c>
      <c r="AR20" s="138">
        <f t="shared" si="18"/>
        <v>-80.474716811209134</v>
      </c>
      <c r="AS20" s="138">
        <f t="shared" si="19"/>
        <v>-74.317323063134424</v>
      </c>
      <c r="AT20" s="138">
        <f t="shared" si="20"/>
        <v>-64.40446941522373</v>
      </c>
      <c r="AU20" s="138"/>
      <c r="AV20" s="138"/>
      <c r="AW20" s="138"/>
      <c r="AX20" s="138"/>
      <c r="AY20" s="138"/>
    </row>
    <row r="21" spans="1:51" x14ac:dyDescent="0.2">
      <c r="A21" t="str">
        <f t="shared" si="0"/>
        <v>Keynes-Kaldor</v>
      </c>
      <c r="B21" s="80">
        <f t="shared" ref="B21:Y21" si="28">IF(B6&gt;0,100*B6,"")</f>
        <v>100</v>
      </c>
      <c r="C21" s="80">
        <f t="shared" si="28"/>
        <v>100.26726888818544</v>
      </c>
      <c r="D21" s="80">
        <f t="shared" si="28"/>
        <v>100.44367459298218</v>
      </c>
      <c r="E21" s="80">
        <f t="shared" si="28"/>
        <v>100.51967385567598</v>
      </c>
      <c r="F21" s="80">
        <f t="shared" si="28"/>
        <v>100.48351141510672</v>
      </c>
      <c r="G21" s="80">
        <f t="shared" si="28"/>
        <v>100.32067383371735</v>
      </c>
      <c r="H21" s="80">
        <f t="shared" si="28"/>
        <v>100.01310002502083</v>
      </c>
      <c r="I21" s="80">
        <f t="shared" si="28"/>
        <v>99.538106347390496</v>
      </c>
      <c r="J21" s="80">
        <f t="shared" si="28"/>
        <v>98.866825311936651</v>
      </c>
      <c r="K21" s="80">
        <f t="shared" si="28"/>
        <v>97.961904720878636</v>
      </c>
      <c r="L21" s="80">
        <f t="shared" si="28"/>
        <v>96.773990477718812</v>
      </c>
      <c r="M21" s="80">
        <f t="shared" si="28"/>
        <v>95.236122587028916</v>
      </c>
      <c r="N21" s="80">
        <f t="shared" si="28"/>
        <v>93.25448999672507</v>
      </c>
      <c r="O21" s="80">
        <f t="shared" si="28"/>
        <v>90.692367470879987</v>
      </c>
      <c r="P21" s="80">
        <f t="shared" si="28"/>
        <v>87.341283962892462</v>
      </c>
      <c r="Q21" s="80">
        <f t="shared" si="28"/>
        <v>82.868008800656114</v>
      </c>
      <c r="R21" s="80">
        <f t="shared" si="28"/>
        <v>76.719307767810861</v>
      </c>
      <c r="S21" s="80">
        <f t="shared" si="28"/>
        <v>67.965318040275108</v>
      </c>
      <c r="T21" s="80">
        <f t="shared" si="28"/>
        <v>55.042310554219796</v>
      </c>
      <c r="U21" s="80" t="str">
        <f t="shared" si="28"/>
        <v/>
      </c>
      <c r="V21" s="80" t="str">
        <f t="shared" si="28"/>
        <v/>
      </c>
      <c r="W21" s="80" t="str">
        <f t="shared" si="28"/>
        <v/>
      </c>
      <c r="X21" s="80" t="str">
        <f t="shared" si="28"/>
        <v/>
      </c>
      <c r="Y21" s="80" t="str">
        <f t="shared" si="28"/>
        <v/>
      </c>
      <c r="Z21" s="138"/>
      <c r="AA21" t="s">
        <v>95</v>
      </c>
      <c r="AB21" s="138">
        <f t="shared" si="2"/>
        <v>-99</v>
      </c>
      <c r="AC21" s="138">
        <f t="shared" si="3"/>
        <v>-99.267268888185441</v>
      </c>
      <c r="AD21" s="138">
        <f t="shared" si="4"/>
        <v>-99.443674592982177</v>
      </c>
      <c r="AE21" s="138">
        <f t="shared" si="5"/>
        <v>-99.519673855675975</v>
      </c>
      <c r="AF21" s="138">
        <f t="shared" si="6"/>
        <v>-99.483511415106719</v>
      </c>
      <c r="AG21" s="138">
        <f t="shared" si="7"/>
        <v>-99.32067383371735</v>
      </c>
      <c r="AH21" s="138">
        <f t="shared" si="8"/>
        <v>-99.013100025020833</v>
      </c>
      <c r="AI21" s="138">
        <f t="shared" si="9"/>
        <v>-98.538106347390496</v>
      </c>
      <c r="AJ21" s="138">
        <f t="shared" si="10"/>
        <v>-97.866825311936651</v>
      </c>
      <c r="AK21" s="138">
        <f t="shared" si="11"/>
        <v>-96.961904720878636</v>
      </c>
      <c r="AL21" s="138">
        <f t="shared" si="12"/>
        <v>-95.773990477718812</v>
      </c>
      <c r="AM21" s="138">
        <f t="shared" si="13"/>
        <v>-94.236122587028916</v>
      </c>
      <c r="AN21" s="138">
        <f t="shared" si="14"/>
        <v>-92.25448999672507</v>
      </c>
      <c r="AO21" s="138">
        <f t="shared" si="15"/>
        <v>-89.692367470879987</v>
      </c>
      <c r="AP21" s="138">
        <f t="shared" si="16"/>
        <v>-86.341283962892462</v>
      </c>
      <c r="AQ21" s="138"/>
      <c r="AR21" s="138"/>
      <c r="AS21" s="138"/>
      <c r="AT21" s="138"/>
      <c r="AU21" s="138"/>
      <c r="AV21" s="138"/>
      <c r="AW21" s="138"/>
      <c r="AX21" s="138"/>
      <c r="AY21" s="138"/>
    </row>
    <row r="22" spans="1:51" x14ac:dyDescent="0.2">
      <c r="A22" t="str">
        <f t="shared" si="0"/>
        <v>Keynes-Marshall</v>
      </c>
      <c r="B22" s="80">
        <f t="shared" ref="B22:Y22" si="29">IF(B7&gt;0,100*B7,"")</f>
        <v>100</v>
      </c>
      <c r="C22" s="80">
        <f t="shared" si="29"/>
        <v>108.57076806079833</v>
      </c>
      <c r="D22" s="80">
        <f t="shared" si="29"/>
        <v>116.93860787829622</v>
      </c>
      <c r="E22" s="80">
        <f t="shared" si="29"/>
        <v>125.3820185264279</v>
      </c>
      <c r="F22" s="80">
        <f t="shared" si="29"/>
        <v>134.20397873961952</v>
      </c>
      <c r="G22" s="80">
        <f t="shared" si="29"/>
        <v>143.86003932723429</v>
      </c>
      <c r="H22" s="80">
        <f t="shared" si="29"/>
        <v>155.2169620828158</v>
      </c>
      <c r="I22" s="80">
        <f t="shared" si="29"/>
        <v>170.37990564225009</v>
      </c>
      <c r="J22" s="80">
        <f t="shared" si="29"/>
        <v>196.99531939386276</v>
      </c>
      <c r="K22" s="80" t="str">
        <f t="shared" si="29"/>
        <v/>
      </c>
      <c r="L22" s="80" t="str">
        <f t="shared" si="29"/>
        <v/>
      </c>
      <c r="M22" s="80" t="str">
        <f t="shared" si="29"/>
        <v/>
      </c>
      <c r="N22" s="80" t="str">
        <f t="shared" si="29"/>
        <v/>
      </c>
      <c r="O22" s="80" t="str">
        <f t="shared" si="29"/>
        <v/>
      </c>
      <c r="P22" s="80" t="str">
        <f t="shared" si="29"/>
        <v/>
      </c>
      <c r="Q22" s="80" t="str">
        <f t="shared" si="29"/>
        <v/>
      </c>
      <c r="R22" s="80" t="str">
        <f t="shared" si="29"/>
        <v/>
      </c>
      <c r="S22" s="80" t="str">
        <f t="shared" si="29"/>
        <v/>
      </c>
      <c r="T22" s="80" t="str">
        <f t="shared" si="29"/>
        <v/>
      </c>
      <c r="U22" s="80" t="str">
        <f t="shared" si="29"/>
        <v/>
      </c>
      <c r="V22" s="80" t="str">
        <f t="shared" si="29"/>
        <v/>
      </c>
      <c r="W22" s="80" t="str">
        <f t="shared" si="29"/>
        <v/>
      </c>
      <c r="X22" s="80" t="str">
        <f t="shared" si="29"/>
        <v/>
      </c>
      <c r="Y22" s="80" t="str">
        <f t="shared" si="29"/>
        <v/>
      </c>
      <c r="Z22" s="138"/>
      <c r="AA22" t="s">
        <v>92</v>
      </c>
      <c r="AB22" s="138">
        <f t="shared" si="2"/>
        <v>-99</v>
      </c>
      <c r="AC22" s="138">
        <f t="shared" si="3"/>
        <v>-107.57076806079833</v>
      </c>
      <c r="AD22" s="138">
        <f t="shared" si="4"/>
        <v>-115.93860787829622</v>
      </c>
      <c r="AE22" s="138">
        <f t="shared" si="5"/>
        <v>-124.3820185264279</v>
      </c>
      <c r="AF22" s="138">
        <f t="shared" si="6"/>
        <v>-133.20397873961952</v>
      </c>
      <c r="AG22" s="138">
        <f t="shared" si="7"/>
        <v>-142.86003932723429</v>
      </c>
      <c r="AH22" s="138">
        <f t="shared" si="8"/>
        <v>-154.2169620828158</v>
      </c>
      <c r="AI22" s="138">
        <f t="shared" si="9"/>
        <v>-169.37990564225009</v>
      </c>
      <c r="AJ22" s="138">
        <f t="shared" si="10"/>
        <v>-195.99531939386276</v>
      </c>
      <c r="AK22" s="138" t="e">
        <f t="shared" si="11"/>
        <v>#VALUE!</v>
      </c>
      <c r="AL22" s="138" t="e">
        <f t="shared" si="12"/>
        <v>#VALUE!</v>
      </c>
      <c r="AM22" s="138" t="e">
        <f t="shared" si="13"/>
        <v>#VALUE!</v>
      </c>
      <c r="AN22" s="138" t="e">
        <f t="shared" si="14"/>
        <v>#VALUE!</v>
      </c>
      <c r="AO22" s="138" t="e">
        <f t="shared" si="15"/>
        <v>#VALUE!</v>
      </c>
      <c r="AP22" s="138" t="e">
        <f t="shared" si="16"/>
        <v>#VALUE!</v>
      </c>
      <c r="AQ22" s="138" t="e">
        <f t="shared" si="17"/>
        <v>#VALUE!</v>
      </c>
      <c r="AR22" s="138" t="e">
        <f t="shared" si="18"/>
        <v>#VALUE!</v>
      </c>
      <c r="AS22" s="138" t="e">
        <f t="shared" si="19"/>
        <v>#VALUE!</v>
      </c>
      <c r="AT22" s="138" t="e">
        <f t="shared" si="20"/>
        <v>#VALUE!</v>
      </c>
      <c r="AU22" s="138"/>
      <c r="AV22" s="138"/>
      <c r="AW22" s="138"/>
      <c r="AX22" s="138"/>
      <c r="AY22" s="138"/>
    </row>
    <row r="23" spans="1:51" x14ac:dyDescent="0.2">
      <c r="A23" t="str">
        <f t="shared" si="0"/>
        <v>Keynesian</v>
      </c>
      <c r="B23" s="80">
        <f t="shared" ref="B23:Y23" si="30">IF(B8&gt;0,100*B8,"")</f>
        <v>100</v>
      </c>
      <c r="C23" s="80">
        <f>IF(C8&gt;0,100*C8,"")</f>
        <v>97.804571325299591</v>
      </c>
      <c r="D23" s="80">
        <f t="shared" si="30"/>
        <v>95.478545441819776</v>
      </c>
      <c r="E23" s="80">
        <f t="shared" si="30"/>
        <v>93.010651634955153</v>
      </c>
      <c r="F23" s="80">
        <f t="shared" si="30"/>
        <v>90.388166300851623</v>
      </c>
      <c r="G23" s="80">
        <f t="shared" si="30"/>
        <v>87.596655409340684</v>
      </c>
      <c r="H23" s="80">
        <f t="shared" si="30"/>
        <v>84.619692916094664</v>
      </c>
      <c r="I23" s="80">
        <f t="shared" si="30"/>
        <v>81.438515047467291</v>
      </c>
      <c r="J23" s="80">
        <f t="shared" si="30"/>
        <v>78.031623615223708</v>
      </c>
      <c r="K23" s="80">
        <f t="shared" si="30"/>
        <v>74.374309978950649</v>
      </c>
      <c r="L23" s="80">
        <f t="shared" si="30"/>
        <v>70.438200458992625</v>
      </c>
      <c r="M23" s="80">
        <f t="shared" si="30"/>
        <v>66.190837457886332</v>
      </c>
      <c r="N23" s="80">
        <f t="shared" si="30"/>
        <v>61.59568999682066</v>
      </c>
      <c r="O23" s="80">
        <f t="shared" si="30"/>
        <v>56.613551422586696</v>
      </c>
      <c r="P23" s="80">
        <f t="shared" si="30"/>
        <v>51.208871183369943</v>
      </c>
      <c r="Q23" s="80">
        <f t="shared" si="30"/>
        <v>45.376689951647784</v>
      </c>
      <c r="R23" s="80">
        <f t="shared" si="30"/>
        <v>39.287974893122261</v>
      </c>
      <c r="S23" s="80" t="str">
        <f t="shared" si="30"/>
        <v/>
      </c>
      <c r="T23" s="80" t="str">
        <f t="shared" si="30"/>
        <v/>
      </c>
      <c r="U23" s="80" t="str">
        <f t="shared" si="30"/>
        <v/>
      </c>
      <c r="V23" s="80" t="str">
        <f t="shared" si="30"/>
        <v/>
      </c>
      <c r="W23" s="80" t="str">
        <f t="shared" si="30"/>
        <v/>
      </c>
      <c r="X23" s="80" t="str">
        <f t="shared" si="30"/>
        <v/>
      </c>
      <c r="Y23" s="80" t="str">
        <f t="shared" si="30"/>
        <v/>
      </c>
      <c r="Z23" s="138"/>
      <c r="AA23" t="s">
        <v>94</v>
      </c>
      <c r="AB23" s="138">
        <f t="shared" si="2"/>
        <v>-99</v>
      </c>
      <c r="AC23" s="138">
        <f t="shared" si="3"/>
        <v>-96.804571325299591</v>
      </c>
      <c r="AD23" s="138">
        <f t="shared" si="4"/>
        <v>-94.478545441819776</v>
      </c>
      <c r="AE23" s="138">
        <f t="shared" si="5"/>
        <v>-92.010651634955153</v>
      </c>
      <c r="AF23" s="138">
        <f t="shared" si="6"/>
        <v>-89.388166300851623</v>
      </c>
      <c r="AG23" s="138">
        <f t="shared" si="7"/>
        <v>-86.596655409340684</v>
      </c>
      <c r="AH23" s="138">
        <f t="shared" si="8"/>
        <v>-83.619692916094664</v>
      </c>
      <c r="AI23" s="138">
        <f t="shared" si="9"/>
        <v>-80.438515047467291</v>
      </c>
      <c r="AJ23" s="138">
        <f t="shared" si="10"/>
        <v>-77.031623615223708</v>
      </c>
      <c r="AK23" s="138">
        <f t="shared" si="11"/>
        <v>-73.374309978950649</v>
      </c>
      <c r="AL23" s="138">
        <f t="shared" si="12"/>
        <v>-69.438200458992625</v>
      </c>
      <c r="AM23" s="138">
        <f t="shared" si="13"/>
        <v>-65.190837457886332</v>
      </c>
      <c r="AN23" s="138">
        <f t="shared" si="14"/>
        <v>-60.59568999682066</v>
      </c>
      <c r="AO23" s="138">
        <f t="shared" si="15"/>
        <v>-55.613551422586696</v>
      </c>
      <c r="AP23" s="138">
        <f t="shared" si="16"/>
        <v>-50.208871183369943</v>
      </c>
      <c r="AQ23" s="138">
        <f t="shared" si="17"/>
        <v>-44.376689951647784</v>
      </c>
      <c r="AR23" s="138">
        <f t="shared" si="18"/>
        <v>-38.287974893122261</v>
      </c>
      <c r="AS23" s="138" t="e">
        <f t="shared" si="19"/>
        <v>#VALUE!</v>
      </c>
      <c r="AT23" s="138" t="e">
        <f t="shared" si="20"/>
        <v>#VALUE!</v>
      </c>
      <c r="AU23" s="138" t="e">
        <f t="shared" si="21"/>
        <v>#VALUE!</v>
      </c>
      <c r="AV23" s="138" t="e">
        <f t="shared" si="22"/>
        <v>#VALUE!</v>
      </c>
      <c r="AW23" s="138" t="e">
        <f t="shared" si="23"/>
        <v>#VALUE!</v>
      </c>
      <c r="AX23" s="138" t="e">
        <f t="shared" si="24"/>
        <v>#VALUE!</v>
      </c>
      <c r="AY23" s="138" t="e">
        <f t="shared" si="25"/>
        <v>#VALUE!</v>
      </c>
    </row>
    <row r="24" spans="1:51" x14ac:dyDescent="0.2">
      <c r="A24" t="str">
        <f t="shared" si="0"/>
        <v>Neo-K2</v>
      </c>
      <c r="B24" s="80">
        <f t="shared" ref="B24:Y24" si="31">IF(B9&gt;0,100*B9,"")</f>
        <v>100</v>
      </c>
      <c r="C24" s="80">
        <f t="shared" si="31"/>
        <v>98.445458147058545</v>
      </c>
      <c r="D24" s="80">
        <f t="shared" si="31"/>
        <v>96.744361971376975</v>
      </c>
      <c r="E24" s="80">
        <f t="shared" si="31"/>
        <v>94.874358893099483</v>
      </c>
      <c r="F24" s="80">
        <f t="shared" si="31"/>
        <v>92.809169472654588</v>
      </c>
      <c r="G24" s="80">
        <f t="shared" si="31"/>
        <v>90.517987083574411</v>
      </c>
      <c r="H24" s="80">
        <f t="shared" si="31"/>
        <v>87.965207943984979</v>
      </c>
      <c r="I24" s="80">
        <f t="shared" si="31"/>
        <v>85.1105303955637</v>
      </c>
      <c r="J24" s="80">
        <f t="shared" si="31"/>
        <v>81.909939241785025</v>
      </c>
      <c r="K24" s="80">
        <f t="shared" si="31"/>
        <v>78.318293078408416</v>
      </c>
      <c r="L24" s="80">
        <f t="shared" si="31"/>
        <v>74.29459553703208</v>
      </c>
      <c r="M24" s="80">
        <f t="shared" si="31"/>
        <v>69.811185432067504</v>
      </c>
      <c r="N24" s="80">
        <f t="shared" si="31"/>
        <v>64.867085005087517</v>
      </c>
      <c r="O24" s="80">
        <f t="shared" si="31"/>
        <v>59.503525520361535</v>
      </c>
      <c r="P24" s="80">
        <f t="shared" si="31"/>
        <v>53.811976613826474</v>
      </c>
      <c r="Q24" s="80">
        <f t="shared" si="31"/>
        <v>47.914836695629887</v>
      </c>
      <c r="R24" s="80">
        <f t="shared" si="31"/>
        <v>41.895215985973408</v>
      </c>
      <c r="S24" s="80">
        <f t="shared" si="31"/>
        <v>35.666825971668558</v>
      </c>
      <c r="T24" s="80">
        <f t="shared" si="31"/>
        <v>28.783265468437079</v>
      </c>
      <c r="U24" s="80">
        <f t="shared" si="31"/>
        <v>19.982944513960625</v>
      </c>
      <c r="V24" s="80">
        <f t="shared" si="31"/>
        <v>17.701255133431147</v>
      </c>
      <c r="W24" s="80">
        <f t="shared" si="31"/>
        <v>15.082294263744069</v>
      </c>
      <c r="X24" s="80">
        <f t="shared" si="31"/>
        <v>11.946200850484038</v>
      </c>
      <c r="Y24" s="80">
        <f t="shared" si="31"/>
        <v>7.8679685803707153</v>
      </c>
      <c r="AA24" t="s">
        <v>102</v>
      </c>
      <c r="AB24">
        <v>0</v>
      </c>
      <c r="AC24">
        <v>1.6299677882760211E-2</v>
      </c>
      <c r="AD24">
        <v>3.7869151019755298E-2</v>
      </c>
      <c r="AE24">
        <v>6.0966084571312473E-2</v>
      </c>
      <c r="AF24">
        <v>8.499815731946625E-2</v>
      </c>
      <c r="AG24">
        <v>0.10976953759369823</v>
      </c>
      <c r="AH24">
        <v>0.13521909503535134</v>
      </c>
      <c r="AI24">
        <v>0.16135547761226787</v>
      </c>
      <c r="AJ24">
        <v>0.18823868110250042</v>
      </c>
      <c r="AK24">
        <v>0.21597965134053443</v>
      </c>
      <c r="AL24">
        <v>0.24475175720346387</v>
      </c>
      <c r="AM24">
        <v>0.27481537666990441</v>
      </c>
      <c r="AN24">
        <v>0.30656214429555484</v>
      </c>
      <c r="AO24">
        <v>0.34059249330608121</v>
      </c>
      <c r="AP24">
        <v>0.37785092506929718</v>
      </c>
      <c r="AQ24">
        <v>0.41985390206290241</v>
      </c>
      <c r="AR24">
        <v>0.46901959072982924</v>
      </c>
      <c r="AS24">
        <v>0.52893013133661948</v>
      </c>
      <c r="AT24">
        <v>0.60417530096699301</v>
      </c>
      <c r="AU24">
        <v>0.70136796375530863</v>
      </c>
      <c r="AV24">
        <v>0.72460834466770874</v>
      </c>
      <c r="AW24">
        <v>0.74962344681711368</v>
      </c>
      <c r="AX24">
        <v>0.77679170274978271</v>
      </c>
      <c r="AY24">
        <v>0.80664155575269203</v>
      </c>
    </row>
    <row r="25" spans="1:51" x14ac:dyDescent="0.2">
      <c r="A25" t="str">
        <f t="shared" si="0"/>
        <v>Neo-K1</v>
      </c>
      <c r="B25" s="80">
        <f t="shared" ref="B25:Y25" si="32">IF(B10&gt;0,100*B10,"")</f>
        <v>100</v>
      </c>
      <c r="C25" s="80">
        <f t="shared" si="32"/>
        <v>98.755014238399482</v>
      </c>
      <c r="D25" s="80">
        <f t="shared" si="32"/>
        <v>97.402792407145242</v>
      </c>
      <c r="E25" s="80">
        <f t="shared" si="32"/>
        <v>95.927484684485663</v>
      </c>
      <c r="F25" s="80">
        <f t="shared" si="32"/>
        <v>94.309994748299204</v>
      </c>
      <c r="G25" s="80">
        <f t="shared" si="32"/>
        <v>92.527091613971862</v>
      </c>
      <c r="H25" s="80">
        <f t="shared" si="32"/>
        <v>90.550348050905754</v>
      </c>
      <c r="I25" s="80">
        <f t="shared" si="32"/>
        <v>88.344696199351986</v>
      </c>
      <c r="J25" s="80">
        <f t="shared" si="32"/>
        <v>85.866562387470253</v>
      </c>
      <c r="K25" s="80">
        <f t="shared" si="32"/>
        <v>83.06154625383283</v>
      </c>
      <c r="L25" s="80">
        <f t="shared" si="32"/>
        <v>79.861453011935851</v>
      </c>
      <c r="M25" s="80">
        <f t="shared" si="32"/>
        <v>76.181008900230651</v>
      </c>
      <c r="N25" s="80">
        <f t="shared" si="32"/>
        <v>71.914419658787153</v>
      </c>
      <c r="O25" s="80">
        <f t="shared" si="32"/>
        <v>66.932958133524551</v>
      </c>
      <c r="P25" s="80">
        <f t="shared" si="32"/>
        <v>61.085604387615668</v>
      </c>
      <c r="Q25" s="80">
        <f t="shared" si="32"/>
        <v>54.205907298262268</v>
      </c>
      <c r="R25" s="80">
        <f t="shared" si="32"/>
        <v>46.128268259274002</v>
      </c>
      <c r="S25" s="80">
        <f t="shared" si="32"/>
        <v>36.713963053806722</v>
      </c>
      <c r="T25" s="80">
        <f t="shared" si="32"/>
        <v>25.880299149066911</v>
      </c>
      <c r="U25" s="80">
        <f t="shared" si="32"/>
        <v>13.619980152950534</v>
      </c>
      <c r="V25" s="80">
        <f t="shared" si="32"/>
        <v>11.00148911785061</v>
      </c>
      <c r="W25" s="80">
        <f t="shared" si="32"/>
        <v>8.3292825746948402</v>
      </c>
      <c r="X25" s="80">
        <f t="shared" si="32"/>
        <v>5.6042938978986809</v>
      </c>
      <c r="Y25" s="80">
        <f t="shared" si="32"/>
        <v>2.8275134168512408</v>
      </c>
    </row>
    <row r="26" spans="1:51" x14ac:dyDescent="0.2">
      <c r="A26" t="str">
        <f t="shared" si="0"/>
        <v>Neoclassical - hetero s</v>
      </c>
      <c r="B26" s="80">
        <f t="shared" ref="B26:Y26" si="33">IF(B11&gt;0,100*B11,"")</f>
        <v>99.999999999999957</v>
      </c>
      <c r="C26" s="80">
        <f t="shared" si="33"/>
        <v>99.444591610775461</v>
      </c>
      <c r="D26" s="80">
        <f t="shared" si="33"/>
        <v>98.832398885785551</v>
      </c>
      <c r="E26" s="80">
        <f t="shared" si="33"/>
        <v>98.155485786276003</v>
      </c>
      <c r="F26" s="80">
        <f t="shared" si="33"/>
        <v>97.404297476950717</v>
      </c>
      <c r="G26" s="80">
        <f t="shared" si="33"/>
        <v>96.56720422078395</v>
      </c>
      <c r="H26" s="80">
        <f t="shared" si="33"/>
        <v>95.629799805413811</v>
      </c>
      <c r="I26" s="80">
        <f t="shared" si="33"/>
        <v>94.573972610617076</v>
      </c>
      <c r="J26" s="80">
        <f t="shared" si="33"/>
        <v>93.376390646056393</v>
      </c>
      <c r="K26" s="80">
        <f t="shared" si="33"/>
        <v>92.006316660733319</v>
      </c>
      <c r="L26" s="80">
        <f t="shared" si="33"/>
        <v>90.421972939464908</v>
      </c>
      <c r="M26" s="80">
        <f t="shared" si="33"/>
        <v>88.564636602078423</v>
      </c>
      <c r="N26" s="80">
        <f t="shared" si="33"/>
        <v>86.348466526882433</v>
      </c>
      <c r="O26" s="80">
        <f t="shared" si="33"/>
        <v>83.64251910760342</v>
      </c>
      <c r="P26" s="80">
        <f t="shared" si="33"/>
        <v>80.238481689363084</v>
      </c>
      <c r="Q26" s="80">
        <f t="shared" si="33"/>
        <v>75.794214216834831</v>
      </c>
      <c r="R26" s="80">
        <f t="shared" si="33"/>
        <v>69.744648234885304</v>
      </c>
      <c r="S26" s="80">
        <f t="shared" si="33"/>
        <v>61.173763947405334</v>
      </c>
      <c r="T26" s="80">
        <f t="shared" si="33"/>
        <v>48.516789846608084</v>
      </c>
      <c r="U26" s="80">
        <f t="shared" si="33"/>
        <v>28.500358745058367</v>
      </c>
      <c r="V26" s="80">
        <f t="shared" si="33"/>
        <v>23.086212220297583</v>
      </c>
      <c r="W26" s="80">
        <f t="shared" si="33"/>
        <v>17.080624919208308</v>
      </c>
      <c r="X26" s="80">
        <f t="shared" si="33"/>
        <v>10.553097572575746</v>
      </c>
      <c r="Y26" s="80">
        <f t="shared" si="33"/>
        <v>4.0042490619631232</v>
      </c>
      <c r="AA26" t="s">
        <v>105</v>
      </c>
      <c r="AB26">
        <v>0</v>
      </c>
      <c r="AC26">
        <v>2.4455413117095204E-2</v>
      </c>
      <c r="AD26">
        <v>4.9582452063072879E-2</v>
      </c>
      <c r="AE26">
        <v>7.5422482830450832E-2</v>
      </c>
      <c r="AF26">
        <v>0.10203604829027713</v>
      </c>
      <c r="AG26">
        <v>0.12950646138692268</v>
      </c>
      <c r="AH26">
        <v>0.15794577642046292</v>
      </c>
      <c r="AI26">
        <v>0.18750396612833087</v>
      </c>
      <c r="AJ26">
        <v>0.2183827517703063</v>
      </c>
      <c r="AK26">
        <v>0.25085644053670408</v>
      </c>
      <c r="AL26">
        <v>0.28530344275689024</v>
      </c>
      <c r="AM26">
        <v>0.32225376978528442</v>
      </c>
      <c r="AN26">
        <v>0.36245851783105143</v>
      </c>
      <c r="AO26">
        <v>0.4069814404263582</v>
      </c>
      <c r="AP26">
        <v>0.45728031153994497</v>
      </c>
      <c r="AQ26">
        <v>0.51513886122861874</v>
      </c>
      <c r="AR26">
        <v>0.58212085367954358</v>
      </c>
      <c r="AS26">
        <v>0.65839323187120646</v>
      </c>
      <c r="AT26">
        <v>0.74204710643489147</v>
      </c>
      <c r="AU26">
        <v>0.83020084307854525</v>
      </c>
      <c r="AV26">
        <v>0.84813253492592611</v>
      </c>
      <c r="AW26">
        <v>0.86611673995979377</v>
      </c>
      <c r="AX26">
        <v>0.88413247851147436</v>
      </c>
      <c r="AY26">
        <v>0.90215898234149516</v>
      </c>
    </row>
    <row r="27" spans="1:51" x14ac:dyDescent="0.2">
      <c r="AA27" t="s">
        <v>103</v>
      </c>
      <c r="AB27">
        <v>0</v>
      </c>
      <c r="AC27">
        <v>2.284641025922507E-2</v>
      </c>
      <c r="AD27">
        <v>4.6096151342895464E-2</v>
      </c>
      <c r="AE27">
        <v>6.9797580187829333E-2</v>
      </c>
      <c r="AF27">
        <v>9.4009847511114075E-2</v>
      </c>
      <c r="AG27">
        <v>0.1188063140133786</v>
      </c>
      <c r="AH27">
        <v>0.14427936201795311</v>
      </c>
      <c r="AI27">
        <v>0.17054730446263533</v>
      </c>
      <c r="AJ27">
        <v>0.19776451064706457</v>
      </c>
      <c r="AK27">
        <v>0.22613656357673728</v>
      </c>
      <c r="AL27">
        <v>0.25594342100818523</v>
      </c>
      <c r="AM27">
        <v>0.28757542168400196</v>
      </c>
      <c r="AN27">
        <v>0.3215896859431584</v>
      </c>
      <c r="AO27">
        <v>0.35879694978192112</v>
      </c>
      <c r="AP27">
        <v>0.40038451916212203</v>
      </c>
      <c r="AQ27">
        <v>0.44804396125478219</v>
      </c>
      <c r="AR27">
        <v>0.50394208723291989</v>
      </c>
      <c r="AS27">
        <v>0.57019341710137716</v>
      </c>
      <c r="AT27">
        <v>0.64791310762469279</v>
      </c>
      <c r="AU27">
        <v>0.73607758799831213</v>
      </c>
      <c r="AV27">
        <v>0.75329954326250947</v>
      </c>
    </row>
    <row r="28" spans="1:51" x14ac:dyDescent="0.2">
      <c r="AA28" t="s">
        <v>104</v>
      </c>
      <c r="AB28">
        <v>0</v>
      </c>
      <c r="AC28">
        <v>2.4152364158611328E-2</v>
      </c>
      <c r="AD28">
        <v>4.85126474241655E-2</v>
      </c>
      <c r="AE28">
        <v>7.3209407628021639E-2</v>
      </c>
      <c r="AF28">
        <v>9.8337130088727132E-2</v>
      </c>
      <c r="AG28">
        <v>0.12398941248779904</v>
      </c>
      <c r="AH28">
        <v>0.15027240513403839</v>
      </c>
      <c r="AI28">
        <v>0.17731516126235403</v>
      </c>
      <c r="AJ28">
        <v>0.20528143081161898</v>
      </c>
      <c r="AK28">
        <v>0.23438569374526197</v>
      </c>
      <c r="AL28">
        <v>0.26491661965899282</v>
      </c>
      <c r="AM28">
        <v>0.29727248068229861</v>
      </c>
      <c r="AN28">
        <v>0.33201482393820869</v>
      </c>
      <c r="AO28">
        <v>0.36994686756145156</v>
      </c>
      <c r="AP28">
        <v>0.41221276760680436</v>
      </c>
      <c r="AQ28">
        <v>0.46036414188478314</v>
      </c>
      <c r="AR28">
        <v>0.51619778637445179</v>
      </c>
      <c r="AS28">
        <v>0.58100448767305801</v>
      </c>
      <c r="AT28">
        <v>0.65382205431764795</v>
      </c>
    </row>
    <row r="32" spans="1:51" x14ac:dyDescent="0.2">
      <c r="A32" t="s">
        <v>99</v>
      </c>
    </row>
    <row r="33" spans="1:26" x14ac:dyDescent="0.2">
      <c r="A33" t="s">
        <v>147</v>
      </c>
      <c r="B33" s="94">
        <v>0</v>
      </c>
      <c r="C33" s="94">
        <v>0.05</v>
      </c>
      <c r="D33" s="94">
        <v>0.1</v>
      </c>
      <c r="E33" s="94">
        <v>0.15000000000000002</v>
      </c>
      <c r="F33" s="94">
        <v>0.2</v>
      </c>
      <c r="G33" s="94">
        <v>0.25</v>
      </c>
      <c r="H33" s="94">
        <v>0.3</v>
      </c>
      <c r="I33" s="94">
        <v>0.35</v>
      </c>
      <c r="J33" s="94">
        <v>0.39999999999999997</v>
      </c>
      <c r="K33" s="94">
        <v>0.44999999999999996</v>
      </c>
      <c r="L33" s="94">
        <v>0.49999999999999994</v>
      </c>
      <c r="M33" s="94">
        <v>0.54999999999999993</v>
      </c>
      <c r="N33" s="94">
        <v>0.6</v>
      </c>
      <c r="O33" s="94">
        <v>0.65</v>
      </c>
      <c r="P33" s="94">
        <v>0.70000000000000007</v>
      </c>
      <c r="Q33" s="94">
        <v>0.75000000000000011</v>
      </c>
      <c r="R33" s="94">
        <v>0.80000000000000016</v>
      </c>
      <c r="S33" s="94">
        <v>0.8500000000000002</v>
      </c>
      <c r="T33" s="94">
        <v>0.90000000000000024</v>
      </c>
      <c r="U33" s="94">
        <v>0.95000000000000029</v>
      </c>
      <c r="V33" s="94">
        <v>0.9600000000000003</v>
      </c>
      <c r="W33" s="94">
        <v>0.97000000000000031</v>
      </c>
      <c r="X33" s="94">
        <v>0.98000000000000032</v>
      </c>
      <c r="Y33" s="94">
        <v>0.99000000000000032</v>
      </c>
      <c r="Z33" s="139"/>
    </row>
    <row r="34" spans="1:26" x14ac:dyDescent="0.2">
      <c r="A34" t="str">
        <f>A3</f>
        <v>Neoclassical</v>
      </c>
      <c r="B34" s="80">
        <f>NeoClassical!B2</f>
        <v>5.7716594496607888E-3</v>
      </c>
      <c r="C34" s="80">
        <f>NeoClassical!D2</f>
        <v>5.2791387594175745E-2</v>
      </c>
      <c r="D34" s="80">
        <f>NeoClassical!F2</f>
        <v>0.10439861272070942</v>
      </c>
      <c r="E34" s="80">
        <f>NeoClassical!H2</f>
        <v>0.16134112562507397</v>
      </c>
      <c r="F34" s="80">
        <f>NeoClassical!J2</f>
        <v>0.22455605081668825</v>
      </c>
      <c r="G34" s="80">
        <f>NeoClassical!L2</f>
        <v>0.29523663497827934</v>
      </c>
      <c r="H34" s="80">
        <f>NeoClassical!N2</f>
        <v>0.37494710506964452</v>
      </c>
      <c r="I34" s="80">
        <f>NeoClassical!P2</f>
        <v>0.46577672086627314</v>
      </c>
      <c r="J34" s="80">
        <f>NeoClassical!R2</f>
        <v>0.57061082432700183</v>
      </c>
      <c r="K34" s="80">
        <f>NeoClassical!T2</f>
        <v>0.69357570735775587</v>
      </c>
      <c r="L34" s="80">
        <f>NeoClassical!V2</f>
        <v>0.84082133279318527</v>
      </c>
      <c r="M34" s="80">
        <f>NeoClassical!X2</f>
        <v>1.02197558859941</v>
      </c>
      <c r="N34" s="80">
        <f>NeoClassical!Z2</f>
        <v>1.2530104490746272</v>
      </c>
      <c r="O34" s="80">
        <f>NeoClassical!AB2</f>
        <v>1.5623173827593688</v>
      </c>
      <c r="P34" s="80">
        <f>NeoClassical!AD2</f>
        <v>2.0046123114964454</v>
      </c>
      <c r="Q34" s="80">
        <f>NeoClassical!AF2</f>
        <v>2.6954812969478197</v>
      </c>
      <c r="R34" s="80">
        <f>NeoClassical!AH2</f>
        <v>3.9038774801490379</v>
      </c>
      <c r="S34" s="80">
        <f>NeoClassical!AJ2</f>
        <v>6.3258821959527696</v>
      </c>
      <c r="T34" s="80">
        <f>NeoClassical!AL2</f>
        <v>12.14355226631435</v>
      </c>
      <c r="U34" s="80">
        <f>NeoClassical!AN2</f>
        <v>32.219336356126149</v>
      </c>
      <c r="V34" s="80">
        <f>NeoClassical!AP2</f>
        <v>42.382449364706758</v>
      </c>
      <c r="W34" s="80">
        <f>NeoClassical!AR2</f>
        <v>58.606228141104047</v>
      </c>
      <c r="X34" s="80">
        <f>NeoClassical!AT2</f>
        <v>87.3956383089741</v>
      </c>
      <c r="Y34" s="80">
        <f>NeoClassical!AV2</f>
        <v>148.23021468144265</v>
      </c>
      <c r="Z34" s="138"/>
    </row>
    <row r="35" spans="1:26" x14ac:dyDescent="0.2">
      <c r="A35" t="str">
        <f t="shared" ref="A35:A42" si="34">A4</f>
        <v>Kaldorian</v>
      </c>
      <c r="B35" s="80">
        <f>Kaldorian!B2</f>
        <v>5.7716594496607888E-3</v>
      </c>
      <c r="C35" s="80">
        <f>Kaldorian!D2</f>
        <v>5.6361623216212076E-2</v>
      </c>
      <c r="D35" s="80">
        <f>Kaldorian!F2</f>
        <v>0.11184709778564959</v>
      </c>
      <c r="E35" s="80">
        <f>Kaldorian!H2</f>
        <v>0.17301914413661823</v>
      </c>
      <c r="F35" s="80">
        <f>Kaldorian!J2</f>
        <v>0.24086861641285093</v>
      </c>
      <c r="G35" s="80">
        <f>Kaldorian!L2</f>
        <v>0.31665749039834112</v>
      </c>
      <c r="H35" s="80">
        <f>Kaldorian!N2</f>
        <v>0.40204145052806656</v>
      </c>
      <c r="I35" s="80">
        <f>Kaldorian!P2</f>
        <v>0.4992363277814969</v>
      </c>
      <c r="J35" s="80">
        <f>Kaldorian!R2</f>
        <v>0.61131204002333339</v>
      </c>
      <c r="K35" s="80">
        <f>Kaldorian!T2</f>
        <v>0.74267908699896279</v>
      </c>
      <c r="L35" s="80">
        <f>Kaldorian!V2</f>
        <v>0.8999522205182221</v>
      </c>
      <c r="M35" s="80">
        <f>Kaldorian!X2</f>
        <v>1.0935692509553194</v>
      </c>
      <c r="N35" s="80">
        <f>Kaldorian!Z2</f>
        <v>1.3410187935279883</v>
      </c>
      <c r="O35" s="80">
        <f>Kaldorian!AB2</f>
        <v>1.6737550226448146</v>
      </c>
      <c r="P35" s="80">
        <f>Kaldorian!AD2</f>
        <v>2.1532461350817567</v>
      </c>
      <c r="Q35" s="80">
        <f>Kaldorian!AF2</f>
        <v>2.9112961352161988</v>
      </c>
      <c r="R35" s="80">
        <f>Kaldorian!AH2</f>
        <v>4.2585929836854444</v>
      </c>
      <c r="S35" s="80">
        <f>Kaldorian!AJ2</f>
        <v>7.0048413792010269</v>
      </c>
      <c r="T35" s="80">
        <f>Kaldorian!AL2</f>
        <v>13.700012996633429</v>
      </c>
      <c r="U35" s="80">
        <f>Kaldorian!AN2</f>
        <v>0</v>
      </c>
      <c r="V35" s="80">
        <f>Kaldorian!AP2</f>
        <v>0</v>
      </c>
      <c r="W35" s="80">
        <f>Kaldorian!AR2</f>
        <v>0</v>
      </c>
      <c r="X35" s="80">
        <f>Kaldorian!AT2</f>
        <v>0</v>
      </c>
      <c r="Y35" s="80">
        <f>Kaldorian!AV2</f>
        <v>0</v>
      </c>
      <c r="Z35" s="138"/>
    </row>
    <row r="36" spans="1:26" x14ac:dyDescent="0.2">
      <c r="A36" t="str">
        <f t="shared" si="34"/>
        <v>Johansen</v>
      </c>
      <c r="B36" s="80">
        <f>Johansen!B2</f>
        <v>5.7716594496607888E-3</v>
      </c>
      <c r="C36" s="80">
        <f>Johansen!D2</f>
        <v>5.4510920948863201E-2</v>
      </c>
      <c r="D36" s="80">
        <f>Johansen!F2</f>
        <v>0.10802533370958685</v>
      </c>
      <c r="E36" s="80">
        <f>Johansen!H2</f>
        <v>0.16709707522333259</v>
      </c>
      <c r="F36" s="80">
        <f>Johansen!J2</f>
        <v>0.23271078666843656</v>
      </c>
      <c r="G36" s="80">
        <f>Johansen!L2</f>
        <v>0.30612116588012978</v>
      </c>
      <c r="H36" s="80">
        <f>Johansen!N2</f>
        <v>0.38898110492914278</v>
      </c>
      <c r="I36" s="80">
        <f>Johansen!P2</f>
        <v>0.48350901254309825</v>
      </c>
      <c r="J36" s="80">
        <f>Johansen!R2</f>
        <v>0.59278645545921249</v>
      </c>
      <c r="K36" s="80">
        <f>Johansen!T2</f>
        <v>0.72125160458918314</v>
      </c>
      <c r="L36" s="80">
        <f>Johansen!V2</f>
        <v>0.87557403773433762</v>
      </c>
      <c r="M36" s="80">
        <f>Johansen!X2</f>
        <v>1.0662961716282844</v>
      </c>
      <c r="N36" s="80">
        <f>Johansen!Z2</f>
        <v>1.3111057238172501</v>
      </c>
      <c r="O36" s="80">
        <f>Johansen!AB2</f>
        <v>1.6418431574139807</v>
      </c>
      <c r="P36" s="80">
        <f>Johansen!AD2</f>
        <v>2.1207328438007114</v>
      </c>
      <c r="Q36" s="80">
        <f>Johansen!AF2</f>
        <v>2.8809401716026652</v>
      </c>
      <c r="R36" s="80">
        <f>Johansen!AH2</f>
        <v>4.2347860141113962</v>
      </c>
      <c r="S36" s="80">
        <f>Johansen!AJ2</f>
        <v>6.9913014978346784</v>
      </c>
      <c r="T36" s="80">
        <f>Johansen!AL2</f>
        <v>13.695381863164723</v>
      </c>
      <c r="U36" s="80">
        <f>Johansen!AN2</f>
        <v>37.028382846129922</v>
      </c>
      <c r="V36" s="80">
        <f>Johansen!AP2</f>
        <v>48.776564047391993</v>
      </c>
      <c r="W36" s="80">
        <f>Johansen!AR2</f>
        <v>67.306407029167673</v>
      </c>
      <c r="X36" s="80">
        <f>Johansen!AT2</f>
        <v>99.3299726745866</v>
      </c>
      <c r="Y36" s="80">
        <f>Johansen!AV2</f>
        <v>162.98439901050136</v>
      </c>
      <c r="Z36" s="138"/>
    </row>
    <row r="37" spans="1:26" x14ac:dyDescent="0.2">
      <c r="A37" t="str">
        <f t="shared" si="34"/>
        <v>Keynes-Kaldor</v>
      </c>
      <c r="B37" s="80">
        <f>'Keynes-K'!B2</f>
        <v>5.7716594496607888E-3</v>
      </c>
      <c r="C37" s="80">
        <f>'Keynes-K'!D2</f>
        <v>6.0508473035784223E-2</v>
      </c>
      <c r="D37" s="80">
        <f>'Keynes-K'!F2</f>
        <v>0.12017786482402612</v>
      </c>
      <c r="E37" s="80">
        <f>'Keynes-K'!H2</f>
        <v>0.18554200747706678</v>
      </c>
      <c r="F37" s="80">
        <f>'Keynes-K'!J2</f>
        <v>0.25754982015348638</v>
      </c>
      <c r="G37" s="80">
        <f>'Keynes-K'!L2</f>
        <v>0.33740181499258465</v>
      </c>
      <c r="H37" s="80">
        <f>'Keynes-K'!N2</f>
        <v>0.42665437540521473</v>
      </c>
      <c r="I37" s="80">
        <f>'Keynes-K'!P2</f>
        <v>0.52737491139433357</v>
      </c>
      <c r="J37" s="80">
        <f>'Keynes-K'!R2</f>
        <v>0.64239044659470401</v>
      </c>
      <c r="K37" s="80">
        <f>'Keynes-K'!T2</f>
        <v>0.77569502398210821</v>
      </c>
      <c r="L37" s="80">
        <f>'Keynes-K'!V2</f>
        <v>0.93314650644560804</v>
      </c>
      <c r="M37" s="80">
        <f>'Keynes-K'!X2</f>
        <v>1.1237082645458822</v>
      </c>
      <c r="N37" s="80">
        <f>'Keynes-K'!Z2</f>
        <v>1.3617795104685035</v>
      </c>
      <c r="O37" s="80">
        <f>'Keynes-K'!AB2</f>
        <v>1.6717988700896715</v>
      </c>
      <c r="P37" s="80">
        <f>'Keynes-K'!AD2</f>
        <v>2.0978495375047226</v>
      </c>
      <c r="Q37" s="80">
        <f>'Keynes-K'!AF2</f>
        <v>2.7245981341450238</v>
      </c>
      <c r="R37" s="80">
        <f>'Keynes-K'!AH2</f>
        <v>3.7240922034902595</v>
      </c>
      <c r="S37" s="80">
        <f>'Keynes-K'!AJ2</f>
        <v>5.4637916250897085</v>
      </c>
      <c r="T37" s="80">
        <f>'Keynes-K'!AL2</f>
        <v>8.8080245099577379</v>
      </c>
      <c r="U37" s="80">
        <f>'Keynes-K'!AN2</f>
        <v>0</v>
      </c>
      <c r="V37" s="80">
        <f>'Keynes-K'!AP2</f>
        <v>0</v>
      </c>
      <c r="W37" s="80">
        <f>'Keynes-K'!AR2</f>
        <v>0</v>
      </c>
      <c r="X37" s="80">
        <f>'Keynes-K'!AT2</f>
        <v>0</v>
      </c>
      <c r="Y37" s="80">
        <f>'Keynes-K'!AV2</f>
        <v>0</v>
      </c>
      <c r="Z37" s="138"/>
    </row>
    <row r="38" spans="1:26" x14ac:dyDescent="0.2">
      <c r="A38" t="str">
        <f t="shared" si="34"/>
        <v>Keynes-Marshall</v>
      </c>
      <c r="B38" s="80">
        <f>'Keynes-M'!B2</f>
        <v>5.7716594496607888E-3</v>
      </c>
      <c r="C38" s="80">
        <f>'Keynes-M'!D2</f>
        <v>0.11579041748959829</v>
      </c>
      <c r="D38" s="80">
        <f>'Keynes-M'!F2</f>
        <v>0.23615534956480858</v>
      </c>
      <c r="E38" s="80">
        <f>'Keynes-M'!H2</f>
        <v>0.37290117777800752</v>
      </c>
      <c r="F38" s="80">
        <f>'Keynes-M'!J2</f>
        <v>0.53511539423081556</v>
      </c>
      <c r="G38" s="80">
        <f>'Keynes-M'!L2</f>
        <v>0.73886313873076515</v>
      </c>
      <c r="H38" s="80">
        <f>'Keynes-M'!N2</f>
        <v>1.0173865465926848</v>
      </c>
      <c r="I38" s="80">
        <f>'Keynes-M'!P2</f>
        <v>1.457268712242404</v>
      </c>
      <c r="J38" s="80">
        <f>'Keynes-M'!R2</f>
        <v>2.4107134253558717</v>
      </c>
      <c r="K38" s="80">
        <f>'Keynes-M'!T2</f>
        <v>0</v>
      </c>
      <c r="L38" s="80">
        <f>'Keynes-M'!V2</f>
        <v>0</v>
      </c>
      <c r="M38" s="80">
        <f>'Keynes-M'!X2</f>
        <v>0</v>
      </c>
      <c r="N38" s="80">
        <f>'Keynes-M'!Z2</f>
        <v>0</v>
      </c>
      <c r="O38" s="80">
        <f>'Keynes-M'!AB2</f>
        <v>0</v>
      </c>
      <c r="P38" s="80">
        <f>'Keynes-M'!AD2</f>
        <v>0</v>
      </c>
      <c r="Q38" s="80">
        <f>'Keynes-M'!AF2</f>
        <v>0</v>
      </c>
      <c r="R38" s="80">
        <f>'Keynes-M'!AH2</f>
        <v>0</v>
      </c>
      <c r="S38" s="80">
        <f>'Keynes-M'!AJ2</f>
        <v>0</v>
      </c>
      <c r="T38" s="80">
        <f>'Keynes-M'!AL2</f>
        <v>0</v>
      </c>
      <c r="U38" s="80">
        <f>'Keynes-M'!AN2</f>
        <v>0</v>
      </c>
      <c r="V38" s="80">
        <f>'Keynes-M'!AP2</f>
        <v>0</v>
      </c>
      <c r="W38" s="80">
        <f>'Keynes-M'!AR2</f>
        <v>0</v>
      </c>
      <c r="X38" s="80">
        <f>'Keynes-M'!AT2</f>
        <v>0</v>
      </c>
      <c r="Y38" s="80">
        <f>'Keynes-M'!AV2</f>
        <v>0</v>
      </c>
      <c r="Z38" s="138"/>
    </row>
    <row r="39" spans="1:26" x14ac:dyDescent="0.2">
      <c r="A39" t="str">
        <f t="shared" si="34"/>
        <v>Keynesian</v>
      </c>
      <c r="B39" s="80">
        <f>Keynesian!B2</f>
        <v>5.7716594496607888E-3</v>
      </c>
      <c r="C39" s="80">
        <f>Keynesian!D2</f>
        <v>3.5002574579733145E-2</v>
      </c>
      <c r="D39" s="80">
        <f>Keynesian!F2</f>
        <v>6.6145078643977478E-2</v>
      </c>
      <c r="E39" s="80">
        <f>Keynesian!H2</f>
        <v>9.9394090617561423E-2</v>
      </c>
      <c r="F39" s="80">
        <f>Keynesian!J2</f>
        <v>0.13497255816894616</v>
      </c>
      <c r="G39" s="80">
        <f>Keynesian!L2</f>
        <v>0.17313677087985269</v>
      </c>
      <c r="H39" s="80">
        <f>Keynesian!N2</f>
        <v>0.21418273054294254</v>
      </c>
      <c r="I39" s="80">
        <f>Keynesian!P2</f>
        <v>0.25845410467157987</v>
      </c>
      <c r="J39" s="80">
        <f>Keynesian!R2</f>
        <v>0.30635199724664436</v>
      </c>
      <c r="K39" s="80">
        <f>Keynesian!T2</f>
        <v>0.35834590922426068</v>
      </c>
      <c r="L39" s="80">
        <f>Keynesian!V2</f>
        <v>0.41498653726245988</v>
      </c>
      <c r="M39" s="80">
        <f>Keynesian!X2</f>
        <v>0.47691792417956969</v>
      </c>
      <c r="N39" s="80">
        <f>Keynesian!Z2</f>
        <v>0.54487971652297218</v>
      </c>
      <c r="O39" s="80">
        <f>Keynesian!AB2</f>
        <v>0.6196735176926027</v>
      </c>
      <c r="P39" s="80">
        <f>Keynesian!AD2</f>
        <v>0.7019916479474223</v>
      </c>
      <c r="Q39" s="80">
        <f>Keynesian!AF2</f>
        <v>0.79163747460714406</v>
      </c>
      <c r="R39" s="80">
        <f>Keynesian!AH2</f>
        <v>0.88315794061831787</v>
      </c>
      <c r="S39" s="80">
        <f>Keynesian!AJ2</f>
        <v>0</v>
      </c>
      <c r="T39" s="80">
        <f>Keynesian!AL2</f>
        <v>0</v>
      </c>
      <c r="U39" s="80">
        <f>Keynesian!AN2</f>
        <v>0</v>
      </c>
      <c r="V39" s="80">
        <f>Keynesian!AP2</f>
        <v>0</v>
      </c>
      <c r="W39" s="80">
        <f>Keynesian!AR2</f>
        <v>0</v>
      </c>
      <c r="X39" s="80">
        <f>Keynesian!AT2</f>
        <v>0</v>
      </c>
      <c r="Y39" s="80">
        <f>Keynesian!AV4</f>
        <v>0</v>
      </c>
      <c r="Z39" s="138"/>
    </row>
    <row r="40" spans="1:26" x14ac:dyDescent="0.2">
      <c r="A40" t="str">
        <f t="shared" si="34"/>
        <v>Neo-K2</v>
      </c>
      <c r="B40" s="80">
        <f>'Neo-K2'!B2</f>
        <v>5.7716594496607888E-3</v>
      </c>
      <c r="C40" s="80">
        <f>'Neo-K2'!D2</f>
        <v>4.2247839491710133E-2</v>
      </c>
      <c r="D40" s="80">
        <f>'Neo-K2'!F2</f>
        <v>8.10265021341013E-2</v>
      </c>
      <c r="E40" s="80">
        <f>'Neo-K2'!H2</f>
        <v>0.12226979430751463</v>
      </c>
      <c r="F40" s="80">
        <f>'Neo-K2'!J2</f>
        <v>0.16614144861941321</v>
      </c>
      <c r="G40" s="80">
        <f>'Neo-K2'!L2</f>
        <v>0.2128022377042765</v>
      </c>
      <c r="H40" s="80">
        <f>'Neo-K2'!N2</f>
        <v>0.26240964051165938</v>
      </c>
      <c r="I40" s="80">
        <f>'Neo-K2'!P2</f>
        <v>0.31512270304422552</v>
      </c>
      <c r="J40" s="80">
        <f>'Neo-K2'!R2</f>
        <v>0.37112682732226737</v>
      </c>
      <c r="K40" s="80">
        <f>'Neo-K2'!T2</f>
        <v>0.43069845870087142</v>
      </c>
      <c r="L40" s="80">
        <f>'Neo-K2'!V2</f>
        <v>0.49437955586841248</v>
      </c>
      <c r="M40" s="80">
        <f>'Neo-K2'!X2</f>
        <v>0.56337511521148032</v>
      </c>
      <c r="N40" s="80">
        <f>'Neo-K2'!Z2</f>
        <v>0.64044030923865947</v>
      </c>
      <c r="O40" s="80">
        <f>'Neo-K2'!AB2</f>
        <v>0.73182164154811413</v>
      </c>
      <c r="P40" s="80">
        <f>'Neo-K2'!AD2</f>
        <v>0.85153591246490912</v>
      </c>
      <c r="Q40" s="80">
        <f>'Neo-K2'!AF2</f>
        <v>1.0315589751327912</v>
      </c>
      <c r="R40" s="80">
        <f>'Neo-K2'!AH2</f>
        <v>1.3510019356085934</v>
      </c>
      <c r="S40" s="80">
        <f>'Neo-K2'!AJ2</f>
        <v>2.044472381892418</v>
      </c>
      <c r="T40" s="80">
        <f>'Neo-K2'!AL2</f>
        <v>4.0245275050213163</v>
      </c>
      <c r="U40" s="80">
        <f>'Neo-K2'!AN2</f>
        <v>12.906857178683266</v>
      </c>
      <c r="V40" s="80">
        <f>'Neo-K2'!AP2</f>
        <v>18.289600474582755</v>
      </c>
      <c r="W40" s="80">
        <f>'Neo-K2'!AR2</f>
        <v>28.10520146708409</v>
      </c>
      <c r="X40" s="80">
        <f>'Neo-K2'!AT2</f>
        <v>49.793341534314187</v>
      </c>
      <c r="Y40" s="80">
        <f>'Neo-K2'!AV2</f>
        <v>122.72830654694103</v>
      </c>
    </row>
    <row r="41" spans="1:26" x14ac:dyDescent="0.2">
      <c r="A41" t="str">
        <f t="shared" si="34"/>
        <v>Neo-K1</v>
      </c>
      <c r="B41" s="80">
        <f>'Neo-K1'!B2</f>
        <v>5.7716594496607888E-3</v>
      </c>
      <c r="C41" s="80">
        <f>'Neo-K1'!D2</f>
        <v>4.6308369179485276E-2</v>
      </c>
      <c r="D41" s="80">
        <f>'Neo-K1'!F2</f>
        <v>9.0097377442061602E-2</v>
      </c>
      <c r="E41" s="80">
        <f>'Neo-K1'!H2</f>
        <v>0.13753501930758563</v>
      </c>
      <c r="F41" s="80">
        <f>'Neo-K1'!J2</f>
        <v>0.18908392661900802</v>
      </c>
      <c r="G41" s="80">
        <f>'Neo-K1'!L2</f>
        <v>0.24528687751224615</v>
      </c>
      <c r="H41" s="80">
        <f>'Neo-K1'!N2</f>
        <v>0.30678410509498916</v>
      </c>
      <c r="I41" s="80">
        <f>'Neo-K1'!P2</f>
        <v>0.37433399454448446</v>
      </c>
      <c r="J41" s="80">
        <f>'Neo-K1'!R2</f>
        <v>0.44883731440878294</v>
      </c>
      <c r="K41" s="80">
        <f>'Neo-K1'!T2</f>
        <v>0.53136308269427079</v>
      </c>
      <c r="L41" s="80">
        <f>'Neo-K1'!V2</f>
        <v>0.62317436754993372</v>
      </c>
      <c r="M41" s="80">
        <f>'Neo-K1'!X2</f>
        <v>0.72574166746875091</v>
      </c>
      <c r="N41" s="80">
        <f>'Neo-K1'!Z2</f>
        <v>0.84073006982909049</v>
      </c>
      <c r="O41" s="80">
        <f>'Neo-K1'!AB2</f>
        <v>0.96992669435682388</v>
      </c>
      <c r="P41" s="80">
        <f>'Neo-K1'!AD2</f>
        <v>1.1150661371661377</v>
      </c>
      <c r="Q41" s="80">
        <f>'Neo-K1'!AF2</f>
        <v>1.2775096204293364</v>
      </c>
      <c r="R41" s="80">
        <f>'Neo-K1'!AH2</f>
        <v>1.4577777374579237</v>
      </c>
      <c r="S41" s="80">
        <f>'Neo-K1'!AJ2</f>
        <v>1.6550524366209172</v>
      </c>
      <c r="T41" s="80">
        <f>'Neo-K1'!AL2</f>
        <v>1.8668996397522606</v>
      </c>
      <c r="U41" s="80">
        <f>'Neo-K1'!AN2</f>
        <v>2.0894622307346769</v>
      </c>
      <c r="V41" s="80">
        <f>'Neo-K1'!AP2</f>
        <v>2.1348583236451972</v>
      </c>
      <c r="W41" s="80">
        <f>'Neo-K1'!AR2</f>
        <v>2.180460188330303</v>
      </c>
      <c r="X41" s="80">
        <f>'Neo-K1'!AT2</f>
        <v>2.226230366474919</v>
      </c>
      <c r="Y41" s="80">
        <f>'Neo-K1'!AV2</f>
        <v>2.272131980964724</v>
      </c>
    </row>
    <row r="42" spans="1:26" x14ac:dyDescent="0.2">
      <c r="A42" t="str">
        <f t="shared" si="34"/>
        <v>Neoclassical - hetero s</v>
      </c>
      <c r="B42">
        <v>27.702416010262777</v>
      </c>
      <c r="C42">
        <v>32.683073767281385</v>
      </c>
      <c r="D42">
        <v>38.310312609544411</v>
      </c>
      <c r="E42">
        <v>44.713858097512428</v>
      </c>
      <c r="F42">
        <v>52.060410365041776</v>
      </c>
      <c r="G42">
        <v>60.567731132444884</v>
      </c>
      <c r="H42">
        <v>70.525629000283416</v>
      </c>
      <c r="I42">
        <v>82.328070807418868</v>
      </c>
      <c r="J42">
        <v>96.523827304044104</v>
      </c>
      <c r="K42">
        <v>113.89913279126471</v>
      </c>
      <c r="L42">
        <v>135.61792846865748</v>
      </c>
      <c r="M42">
        <v>163.47045175737836</v>
      </c>
      <c r="N42">
        <v>200.33596050889889</v>
      </c>
      <c r="O42">
        <v>251.09118623971659</v>
      </c>
      <c r="P42">
        <v>324.49498534982405</v>
      </c>
      <c r="Q42">
        <v>437.30868279107045</v>
      </c>
      <c r="R42">
        <v>623.7671397943293</v>
      </c>
      <c r="S42">
        <v>959.33069506561208</v>
      </c>
      <c r="T42">
        <v>1635.7620878260498</v>
      </c>
      <c r="U42">
        <v>3308.1850367670995</v>
      </c>
      <c r="V42">
        <v>3928.3470991663007</v>
      </c>
    </row>
    <row r="47" spans="1:26" x14ac:dyDescent="0.2">
      <c r="A47" t="s">
        <v>100</v>
      </c>
    </row>
    <row r="48" spans="1:26" x14ac:dyDescent="0.2">
      <c r="A48" t="s">
        <v>147</v>
      </c>
      <c r="B48" s="94">
        <v>0</v>
      </c>
      <c r="C48" s="94">
        <v>0.05</v>
      </c>
      <c r="D48" s="94">
        <v>0.1</v>
      </c>
      <c r="E48" s="94">
        <v>0.15000000000000002</v>
      </c>
      <c r="F48" s="94">
        <v>0.2</v>
      </c>
      <c r="G48" s="94">
        <v>0.25</v>
      </c>
      <c r="H48" s="94">
        <v>0.3</v>
      </c>
      <c r="I48" s="94">
        <v>0.35</v>
      </c>
      <c r="J48" s="94">
        <v>0.39999999999999997</v>
      </c>
      <c r="K48" s="94">
        <v>0.44999999999999996</v>
      </c>
      <c r="L48" s="94">
        <v>0.49999999999999994</v>
      </c>
      <c r="M48" s="94">
        <v>0.54999999999999993</v>
      </c>
      <c r="N48" s="94">
        <v>0.6</v>
      </c>
      <c r="O48" s="94">
        <v>0.65</v>
      </c>
      <c r="P48" s="94">
        <v>0.70000000000000007</v>
      </c>
      <c r="Q48" s="94">
        <v>0.75000000000000011</v>
      </c>
      <c r="R48" s="94">
        <v>0.80000000000000016</v>
      </c>
      <c r="S48" s="94">
        <v>0.8500000000000002</v>
      </c>
      <c r="T48" s="94">
        <v>0.90000000000000024</v>
      </c>
      <c r="U48" s="94">
        <v>0.95000000000000029</v>
      </c>
      <c r="V48" s="94">
        <v>0.9600000000000003</v>
      </c>
      <c r="W48" s="94">
        <v>0.97000000000000031</v>
      </c>
      <c r="X48" s="94">
        <v>0.98000000000000032</v>
      </c>
      <c r="Y48" s="94">
        <v>0.99000000000000032</v>
      </c>
      <c r="Z48" s="139"/>
    </row>
    <row r="49" spans="1:26" x14ac:dyDescent="0.2">
      <c r="A49" t="str">
        <f t="shared" ref="A49:A54" si="35">A3</f>
        <v>Neoclassical</v>
      </c>
      <c r="B49" s="195">
        <f>NeoClassical!B$43</f>
        <v>0.56058995943839174</v>
      </c>
      <c r="C49" s="195">
        <f>NeoClassical!D$43</f>
        <v>0.56647938056425984</v>
      </c>
      <c r="D49" s="195">
        <f>NeoClassical!F$43</f>
        <v>0.5657570235516538</v>
      </c>
      <c r="E49" s="195">
        <f>NeoClassical!H$43</f>
        <v>0.56503321577433252</v>
      </c>
      <c r="F49" s="195">
        <f>NeoClassical!J$43</f>
        <v>0.56430769472722109</v>
      </c>
      <c r="G49" s="195">
        <f>NeoClassical!L$43</f>
        <v>0.5635803648476202</v>
      </c>
      <c r="H49" s="195">
        <f>NeoClassical!N$43</f>
        <v>0.56285116264939083</v>
      </c>
      <c r="I49" s="195">
        <f>NeoClassical!P$43</f>
        <v>0.56212037855878494</v>
      </c>
      <c r="J49" s="195">
        <f>NeoClassical!R$43</f>
        <v>0.56138880268227254</v>
      </c>
      <c r="K49" s="195">
        <f>NeoClassical!T$43</f>
        <v>0.5606580821126369</v>
      </c>
      <c r="L49" s="195">
        <f>NeoClassical!V$43</f>
        <v>0.55993135602113031</v>
      </c>
      <c r="M49" s="195">
        <f>NeoClassical!X$43</f>
        <v>0.5592142276452855</v>
      </c>
      <c r="N49" s="195">
        <f>NeoClassical!Z$43</f>
        <v>0.55851640244935452</v>
      </c>
      <c r="O49" s="195">
        <f>NeoClassical!AB$43</f>
        <v>0.55785425768146935</v>
      </c>
      <c r="P49" s="195">
        <f>NeoClassical!AD$43</f>
        <v>0.55725450314880043</v>
      </c>
      <c r="Q49" s="195">
        <f>NeoClassical!AF$43</f>
        <v>0.55675712578269498</v>
      </c>
      <c r="R49" s="195">
        <f>NeoClassical!AH$43</f>
        <v>0.55640910067443805</v>
      </c>
      <c r="S49" s="195">
        <f>NeoClassical!AJ$43</f>
        <v>0.55623137966797798</v>
      </c>
      <c r="T49" s="195">
        <f>NeoClassical!AL$43</f>
        <v>0.55617789606442225</v>
      </c>
      <c r="U49" s="195">
        <f>NeoClassical!AN$43</f>
        <v>0.55617096465843208</v>
      </c>
      <c r="V49" s="195">
        <f>NeoClassical!AP$43</f>
        <v>0.55617084374213732</v>
      </c>
      <c r="W49" s="195">
        <f>NeoClassical!AR$43</f>
        <v>0.55617079973056549</v>
      </c>
      <c r="X49" s="195">
        <f>NeoClassical!AT$43</f>
        <v>0.55617078738159043</v>
      </c>
      <c r="Y49" s="195">
        <f>NeoClassical!AV$43</f>
        <v>0.55617078458362879</v>
      </c>
      <c r="Z49" s="138"/>
    </row>
    <row r="50" spans="1:26" x14ac:dyDescent="0.2">
      <c r="A50" t="str">
        <f t="shared" si="35"/>
        <v>Kaldorian</v>
      </c>
      <c r="B50" s="195">
        <f>Kaldorian!B$43</f>
        <v>0.56058995943839174</v>
      </c>
      <c r="C50" s="195">
        <f>Kaldorian!D$43</f>
        <v>0.5614291053688254</v>
      </c>
      <c r="D50" s="195">
        <f>Kaldorian!F$43</f>
        <v>0.55542364239412634</v>
      </c>
      <c r="E50" s="195">
        <f>Kaldorian!H$43</f>
        <v>0.54914868835860486</v>
      </c>
      <c r="F50" s="195">
        <f>Kaldorian!J$43</f>
        <v>0.54256072934431432</v>
      </c>
      <c r="G50" s="195">
        <f>Kaldorian!L$43</f>
        <v>0.53560548559004473</v>
      </c>
      <c r="H50" s="195">
        <f>Kaldorian!N$43</f>
        <v>0.52821343627809991</v>
      </c>
      <c r="I50" s="195">
        <f>Kaldorian!P$43</f>
        <v>0.52029354325471289</v>
      </c>
      <c r="J50" s="195">
        <f>Kaldorian!R$43</f>
        <v>0.51172239728195579</v>
      </c>
      <c r="K50" s="195">
        <f>Kaldorian!T$43</f>
        <v>0.50232635889907851</v>
      </c>
      <c r="L50" s="195">
        <f>Kaldorian!V$43</f>
        <v>0.49184969442366711</v>
      </c>
      <c r="M50" s="195">
        <f>Kaldorian!X$43</f>
        <v>0.4798960192558907</v>
      </c>
      <c r="N50" s="195">
        <f>Kaldorian!Z$43</f>
        <v>0.46581407316711931</v>
      </c>
      <c r="O50" s="195">
        <f>Kaldorian!AB$43</f>
        <v>0.44846275305698857</v>
      </c>
      <c r="P50" s="195">
        <f>Kaldorian!AD$43</f>
        <v>0.42570062360513344</v>
      </c>
      <c r="Q50" s="195">
        <f>Kaldorian!AF$43</f>
        <v>0.39322933734513671</v>
      </c>
      <c r="R50" s="195">
        <f>Kaldorian!AH$43</f>
        <v>0.34190770205824628</v>
      </c>
      <c r="S50" s="195">
        <f>Kaldorian!AJ$43</f>
        <v>0.250746302359246</v>
      </c>
      <c r="T50" s="195">
        <f>Kaldorian!AL$43</f>
        <v>5.690930312434176E-2</v>
      </c>
      <c r="U50" s="195" t="e">
        <f>Kaldorian!AN$43</f>
        <v>#DIV/0!</v>
      </c>
      <c r="V50" s="195" t="e">
        <f>Kaldorian!AP$43</f>
        <v>#DIV/0!</v>
      </c>
      <c r="W50" s="195" t="e">
        <f>Kaldorian!AR$43</f>
        <v>#DIV/0!</v>
      </c>
      <c r="X50" s="195" t="e">
        <f>Kaldorian!AT$43</f>
        <v>#DIV/0!</v>
      </c>
      <c r="Y50" s="195" t="e">
        <f>Kaldorian!AV$43</f>
        <v>#DIV/0!</v>
      </c>
      <c r="Z50" s="138"/>
    </row>
    <row r="51" spans="1:26" x14ac:dyDescent="0.2">
      <c r="A51" t="str">
        <f t="shared" si="35"/>
        <v>Johansen</v>
      </c>
      <c r="B51" s="195">
        <f>Kaldorian!B$43</f>
        <v>0.56058995943839174</v>
      </c>
      <c r="C51" s="195">
        <f>Johansen!D$43</f>
        <v>0.56647355960775014</v>
      </c>
      <c r="D51" s="195">
        <f>Johansen!F$43</f>
        <v>0.56574513289307238</v>
      </c>
      <c r="E51" s="195">
        <f>Johansen!H$43</f>
        <v>0.56501495593718276</v>
      </c>
      <c r="F51" s="195">
        <f>Johansen!J$43</f>
        <v>0.56428276666085364</v>
      </c>
      <c r="G51" s="195">
        <f>Johansen!L$43</f>
        <v>0.5635484080002684</v>
      </c>
      <c r="H51" s="195">
        <f>Johansen!N$43</f>
        <v>0.56281182677192554</v>
      </c>
      <c r="I51" s="195">
        <f>Johansen!P$43</f>
        <v>0.5620733483796837</v>
      </c>
      <c r="J51" s="195">
        <f>Johansen!R$43</f>
        <v>0.56133386614783753</v>
      </c>
      <c r="K51" s="195">
        <f>Johansen!T$43</f>
        <v>0.56059523658174926</v>
      </c>
      <c r="L51" s="195">
        <f>Johansen!V$43</f>
        <v>0.5598609879396379</v>
      </c>
      <c r="M51" s="195">
        <f>Johansen!X$43</f>
        <v>0.55913739421318598</v>
      </c>
      <c r="N51" s="195">
        <f>Johansen!Z$43</f>
        <v>0.55843526759913487</v>
      </c>
      <c r="O51" s="195">
        <f>Johansen!AB$43</f>
        <v>0.55777275751520139</v>
      </c>
      <c r="P51" s="195">
        <f>Johansen!AD$43</f>
        <v>0.55717912559829208</v>
      </c>
      <c r="Q51" s="195">
        <f>Johansen!AF$43</f>
        <v>0.55669705910168621</v>
      </c>
      <c r="R51" s="195">
        <f>Johansen!AH$43</f>
        <v>0.55637291847905135</v>
      </c>
      <c r="S51" s="195">
        <f>Johansen!AJ$43</f>
        <v>0.55621821061611953</v>
      </c>
      <c r="T51" s="195">
        <f>Johansen!AL$43</f>
        <v>0.55617582669724852</v>
      </c>
      <c r="U51" s="195">
        <f>Johansen!AN$43</f>
        <v>0.55617089994561908</v>
      </c>
      <c r="V51" s="195">
        <f>Johansen!AP$43</f>
        <v>0.55617082204407009</v>
      </c>
      <c r="W51" s="195">
        <f>Johansen!AR$43</f>
        <v>0.55617079414429971</v>
      </c>
      <c r="X51" s="195">
        <f>Johansen!AT$43</f>
        <v>0.55617078615685589</v>
      </c>
      <c r="Y51" s="195">
        <f>Johansen!AV$43</f>
        <v>0.55617078466092262</v>
      </c>
      <c r="Z51" s="138"/>
    </row>
    <row r="52" spans="1:26" x14ac:dyDescent="0.2">
      <c r="A52" t="str">
        <f t="shared" si="35"/>
        <v>Keynes-Kaldor</v>
      </c>
      <c r="B52" s="195">
        <f>'Keynes-K'!B$43</f>
        <v>0.56058995943839174</v>
      </c>
      <c r="C52" s="195">
        <f>'Keynes-K'!D$43</f>
        <v>0.5609707958771748</v>
      </c>
      <c r="D52" s="195">
        <f>'Keynes-K'!F$43</f>
        <v>0.5545517892770937</v>
      </c>
      <c r="E52" s="195">
        <f>'Keynes-K'!H$43</f>
        <v>0.54790873368076987</v>
      </c>
      <c r="F52" s="195">
        <f>'Keynes-K'!J$43</f>
        <v>0.54099986895825103</v>
      </c>
      <c r="G52" s="195">
        <f>'Keynes-K'!L$43</f>
        <v>0.53377410174080508</v>
      </c>
      <c r="H52" s="195">
        <f>'Keynes-K'!N$43</f>
        <v>0.5261670949853311</v>
      </c>
      <c r="I52" s="195">
        <f>'Keynes-K'!P$43</f>
        <v>0.51809559767057545</v>
      </c>
      <c r="J52" s="195">
        <f>'Keynes-K'!R$43</f>
        <v>0.50944826833455248</v>
      </c>
      <c r="K52" s="195">
        <f>'Keynes-K'!T$43</f>
        <v>0.50007084574724725</v>
      </c>
      <c r="L52" s="195">
        <f>'Keynes-K'!V$43</f>
        <v>0.48974069905522516</v>
      </c>
      <c r="M52" s="195">
        <f>'Keynes-K'!X$43</f>
        <v>0.47812255123525366</v>
      </c>
      <c r="N52" s="195">
        <f>'Keynes-K'!Z$43</f>
        <v>0.46468755298968378</v>
      </c>
      <c r="O52" s="195">
        <f>'Keynes-K'!AB$43</f>
        <v>0.44856019082940624</v>
      </c>
      <c r="P52" s="195">
        <f>'Keynes-K'!AD$43</f>
        <v>0.42821994906637251</v>
      </c>
      <c r="Q52" s="195">
        <f>'Keynes-K'!AF$43</f>
        <v>0.40091395753917353</v>
      </c>
      <c r="R52" s="195">
        <f>'Keynes-K'!AH$43</f>
        <v>0.36152279379884084</v>
      </c>
      <c r="S52" s="195">
        <f>'Keynes-K'!AJ$43</f>
        <v>0.30029222619208723</v>
      </c>
      <c r="T52" s="195">
        <f>'Keynes-K'!AL$43</f>
        <v>0.19615463821534365</v>
      </c>
      <c r="U52" s="195" t="e">
        <f>'Keynes-K'!AN$43</f>
        <v>#DIV/0!</v>
      </c>
      <c r="V52" s="195" t="e">
        <f>'Keynes-K'!AP$43</f>
        <v>#DIV/0!</v>
      </c>
      <c r="W52" s="195" t="e">
        <f>'Keynes-K'!AR$43</f>
        <v>#DIV/0!</v>
      </c>
      <c r="X52" s="195" t="e">
        <f>'Keynes-K'!AT$43</f>
        <v>#DIV/0!</v>
      </c>
      <c r="Y52" s="195" t="e">
        <f>'Keynes-K'!AV$43</f>
        <v>#DIV/0!</v>
      </c>
    </row>
    <row r="53" spans="1:26" x14ac:dyDescent="0.2">
      <c r="A53" t="str">
        <f t="shared" si="35"/>
        <v>Keynes-Marshall</v>
      </c>
      <c r="B53" s="195">
        <f>'Keynes-M'!B$43</f>
        <v>0.56058995943839174</v>
      </c>
      <c r="C53" s="195">
        <f>'Keynes-M'!D$43</f>
        <v>0.59390673288419493</v>
      </c>
      <c r="D53" s="195">
        <f>'Keynes-M'!F$43</f>
        <v>0.61944014764663879</v>
      </c>
      <c r="E53" s="195">
        <f>'Keynes-M'!H$43</f>
        <v>0.64484688671102564</v>
      </c>
      <c r="F53" s="195">
        <f>'Keynes-M'!J$43</f>
        <v>0.67117149859786662</v>
      </c>
      <c r="G53" s="195">
        <f>'Keynes-M'!L$43</f>
        <v>0.69985913461804994</v>
      </c>
      <c r="H53" s="195">
        <f>'Keynes-M'!N$43</f>
        <v>0.73348783116829563</v>
      </c>
      <c r="I53" s="195">
        <f>'Keynes-M'!P$43</f>
        <v>0.77801439157479135</v>
      </c>
      <c r="J53" s="195">
        <f>'Keynes-M'!R$43</f>
        <v>0.85407622695191587</v>
      </c>
      <c r="K53" s="195" t="e">
        <f>'Keynes-M'!T$43</f>
        <v>#DIV/0!</v>
      </c>
      <c r="L53" s="195" t="e">
        <f>'Keynes-M'!V$43</f>
        <v>#DIV/0!</v>
      </c>
      <c r="M53" s="195" t="e">
        <f>'Keynes-M'!X$43</f>
        <v>#DIV/0!</v>
      </c>
      <c r="N53" s="195" t="e">
        <f>'Keynes-M'!Z$43</f>
        <v>#DIV/0!</v>
      </c>
      <c r="O53" s="195" t="e">
        <f>'Keynes-M'!AB$43</f>
        <v>#DIV/0!</v>
      </c>
      <c r="P53" s="195" t="e">
        <f>'Keynes-M'!AD$43</f>
        <v>#DIV/0!</v>
      </c>
      <c r="Q53" s="195" t="e">
        <f>'Keynes-M'!AF$43</f>
        <v>#DIV/0!</v>
      </c>
      <c r="R53" s="195" t="e">
        <f>'Keynes-M'!AH$43</f>
        <v>#DIV/0!</v>
      </c>
      <c r="S53" s="195" t="e">
        <f>'Keynes-M'!AJ$43</f>
        <v>#DIV/0!</v>
      </c>
      <c r="T53" s="195" t="e">
        <f>'Keynes-M'!AL$43</f>
        <v>#DIV/0!</v>
      </c>
      <c r="U53" s="195" t="e">
        <f>'Keynes-M'!AN$43</f>
        <v>#DIV/0!</v>
      </c>
      <c r="V53" s="195" t="e">
        <f>'Keynes-M'!AP$43</f>
        <v>#DIV/0!</v>
      </c>
      <c r="W53" s="195" t="e">
        <f>'Keynes-M'!AR$43</f>
        <v>#DIV/0!</v>
      </c>
      <c r="X53" s="195" t="e">
        <f>'Keynes-M'!AT$43</f>
        <v>#DIV/0!</v>
      </c>
      <c r="Y53" s="195" t="e">
        <f>'Keynes-M'!AV$43</f>
        <v>#DIV/0!</v>
      </c>
    </row>
    <row r="54" spans="1:26" x14ac:dyDescent="0.2">
      <c r="A54" t="str">
        <f t="shared" si="35"/>
        <v>Keynesian</v>
      </c>
      <c r="B54" s="195">
        <f>Keynesian!B$43</f>
        <v>0.56058995943839174</v>
      </c>
      <c r="C54" s="195">
        <f>Keynesian!D$43</f>
        <v>0.57469940583023382</v>
      </c>
      <c r="D54" s="195">
        <f>Keynesian!F$43</f>
        <v>0.58238164582140506</v>
      </c>
      <c r="E54" s="195">
        <f>Keynesian!H$43</f>
        <v>0.59026113874772501</v>
      </c>
      <c r="F54" s="195">
        <f>Keynesian!J$43</f>
        <v>0.59835353893370491</v>
      </c>
      <c r="G54" s="195">
        <f>Keynesian!L$43</f>
        <v>0.60667623488482769</v>
      </c>
      <c r="H54" s="195">
        <f>Keynesian!N$43</f>
        <v>0.61524870400665466</v>
      </c>
      <c r="I54" s="195">
        <f>Keynesian!P$43</f>
        <v>0.62409287821153059</v>
      </c>
      <c r="J54" s="195">
        <f>Keynesian!R$43</f>
        <v>0.63323385701486223</v>
      </c>
      <c r="K54" s="195">
        <f>Keynesian!T$43</f>
        <v>0.64269907371332791</v>
      </c>
      <c r="L54" s="195">
        <f>Keynesian!V$43</f>
        <v>0.65251905645710373</v>
      </c>
      <c r="M54" s="195">
        <f>Keynesian!X$43</f>
        <v>0.66272691280113061</v>
      </c>
      <c r="N54" s="195">
        <f>Keynesian!Z$43</f>
        <v>0.6733550458542793</v>
      </c>
      <c r="O54" s="195">
        <f>Keynesian!AB$43</f>
        <v>0.68442561970947746</v>
      </c>
      <c r="P54" s="195">
        <f>Keynesian!AD$43</f>
        <v>0.69592258817483188</v>
      </c>
      <c r="Q54" s="195">
        <f>Keynesian!AF$43</f>
        <v>0.7076754341531154</v>
      </c>
      <c r="R54" s="195">
        <f>Keynesian!AH$43</f>
        <v>0.71874197345251112</v>
      </c>
      <c r="S54" s="195" t="e">
        <f>Keynesian!AJ$43</f>
        <v>#DIV/0!</v>
      </c>
      <c r="T54" s="195" t="e">
        <f>Keynesian!AL$43</f>
        <v>#DIV/0!</v>
      </c>
      <c r="U54" s="195" t="e">
        <f>Keynesian!AN$43</f>
        <v>#DIV/0!</v>
      </c>
      <c r="V54" s="195" t="e">
        <f>Keynesian!AP$43</f>
        <v>#DIV/0!</v>
      </c>
      <c r="W54" s="195" t="e">
        <f>Keynesian!AR$43</f>
        <v>#DIV/0!</v>
      </c>
      <c r="X54" s="195" t="e">
        <f>Keynesian!AT$43</f>
        <v>#DIV/0!</v>
      </c>
      <c r="Y54" s="195" t="e">
        <f>Keynesian!AV$43</f>
        <v>#DIV/0!</v>
      </c>
    </row>
    <row r="55" spans="1:26" x14ac:dyDescent="0.2">
      <c r="A55" t="s">
        <v>158</v>
      </c>
      <c r="B55" s="195">
        <f>'Neo-K2'!B$43</f>
        <v>0.56058995943839174</v>
      </c>
      <c r="C55" s="195">
        <f>'Neo-K1'!D$43</f>
        <v>0.56673757498886679</v>
      </c>
      <c r="D55" s="195">
        <f>'Neo-K1'!F$43</f>
        <v>0.56626961600345904</v>
      </c>
      <c r="E55" s="195">
        <f>'Neo-K1'!H$43</f>
        <v>0.56579502436646378</v>
      </c>
      <c r="F55" s="195">
        <f>'Neo-K1'!J$43</f>
        <v>0.56531175349486251</v>
      </c>
      <c r="G55" s="195">
        <f>'Neo-K1'!L$43</f>
        <v>0.5648172611031832</v>
      </c>
      <c r="H55" s="195">
        <f>'Neo-K1'!N$43</f>
        <v>0.56430838172691522</v>
      </c>
      <c r="I55" s="195">
        <f>'Neo-K1'!P$43</f>
        <v>0.56378119150873496</v>
      </c>
      <c r="J55" s="195">
        <f>'Neo-K1'!R$43</f>
        <v>0.5632308568614165</v>
      </c>
      <c r="K55" s="195">
        <f>'Neo-K1'!T$43</f>
        <v>0.56265148697840617</v>
      </c>
      <c r="L55" s="195">
        <f>'Neo-K1'!V$43</f>
        <v>0.5620359957028126</v>
      </c>
      <c r="M55" s="195">
        <f>'Neo-K1'!X$43</f>
        <v>0.56137607290913705</v>
      </c>
      <c r="N55" s="195">
        <f>'Neo-K1'!Z$43</f>
        <v>0.56066236370096167</v>
      </c>
      <c r="O55" s="195">
        <f>'Neo-K1'!AB$43</f>
        <v>0.55988504978385045</v>
      </c>
      <c r="P55" s="195">
        <f>'Neo-K1'!AD$43</f>
        <v>0.55903506762906507</v>
      </c>
      <c r="Q55" s="195">
        <f>'Neo-K1'!AF$43</f>
        <v>0.55810617034048615</v>
      </c>
      <c r="R55" s="195">
        <f>'Neo-K1'!AH$43</f>
        <v>0.55709769929336983</v>
      </c>
      <c r="S55" s="195">
        <f>'Neo-K1'!AJ$43</f>
        <v>0.55601717442872334</v>
      </c>
      <c r="T55" s="195">
        <f>'Neo-K1'!AL$43</f>
        <v>0.55488120311201361</v>
      </c>
      <c r="U55" s="195">
        <f>'Neo-K1'!AN$43</f>
        <v>0.5537134344319169</v>
      </c>
      <c r="V55" s="195">
        <f>'Neo-K1'!AP$43</f>
        <v>0.5534783824165489</v>
      </c>
      <c r="W55" s="195">
        <f>'Neo-K1'!AR$43</f>
        <v>0.55324332293559231</v>
      </c>
      <c r="X55" s="195">
        <f>'Neo-K1'!AT$43</f>
        <v>0.55300844438211905</v>
      </c>
      <c r="Y55" s="195">
        <f>'Neo-K1'!AV$43</f>
        <v>0.55277395382276551</v>
      </c>
    </row>
    <row r="56" spans="1:26" x14ac:dyDescent="0.2">
      <c r="A56" t="s">
        <v>157</v>
      </c>
      <c r="B56" s="195">
        <f>'Neo-K2'!B$43</f>
        <v>0.56058995943839174</v>
      </c>
      <c r="C56" s="195">
        <f>'Neo-K2'!D$43</f>
        <v>0.56727372413117216</v>
      </c>
      <c r="D56" s="195">
        <f>'Neo-K2'!F$43</f>
        <v>0.56737852909973296</v>
      </c>
      <c r="E56" s="195">
        <f>'Neo-K2'!H$43</f>
        <v>0.56751810054965757</v>
      </c>
      <c r="F56" s="195">
        <f>'Neo-K2'!J$43</f>
        <v>0.56769572714738403</v>
      </c>
      <c r="G56" s="195">
        <f>'Neo-K2'!L$43</f>
        <v>0.56791475457072504</v>
      </c>
      <c r="H56" s="195">
        <f>'Neo-K2'!N$43</f>
        <v>0.56817833248370431</v>
      </c>
      <c r="I56" s="195">
        <f>'Neo-K2'!P$43</f>
        <v>0.56848901550610387</v>
      </c>
      <c r="J56" s="195">
        <f>'Neo-K2'!R$43</f>
        <v>0.56884800778405353</v>
      </c>
      <c r="K56" s="195">
        <f>'Neo-K2'!T$43</f>
        <v>0.56925407687780472</v>
      </c>
      <c r="L56" s="195">
        <f>'Neo-K2'!V$43</f>
        <v>0.56970136639125613</v>
      </c>
      <c r="M56" s="195">
        <f>'Neo-K2'!X$43</f>
        <v>0.57017600846793914</v>
      </c>
      <c r="N56" s="195">
        <f>'Neo-K2'!Z$43</f>
        <v>0.5706505747445676</v>
      </c>
      <c r="O56" s="195">
        <f>'Neo-K2'!AB$43</f>
        <v>0.57107571420582415</v>
      </c>
      <c r="P56" s="195">
        <f>'Neo-K2'!AD$43</f>
        <v>0.571369034530959</v>
      </c>
      <c r="Q56" s="195">
        <f>'Neo-K2'!AF$43</f>
        <v>0.5714015783265548</v>
      </c>
      <c r="R56" s="195">
        <f>'Neo-K2'!AH$43</f>
        <v>0.57097204684619951</v>
      </c>
      <c r="S56" s="195">
        <f>'Neo-K2'!AJ$43</f>
        <v>0.56969654752451249</v>
      </c>
      <c r="T56" s="195">
        <f>'Neo-K2'!AL$43</f>
        <v>0.56646389765334149</v>
      </c>
      <c r="U56" s="195">
        <f>'Neo-K2'!AN$43</f>
        <v>0.55655196131480245</v>
      </c>
      <c r="V56" s="195">
        <f>'Neo-K2'!AP$43</f>
        <v>0.55215889637536186</v>
      </c>
      <c r="W56" s="195">
        <f>'Neo-K2'!AR$43</f>
        <v>0.54565080329187987</v>
      </c>
      <c r="X56" s="195">
        <f>'Neo-K2'!AT$43</f>
        <v>0.53493265113199084</v>
      </c>
      <c r="Y56" s="195">
        <f>'Neo-K2'!AV$43</f>
        <v>0.51289634274254225</v>
      </c>
    </row>
    <row r="57" spans="1:26" x14ac:dyDescent="0.2">
      <c r="B57" s="140"/>
      <c r="C57" s="140"/>
      <c r="D57" s="140"/>
      <c r="E57" s="140"/>
      <c r="F57" s="140"/>
      <c r="G57" s="140"/>
      <c r="H57" s="140"/>
      <c r="I57" s="140"/>
      <c r="J57" s="140"/>
      <c r="K57" s="140"/>
      <c r="L57" s="140"/>
      <c r="M57" s="140"/>
      <c r="N57" s="140"/>
      <c r="O57" s="140"/>
      <c r="P57" s="140"/>
      <c r="Q57" s="140"/>
      <c r="R57" s="140"/>
      <c r="S57" s="140"/>
      <c r="T57" s="140"/>
      <c r="U57" s="140"/>
      <c r="V57" s="140"/>
    </row>
    <row r="58" spans="1:26" x14ac:dyDescent="0.2">
      <c r="B58" s="140"/>
      <c r="C58" s="140"/>
      <c r="D58" s="140"/>
      <c r="E58" s="140"/>
      <c r="F58" s="140"/>
      <c r="G58" s="140"/>
      <c r="H58" s="140"/>
      <c r="I58" s="140"/>
      <c r="J58" s="140"/>
      <c r="K58" s="140"/>
      <c r="L58" s="140"/>
      <c r="M58" s="140"/>
      <c r="N58" s="140"/>
      <c r="O58" s="140"/>
      <c r="P58" s="140"/>
      <c r="Q58" s="140"/>
      <c r="R58" s="140"/>
      <c r="S58" s="140"/>
      <c r="T58" s="140"/>
    </row>
    <row r="61" spans="1:26" x14ac:dyDescent="0.2">
      <c r="A61" t="s">
        <v>100</v>
      </c>
    </row>
    <row r="62" spans="1:26" x14ac:dyDescent="0.2">
      <c r="A62" t="s">
        <v>147</v>
      </c>
      <c r="B62" s="94">
        <v>0</v>
      </c>
      <c r="C62" s="94">
        <v>0.05</v>
      </c>
      <c r="D62" s="94">
        <v>0.1</v>
      </c>
      <c r="E62" s="94">
        <v>0.15000000000000002</v>
      </c>
      <c r="F62" s="94">
        <v>0.2</v>
      </c>
      <c r="G62" s="94">
        <v>0.25</v>
      </c>
      <c r="H62" s="94">
        <v>0.3</v>
      </c>
      <c r="I62" s="94">
        <v>0.35</v>
      </c>
      <c r="J62" s="94">
        <v>0.39999999999999997</v>
      </c>
      <c r="K62" s="94">
        <v>0.44999999999999996</v>
      </c>
      <c r="L62" s="94">
        <v>0.49999999999999994</v>
      </c>
      <c r="M62" s="94">
        <v>0.54999999999999993</v>
      </c>
      <c r="N62" s="94">
        <v>0.6</v>
      </c>
      <c r="O62" s="94">
        <v>0.65</v>
      </c>
      <c r="P62" s="94">
        <v>0.70000000000000007</v>
      </c>
      <c r="Q62" s="94">
        <v>0.75000000000000011</v>
      </c>
      <c r="R62" s="94">
        <v>0.80000000000000016</v>
      </c>
      <c r="S62" s="94">
        <v>0.8500000000000002</v>
      </c>
      <c r="T62" s="94">
        <v>0.90000000000000024</v>
      </c>
      <c r="U62" s="94">
        <v>0.95000000000000029</v>
      </c>
      <c r="V62" s="94">
        <v>0.9600000000000003</v>
      </c>
      <c r="W62" s="94">
        <v>0.97000000000000031</v>
      </c>
      <c r="X62" s="94">
        <v>0.98000000000000032</v>
      </c>
      <c r="Y62" s="94">
        <v>0.99000000000000032</v>
      </c>
      <c r="Z62" s="139"/>
    </row>
    <row r="63" spans="1:26" x14ac:dyDescent="0.2">
      <c r="A63" t="str">
        <f>A49</f>
        <v>Neoclassical</v>
      </c>
      <c r="B63" s="195">
        <f t="shared" ref="B63:Y63" si="36">B49</f>
        <v>0.56058995943839174</v>
      </c>
      <c r="C63" s="195">
        <f t="shared" si="36"/>
        <v>0.56647938056425984</v>
      </c>
      <c r="D63" s="195">
        <f t="shared" si="36"/>
        <v>0.5657570235516538</v>
      </c>
      <c r="E63" s="195">
        <f t="shared" si="36"/>
        <v>0.56503321577433252</v>
      </c>
      <c r="F63" s="195">
        <f t="shared" si="36"/>
        <v>0.56430769472722109</v>
      </c>
      <c r="G63" s="195">
        <f t="shared" si="36"/>
        <v>0.5635803648476202</v>
      </c>
      <c r="H63" s="195">
        <f t="shared" si="36"/>
        <v>0.56285116264939083</v>
      </c>
      <c r="I63" s="195">
        <f t="shared" si="36"/>
        <v>0.56212037855878494</v>
      </c>
      <c r="J63" s="195">
        <f t="shared" si="36"/>
        <v>0.56138880268227254</v>
      </c>
      <c r="K63" s="195">
        <f t="shared" si="36"/>
        <v>0.5606580821126369</v>
      </c>
      <c r="L63" s="195">
        <f t="shared" si="36"/>
        <v>0.55993135602113031</v>
      </c>
      <c r="M63" s="195">
        <f t="shared" si="36"/>
        <v>0.5592142276452855</v>
      </c>
      <c r="N63" s="195">
        <f t="shared" si="36"/>
        <v>0.55851640244935452</v>
      </c>
      <c r="O63" s="195">
        <f t="shared" si="36"/>
        <v>0.55785425768146935</v>
      </c>
      <c r="P63" s="195">
        <f t="shared" si="36"/>
        <v>0.55725450314880043</v>
      </c>
      <c r="Q63" s="195">
        <f t="shared" si="36"/>
        <v>0.55675712578269498</v>
      </c>
      <c r="R63" s="195">
        <f t="shared" si="36"/>
        <v>0.55640910067443805</v>
      </c>
      <c r="S63" s="195">
        <f t="shared" si="36"/>
        <v>0.55623137966797798</v>
      </c>
      <c r="T63" s="195">
        <f t="shared" si="36"/>
        <v>0.55617789606442225</v>
      </c>
      <c r="U63" s="195">
        <f t="shared" si="36"/>
        <v>0.55617096465843208</v>
      </c>
      <c r="V63" s="195">
        <f t="shared" si="36"/>
        <v>0.55617084374213732</v>
      </c>
      <c r="W63" s="195">
        <f t="shared" si="36"/>
        <v>0.55617079973056549</v>
      </c>
      <c r="X63" s="195">
        <f t="shared" si="36"/>
        <v>0.55617078738159043</v>
      </c>
      <c r="Y63" s="195">
        <f t="shared" si="36"/>
        <v>0.55617078458362879</v>
      </c>
      <c r="Z63" s="138"/>
    </row>
    <row r="64" spans="1:26" x14ac:dyDescent="0.2">
      <c r="A64" t="str">
        <f t="shared" ref="A64:Q64" si="37">A50</f>
        <v>Kaldorian</v>
      </c>
      <c r="B64" s="195">
        <f t="shared" si="37"/>
        <v>0.56058995943839174</v>
      </c>
      <c r="C64" s="195">
        <f t="shared" si="37"/>
        <v>0.5614291053688254</v>
      </c>
      <c r="D64" s="195">
        <f t="shared" si="37"/>
        <v>0.55542364239412634</v>
      </c>
      <c r="E64" s="195">
        <f t="shared" si="37"/>
        <v>0.54914868835860486</v>
      </c>
      <c r="F64" s="195">
        <f t="shared" si="37"/>
        <v>0.54256072934431432</v>
      </c>
      <c r="G64" s="195">
        <f t="shared" si="37"/>
        <v>0.53560548559004473</v>
      </c>
      <c r="H64" s="195">
        <f t="shared" si="37"/>
        <v>0.52821343627809991</v>
      </c>
      <c r="I64" s="195">
        <f t="shared" si="37"/>
        <v>0.52029354325471289</v>
      </c>
      <c r="J64" s="195">
        <f t="shared" si="37"/>
        <v>0.51172239728195579</v>
      </c>
      <c r="K64" s="195">
        <f t="shared" si="37"/>
        <v>0.50232635889907851</v>
      </c>
      <c r="L64" s="195">
        <f t="shared" si="37"/>
        <v>0.49184969442366711</v>
      </c>
      <c r="M64" s="195">
        <f t="shared" si="37"/>
        <v>0.4798960192558907</v>
      </c>
      <c r="N64" s="195">
        <f t="shared" si="37"/>
        <v>0.46581407316711931</v>
      </c>
      <c r="O64" s="195">
        <f t="shared" si="37"/>
        <v>0.44846275305698857</v>
      </c>
      <c r="P64" s="195">
        <f t="shared" si="37"/>
        <v>0.42570062360513344</v>
      </c>
      <c r="Q64" s="195">
        <f t="shared" si="37"/>
        <v>0.39322933734513671</v>
      </c>
      <c r="R64" s="195"/>
      <c r="S64" s="195"/>
      <c r="T64" s="195"/>
      <c r="U64" s="195"/>
      <c r="V64" s="195"/>
      <c r="W64" s="195"/>
      <c r="X64" s="195"/>
      <c r="Y64" s="195"/>
      <c r="Z64" s="138"/>
    </row>
    <row r="65" spans="1:26" x14ac:dyDescent="0.2">
      <c r="A65" t="str">
        <f t="shared" ref="A65:Y65" si="38">A51</f>
        <v>Johansen</v>
      </c>
      <c r="B65" s="195">
        <f t="shared" si="38"/>
        <v>0.56058995943839174</v>
      </c>
      <c r="C65" s="195">
        <f t="shared" si="38"/>
        <v>0.56647355960775014</v>
      </c>
      <c r="D65" s="195">
        <f t="shared" si="38"/>
        <v>0.56574513289307238</v>
      </c>
      <c r="E65" s="195">
        <f t="shared" si="38"/>
        <v>0.56501495593718276</v>
      </c>
      <c r="F65" s="195">
        <f t="shared" si="38"/>
        <v>0.56428276666085364</v>
      </c>
      <c r="G65" s="195">
        <f t="shared" si="38"/>
        <v>0.5635484080002684</v>
      </c>
      <c r="H65" s="195">
        <f t="shared" si="38"/>
        <v>0.56281182677192554</v>
      </c>
      <c r="I65" s="195">
        <f t="shared" si="38"/>
        <v>0.5620733483796837</v>
      </c>
      <c r="J65" s="195">
        <f t="shared" si="38"/>
        <v>0.56133386614783753</v>
      </c>
      <c r="K65" s="195">
        <f t="shared" si="38"/>
        <v>0.56059523658174926</v>
      </c>
      <c r="L65" s="195">
        <f t="shared" si="38"/>
        <v>0.5598609879396379</v>
      </c>
      <c r="M65" s="195">
        <f t="shared" si="38"/>
        <v>0.55913739421318598</v>
      </c>
      <c r="N65" s="195">
        <f t="shared" si="38"/>
        <v>0.55843526759913487</v>
      </c>
      <c r="O65" s="195">
        <f t="shared" si="38"/>
        <v>0.55777275751520139</v>
      </c>
      <c r="P65" s="195">
        <f t="shared" si="38"/>
        <v>0.55717912559829208</v>
      </c>
      <c r="Q65" s="195">
        <f t="shared" si="38"/>
        <v>0.55669705910168621</v>
      </c>
      <c r="R65" s="195">
        <f t="shared" si="38"/>
        <v>0.55637291847905135</v>
      </c>
      <c r="S65" s="195">
        <f t="shared" si="38"/>
        <v>0.55621821061611953</v>
      </c>
      <c r="T65" s="195">
        <f t="shared" si="38"/>
        <v>0.55617582669724852</v>
      </c>
      <c r="U65" s="195">
        <f t="shared" si="38"/>
        <v>0.55617089994561908</v>
      </c>
      <c r="V65" s="195">
        <f t="shared" si="38"/>
        <v>0.55617082204407009</v>
      </c>
      <c r="W65" s="195">
        <f t="shared" si="38"/>
        <v>0.55617079414429971</v>
      </c>
      <c r="X65" s="195">
        <f t="shared" si="38"/>
        <v>0.55617078615685589</v>
      </c>
      <c r="Y65" s="195">
        <f t="shared" si="38"/>
        <v>0.55617078466092262</v>
      </c>
      <c r="Z65" s="138"/>
    </row>
    <row r="66" spans="1:26" x14ac:dyDescent="0.2">
      <c r="A66" t="str">
        <f t="shared" ref="A66:R66" si="39">A52</f>
        <v>Keynes-Kaldor</v>
      </c>
      <c r="B66" s="195">
        <f t="shared" si="39"/>
        <v>0.56058995943839174</v>
      </c>
      <c r="C66" s="195">
        <f t="shared" si="39"/>
        <v>0.5609707958771748</v>
      </c>
      <c r="D66" s="195">
        <f t="shared" si="39"/>
        <v>0.5545517892770937</v>
      </c>
      <c r="E66" s="195">
        <f t="shared" si="39"/>
        <v>0.54790873368076987</v>
      </c>
      <c r="F66" s="195">
        <f t="shared" si="39"/>
        <v>0.54099986895825103</v>
      </c>
      <c r="G66" s="195">
        <f t="shared" si="39"/>
        <v>0.53377410174080508</v>
      </c>
      <c r="H66" s="195">
        <f t="shared" si="39"/>
        <v>0.5261670949853311</v>
      </c>
      <c r="I66" s="195">
        <f t="shared" si="39"/>
        <v>0.51809559767057545</v>
      </c>
      <c r="J66" s="195">
        <f t="shared" si="39"/>
        <v>0.50944826833455248</v>
      </c>
      <c r="K66" s="195">
        <f t="shared" si="39"/>
        <v>0.50007084574724725</v>
      </c>
      <c r="L66" s="195">
        <f t="shared" si="39"/>
        <v>0.48974069905522516</v>
      </c>
      <c r="M66" s="195">
        <f t="shared" si="39"/>
        <v>0.47812255123525366</v>
      </c>
      <c r="N66" s="195">
        <f t="shared" si="39"/>
        <v>0.46468755298968378</v>
      </c>
      <c r="O66" s="195">
        <f t="shared" si="39"/>
        <v>0.44856019082940624</v>
      </c>
      <c r="P66" s="195">
        <f t="shared" si="39"/>
        <v>0.42821994906637251</v>
      </c>
      <c r="Q66" s="195">
        <f t="shared" si="39"/>
        <v>0.40091395753917353</v>
      </c>
      <c r="R66" s="195">
        <f t="shared" si="39"/>
        <v>0.36152279379884084</v>
      </c>
      <c r="S66" s="195"/>
      <c r="T66" s="195"/>
      <c r="U66" s="195"/>
      <c r="V66" s="195"/>
      <c r="W66" s="195"/>
      <c r="X66" s="195"/>
      <c r="Y66" s="195"/>
    </row>
    <row r="67" spans="1:26" x14ac:dyDescent="0.2">
      <c r="A67" t="str">
        <f t="shared" ref="A67:K67" si="40">A53</f>
        <v>Keynes-Marshall</v>
      </c>
      <c r="B67" s="195">
        <f t="shared" si="40"/>
        <v>0.56058995943839174</v>
      </c>
      <c r="C67" s="195">
        <f t="shared" si="40"/>
        <v>0.59390673288419493</v>
      </c>
      <c r="D67" s="195">
        <f t="shared" si="40"/>
        <v>0.61944014764663879</v>
      </c>
      <c r="E67" s="195">
        <f t="shared" si="40"/>
        <v>0.64484688671102564</v>
      </c>
      <c r="F67" s="195">
        <f t="shared" si="40"/>
        <v>0.67117149859786662</v>
      </c>
      <c r="G67" s="195">
        <f t="shared" si="40"/>
        <v>0.69985913461804994</v>
      </c>
      <c r="H67" s="195">
        <f t="shared" si="40"/>
        <v>0.73348783116829563</v>
      </c>
      <c r="I67" s="195">
        <f t="shared" si="40"/>
        <v>0.77801439157479135</v>
      </c>
      <c r="J67" s="195">
        <f t="shared" si="40"/>
        <v>0.85407622695191587</v>
      </c>
      <c r="K67" s="195" t="e">
        <f t="shared" si="40"/>
        <v>#DIV/0!</v>
      </c>
      <c r="L67" s="195"/>
      <c r="M67" s="195"/>
      <c r="N67" s="195"/>
      <c r="O67" s="195"/>
      <c r="P67" s="195"/>
      <c r="Q67" s="195"/>
      <c r="R67" s="195"/>
      <c r="S67" s="195"/>
      <c r="T67" s="195"/>
      <c r="U67" s="195"/>
      <c r="V67" s="195"/>
      <c r="W67" s="195"/>
      <c r="X67" s="195"/>
      <c r="Y67" s="195"/>
    </row>
    <row r="68" spans="1:26" x14ac:dyDescent="0.2">
      <c r="A68" t="str">
        <f t="shared" ref="A68:N68" si="41">A54</f>
        <v>Keynesian</v>
      </c>
      <c r="B68" s="195">
        <f t="shared" si="41"/>
        <v>0.56058995943839174</v>
      </c>
      <c r="C68" s="195">
        <f t="shared" si="41"/>
        <v>0.57469940583023382</v>
      </c>
      <c r="D68" s="195">
        <f t="shared" si="41"/>
        <v>0.58238164582140506</v>
      </c>
      <c r="E68" s="195">
        <f t="shared" si="41"/>
        <v>0.59026113874772501</v>
      </c>
      <c r="F68" s="195">
        <f t="shared" si="41"/>
        <v>0.59835353893370491</v>
      </c>
      <c r="G68" s="195">
        <f t="shared" si="41"/>
        <v>0.60667623488482769</v>
      </c>
      <c r="H68" s="195">
        <f t="shared" si="41"/>
        <v>0.61524870400665466</v>
      </c>
      <c r="I68" s="195">
        <f t="shared" si="41"/>
        <v>0.62409287821153059</v>
      </c>
      <c r="J68" s="195">
        <f t="shared" si="41"/>
        <v>0.63323385701486223</v>
      </c>
      <c r="K68" s="195">
        <f t="shared" si="41"/>
        <v>0.64269907371332791</v>
      </c>
      <c r="L68" s="195">
        <f t="shared" si="41"/>
        <v>0.65251905645710373</v>
      </c>
      <c r="M68" s="195">
        <f t="shared" si="41"/>
        <v>0.66272691280113061</v>
      </c>
      <c r="N68" s="195">
        <f t="shared" si="41"/>
        <v>0.6733550458542793</v>
      </c>
      <c r="O68" s="195"/>
      <c r="P68" s="195"/>
      <c r="Q68" s="195"/>
      <c r="R68" s="195"/>
      <c r="S68" s="195"/>
      <c r="T68" s="195"/>
      <c r="U68" s="195"/>
      <c r="V68" s="195"/>
      <c r="W68" s="195"/>
      <c r="X68" s="195"/>
      <c r="Y68" s="195"/>
    </row>
    <row r="69" spans="1:26" x14ac:dyDescent="0.2">
      <c r="A69" t="str">
        <f t="shared" ref="A69:Y69" si="42">A55</f>
        <v>Neo-K1</v>
      </c>
      <c r="B69" s="195">
        <f t="shared" si="42"/>
        <v>0.56058995943839174</v>
      </c>
      <c r="C69" s="195">
        <f t="shared" si="42"/>
        <v>0.56673757498886679</v>
      </c>
      <c r="D69" s="195">
        <f t="shared" si="42"/>
        <v>0.56626961600345904</v>
      </c>
      <c r="E69" s="195">
        <f t="shared" si="42"/>
        <v>0.56579502436646378</v>
      </c>
      <c r="F69" s="195">
        <f t="shared" si="42"/>
        <v>0.56531175349486251</v>
      </c>
      <c r="G69" s="195">
        <f t="shared" si="42"/>
        <v>0.5648172611031832</v>
      </c>
      <c r="H69" s="195">
        <f t="shared" si="42"/>
        <v>0.56430838172691522</v>
      </c>
      <c r="I69" s="195">
        <f t="shared" si="42"/>
        <v>0.56378119150873496</v>
      </c>
      <c r="J69" s="195">
        <f t="shared" si="42"/>
        <v>0.5632308568614165</v>
      </c>
      <c r="K69" s="195">
        <f t="shared" si="42"/>
        <v>0.56265148697840617</v>
      </c>
      <c r="L69" s="195">
        <f t="shared" si="42"/>
        <v>0.5620359957028126</v>
      </c>
      <c r="M69" s="195">
        <f t="shared" si="42"/>
        <v>0.56137607290913705</v>
      </c>
      <c r="N69" s="195">
        <f t="shared" si="42"/>
        <v>0.56066236370096167</v>
      </c>
      <c r="O69" s="195">
        <f t="shared" si="42"/>
        <v>0.55988504978385045</v>
      </c>
      <c r="P69" s="195">
        <f t="shared" si="42"/>
        <v>0.55903506762906507</v>
      </c>
      <c r="Q69" s="195">
        <f t="shared" si="42"/>
        <v>0.55810617034048615</v>
      </c>
      <c r="R69" s="195">
        <f t="shared" si="42"/>
        <v>0.55709769929336983</v>
      </c>
      <c r="S69" s="195">
        <f t="shared" si="42"/>
        <v>0.55601717442872334</v>
      </c>
      <c r="T69" s="195">
        <f t="shared" si="42"/>
        <v>0.55488120311201361</v>
      </c>
      <c r="U69" s="195">
        <f t="shared" si="42"/>
        <v>0.5537134344319169</v>
      </c>
      <c r="V69" s="195">
        <f t="shared" si="42"/>
        <v>0.5534783824165489</v>
      </c>
      <c r="W69" s="195">
        <f t="shared" si="42"/>
        <v>0.55324332293559231</v>
      </c>
      <c r="X69" s="195">
        <f t="shared" si="42"/>
        <v>0.55300844438211905</v>
      </c>
      <c r="Y69" s="195">
        <f t="shared" si="42"/>
        <v>0.55277395382276551</v>
      </c>
    </row>
    <row r="70" spans="1:26" x14ac:dyDescent="0.2">
      <c r="A70" t="str">
        <f t="shared" ref="A70:Y70" si="43">A56</f>
        <v>Neo-K2</v>
      </c>
      <c r="B70" s="195">
        <f t="shared" si="43"/>
        <v>0.56058995943839174</v>
      </c>
      <c r="C70" s="195">
        <f t="shared" si="43"/>
        <v>0.56727372413117216</v>
      </c>
      <c r="D70" s="195">
        <f t="shared" si="43"/>
        <v>0.56737852909973296</v>
      </c>
      <c r="E70" s="195">
        <f t="shared" si="43"/>
        <v>0.56751810054965757</v>
      </c>
      <c r="F70" s="195">
        <f t="shared" si="43"/>
        <v>0.56769572714738403</v>
      </c>
      <c r="G70" s="195">
        <f t="shared" si="43"/>
        <v>0.56791475457072504</v>
      </c>
      <c r="H70" s="195">
        <f t="shared" si="43"/>
        <v>0.56817833248370431</v>
      </c>
      <c r="I70" s="195">
        <f t="shared" si="43"/>
        <v>0.56848901550610387</v>
      </c>
      <c r="J70" s="195">
        <f t="shared" si="43"/>
        <v>0.56884800778405353</v>
      </c>
      <c r="K70" s="195">
        <f t="shared" si="43"/>
        <v>0.56925407687780472</v>
      </c>
      <c r="L70" s="195">
        <f t="shared" si="43"/>
        <v>0.56970136639125613</v>
      </c>
      <c r="M70" s="195">
        <f t="shared" si="43"/>
        <v>0.57017600846793914</v>
      </c>
      <c r="N70" s="195">
        <f t="shared" si="43"/>
        <v>0.5706505747445676</v>
      </c>
      <c r="O70" s="195">
        <f t="shared" si="43"/>
        <v>0.57107571420582415</v>
      </c>
      <c r="P70" s="195">
        <f t="shared" si="43"/>
        <v>0.571369034530959</v>
      </c>
      <c r="Q70" s="195">
        <f t="shared" si="43"/>
        <v>0.5714015783265548</v>
      </c>
      <c r="R70" s="195">
        <f t="shared" si="43"/>
        <v>0.57097204684619951</v>
      </c>
      <c r="S70" s="195">
        <f t="shared" si="43"/>
        <v>0.56969654752451249</v>
      </c>
      <c r="T70" s="195">
        <f t="shared" si="43"/>
        <v>0.56646389765334149</v>
      </c>
      <c r="U70" s="195">
        <f t="shared" si="43"/>
        <v>0.55655196131480245</v>
      </c>
      <c r="V70" s="195">
        <f t="shared" si="43"/>
        <v>0.55215889637536186</v>
      </c>
      <c r="W70" s="195">
        <f t="shared" si="43"/>
        <v>0.54565080329187987</v>
      </c>
      <c r="X70" s="195">
        <f t="shared" si="43"/>
        <v>0.53493265113199084</v>
      </c>
      <c r="Y70" s="195">
        <f t="shared" si="43"/>
        <v>0.51289634274254225</v>
      </c>
    </row>
    <row r="72" spans="1:26" x14ac:dyDescent="0.2">
      <c r="A72" t="s">
        <v>165</v>
      </c>
    </row>
    <row r="73" spans="1:26" x14ac:dyDescent="0.2">
      <c r="A73" t="s">
        <v>147</v>
      </c>
      <c r="B73" s="94">
        <v>0</v>
      </c>
      <c r="C73" s="94">
        <v>0.05</v>
      </c>
      <c r="D73" s="94">
        <v>0.1</v>
      </c>
      <c r="E73" s="94">
        <v>0.15000000000000002</v>
      </c>
      <c r="F73" s="94">
        <v>0.2</v>
      </c>
      <c r="G73" s="94">
        <v>0.25</v>
      </c>
      <c r="H73" s="94">
        <v>0.3</v>
      </c>
      <c r="I73" s="94">
        <v>0.35</v>
      </c>
      <c r="J73" s="94">
        <v>0.39999999999999997</v>
      </c>
      <c r="K73" s="94">
        <v>0.44999999999999996</v>
      </c>
      <c r="L73" s="94">
        <v>0.49999999999999994</v>
      </c>
      <c r="M73" s="94">
        <v>0.54999999999999993</v>
      </c>
      <c r="N73" s="94">
        <v>0.6</v>
      </c>
      <c r="O73" s="94">
        <v>0.65</v>
      </c>
      <c r="P73" s="94">
        <v>0.70000000000000007</v>
      </c>
      <c r="Q73" s="94">
        <v>0.75000000000000011</v>
      </c>
      <c r="R73" s="94">
        <v>0.80000000000000016</v>
      </c>
      <c r="S73" s="94">
        <v>0.8500000000000002</v>
      </c>
      <c r="T73" s="94">
        <v>0.90000000000000024</v>
      </c>
      <c r="U73" s="94">
        <v>0.95000000000000029</v>
      </c>
      <c r="V73" s="94">
        <v>0.9600000000000003</v>
      </c>
      <c r="W73" s="94">
        <v>0.97000000000000031</v>
      </c>
      <c r="X73" s="94">
        <v>0.98000000000000032</v>
      </c>
      <c r="Y73" s="94">
        <v>0.99000000000000032</v>
      </c>
    </row>
    <row r="74" spans="1:26" x14ac:dyDescent="0.2">
      <c r="A74" t="s">
        <v>89</v>
      </c>
      <c r="B74" s="80">
        <f>NeoClassical!B$24</f>
        <v>3196.3846373657216</v>
      </c>
      <c r="C74" s="80">
        <f>NeoClassical!D$24</f>
        <v>3233.5804140928672</v>
      </c>
      <c r="D74" s="80">
        <f>NeoClassical!F$24</f>
        <v>3271.3255351384055</v>
      </c>
      <c r="E74" s="80">
        <f>NeoClassical!H$24</f>
        <v>3309.6834973169762</v>
      </c>
      <c r="F74" s="80">
        <f>NeoClassical!J$24</f>
        <v>3348.7296962893897</v>
      </c>
      <c r="G74" s="80">
        <f>NeoClassical!L$24</f>
        <v>3388.5552457425579</v>
      </c>
      <c r="H74" s="80">
        <f>NeoClassical!N$24</f>
        <v>3429.2739749776247</v>
      </c>
      <c r="I74" s="80">
        <f>NeoClassical!P$24</f>
        <v>3471.034719378642</v>
      </c>
      <c r="J74" s="80">
        <f>NeoClassical!R$24</f>
        <v>3514.0407151259774</v>
      </c>
      <c r="K74" s="80">
        <f>NeoClassical!T$24</f>
        <v>3558.5845431074672</v>
      </c>
      <c r="L74" s="80">
        <f>NeoClassical!V$24</f>
        <v>3605.111761162073</v>
      </c>
      <c r="M74" s="80">
        <f>NeoClassical!X$24</f>
        <v>3654.3376548583155</v>
      </c>
      <c r="N74" s="80">
        <f>NeoClassical!Z$24</f>
        <v>3707.4686013415808</v>
      </c>
      <c r="O74" s="80">
        <f>NeoClassical!AB$24</f>
        <v>3766.6258920203254</v>
      </c>
      <c r="P74" s="80">
        <f>NeoClassical!AD$24</f>
        <v>3835.6358875739988</v>
      </c>
      <c r="Q74" s="80">
        <f>NeoClassical!AF$24</f>
        <v>3921.3109106606948</v>
      </c>
      <c r="R74" s="80">
        <f>NeoClassical!AH$24</f>
        <v>4034.4327836834709</v>
      </c>
      <c r="S74" s="80">
        <f>NeoClassical!AJ$24</f>
        <v>4186.0233298364756</v>
      </c>
      <c r="T74" s="80">
        <f>NeoClassical!AL$24</f>
        <v>4368.3619842750768</v>
      </c>
      <c r="U74" s="80">
        <f>NeoClassical!AN$24</f>
        <v>4449.4043055462062</v>
      </c>
      <c r="V74" s="80">
        <f>NeoClassical!AP$24</f>
        <v>4386.5508770407396</v>
      </c>
      <c r="W74" s="80">
        <f>NeoClassical!AR$24</f>
        <v>4230.662734871933</v>
      </c>
      <c r="X74" s="80">
        <f>NeoClassical!AT$24</f>
        <v>3869.3012333100864</v>
      </c>
      <c r="Y74" s="80">
        <f>NeoClassical!AV$24</f>
        <v>2964.9333755172261</v>
      </c>
    </row>
    <row r="75" spans="1:26" x14ac:dyDescent="0.2">
      <c r="A75" t="s">
        <v>90</v>
      </c>
      <c r="B75" s="80">
        <f>Johansen!B$24</f>
        <v>3196.3846373657216</v>
      </c>
      <c r="C75" s="80">
        <f>Johansen!D$24</f>
        <v>3201.6912615825408</v>
      </c>
      <c r="D75" s="80">
        <f>Johansen!F$24</f>
        <v>3206.6406421319571</v>
      </c>
      <c r="E75" s="80">
        <f>Johansen!H$24</f>
        <v>3211.1742848465778</v>
      </c>
      <c r="F75" s="80">
        <f>Johansen!J$24</f>
        <v>3215.2201650302895</v>
      </c>
      <c r="G75" s="80">
        <f>Johansen!L$24</f>
        <v>3218.6885451802282</v>
      </c>
      <c r="H75" s="80">
        <f>Johansen!N$24</f>
        <v>3221.4676345168423</v>
      </c>
      <c r="I75" s="80">
        <f>Johansen!P$24</f>
        <v>3223.4146204522444</v>
      </c>
      <c r="J75" s="80">
        <f>Johansen!R$24</f>
        <v>3224.3454684581188</v>
      </c>
      <c r="K75" s="80">
        <f>Johansen!T$24</f>
        <v>3224.0191216355634</v>
      </c>
      <c r="L75" s="80">
        <f>Johansen!V$24</f>
        <v>3222.112548293584</v>
      </c>
      <c r="M75" s="80">
        <f>Johansen!X$24</f>
        <v>3218.181769414879</v>
      </c>
      <c r="N75" s="80">
        <f>Johansen!Z$24</f>
        <v>3211.5944514856596</v>
      </c>
      <c r="O75" s="80">
        <f>Johansen!AB$24</f>
        <v>3201.4034232406848</v>
      </c>
      <c r="P75" s="80">
        <f>Johansen!AD$24</f>
        <v>3186.0783136513542</v>
      </c>
      <c r="Q75" s="80">
        <f>Johansen!AF$24</f>
        <v>3162.840358550468</v>
      </c>
      <c r="R75" s="80">
        <f>Johansen!AH$24</f>
        <v>3125.7479293357742</v>
      </c>
      <c r="S75" s="80">
        <f>Johansen!AJ$24</f>
        <v>3059.7632449717457</v>
      </c>
      <c r="T75" s="80">
        <f>Johansen!AL$24</f>
        <v>2921.0381674138262</v>
      </c>
      <c r="U75" s="80">
        <f>Johansen!AN$24</f>
        <v>2538.1513589302317</v>
      </c>
      <c r="V75" s="80">
        <f>Johansen!AP$24</f>
        <v>2376.7404945003623</v>
      </c>
      <c r="W75" s="80">
        <f>Johansen!AR$24</f>
        <v>2146.7459165816417</v>
      </c>
      <c r="X75" s="80">
        <f>Johansen!AT$24</f>
        <v>1796.0900224166191</v>
      </c>
      <c r="Y75" s="80">
        <f>Johansen!AV$24</f>
        <v>1202.8803649095066</v>
      </c>
    </row>
    <row r="76" spans="1:26" x14ac:dyDescent="0.2">
      <c r="A76" t="s">
        <v>143</v>
      </c>
      <c r="B76" s="80">
        <f>Kaldorian!B$24</f>
        <v>3196.3846373657216</v>
      </c>
      <c r="C76" s="80">
        <f>Kaldorian!D$24</f>
        <v>3201.7101187463845</v>
      </c>
      <c r="D76" s="80">
        <f>Kaldorian!F$24</f>
        <v>3206.6814273950326</v>
      </c>
      <c r="E76" s="80">
        <f>Kaldorian!H$24</f>
        <v>3211.2404028792876</v>
      </c>
      <c r="F76" s="80">
        <f>Kaldorian!J$24</f>
        <v>3215.3157949050333</v>
      </c>
      <c r="G76" s="80">
        <f>Kaldorian!L$24</f>
        <v>3218.8180096317797</v>
      </c>
      <c r="H76" s="80">
        <f>Kaldorian!N$24</f>
        <v>3221.6357141178014</v>
      </c>
      <c r="I76" s="80">
        <f>Kaldorian!P$24</f>
        <v>3223.6262834709191</v>
      </c>
      <c r="J76" s="80">
        <f>Kaldorian!R$24</f>
        <v>3224.6055158461772</v>
      </c>
      <c r="K76" s="80">
        <f>Kaldorian!T$24</f>
        <v>3224.331469303022</v>
      </c>
      <c r="L76" s="80">
        <f>Kaldorian!V$24</f>
        <v>3222.4791080926566</v>
      </c>
      <c r="M76" s="80">
        <f>Kaldorian!X$24</f>
        <v>3218.6004646393135</v>
      </c>
      <c r="N76" s="80">
        <f>Kaldorian!Z$24</f>
        <v>3212.0558525777069</v>
      </c>
      <c r="O76" s="80">
        <f>Kaldorian!AB$24</f>
        <v>3201.8857290719493</v>
      </c>
      <c r="P76" s="80">
        <f>Kaldorian!AD$24</f>
        <v>3186.5401722891679</v>
      </c>
      <c r="Q76" s="80">
        <f>Kaldorian!AF$24</f>
        <v>3163.2178402056484</v>
      </c>
      <c r="R76" s="80">
        <f>Kaldorian!AH$24</f>
        <v>3125.9764501023133</v>
      </c>
      <c r="S76" s="80">
        <f>Kaldorian!AJ$24</f>
        <v>3059.843487716008</v>
      </c>
      <c r="T76" s="80">
        <f>Kaldorian!AL$24</f>
        <v>2921.0493309950289</v>
      </c>
      <c r="U76" s="80">
        <f>Kaldorian!AN$24</f>
        <v>0</v>
      </c>
      <c r="V76" s="80">
        <f>Kaldorian!AP$24</f>
        <v>0</v>
      </c>
      <c r="W76" s="80">
        <f>Kaldorian!AR$24</f>
        <v>0</v>
      </c>
      <c r="X76" s="80">
        <f>Kaldorian!AT$24</f>
        <v>0</v>
      </c>
      <c r="Y76" s="80">
        <f>Kaldorian!AV$24</f>
        <v>0</v>
      </c>
    </row>
    <row r="77" spans="1:26" x14ac:dyDescent="0.2">
      <c r="A77" t="s">
        <v>146</v>
      </c>
      <c r="B77" s="80">
        <f>'Keynes-K'!B$24</f>
        <v>3196.3846373657216</v>
      </c>
      <c r="C77" s="80">
        <f>'Keynes-K'!D$24</f>
        <v>3218.2295312700521</v>
      </c>
      <c r="D77" s="80">
        <f>'Keynes-K'!F$24</f>
        <v>3238.2137566682054</v>
      </c>
      <c r="E77" s="80">
        <f>'Keynes-K'!H$24</f>
        <v>3256.1315746363971</v>
      </c>
      <c r="F77" s="80">
        <f>'Keynes-K'!J$24</f>
        <v>3271.7209662822083</v>
      </c>
      <c r="G77" s="80">
        <f>'Keynes-K'!L$24</f>
        <v>3284.6494640509327</v>
      </c>
      <c r="H77" s="80">
        <f>'Keynes-K'!N$24</f>
        <v>3294.4932072244187</v>
      </c>
      <c r="I77" s="80">
        <f>'Keynes-K'!P$24</f>
        <v>3300.7086936610567</v>
      </c>
      <c r="J77" s="80">
        <f>'Keynes-K'!R$24</f>
        <v>3302.5916918186131</v>
      </c>
      <c r="K77" s="80">
        <f>'Keynes-K'!T$24</f>
        <v>3299.2164905163086</v>
      </c>
      <c r="L77" s="80">
        <f>'Keynes-K'!V$24</f>
        <v>3289.3425337454769</v>
      </c>
      <c r="M77" s="80">
        <f>'Keynes-K'!X$24</f>
        <v>3271.2630138987297</v>
      </c>
      <c r="N77" s="80">
        <f>'Keynes-K'!Z$24</f>
        <v>3242.5473867374599</v>
      </c>
      <c r="O77" s="80">
        <f>'Keynes-K'!AB$24</f>
        <v>3199.5708407722777</v>
      </c>
      <c r="P77" s="80">
        <f>'Keynes-K'!AD$24</f>
        <v>3136.5968666542972</v>
      </c>
      <c r="Q77" s="80">
        <f>'Keynes-K'!AF$24</f>
        <v>3043.8621146969272</v>
      </c>
      <c r="R77" s="80">
        <f>'Keynes-K'!AH$24</f>
        <v>2903.4222816230858</v>
      </c>
      <c r="S77" s="80">
        <f>'Keynes-K'!AJ$24</f>
        <v>2680.3176764135596</v>
      </c>
      <c r="T77" s="80">
        <f>'Keynes-K'!AL$24</f>
        <v>2303.9185565974772</v>
      </c>
      <c r="U77" s="80">
        <f>'Keynes-K'!AN$24</f>
        <v>0</v>
      </c>
      <c r="V77" s="80">
        <f>'Keynes-K'!AP$24</f>
        <v>0</v>
      </c>
      <c r="W77" s="80">
        <f>'Keynes-K'!AR$24</f>
        <v>0</v>
      </c>
      <c r="X77" s="80">
        <f>'Keynes-K'!AT$24</f>
        <v>0</v>
      </c>
      <c r="Y77" s="80">
        <f>'Keynes-K'!AV$24</f>
        <v>0</v>
      </c>
    </row>
    <row r="78" spans="1:26" x14ac:dyDescent="0.2">
      <c r="A78" t="s">
        <v>144</v>
      </c>
      <c r="B78" s="80">
        <f>'Keynes-M'!B$24</f>
        <v>3196.3846373657216</v>
      </c>
      <c r="C78" s="80">
        <f>'Keynes-M'!D$24</f>
        <v>3505.0699039294486</v>
      </c>
      <c r="D78" s="80">
        <f>'Keynes-M'!F$24</f>
        <v>3814.4358732538194</v>
      </c>
      <c r="E78" s="80">
        <f>'Keynes-M'!H$24</f>
        <v>4135.1878837319318</v>
      </c>
      <c r="F78" s="80">
        <f>'Keynes-M'!J$24</f>
        <v>4480.0486913438117</v>
      </c>
      <c r="G78" s="80">
        <f>'Keynes-M'!L$24</f>
        <v>4869.1698302871937</v>
      </c>
      <c r="H78" s="80">
        <f>'Keynes-M'!N$24</f>
        <v>5341.9591982660613</v>
      </c>
      <c r="I78" s="80">
        <f>'Keynes-M'!P$24</f>
        <v>5996.1018622798592</v>
      </c>
      <c r="J78" s="80">
        <f>'Keynes-M'!R$24</f>
        <v>7197.6884953807212</v>
      </c>
      <c r="K78" s="80">
        <f>'Keynes-M'!T$24</f>
        <v>0</v>
      </c>
      <c r="L78" s="80">
        <f>'Keynes-M'!V$24</f>
        <v>0</v>
      </c>
      <c r="M78" s="80">
        <f>'Keynes-M'!X$24</f>
        <v>0</v>
      </c>
      <c r="N78" s="80">
        <f>'Keynes-M'!Z$24</f>
        <v>0</v>
      </c>
      <c r="O78" s="80">
        <f>'Keynes-M'!AB$24</f>
        <v>0</v>
      </c>
      <c r="P78" s="80">
        <f>'Keynes-M'!AD$24</f>
        <v>0</v>
      </c>
      <c r="Q78" s="80">
        <f>'Keynes-M'!AF$24</f>
        <v>0</v>
      </c>
      <c r="R78" s="80">
        <f>'Keynes-M'!AH$24</f>
        <v>0</v>
      </c>
      <c r="S78" s="80">
        <f>'Keynes-M'!AJ$24</f>
        <v>0</v>
      </c>
      <c r="T78" s="80">
        <f>'Keynes-M'!AL$24</f>
        <v>0</v>
      </c>
      <c r="U78" s="80">
        <f>'Keynes-M'!AN$24</f>
        <v>0</v>
      </c>
      <c r="V78" s="80">
        <f>'Keynes-M'!AP$24</f>
        <v>0</v>
      </c>
      <c r="W78" s="80">
        <f>'Keynes-M'!AR$24</f>
        <v>0</v>
      </c>
      <c r="X78" s="80">
        <f>'Keynes-M'!AT$24</f>
        <v>0</v>
      </c>
      <c r="Y78" s="80">
        <f>'Keynes-M'!AV$24</f>
        <v>0</v>
      </c>
    </row>
    <row r="79" spans="1:26" x14ac:dyDescent="0.2">
      <c r="A79" t="s">
        <v>145</v>
      </c>
      <c r="B79" s="80">
        <f>Keynesian!B$24</f>
        <v>3196.3846373657216</v>
      </c>
      <c r="C79" s="80">
        <f>Keynesian!D$24</f>
        <v>3133.1491878012052</v>
      </c>
      <c r="D79" s="80">
        <f>Keynesian!F$24</f>
        <v>3065.7726780933031</v>
      </c>
      <c r="E79" s="80">
        <f>Keynesian!H$24</f>
        <v>2993.8697635199896</v>
      </c>
      <c r="F79" s="80">
        <f>Keynesian!J$24</f>
        <v>2917.0023449346322</v>
      </c>
      <c r="G79" s="80">
        <f>Keynesian!L$24</f>
        <v>2834.6698202508724</v>
      </c>
      <c r="H79" s="80">
        <f>Keynesian!N$24</f>
        <v>2746.2981427137115</v>
      </c>
      <c r="I79" s="80">
        <f>Keynesian!P$24</f>
        <v>2651.2262437980312</v>
      </c>
      <c r="J79" s="80">
        <f>Keynesian!R$24</f>
        <v>2548.6901338347102</v>
      </c>
      <c r="K79" s="80">
        <f>Keynesian!T$24</f>
        <v>2437.8038749409052</v>
      </c>
      <c r="L79" s="80">
        <f>Keynesian!V$24</f>
        <v>2317.5400405126547</v>
      </c>
      <c r="M79" s="80">
        <f>Keynesian!X$24</f>
        <v>2186.7104267466052</v>
      </c>
      <c r="N79" s="80">
        <f>Keynesian!Z$24</f>
        <v>2043.960863795179</v>
      </c>
      <c r="O79" s="80">
        <f>Keynesian!AB$24</f>
        <v>1887.8140316781657</v>
      </c>
      <c r="P79" s="80">
        <f>Keynesian!AD$24</f>
        <v>1716.8886480804103</v>
      </c>
      <c r="Q79" s="80">
        <f>Keynesian!AF$24</f>
        <v>1530.8677217272752</v>
      </c>
      <c r="R79" s="80">
        <f>Keynesian!AH$24</f>
        <v>1335.8024134230182</v>
      </c>
      <c r="S79" s="80">
        <f>Keynesian!AJ$24</f>
        <v>0</v>
      </c>
      <c r="T79" s="80">
        <f>Keynesian!AL$24</f>
        <v>0</v>
      </c>
      <c r="U79" s="80">
        <f>Keynesian!AN$24</f>
        <v>0</v>
      </c>
      <c r="V79" s="80">
        <f>Keynesian!AP$24</f>
        <v>0</v>
      </c>
      <c r="W79" s="80">
        <f>Keynesian!AR$24</f>
        <v>0</v>
      </c>
      <c r="X79" s="80">
        <f>Keynesian!AT$24</f>
        <v>0</v>
      </c>
      <c r="Y79" s="80">
        <f>Keynesian!AV$24</f>
        <v>0</v>
      </c>
    </row>
    <row r="80" spans="1:26" x14ac:dyDescent="0.2">
      <c r="A80" t="s">
        <v>158</v>
      </c>
      <c r="B80" s="80">
        <f>'Neo-K1'!B$24</f>
        <v>3196.3846373657216</v>
      </c>
      <c r="C80" s="80">
        <f>'Neo-K1'!D$24</f>
        <v>3206.2711554709167</v>
      </c>
      <c r="D80" s="80">
        <f>'Neo-K1'!F$24</f>
        <v>3213.4173828253056</v>
      </c>
      <c r="E80" s="80">
        <f>'Neo-K1'!H$24</f>
        <v>3217.2593444910976</v>
      </c>
      <c r="F80" s="80">
        <f>'Neo-K1'!J$24</f>
        <v>3217.0886069802209</v>
      </c>
      <c r="G80" s="80">
        <f>'Neo-K1'!L$24</f>
        <v>3212.0057883308054</v>
      </c>
      <c r="H80" s="80">
        <f>'Neo-K1'!N$24</f>
        <v>3200.8630000108456</v>
      </c>
      <c r="I80" s="80">
        <f>'Neo-K1'!P$24</f>
        <v>3182.1819508255917</v>
      </c>
      <c r="J80" s="80">
        <f>'Neo-K1'!R$24</f>
        <v>3154.042892222601</v>
      </c>
      <c r="K80" s="80">
        <f>'Neo-K1'!T$24</f>
        <v>3113.9402707773052</v>
      </c>
      <c r="L80" s="80">
        <f>'Neo-K1'!V$24</f>
        <v>3058.5775876167077</v>
      </c>
      <c r="M80" s="80">
        <f>'Neo-K1'!X$24</f>
        <v>2983.6200942076089</v>
      </c>
      <c r="N80" s="80">
        <f>'Neo-K1'!Z$24</f>
        <v>2883.3813548164781</v>
      </c>
      <c r="O80" s="80">
        <f>'Neo-K1'!AB$24</f>
        <v>2750.4915678824245</v>
      </c>
      <c r="P80" s="80">
        <f>'Neo-K1'!AD$24</f>
        <v>2575.636413252259</v>
      </c>
      <c r="Q80" s="80">
        <f>'Neo-K1'!AF$24</f>
        <v>2347.5558599551014</v>
      </c>
      <c r="R80" s="80">
        <f>'Neo-K1'!AH$24</f>
        <v>2053.575327298121</v>
      </c>
      <c r="S80" s="80">
        <f>'Neo-K1'!AJ$24</f>
        <v>1680.8910855435026</v>
      </c>
      <c r="T80" s="80">
        <f>'Neo-K1'!AL$24</f>
        <v>1218.4899142635293</v>
      </c>
      <c r="U80" s="80">
        <f>'Neo-K1'!AN$24</f>
        <v>659.05693281114077</v>
      </c>
      <c r="V80" s="80">
        <f>'Neo-K1'!AP$24</f>
        <v>535.21413816095435</v>
      </c>
      <c r="W80" s="80">
        <f>'Neo-K1'!AR$24</f>
        <v>407.37407968748198</v>
      </c>
      <c r="X80" s="80">
        <f>'Neo-K1'!AT$24</f>
        <v>275.54670618902639</v>
      </c>
      <c r="Y80" s="80">
        <f>'Neo-K1'!AV$24</f>
        <v>139.74780498816884</v>
      </c>
    </row>
    <row r="81" spans="1:25" x14ac:dyDescent="0.2">
      <c r="A81" t="s">
        <v>157</v>
      </c>
      <c r="B81" s="80">
        <f>'Neo-K2'!B$24</f>
        <v>3196.3846373657216</v>
      </c>
      <c r="C81" s="80">
        <f>'Neo-K2'!D$24</f>
        <v>3196.3846373657216</v>
      </c>
      <c r="D81" s="80">
        <f>'Neo-K2'!F$24</f>
        <v>3196.3846373657216</v>
      </c>
      <c r="E81" s="80">
        <f>'Neo-K2'!H$24</f>
        <v>3196.3846373657216</v>
      </c>
      <c r="F81" s="80">
        <f>'Neo-K2'!J$24</f>
        <v>3196.3846373657216</v>
      </c>
      <c r="G81" s="80">
        <f>'Neo-K2'!L$24</f>
        <v>3196.3846373657216</v>
      </c>
      <c r="H81" s="80">
        <f>'Neo-K2'!N$24</f>
        <v>3196.3846373657216</v>
      </c>
      <c r="I81" s="80">
        <f>'Neo-K2'!P$24</f>
        <v>3196.3846373657216</v>
      </c>
      <c r="J81" s="80">
        <f>'Neo-K2'!R$24</f>
        <v>3196.3846373657216</v>
      </c>
      <c r="K81" s="80">
        <f>'Neo-K2'!T$24</f>
        <v>3196.3846373657216</v>
      </c>
      <c r="L81" s="80">
        <f>'Neo-K2'!V$24</f>
        <v>3196.3846373657216</v>
      </c>
      <c r="M81" s="80">
        <f>'Neo-K2'!X$24</f>
        <v>3196.3846373657216</v>
      </c>
      <c r="N81" s="80">
        <f>'Neo-K2'!Z$24</f>
        <v>3196.3846373657216</v>
      </c>
      <c r="O81" s="80">
        <f>'Neo-K2'!AB$24</f>
        <v>3196.3846373657216</v>
      </c>
      <c r="P81" s="80">
        <f>'Neo-K2'!AD$24</f>
        <v>3196.3846373657216</v>
      </c>
      <c r="Q81" s="80">
        <f>'Neo-K2'!AF$24</f>
        <v>3196.3846373657216</v>
      </c>
      <c r="R81" s="80">
        <f>'Neo-K2'!AH$24</f>
        <v>3196.3846373657216</v>
      </c>
      <c r="S81" s="80">
        <f>'Neo-K2'!AJ$24</f>
        <v>3196.3846373657216</v>
      </c>
      <c r="T81" s="80">
        <f>'Neo-K2'!AL$24</f>
        <v>3196.3846373657216</v>
      </c>
      <c r="U81" s="80">
        <f>'Neo-K2'!AN$24</f>
        <v>3196.3846373657216</v>
      </c>
      <c r="V81" s="80">
        <f>'Neo-K2'!AP$24</f>
        <v>3196.3846373657216</v>
      </c>
      <c r="W81" s="80">
        <f>'Neo-K2'!AR$24</f>
        <v>3196.3846373657216</v>
      </c>
      <c r="X81" s="80">
        <f>'Neo-K2'!AT$24</f>
        <v>3196.3846373657216</v>
      </c>
      <c r="Y81" s="80">
        <f>'Neo-K2'!AV$24</f>
        <v>3196.3846373657216</v>
      </c>
    </row>
    <row r="84" spans="1:25" x14ac:dyDescent="0.2">
      <c r="A84" t="s">
        <v>197</v>
      </c>
      <c r="B84" s="94">
        <f>B33</f>
        <v>0</v>
      </c>
      <c r="C84" s="94">
        <f t="shared" ref="C84:Y92" si="44">C33</f>
        <v>0.05</v>
      </c>
      <c r="D84" s="94">
        <f t="shared" si="44"/>
        <v>0.1</v>
      </c>
      <c r="E84" s="94">
        <f t="shared" si="44"/>
        <v>0.15000000000000002</v>
      </c>
      <c r="F84" s="94">
        <f t="shared" si="44"/>
        <v>0.2</v>
      </c>
      <c r="G84" s="94">
        <f t="shared" si="44"/>
        <v>0.25</v>
      </c>
      <c r="H84" s="94">
        <f t="shared" si="44"/>
        <v>0.3</v>
      </c>
      <c r="I84" s="94">
        <f t="shared" si="44"/>
        <v>0.35</v>
      </c>
      <c r="J84" s="94">
        <f t="shared" si="44"/>
        <v>0.39999999999999997</v>
      </c>
      <c r="K84" s="94">
        <f t="shared" si="44"/>
        <v>0.44999999999999996</v>
      </c>
      <c r="L84" s="94">
        <f t="shared" si="44"/>
        <v>0.49999999999999994</v>
      </c>
      <c r="M84" s="94">
        <f t="shared" si="44"/>
        <v>0.54999999999999993</v>
      </c>
      <c r="N84" s="94">
        <f t="shared" si="44"/>
        <v>0.6</v>
      </c>
      <c r="O84" s="94">
        <f t="shared" si="44"/>
        <v>0.65</v>
      </c>
      <c r="P84" s="94">
        <f t="shared" si="44"/>
        <v>0.70000000000000007</v>
      </c>
      <c r="Q84" s="94">
        <f t="shared" si="44"/>
        <v>0.75000000000000011</v>
      </c>
      <c r="R84" s="94">
        <f t="shared" si="44"/>
        <v>0.80000000000000016</v>
      </c>
      <c r="S84" s="94">
        <f t="shared" si="44"/>
        <v>0.8500000000000002</v>
      </c>
      <c r="T84" s="94">
        <f t="shared" si="44"/>
        <v>0.90000000000000024</v>
      </c>
      <c r="U84" s="94">
        <f t="shared" si="44"/>
        <v>0.95000000000000029</v>
      </c>
      <c r="V84" s="94">
        <f t="shared" si="44"/>
        <v>0.9600000000000003</v>
      </c>
      <c r="W84" s="94">
        <f t="shared" si="44"/>
        <v>0.97000000000000031</v>
      </c>
      <c r="X84" s="94">
        <f t="shared" si="44"/>
        <v>0.98000000000000032</v>
      </c>
      <c r="Y84" s="94">
        <f t="shared" si="44"/>
        <v>0.99000000000000032</v>
      </c>
    </row>
    <row r="85" spans="1:25" x14ac:dyDescent="0.2">
      <c r="A85" t="str">
        <f>A3</f>
        <v>Neoclassical</v>
      </c>
      <c r="B85" s="240">
        <f t="shared" ref="B85:Q92" si="45">B34</f>
        <v>5.7716594496607888E-3</v>
      </c>
      <c r="C85" s="240">
        <f t="shared" si="45"/>
        <v>5.2791387594175745E-2</v>
      </c>
      <c r="D85" s="240">
        <f t="shared" si="45"/>
        <v>0.10439861272070942</v>
      </c>
      <c r="E85" s="240">
        <f t="shared" si="45"/>
        <v>0.16134112562507397</v>
      </c>
      <c r="F85" s="240">
        <f t="shared" si="45"/>
        <v>0.22455605081668825</v>
      </c>
      <c r="G85" s="240">
        <f t="shared" si="45"/>
        <v>0.29523663497827934</v>
      </c>
      <c r="H85" s="240">
        <f t="shared" si="45"/>
        <v>0.37494710506964452</v>
      </c>
      <c r="I85" s="240">
        <f t="shared" si="45"/>
        <v>0.46577672086627314</v>
      </c>
      <c r="J85" s="240">
        <f t="shared" si="45"/>
        <v>0.57061082432700183</v>
      </c>
      <c r="K85" s="240">
        <f t="shared" si="45"/>
        <v>0.69357570735775587</v>
      </c>
      <c r="L85" s="240">
        <f t="shared" si="45"/>
        <v>0.84082133279318527</v>
      </c>
      <c r="M85" s="240">
        <f t="shared" si="45"/>
        <v>1.02197558859941</v>
      </c>
      <c r="N85" s="240">
        <f t="shared" si="45"/>
        <v>1.2530104490746272</v>
      </c>
      <c r="O85" s="240">
        <f t="shared" si="45"/>
        <v>1.5623173827593688</v>
      </c>
      <c r="P85" s="240">
        <f t="shared" si="45"/>
        <v>2.0046123114964454</v>
      </c>
      <c r="Q85" s="240">
        <f t="shared" si="45"/>
        <v>2.6954812969478197</v>
      </c>
      <c r="R85" s="240">
        <f t="shared" si="44"/>
        <v>3.9038774801490379</v>
      </c>
      <c r="S85" s="240">
        <f t="shared" si="44"/>
        <v>6.3258821959527696</v>
      </c>
      <c r="T85" s="240">
        <f t="shared" si="44"/>
        <v>12.14355226631435</v>
      </c>
      <c r="U85" s="240">
        <f t="shared" si="44"/>
        <v>32.219336356126149</v>
      </c>
      <c r="V85" s="240">
        <f t="shared" si="44"/>
        <v>42.382449364706758</v>
      </c>
      <c r="W85" s="240">
        <f t="shared" si="44"/>
        <v>58.606228141104047</v>
      </c>
      <c r="X85" s="240">
        <f t="shared" si="44"/>
        <v>87.3956383089741</v>
      </c>
      <c r="Y85" s="240">
        <f t="shared" si="44"/>
        <v>148.23021468144265</v>
      </c>
    </row>
    <row r="86" spans="1:25" x14ac:dyDescent="0.2">
      <c r="A86" t="str">
        <f t="shared" ref="A86:A93" si="46">A4</f>
        <v>Kaldorian</v>
      </c>
      <c r="B86" s="240">
        <f t="shared" si="45"/>
        <v>5.7716594496607888E-3</v>
      </c>
      <c r="C86" s="240">
        <f t="shared" si="44"/>
        <v>5.6361623216212076E-2</v>
      </c>
      <c r="D86" s="240">
        <f t="shared" si="44"/>
        <v>0.11184709778564959</v>
      </c>
      <c r="E86" s="240">
        <f t="shared" si="44"/>
        <v>0.17301914413661823</v>
      </c>
      <c r="F86" s="240">
        <f t="shared" si="44"/>
        <v>0.24086861641285093</v>
      </c>
      <c r="G86" s="240">
        <f t="shared" si="44"/>
        <v>0.31665749039834112</v>
      </c>
      <c r="H86" s="240">
        <f t="shared" si="44"/>
        <v>0.40204145052806656</v>
      </c>
      <c r="I86" s="240">
        <f t="shared" si="44"/>
        <v>0.4992363277814969</v>
      </c>
      <c r="J86" s="240">
        <f t="shared" si="44"/>
        <v>0.61131204002333339</v>
      </c>
      <c r="K86" s="240">
        <f t="shared" si="44"/>
        <v>0.74267908699896279</v>
      </c>
      <c r="L86" s="240">
        <f t="shared" si="44"/>
        <v>0.8999522205182221</v>
      </c>
      <c r="M86" s="240">
        <f t="shared" si="44"/>
        <v>1.0935692509553194</v>
      </c>
      <c r="N86" s="240">
        <f t="shared" si="44"/>
        <v>1.3410187935279883</v>
      </c>
      <c r="O86" s="240">
        <f t="shared" si="44"/>
        <v>1.6737550226448146</v>
      </c>
      <c r="P86" s="240">
        <f t="shared" si="44"/>
        <v>2.1532461350817567</v>
      </c>
      <c r="Q86" s="240">
        <f t="shared" si="44"/>
        <v>2.9112961352161988</v>
      </c>
      <c r="R86" s="240">
        <f t="shared" si="44"/>
        <v>4.2585929836854444</v>
      </c>
      <c r="S86" s="240">
        <f t="shared" si="44"/>
        <v>7.0048413792010269</v>
      </c>
      <c r="T86" s="240">
        <f t="shared" si="44"/>
        <v>13.700012996633429</v>
      </c>
      <c r="U86" s="240">
        <f t="shared" si="44"/>
        <v>0</v>
      </c>
      <c r="V86" s="240">
        <f t="shared" si="44"/>
        <v>0</v>
      </c>
      <c r="W86" s="240">
        <f t="shared" si="44"/>
        <v>0</v>
      </c>
      <c r="X86" s="240">
        <f t="shared" si="44"/>
        <v>0</v>
      </c>
      <c r="Y86" s="240">
        <f t="shared" si="44"/>
        <v>0</v>
      </c>
    </row>
    <row r="87" spans="1:25" x14ac:dyDescent="0.2">
      <c r="A87" t="str">
        <f t="shared" si="46"/>
        <v>Johansen</v>
      </c>
      <c r="B87" s="240">
        <f t="shared" si="45"/>
        <v>5.7716594496607888E-3</v>
      </c>
      <c r="C87" s="240">
        <f t="shared" si="44"/>
        <v>5.4510920948863201E-2</v>
      </c>
      <c r="D87" s="240">
        <f t="shared" si="44"/>
        <v>0.10802533370958685</v>
      </c>
      <c r="E87" s="240">
        <f t="shared" si="44"/>
        <v>0.16709707522333259</v>
      </c>
      <c r="F87" s="240">
        <f t="shared" si="44"/>
        <v>0.23271078666843656</v>
      </c>
      <c r="G87" s="240">
        <f t="shared" si="44"/>
        <v>0.30612116588012978</v>
      </c>
      <c r="H87" s="240">
        <f t="shared" si="44"/>
        <v>0.38898110492914278</v>
      </c>
      <c r="I87" s="240">
        <f t="shared" si="44"/>
        <v>0.48350901254309825</v>
      </c>
      <c r="J87" s="240">
        <f t="shared" si="44"/>
        <v>0.59278645545921249</v>
      </c>
      <c r="K87" s="240">
        <f t="shared" si="44"/>
        <v>0.72125160458918314</v>
      </c>
      <c r="L87" s="240">
        <f t="shared" si="44"/>
        <v>0.87557403773433762</v>
      </c>
      <c r="M87" s="240">
        <f t="shared" si="44"/>
        <v>1.0662961716282844</v>
      </c>
      <c r="N87" s="240">
        <f t="shared" si="44"/>
        <v>1.3111057238172501</v>
      </c>
      <c r="O87" s="240">
        <f t="shared" si="44"/>
        <v>1.6418431574139807</v>
      </c>
      <c r="P87" s="240">
        <f t="shared" si="44"/>
        <v>2.1207328438007114</v>
      </c>
      <c r="Q87" s="240">
        <f t="shared" si="44"/>
        <v>2.8809401716026652</v>
      </c>
      <c r="R87" s="240">
        <f t="shared" si="44"/>
        <v>4.2347860141113962</v>
      </c>
      <c r="S87" s="240">
        <f t="shared" si="44"/>
        <v>6.9913014978346784</v>
      </c>
      <c r="T87" s="240">
        <f t="shared" si="44"/>
        <v>13.695381863164723</v>
      </c>
      <c r="U87" s="240">
        <f t="shared" si="44"/>
        <v>37.028382846129922</v>
      </c>
      <c r="V87" s="240">
        <f t="shared" si="44"/>
        <v>48.776564047391993</v>
      </c>
      <c r="W87" s="240">
        <f t="shared" si="44"/>
        <v>67.306407029167673</v>
      </c>
      <c r="X87" s="240">
        <f t="shared" si="44"/>
        <v>99.3299726745866</v>
      </c>
      <c r="Y87" s="240">
        <f t="shared" si="44"/>
        <v>162.98439901050136</v>
      </c>
    </row>
    <row r="88" spans="1:25" x14ac:dyDescent="0.2">
      <c r="A88" t="str">
        <f t="shared" si="46"/>
        <v>Keynes-Kaldor</v>
      </c>
      <c r="B88" s="240">
        <f t="shared" si="45"/>
        <v>5.7716594496607888E-3</v>
      </c>
      <c r="C88" s="240">
        <f t="shared" si="44"/>
        <v>6.0508473035784223E-2</v>
      </c>
      <c r="D88" s="240">
        <f t="shared" si="44"/>
        <v>0.12017786482402612</v>
      </c>
      <c r="E88" s="240">
        <f t="shared" si="44"/>
        <v>0.18554200747706678</v>
      </c>
      <c r="F88" s="240">
        <f t="shared" si="44"/>
        <v>0.25754982015348638</v>
      </c>
      <c r="G88" s="240">
        <f t="shared" si="44"/>
        <v>0.33740181499258465</v>
      </c>
      <c r="H88" s="240">
        <f t="shared" si="44"/>
        <v>0.42665437540521473</v>
      </c>
      <c r="I88" s="240">
        <f t="shared" si="44"/>
        <v>0.52737491139433357</v>
      </c>
      <c r="J88" s="240">
        <f t="shared" si="44"/>
        <v>0.64239044659470401</v>
      </c>
      <c r="K88" s="240">
        <f t="shared" si="44"/>
        <v>0.77569502398210821</v>
      </c>
      <c r="L88" s="240">
        <f t="shared" si="44"/>
        <v>0.93314650644560804</v>
      </c>
      <c r="M88" s="240">
        <f t="shared" si="44"/>
        <v>1.1237082645458822</v>
      </c>
      <c r="N88" s="240">
        <f t="shared" si="44"/>
        <v>1.3617795104685035</v>
      </c>
      <c r="O88" s="240">
        <f t="shared" si="44"/>
        <v>1.6717988700896715</v>
      </c>
      <c r="P88" s="240">
        <f t="shared" si="44"/>
        <v>2.0978495375047226</v>
      </c>
      <c r="Q88" s="240">
        <f t="shared" si="44"/>
        <v>2.7245981341450238</v>
      </c>
      <c r="R88" s="240">
        <f t="shared" si="44"/>
        <v>3.7240922034902595</v>
      </c>
      <c r="S88" s="240">
        <f t="shared" si="44"/>
        <v>5.4637916250897085</v>
      </c>
      <c r="T88" s="240">
        <f t="shared" si="44"/>
        <v>8.8080245099577379</v>
      </c>
      <c r="U88" s="240">
        <f t="shared" si="44"/>
        <v>0</v>
      </c>
      <c r="V88" s="240">
        <f t="shared" si="44"/>
        <v>0</v>
      </c>
      <c r="W88" s="240">
        <f t="shared" si="44"/>
        <v>0</v>
      </c>
      <c r="X88" s="240">
        <f t="shared" si="44"/>
        <v>0</v>
      </c>
      <c r="Y88" s="240">
        <f t="shared" si="44"/>
        <v>0</v>
      </c>
    </row>
    <row r="89" spans="1:25" x14ac:dyDescent="0.2">
      <c r="A89" t="str">
        <f t="shared" si="46"/>
        <v>Keynes-Marshall</v>
      </c>
      <c r="B89" s="240">
        <f t="shared" si="45"/>
        <v>5.7716594496607888E-3</v>
      </c>
      <c r="C89" s="240">
        <f t="shared" si="44"/>
        <v>0.11579041748959829</v>
      </c>
      <c r="D89" s="240">
        <f t="shared" si="44"/>
        <v>0.23615534956480858</v>
      </c>
      <c r="E89" s="240">
        <f t="shared" si="44"/>
        <v>0.37290117777800752</v>
      </c>
      <c r="F89" s="240">
        <f t="shared" si="44"/>
        <v>0.53511539423081556</v>
      </c>
      <c r="G89" s="240">
        <f t="shared" si="44"/>
        <v>0.73886313873076515</v>
      </c>
      <c r="H89" s="240">
        <f t="shared" si="44"/>
        <v>1.0173865465926848</v>
      </c>
      <c r="I89" s="240">
        <f t="shared" si="44"/>
        <v>1.457268712242404</v>
      </c>
      <c r="J89" s="240">
        <f t="shared" si="44"/>
        <v>2.4107134253558717</v>
      </c>
      <c r="K89" s="240">
        <f t="shared" si="44"/>
        <v>0</v>
      </c>
      <c r="L89" s="240">
        <f t="shared" si="44"/>
        <v>0</v>
      </c>
      <c r="M89" s="240">
        <f t="shared" si="44"/>
        <v>0</v>
      </c>
      <c r="N89" s="240">
        <f t="shared" si="44"/>
        <v>0</v>
      </c>
      <c r="O89" s="240">
        <f t="shared" si="44"/>
        <v>0</v>
      </c>
      <c r="P89" s="240">
        <f t="shared" si="44"/>
        <v>0</v>
      </c>
      <c r="Q89" s="240">
        <f t="shared" si="44"/>
        <v>0</v>
      </c>
      <c r="R89" s="240">
        <f t="shared" si="44"/>
        <v>0</v>
      </c>
      <c r="S89" s="240">
        <f t="shared" si="44"/>
        <v>0</v>
      </c>
      <c r="T89" s="240">
        <f t="shared" si="44"/>
        <v>0</v>
      </c>
      <c r="U89" s="240">
        <f t="shared" si="44"/>
        <v>0</v>
      </c>
      <c r="V89" s="240">
        <f t="shared" si="44"/>
        <v>0</v>
      </c>
      <c r="W89" s="240">
        <f t="shared" si="44"/>
        <v>0</v>
      </c>
      <c r="X89" s="240">
        <f t="shared" si="44"/>
        <v>0</v>
      </c>
      <c r="Y89" s="240">
        <f t="shared" si="44"/>
        <v>0</v>
      </c>
    </row>
    <row r="90" spans="1:25" x14ac:dyDescent="0.2">
      <c r="A90" t="str">
        <f t="shared" si="46"/>
        <v>Keynesian</v>
      </c>
      <c r="B90" s="240">
        <f t="shared" si="45"/>
        <v>5.7716594496607888E-3</v>
      </c>
      <c r="C90" s="240">
        <f t="shared" si="44"/>
        <v>3.5002574579733145E-2</v>
      </c>
      <c r="D90" s="240">
        <f t="shared" si="44"/>
        <v>6.6145078643977478E-2</v>
      </c>
      <c r="E90" s="240">
        <f t="shared" si="44"/>
        <v>9.9394090617561423E-2</v>
      </c>
      <c r="F90" s="240">
        <f t="shared" si="44"/>
        <v>0.13497255816894616</v>
      </c>
      <c r="G90" s="240">
        <f t="shared" si="44"/>
        <v>0.17313677087985269</v>
      </c>
      <c r="H90" s="240">
        <f t="shared" si="44"/>
        <v>0.21418273054294254</v>
      </c>
      <c r="I90" s="240">
        <f t="shared" si="44"/>
        <v>0.25845410467157987</v>
      </c>
      <c r="J90" s="240">
        <f t="shared" si="44"/>
        <v>0.30635199724664436</v>
      </c>
      <c r="K90" s="240">
        <f t="shared" si="44"/>
        <v>0.35834590922426068</v>
      </c>
      <c r="L90" s="240">
        <f t="shared" si="44"/>
        <v>0.41498653726245988</v>
      </c>
      <c r="M90" s="240">
        <f t="shared" si="44"/>
        <v>0.47691792417956969</v>
      </c>
      <c r="N90" s="240">
        <f t="shared" si="44"/>
        <v>0.54487971652297218</v>
      </c>
      <c r="O90" s="240">
        <f t="shared" si="44"/>
        <v>0.6196735176926027</v>
      </c>
      <c r="P90" s="240">
        <f t="shared" si="44"/>
        <v>0.7019916479474223</v>
      </c>
      <c r="Q90" s="240">
        <f t="shared" si="44"/>
        <v>0.79163747460714406</v>
      </c>
      <c r="R90" s="240">
        <f t="shared" si="44"/>
        <v>0.88315794061831787</v>
      </c>
      <c r="S90" s="240">
        <f t="shared" si="44"/>
        <v>0</v>
      </c>
      <c r="T90" s="240">
        <f t="shared" si="44"/>
        <v>0</v>
      </c>
      <c r="U90" s="240">
        <f t="shared" si="44"/>
        <v>0</v>
      </c>
      <c r="V90" s="240">
        <f t="shared" si="44"/>
        <v>0</v>
      </c>
      <c r="W90" s="240">
        <f t="shared" si="44"/>
        <v>0</v>
      </c>
      <c r="X90" s="240">
        <f t="shared" si="44"/>
        <v>0</v>
      </c>
      <c r="Y90" s="240">
        <f t="shared" si="44"/>
        <v>0</v>
      </c>
    </row>
    <row r="91" spans="1:25" x14ac:dyDescent="0.2">
      <c r="A91" t="str">
        <f t="shared" si="46"/>
        <v>Neo-K2</v>
      </c>
      <c r="B91" s="240">
        <f t="shared" si="45"/>
        <v>5.7716594496607888E-3</v>
      </c>
      <c r="C91" s="240">
        <f t="shared" si="44"/>
        <v>4.2247839491710133E-2</v>
      </c>
      <c r="D91" s="240">
        <f t="shared" si="44"/>
        <v>8.10265021341013E-2</v>
      </c>
      <c r="E91" s="240">
        <f t="shared" si="44"/>
        <v>0.12226979430751463</v>
      </c>
      <c r="F91" s="240">
        <f t="shared" si="44"/>
        <v>0.16614144861941321</v>
      </c>
      <c r="G91" s="240">
        <f t="shared" si="44"/>
        <v>0.2128022377042765</v>
      </c>
      <c r="H91" s="240">
        <f t="shared" si="44"/>
        <v>0.26240964051165938</v>
      </c>
      <c r="I91" s="240">
        <f t="shared" si="44"/>
        <v>0.31512270304422552</v>
      </c>
      <c r="J91" s="240">
        <f t="shared" si="44"/>
        <v>0.37112682732226737</v>
      </c>
      <c r="K91" s="240">
        <f t="shared" si="44"/>
        <v>0.43069845870087142</v>
      </c>
      <c r="L91" s="240">
        <f t="shared" si="44"/>
        <v>0.49437955586841248</v>
      </c>
      <c r="M91" s="240">
        <f t="shared" si="44"/>
        <v>0.56337511521148032</v>
      </c>
      <c r="N91" s="240">
        <f t="shared" si="44"/>
        <v>0.64044030923865947</v>
      </c>
      <c r="O91" s="240">
        <f t="shared" si="44"/>
        <v>0.73182164154811413</v>
      </c>
      <c r="P91" s="240">
        <f t="shared" si="44"/>
        <v>0.85153591246490912</v>
      </c>
      <c r="Q91" s="240">
        <f t="shared" si="44"/>
        <v>1.0315589751327912</v>
      </c>
      <c r="R91" s="240">
        <f t="shared" si="44"/>
        <v>1.3510019356085934</v>
      </c>
      <c r="S91" s="240">
        <f t="shared" si="44"/>
        <v>2.044472381892418</v>
      </c>
      <c r="T91" s="240">
        <f t="shared" si="44"/>
        <v>4.0245275050213163</v>
      </c>
      <c r="U91" s="240">
        <f t="shared" si="44"/>
        <v>12.906857178683266</v>
      </c>
      <c r="V91" s="240">
        <f t="shared" si="44"/>
        <v>18.289600474582755</v>
      </c>
      <c r="W91" s="240">
        <f t="shared" si="44"/>
        <v>28.10520146708409</v>
      </c>
      <c r="X91" s="240">
        <f t="shared" si="44"/>
        <v>49.793341534314187</v>
      </c>
      <c r="Y91" s="240">
        <f t="shared" si="44"/>
        <v>122.72830654694103</v>
      </c>
    </row>
    <row r="92" spans="1:25" x14ac:dyDescent="0.2">
      <c r="A92" t="str">
        <f t="shared" si="46"/>
        <v>Neo-K1</v>
      </c>
      <c r="B92" s="240">
        <f t="shared" si="45"/>
        <v>5.7716594496607888E-3</v>
      </c>
      <c r="C92" s="240">
        <f t="shared" si="44"/>
        <v>4.6308369179485276E-2</v>
      </c>
      <c r="D92" s="240">
        <f t="shared" si="44"/>
        <v>9.0097377442061602E-2</v>
      </c>
      <c r="E92" s="240">
        <f t="shared" si="44"/>
        <v>0.13753501930758563</v>
      </c>
      <c r="F92" s="240">
        <f t="shared" si="44"/>
        <v>0.18908392661900802</v>
      </c>
      <c r="G92" s="240">
        <f t="shared" si="44"/>
        <v>0.24528687751224615</v>
      </c>
      <c r="H92" s="240">
        <f t="shared" si="44"/>
        <v>0.30678410509498916</v>
      </c>
      <c r="I92" s="240">
        <f t="shared" si="44"/>
        <v>0.37433399454448446</v>
      </c>
      <c r="J92" s="240">
        <f t="shared" si="44"/>
        <v>0.44883731440878294</v>
      </c>
      <c r="K92" s="240">
        <f t="shared" si="44"/>
        <v>0.53136308269427079</v>
      </c>
      <c r="L92" s="240">
        <f t="shared" si="44"/>
        <v>0.62317436754993372</v>
      </c>
      <c r="M92" s="240">
        <f t="shared" si="44"/>
        <v>0.72574166746875091</v>
      </c>
      <c r="N92" s="240">
        <f t="shared" si="44"/>
        <v>0.84073006982909049</v>
      </c>
      <c r="O92" s="240">
        <f t="shared" si="44"/>
        <v>0.96992669435682388</v>
      </c>
      <c r="P92" s="240">
        <f t="shared" si="44"/>
        <v>1.1150661371661377</v>
      </c>
      <c r="Q92" s="240">
        <f t="shared" si="44"/>
        <v>1.2775096204293364</v>
      </c>
      <c r="R92" s="240">
        <f t="shared" si="44"/>
        <v>1.4577777374579237</v>
      </c>
      <c r="S92" s="240">
        <f t="shared" si="44"/>
        <v>1.6550524366209172</v>
      </c>
      <c r="T92" s="240">
        <f t="shared" si="44"/>
        <v>1.8668996397522606</v>
      </c>
      <c r="U92" s="240">
        <f t="shared" si="44"/>
        <v>2.0894622307346769</v>
      </c>
      <c r="V92" s="240">
        <f t="shared" si="44"/>
        <v>2.1348583236451972</v>
      </c>
      <c r="W92" s="240">
        <f t="shared" si="44"/>
        <v>2.180460188330303</v>
      </c>
      <c r="X92" s="240">
        <f t="shared" si="44"/>
        <v>2.226230366474919</v>
      </c>
      <c r="Y92" s="240">
        <f t="shared" si="44"/>
        <v>2.272131980964724</v>
      </c>
    </row>
    <row r="93" spans="1:25" x14ac:dyDescent="0.2">
      <c r="A93" t="str">
        <f t="shared" si="46"/>
        <v>Neoclassical - hetero s</v>
      </c>
    </row>
  </sheetData>
  <conditionalFormatting sqref="B49:Y56">
    <cfRule type="containsErrors" dxfId="6" priority="12">
      <formula>ISERROR(B49)</formula>
    </cfRule>
    <cfRule type="containsErrors" priority="14">
      <formula>ISERROR(B49)</formula>
    </cfRule>
  </conditionalFormatting>
  <conditionalFormatting sqref="B63:Y70">
    <cfRule type="containsErrors" dxfId="5" priority="10">
      <formula>ISERROR(B63)</formula>
    </cfRule>
    <cfRule type="containsErrors" priority="11">
      <formula>ISERROR(B63)</formula>
    </cfRule>
  </conditionalFormatting>
  <conditionalFormatting sqref="B74:Y81">
    <cfRule type="cellIs" dxfId="4" priority="8" operator="equal">
      <formula>0</formula>
    </cfRule>
  </conditionalFormatting>
  <conditionalFormatting sqref="B3:Y3 B6:Y10">
    <cfRule type="cellIs" dxfId="3" priority="4" operator="equal">
      <formula>0</formula>
    </cfRule>
  </conditionalFormatting>
  <conditionalFormatting sqref="B11:Y11">
    <cfRule type="cellIs" dxfId="2" priority="3" operator="equal">
      <formula>0</formula>
    </cfRule>
  </conditionalFormatting>
  <conditionalFormatting sqref="B5:Y5">
    <cfRule type="cellIs" dxfId="1" priority="2" operator="equal">
      <formula>0</formula>
    </cfRule>
  </conditionalFormatting>
  <conditionalFormatting sqref="B4:Y4">
    <cfRule type="cellIs" dxfId="0" priority="1" operator="equal">
      <formula>0</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AF0A93-D066-4D42-A55A-9D15F7D88C0A}">
  <dimension ref="A1:Y9"/>
  <sheetViews>
    <sheetView tabSelected="1" workbookViewId="0">
      <selection activeCell="N28" sqref="N28"/>
    </sheetView>
  </sheetViews>
  <sheetFormatPr baseColWidth="10" defaultRowHeight="10" x14ac:dyDescent="0.2"/>
  <sheetData>
    <row r="1" spans="1:25" x14ac:dyDescent="0.2">
      <c r="A1" t="s">
        <v>198</v>
      </c>
      <c r="B1">
        <f>'Diagnosis Indicators'!B2</f>
        <v>0</v>
      </c>
      <c r="C1">
        <f>'Diagnosis Indicators'!C2</f>
        <v>0.05</v>
      </c>
      <c r="D1">
        <f>'Diagnosis Indicators'!D2</f>
        <v>0.1</v>
      </c>
      <c r="E1">
        <f>'Diagnosis Indicators'!E2</f>
        <v>0.15000000000000002</v>
      </c>
      <c r="F1">
        <f>'Diagnosis Indicators'!F2</f>
        <v>0.2</v>
      </c>
      <c r="G1">
        <f>'Diagnosis Indicators'!G2</f>
        <v>0.25</v>
      </c>
      <c r="H1">
        <f>'Diagnosis Indicators'!H2</f>
        <v>0.3</v>
      </c>
      <c r="I1">
        <f>'Diagnosis Indicators'!I2</f>
        <v>0.35</v>
      </c>
      <c r="J1">
        <f>'Diagnosis Indicators'!J2</f>
        <v>0.39999999999999997</v>
      </c>
      <c r="K1">
        <f>'Diagnosis Indicators'!K2</f>
        <v>0.44999999999999996</v>
      </c>
      <c r="L1">
        <f>'Diagnosis Indicators'!L2</f>
        <v>0.49999999999999994</v>
      </c>
      <c r="M1">
        <f>'Diagnosis Indicators'!M2</f>
        <v>0.54999999999999993</v>
      </c>
      <c r="N1">
        <f>'Diagnosis Indicators'!N2</f>
        <v>0.6</v>
      </c>
      <c r="O1">
        <f>'Diagnosis Indicators'!O2</f>
        <v>0.65</v>
      </c>
      <c r="P1">
        <f>'Diagnosis Indicators'!P2</f>
        <v>0.70000000000000007</v>
      </c>
      <c r="Q1">
        <f>'Diagnosis Indicators'!Q2</f>
        <v>0.75000000000000011</v>
      </c>
      <c r="R1">
        <f>'Diagnosis Indicators'!R2</f>
        <v>0.80000000000000016</v>
      </c>
      <c r="S1">
        <f>'Diagnosis Indicators'!S2</f>
        <v>0.8500000000000002</v>
      </c>
      <c r="T1">
        <f>'Diagnosis Indicators'!T2</f>
        <v>0.90000000000000024</v>
      </c>
      <c r="U1">
        <f>'Diagnosis Indicators'!U2</f>
        <v>0.95000000000000029</v>
      </c>
      <c r="V1">
        <f>'Diagnosis Indicators'!V2</f>
        <v>0.9600000000000003</v>
      </c>
      <c r="W1">
        <f>'Diagnosis Indicators'!W2</f>
        <v>0.97000000000000031</v>
      </c>
      <c r="X1">
        <f>'Diagnosis Indicators'!X2</f>
        <v>0.98000000000000032</v>
      </c>
      <c r="Y1">
        <f>'Diagnosis Indicators'!Y2</f>
        <v>0.99000000000000032</v>
      </c>
    </row>
    <row r="2" spans="1:25" x14ac:dyDescent="0.2">
      <c r="A2" t="str">
        <f>'Diagnosis Indicators'!A3</f>
        <v>Neoclassical</v>
      </c>
      <c r="B2">
        <f>'Diagnosis Indicators'!B3</f>
        <v>1</v>
      </c>
      <c r="C2">
        <f>'Diagnosis Indicators'!C3</f>
        <v>0.99334584998173547</v>
      </c>
      <c r="D2">
        <f>'Diagnosis Indicators'!D3</f>
        <v>0.98618977343658798</v>
      </c>
      <c r="E2">
        <f>'Diagnosis Indicators'!E3</f>
        <v>0.97846476991396281</v>
      </c>
      <c r="F2">
        <f>'Diagnosis Indicators'!F3</f>
        <v>0.97009051426869153</v>
      </c>
      <c r="G2">
        <f>'Diagnosis Indicators'!G3</f>
        <v>0.96096860580254162</v>
      </c>
      <c r="H2">
        <f>'Diagnosis Indicators'!H3</f>
        <v>0.95097837942777186</v>
      </c>
      <c r="I2">
        <f>'Diagnosis Indicators'!I3</f>
        <v>0.93996707159343196</v>
      </c>
      <c r="J2">
        <f>'Diagnosis Indicators'!J3</f>
        <v>0.92773797072118225</v>
      </c>
      <c r="K2">
        <f>'Diagnosis Indicators'!K3</f>
        <v>0.91403084987320837</v>
      </c>
      <c r="L2">
        <f>'Diagnosis Indicators'!L3</f>
        <v>0.89848994911744717</v>
      </c>
      <c r="M2">
        <f>'Diagnosis Indicators'!M3</f>
        <v>0.8806107233647793</v>
      </c>
      <c r="N2">
        <f>'Diagnosis Indicators'!N3</f>
        <v>0.85964600692326598</v>
      </c>
      <c r="O2">
        <f>'Diagnosis Indicators'!O3</f>
        <v>0.83443539228920049</v>
      </c>
      <c r="P2">
        <f>'Diagnosis Indicators'!P3</f>
        <v>0.80308548988928385</v>
      </c>
      <c r="Q2">
        <f>'Diagnosis Indicators'!Q3</f>
        <v>0.76237915418844926</v>
      </c>
      <c r="R2">
        <f>'Diagnosis Indicators'!R3</f>
        <v>0.70677779099265736</v>
      </c>
      <c r="S2">
        <f>'Diagnosis Indicators'!S3</f>
        <v>0.62694262650855104</v>
      </c>
      <c r="T2">
        <f>'Diagnosis Indicators'!T3</f>
        <v>0.50641103504755847</v>
      </c>
      <c r="U2">
        <f>'Diagnosis Indicators'!U3</f>
        <v>0.30856575829341004</v>
      </c>
      <c r="V2">
        <f>'Diagnosis Indicators'!V3</f>
        <v>0.25315476989376873</v>
      </c>
      <c r="W2">
        <f>'Diagnosis Indicators'!W3</f>
        <v>0.19045780743679727</v>
      </c>
      <c r="X2">
        <f>'Diagnosis Indicators'!X3</f>
        <v>0.12045670284524095</v>
      </c>
      <c r="Y2">
        <f>'Diagnosis Indicators'!Y3</f>
        <v>4.74023306442896E-2</v>
      </c>
    </row>
    <row r="3" spans="1:25" x14ac:dyDescent="0.2">
      <c r="A3" t="str">
        <f>'Diagnosis Indicators'!A4</f>
        <v>Kaldorian</v>
      </c>
      <c r="B3">
        <f>'Diagnosis Indicators'!B4</f>
        <v>1</v>
      </c>
      <c r="C3">
        <f>'Diagnosis Indicators'!C4</f>
        <v>0.99788368140043981</v>
      </c>
      <c r="D3">
        <f>'Diagnosis Indicators'!D4</f>
        <v>0.99535612734382217</v>
      </c>
      <c r="E3">
        <f>'Diagnosis Indicators'!E4</f>
        <v>0.99236133040867369</v>
      </c>
      <c r="F3">
        <f>'Diagnosis Indicators'!F4</f>
        <v>0.9888320177857487</v>
      </c>
      <c r="G3">
        <f>'Diagnosis Indicators'!G4</f>
        <v>0.98468578252174277</v>
      </c>
      <c r="H3">
        <f>'Diagnosis Indicators'!H4</f>
        <v>0.97982154341510375</v>
      </c>
      <c r="I3">
        <f>'Diagnosis Indicators'!I4</f>
        <v>0.97411188133862336</v>
      </c>
      <c r="J3">
        <f>'Diagnosis Indicators'!J4</f>
        <v>0.96739367724745629</v>
      </c>
      <c r="K3">
        <f>'Diagnosis Indicators'!K4</f>
        <v>0.95945306294149713</v>
      </c>
      <c r="L3">
        <f>'Diagnosis Indicators'!L4</f>
        <v>0.95000128453192823</v>
      </c>
      <c r="M3">
        <f>'Diagnosis Indicators'!M4</f>
        <v>0.93863497103888704</v>
      </c>
      <c r="N3">
        <f>'Diagnosis Indicators'!N4</f>
        <v>0.92476673826325395</v>
      </c>
      <c r="O3">
        <f>'Diagnosis Indicators'!O4</f>
        <v>0.90749835942629564</v>
      </c>
      <c r="P3">
        <f>'Diagnosis Indicators'!P4</f>
        <v>0.88537705665485622</v>
      </c>
      <c r="Q3">
        <f>'Diagnosis Indicators'!Q4</f>
        <v>0.85591385990003432</v>
      </c>
      <c r="R3">
        <f>'Diagnosis Indicators'!R4</f>
        <v>0.81463038708727298</v>
      </c>
      <c r="S3">
        <f>'Diagnosis Indicators'!S4</f>
        <v>0.75313380478232672</v>
      </c>
      <c r="T3">
        <f>'Diagnosis Indicators'!T4</f>
        <v>0.65403919764976615</v>
      </c>
    </row>
    <row r="4" spans="1:25" x14ac:dyDescent="0.2">
      <c r="A4" t="str">
        <f>'Diagnosis Indicators'!A5</f>
        <v>Johansen</v>
      </c>
      <c r="B4">
        <f>'Diagnosis Indicators'!B5</f>
        <v>1</v>
      </c>
      <c r="C4">
        <f>'Diagnosis Indicators'!C5</f>
        <v>0.99790882036410855</v>
      </c>
      <c r="D4">
        <f>'Diagnosis Indicators'!D5</f>
        <v>0.99540690123397912</v>
      </c>
      <c r="E4">
        <f>'Diagnosis Indicators'!E5</f>
        <v>0.99243833821989336</v>
      </c>
      <c r="F4">
        <f>'Diagnosis Indicators'!F5</f>
        <v>0.98893585337614343</v>
      </c>
      <c r="G4">
        <f>'Diagnosis Indicators'!G5</f>
        <v>0.98481710031934966</v>
      </c>
      <c r="H4">
        <f>'Diagnosis Indicators'!H5</f>
        <v>0.9799808955374264</v>
      </c>
      <c r="I4">
        <f>'Diagnosis Indicators'!I5</f>
        <v>0.97429957077697626</v>
      </c>
      <c r="J4">
        <f>'Diagnosis Indicators'!J5</f>
        <v>0.96760949638762861</v>
      </c>
      <c r="K4">
        <f>'Diagnosis Indicators'!K5</f>
        <v>0.95969591390644571</v>
      </c>
      <c r="L4">
        <f>'Diagnosis Indicators'!L5</f>
        <v>0.95026852554015206</v>
      </c>
      <c r="M4">
        <f>'Diagnosis Indicators'!M5</f>
        <v>0.93892145382248393</v>
      </c>
      <c r="N4">
        <f>'Diagnosis Indicators'!N5</f>
        <v>0.92506338602011196</v>
      </c>
      <c r="O4">
        <f>'Diagnosis Indicators'!O5</f>
        <v>0.90778998530987409</v>
      </c>
      <c r="P4">
        <f>'Diagnosis Indicators'!P5</f>
        <v>0.8856401792812294</v>
      </c>
      <c r="Q4">
        <f>'Diagnosis Indicators'!Q5</f>
        <v>0.85611700108401989</v>
      </c>
      <c r="R4">
        <f>'Diagnosis Indicators'!R5</f>
        <v>0.81474716811209136</v>
      </c>
      <c r="S4">
        <f>'Diagnosis Indicators'!S5</f>
        <v>0.75317323063134423</v>
      </c>
      <c r="T4">
        <f>'Diagnosis Indicators'!T5</f>
        <v>0.65404469415223732</v>
      </c>
      <c r="U4">
        <f>'Diagnosis Indicators'!U5</f>
        <v>0.47087601861925815</v>
      </c>
      <c r="V4">
        <f>'Diagnosis Indicators'!V5</f>
        <v>0.41360171552680919</v>
      </c>
      <c r="W4">
        <f>'Diagnosis Indicators'!W5</f>
        <v>0.34415582479330664</v>
      </c>
      <c r="X4">
        <f>'Diagnosis Indicators'!X5</f>
        <v>0.25789089494595729</v>
      </c>
      <c r="Y4">
        <f>'Diagnosis Indicators'!Y5</f>
        <v>0.14734260508684568</v>
      </c>
    </row>
    <row r="5" spans="1:25" x14ac:dyDescent="0.2">
      <c r="A5" t="str">
        <f>'Diagnosis Indicators'!A6</f>
        <v>Keynes-Kaldor</v>
      </c>
      <c r="B5">
        <f>'Diagnosis Indicators'!B6</f>
        <v>1</v>
      </c>
      <c r="C5">
        <f>'Diagnosis Indicators'!C6</f>
        <v>1.0026726888818545</v>
      </c>
      <c r="D5">
        <f>'Diagnosis Indicators'!D6</f>
        <v>1.0044367459298218</v>
      </c>
      <c r="E5">
        <f>'Diagnosis Indicators'!E6</f>
        <v>1.0051967385567597</v>
      </c>
      <c r="F5">
        <f>'Diagnosis Indicators'!F6</f>
        <v>1.0048351141510672</v>
      </c>
      <c r="G5">
        <f>'Diagnosis Indicators'!G6</f>
        <v>1.0032067383371734</v>
      </c>
      <c r="H5">
        <f>'Diagnosis Indicators'!H6</f>
        <v>1.0001310002502084</v>
      </c>
      <c r="I5">
        <f>'Diagnosis Indicators'!I6</f>
        <v>0.99538106347390498</v>
      </c>
      <c r="J5">
        <f>'Diagnosis Indicators'!J6</f>
        <v>0.98866825311936657</v>
      </c>
      <c r="K5">
        <f>'Diagnosis Indicators'!K6</f>
        <v>0.97961904720878634</v>
      </c>
      <c r="L5">
        <f>'Diagnosis Indicators'!L6</f>
        <v>0.96773990477718808</v>
      </c>
      <c r="M5">
        <f>'Diagnosis Indicators'!M6</f>
        <v>0.95236122587028915</v>
      </c>
      <c r="N5">
        <f>'Diagnosis Indicators'!N6</f>
        <v>0.93254489996725065</v>
      </c>
      <c r="O5">
        <f>'Diagnosis Indicators'!O6</f>
        <v>0.90692367470879987</v>
      </c>
      <c r="P5">
        <f>'Diagnosis Indicators'!P6</f>
        <v>0.87341283962892458</v>
      </c>
      <c r="Q5">
        <f>'Diagnosis Indicators'!Q6</f>
        <v>0.82868008800656112</v>
      </c>
      <c r="R5">
        <f>'Diagnosis Indicators'!R6</f>
        <v>0.76719307767810863</v>
      </c>
      <c r="S5">
        <f>'Diagnosis Indicators'!S6</f>
        <v>0.67965318040275113</v>
      </c>
      <c r="T5">
        <f>'Diagnosis Indicators'!T6</f>
        <v>0.55042310554219798</v>
      </c>
    </row>
    <row r="6" spans="1:25" x14ac:dyDescent="0.2">
      <c r="A6" t="str">
        <f>'Diagnosis Indicators'!A7</f>
        <v>Keynes-Marshall</v>
      </c>
      <c r="B6">
        <f>'Diagnosis Indicators'!B7</f>
        <v>1</v>
      </c>
      <c r="C6">
        <f>'Diagnosis Indicators'!C7</f>
        <v>1.0857076806079833</v>
      </c>
      <c r="D6">
        <f>'Diagnosis Indicators'!D7</f>
        <v>1.1693860787829622</v>
      </c>
      <c r="E6">
        <f>'Diagnosis Indicators'!E7</f>
        <v>1.253820185264279</v>
      </c>
      <c r="F6">
        <f>'Diagnosis Indicators'!F7</f>
        <v>1.3420397873961951</v>
      </c>
      <c r="G6">
        <f>'Diagnosis Indicators'!G7</f>
        <v>1.438600393272343</v>
      </c>
      <c r="H6">
        <f>'Diagnosis Indicators'!H7</f>
        <v>1.5521696208281579</v>
      </c>
      <c r="I6">
        <f>'Diagnosis Indicators'!I7</f>
        <v>1.703799056422501</v>
      </c>
      <c r="J6">
        <f>'Diagnosis Indicators'!J7</f>
        <v>1.9699531939386277</v>
      </c>
    </row>
    <row r="7" spans="1:25" x14ac:dyDescent="0.2">
      <c r="A7" t="str">
        <f>'Diagnosis Indicators'!A8</f>
        <v>Keynesian</v>
      </c>
      <c r="B7">
        <f>'Diagnosis Indicators'!B8</f>
        <v>1</v>
      </c>
      <c r="C7">
        <f>'Diagnosis Indicators'!C8</f>
        <v>0.97804571325299594</v>
      </c>
      <c r="D7">
        <f>'Diagnosis Indicators'!D8</f>
        <v>0.95478545441819773</v>
      </c>
      <c r="E7">
        <f>'Diagnosis Indicators'!E8</f>
        <v>0.93010651634955155</v>
      </c>
      <c r="F7">
        <f>'Diagnosis Indicators'!F8</f>
        <v>0.90388166300851625</v>
      </c>
      <c r="G7">
        <f>'Diagnosis Indicators'!G8</f>
        <v>0.87596655409340685</v>
      </c>
      <c r="H7">
        <f>'Diagnosis Indicators'!H8</f>
        <v>0.84619692916094658</v>
      </c>
      <c r="I7">
        <f>'Diagnosis Indicators'!I8</f>
        <v>0.81438515047467286</v>
      </c>
      <c r="J7">
        <f>'Diagnosis Indicators'!J8</f>
        <v>0.78031623615223711</v>
      </c>
      <c r="K7">
        <f>'Diagnosis Indicators'!K8</f>
        <v>0.74374309978950648</v>
      </c>
      <c r="L7">
        <f>'Diagnosis Indicators'!L8</f>
        <v>0.70438200458992628</v>
      </c>
      <c r="M7">
        <f>'Diagnosis Indicators'!M8</f>
        <v>0.66190837457886331</v>
      </c>
      <c r="N7">
        <f>'Diagnosis Indicators'!N8</f>
        <v>0.61595689996820657</v>
      </c>
      <c r="O7">
        <f>'Diagnosis Indicators'!O8</f>
        <v>0.56613551422586694</v>
      </c>
      <c r="P7">
        <f>'Diagnosis Indicators'!P8</f>
        <v>0.51208871183369942</v>
      </c>
      <c r="Q7">
        <f>'Diagnosis Indicators'!Q8</f>
        <v>0.45376689951647786</v>
      </c>
      <c r="R7">
        <f>'Diagnosis Indicators'!R8</f>
        <v>0.39287974893122263</v>
      </c>
    </row>
    <row r="8" spans="1:25" x14ac:dyDescent="0.2">
      <c r="A8" t="str">
        <f>'Diagnosis Indicators'!A9</f>
        <v>Neo-K2</v>
      </c>
      <c r="B8">
        <f>'Diagnosis Indicators'!B9</f>
        <v>1</v>
      </c>
      <c r="C8">
        <f>'Diagnosis Indicators'!C9</f>
        <v>0.98445458147058551</v>
      </c>
      <c r="D8">
        <f>'Diagnosis Indicators'!D9</f>
        <v>0.96744361971376969</v>
      </c>
      <c r="E8">
        <f>'Diagnosis Indicators'!E9</f>
        <v>0.94874358893099486</v>
      </c>
      <c r="F8">
        <f>'Diagnosis Indicators'!F9</f>
        <v>0.92809169472654585</v>
      </c>
      <c r="G8">
        <f>'Diagnosis Indicators'!G9</f>
        <v>0.90517987083574414</v>
      </c>
      <c r="H8">
        <f>'Diagnosis Indicators'!H9</f>
        <v>0.8796520794398498</v>
      </c>
      <c r="I8">
        <f>'Diagnosis Indicators'!I9</f>
        <v>0.85110530395563699</v>
      </c>
      <c r="J8">
        <f>'Diagnosis Indicators'!J9</f>
        <v>0.81909939241785024</v>
      </c>
      <c r="K8">
        <f>'Diagnosis Indicators'!K9</f>
        <v>0.78318293078408419</v>
      </c>
      <c r="L8">
        <f>'Diagnosis Indicators'!L9</f>
        <v>0.74294595537032082</v>
      </c>
      <c r="M8">
        <f>'Diagnosis Indicators'!M9</f>
        <v>0.69811185432067502</v>
      </c>
      <c r="N8">
        <f>'Diagnosis Indicators'!N9</f>
        <v>0.64867085005087521</v>
      </c>
      <c r="O8">
        <f>'Diagnosis Indicators'!O9</f>
        <v>0.59503525520361533</v>
      </c>
      <c r="P8">
        <f>'Diagnosis Indicators'!P9</f>
        <v>0.53811976613826473</v>
      </c>
      <c r="Q8">
        <f>'Diagnosis Indicators'!Q9</f>
        <v>0.47914836695629887</v>
      </c>
      <c r="R8">
        <f>'Diagnosis Indicators'!R9</f>
        <v>0.41895215985973411</v>
      </c>
      <c r="S8">
        <f>'Diagnosis Indicators'!S9</f>
        <v>0.35666825971668559</v>
      </c>
      <c r="T8">
        <f>'Diagnosis Indicators'!T9</f>
        <v>0.2878326546843708</v>
      </c>
      <c r="U8">
        <f>'Diagnosis Indicators'!U9</f>
        <v>0.19982944513960627</v>
      </c>
    </row>
    <row r="9" spans="1:25" x14ac:dyDescent="0.2">
      <c r="A9" t="str">
        <f>'Diagnosis Indicators'!A10</f>
        <v>Neo-K1</v>
      </c>
      <c r="B9">
        <f>'Diagnosis Indicators'!B10</f>
        <v>1</v>
      </c>
      <c r="C9">
        <f>'Diagnosis Indicators'!C10</f>
        <v>0.98755014238399486</v>
      </c>
      <c r="D9">
        <f>'Diagnosis Indicators'!D10</f>
        <v>0.97402792407145244</v>
      </c>
      <c r="E9">
        <f>'Diagnosis Indicators'!E10</f>
        <v>0.95927484684485664</v>
      </c>
      <c r="F9">
        <f>'Diagnosis Indicators'!F10</f>
        <v>0.94309994748299208</v>
      </c>
      <c r="G9">
        <f>'Diagnosis Indicators'!G10</f>
        <v>0.92527091613971868</v>
      </c>
      <c r="H9">
        <f>'Diagnosis Indicators'!H10</f>
        <v>0.90550348050905749</v>
      </c>
      <c r="I9">
        <f>'Diagnosis Indicators'!I10</f>
        <v>0.88344696199351991</v>
      </c>
      <c r="J9">
        <f>'Diagnosis Indicators'!J10</f>
        <v>0.85866562387470258</v>
      </c>
      <c r="K9">
        <f>'Diagnosis Indicators'!K10</f>
        <v>0.8306154625383283</v>
      </c>
      <c r="L9">
        <f>'Diagnosis Indicators'!L10</f>
        <v>0.79861453011935857</v>
      </c>
      <c r="M9">
        <f>'Diagnosis Indicators'!M10</f>
        <v>0.76181008900230651</v>
      </c>
      <c r="N9">
        <f>'Diagnosis Indicators'!N10</f>
        <v>0.71914419658787154</v>
      </c>
      <c r="O9">
        <f>'Diagnosis Indicators'!O10</f>
        <v>0.66932958133524556</v>
      </c>
      <c r="P9">
        <f>'Diagnosis Indicators'!P10</f>
        <v>0.61085604387615666</v>
      </c>
      <c r="Q9">
        <f>'Diagnosis Indicators'!Q10</f>
        <v>0.54205907298262268</v>
      </c>
      <c r="R9">
        <f>'Diagnosis Indicators'!R10</f>
        <v>0.46128268259274002</v>
      </c>
      <c r="S9">
        <f>'Diagnosis Indicators'!S10</f>
        <v>0.36713963053806725</v>
      </c>
      <c r="T9">
        <f>'Diagnosis Indicators'!T10</f>
        <v>0.2588029914906691</v>
      </c>
      <c r="U9">
        <f>'Diagnosis Indicators'!U10</f>
        <v>0.13619980152950534</v>
      </c>
      <c r="V9">
        <f>'Diagnosis Indicators'!V10</f>
        <v>0.1100148911785061</v>
      </c>
      <c r="W9">
        <f>'Diagnosis Indicators'!W10</f>
        <v>8.3292825746948407E-2</v>
      </c>
      <c r="X9">
        <f>'Diagnosis Indicators'!X10</f>
        <v>5.6042938978986809E-2</v>
      </c>
      <c r="Y9">
        <f>'Diagnosis Indicators'!Y10</f>
        <v>2.8275134168512409E-2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4850502-FB6B-4D5D-9DEE-48599F6EC41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6" baseType="variant">
      <vt:variant>
        <vt:lpstr>Feuilles de calcul</vt:lpstr>
      </vt:variant>
      <vt:variant>
        <vt:i4>15</vt:i4>
      </vt:variant>
      <vt:variant>
        <vt:lpstr>Graphiques</vt:lpstr>
      </vt:variant>
      <vt:variant>
        <vt:i4>3</vt:i4>
      </vt:variant>
      <vt:variant>
        <vt:lpstr>Plages nommées</vt:lpstr>
      </vt:variant>
      <vt:variant>
        <vt:i4>182</vt:i4>
      </vt:variant>
    </vt:vector>
  </HeadingPairs>
  <TitlesOfParts>
    <vt:vector size="200" baseType="lpstr">
      <vt:lpstr>Calibration</vt:lpstr>
      <vt:lpstr>Model</vt:lpstr>
      <vt:lpstr>Results</vt:lpstr>
      <vt:lpstr>NeoClassical</vt:lpstr>
      <vt:lpstr>Johansen</vt:lpstr>
      <vt:lpstr>Kaldorian</vt:lpstr>
      <vt:lpstr>Keynes-M</vt:lpstr>
      <vt:lpstr>Keynesian</vt:lpstr>
      <vt:lpstr>Keynes-K</vt:lpstr>
      <vt:lpstr>Neo-K1</vt:lpstr>
      <vt:lpstr>Neo-K2</vt:lpstr>
      <vt:lpstr>NC heteroS</vt:lpstr>
      <vt:lpstr>Keynes-I</vt:lpstr>
      <vt:lpstr>Diagnosis Indicators</vt:lpstr>
      <vt:lpstr>Utility_Export</vt:lpstr>
      <vt:lpstr>GraphU</vt:lpstr>
      <vt:lpstr>GraphPi</vt:lpstr>
      <vt:lpstr>G Tax</vt:lpstr>
      <vt:lpstr>Calibration!AGGREGATES</vt:lpstr>
      <vt:lpstr>Model!AGGREGATES</vt:lpstr>
      <vt:lpstr>aKL</vt:lpstr>
      <vt:lpstr>aKLE</vt:lpstr>
      <vt:lpstr>Calibration!alpha</vt:lpstr>
      <vt:lpstr>Model!alpha</vt:lpstr>
      <vt:lpstr>Calibration!alphaEY</vt:lpstr>
      <vt:lpstr>Model!alphaEY</vt:lpstr>
      <vt:lpstr>Calibration!alphaMY</vt:lpstr>
      <vt:lpstr>Model!alphaMY</vt:lpstr>
      <vt:lpstr>aS</vt:lpstr>
      <vt:lpstr>aU</vt:lpstr>
      <vt:lpstr>aX</vt:lpstr>
      <vt:lpstr>aY</vt:lpstr>
      <vt:lpstr>Calibration!B</vt:lpstr>
      <vt:lpstr>Model!B</vt:lpstr>
      <vt:lpstr>bKL</vt:lpstr>
      <vt:lpstr>bKLE</vt:lpstr>
      <vt:lpstr>bS</vt:lpstr>
      <vt:lpstr>bU</vt:lpstr>
      <vt:lpstr>bX</vt:lpstr>
      <vt:lpstr>bY</vt:lpstr>
      <vt:lpstr>Calibration!CE</vt:lpstr>
      <vt:lpstr>Model!CE</vt:lpstr>
      <vt:lpstr>Calibration!Consumption</vt:lpstr>
      <vt:lpstr>Model!Consumption</vt:lpstr>
      <vt:lpstr>Model!CPI</vt:lpstr>
      <vt:lpstr>Calibration!CQ</vt:lpstr>
      <vt:lpstr>Model!CQ</vt:lpstr>
      <vt:lpstr>Calibration!D</vt:lpstr>
      <vt:lpstr>Model!D</vt:lpstr>
      <vt:lpstr>Calibration!DE</vt:lpstr>
      <vt:lpstr>Model!DE</vt:lpstr>
      <vt:lpstr>epsilonE</vt:lpstr>
      <vt:lpstr>ERROR1</vt:lpstr>
      <vt:lpstr>ERROR10</vt:lpstr>
      <vt:lpstr>ERROR11</vt:lpstr>
      <vt:lpstr>ERROR12</vt:lpstr>
      <vt:lpstr>ERROR2</vt:lpstr>
      <vt:lpstr>ERROR3</vt:lpstr>
      <vt:lpstr>ERROR4</vt:lpstr>
      <vt:lpstr>ERROR5</vt:lpstr>
      <vt:lpstr>ERROR6</vt:lpstr>
      <vt:lpstr>ERROR7</vt:lpstr>
      <vt:lpstr>ERROR8</vt:lpstr>
      <vt:lpstr>ERROR9</vt:lpstr>
      <vt:lpstr>Calibration!FACTORS</vt:lpstr>
      <vt:lpstr>Model!FACTORS</vt:lpstr>
      <vt:lpstr>Calibration!G</vt:lpstr>
      <vt:lpstr>Model!G</vt:lpstr>
      <vt:lpstr>Calibration!GDP</vt:lpstr>
      <vt:lpstr>Model!GDP</vt:lpstr>
      <vt:lpstr>Calibration!I</vt:lpstr>
      <vt:lpstr>Model!I</vt:lpstr>
      <vt:lpstr>Calibration!K</vt:lpstr>
      <vt:lpstr>Model!K</vt:lpstr>
      <vt:lpstr>Calibration!kappa</vt:lpstr>
      <vt:lpstr>Model!kappa</vt:lpstr>
      <vt:lpstr>Calibration!KL</vt:lpstr>
      <vt:lpstr>Model!KL</vt:lpstr>
      <vt:lpstr>Calibration!KL_E</vt:lpstr>
      <vt:lpstr>Model!KL_E</vt:lpstr>
      <vt:lpstr>Calibration!KL_Q</vt:lpstr>
      <vt:lpstr>Model!KL_Q</vt:lpstr>
      <vt:lpstr>Calibration!KLE</vt:lpstr>
      <vt:lpstr>Model!KLE</vt:lpstr>
      <vt:lpstr>Model!KLQ</vt:lpstr>
      <vt:lpstr>Calibration!Labour</vt:lpstr>
      <vt:lpstr>Model!Labour</vt:lpstr>
      <vt:lpstr>Calibration!Labour_E</vt:lpstr>
      <vt:lpstr>Model!Labour_E</vt:lpstr>
      <vt:lpstr>Calibration!Labour_Q</vt:lpstr>
      <vt:lpstr>Model!Labour_Q</vt:lpstr>
      <vt:lpstr>Model!LabourQ</vt:lpstr>
      <vt:lpstr>Calibration!lambda</vt:lpstr>
      <vt:lpstr>Model!lambda</vt:lpstr>
      <vt:lpstr>Calibration!M</vt:lpstr>
      <vt:lpstr>Model!M</vt:lpstr>
      <vt:lpstr>MAXERROR</vt:lpstr>
      <vt:lpstr>Calibration!omegaG</vt:lpstr>
      <vt:lpstr>Model!omegaG</vt:lpstr>
      <vt:lpstr>Calibration!omegaI</vt:lpstr>
      <vt:lpstr>Model!omegaI</vt:lpstr>
      <vt:lpstr>Calibration!pC</vt:lpstr>
      <vt:lpstr>Model!pC</vt:lpstr>
      <vt:lpstr>Calibration!pCE</vt:lpstr>
      <vt:lpstr>Model!pCE</vt:lpstr>
      <vt:lpstr>Calibration!pCQ</vt:lpstr>
      <vt:lpstr>Model!pCQ</vt:lpstr>
      <vt:lpstr>Calibration!pD</vt:lpstr>
      <vt:lpstr>Model!pD</vt:lpstr>
      <vt:lpstr>Calibration!pEY</vt:lpstr>
      <vt:lpstr>Model!pEY</vt:lpstr>
      <vt:lpstr>Calibration!pG</vt:lpstr>
      <vt:lpstr>Model!pG</vt:lpstr>
      <vt:lpstr>Calibration!pI</vt:lpstr>
      <vt:lpstr>Model!pI</vt:lpstr>
      <vt:lpstr>Calibration!pIC</vt:lpstr>
      <vt:lpstr>Model!pIC</vt:lpstr>
      <vt:lpstr>Calibration!pK</vt:lpstr>
      <vt:lpstr>Model!pK</vt:lpstr>
      <vt:lpstr>Calibration!pKL</vt:lpstr>
      <vt:lpstr>Model!pKL</vt:lpstr>
      <vt:lpstr>Calibration!pKLE</vt:lpstr>
      <vt:lpstr>Model!pKLE</vt:lpstr>
      <vt:lpstr>Calibration!pL</vt:lpstr>
      <vt:lpstr>Model!pL</vt:lpstr>
      <vt:lpstr>Calibration!pMY</vt:lpstr>
      <vt:lpstr>Model!pMY</vt:lpstr>
      <vt:lpstr>Calibration!pQ</vt:lpstr>
      <vt:lpstr>Model!pQ</vt:lpstr>
      <vt:lpstr>Calibration!PRICES</vt:lpstr>
      <vt:lpstr>Model!PRICES</vt:lpstr>
      <vt:lpstr>Calibration!pS</vt:lpstr>
      <vt:lpstr>Model!pS</vt:lpstr>
      <vt:lpstr>Calibration!pW</vt:lpstr>
      <vt:lpstr>Model!pW</vt:lpstr>
      <vt:lpstr>Calibration!pX</vt:lpstr>
      <vt:lpstr>Model!pX</vt:lpstr>
      <vt:lpstr>Calibration!pY</vt:lpstr>
      <vt:lpstr>Model!pY</vt:lpstr>
      <vt:lpstr>Calibration!Revenue</vt:lpstr>
      <vt:lpstr>Model!Revenue</vt:lpstr>
      <vt:lpstr>rhoKL</vt:lpstr>
      <vt:lpstr>rhoKLE</vt:lpstr>
      <vt:lpstr>rhoS</vt:lpstr>
      <vt:lpstr>rhoU</vt:lpstr>
      <vt:lpstr>rhoX</vt:lpstr>
      <vt:lpstr>rhoY</vt:lpstr>
      <vt:lpstr>Calibration!S</vt:lpstr>
      <vt:lpstr>Model!S</vt:lpstr>
      <vt:lpstr>Calibration!sD</vt:lpstr>
      <vt:lpstr>Model!sD</vt:lpstr>
      <vt:lpstr>Calibration!SE</vt:lpstr>
      <vt:lpstr>Model!SE</vt:lpstr>
      <vt:lpstr>Calibration!sG</vt:lpstr>
      <vt:lpstr>Model!sG</vt:lpstr>
      <vt:lpstr>sigmaKL</vt:lpstr>
      <vt:lpstr>sigmaKLE</vt:lpstr>
      <vt:lpstr>sigmaS</vt:lpstr>
      <vt:lpstr>sigmaU</vt:lpstr>
      <vt:lpstr>sigmaw</vt:lpstr>
      <vt:lpstr>sigmaX</vt:lpstr>
      <vt:lpstr>sigmaY</vt:lpstr>
      <vt:lpstr>Calibration!sK</vt:lpstr>
      <vt:lpstr>Model!sK</vt:lpstr>
      <vt:lpstr>Calibration!sL</vt:lpstr>
      <vt:lpstr>Model!sL</vt:lpstr>
      <vt:lpstr>Calibration!T</vt:lpstr>
      <vt:lpstr>T</vt:lpstr>
      <vt:lpstr>Target</vt:lpstr>
      <vt:lpstr>Calibration!tauL</vt:lpstr>
      <vt:lpstr>Model!tauL</vt:lpstr>
      <vt:lpstr>Calibration!tauTS</vt:lpstr>
      <vt:lpstr>Model!tauTS</vt:lpstr>
      <vt:lpstr>Model!tauTS2</vt:lpstr>
      <vt:lpstr>Calibration!tauTVA</vt:lpstr>
      <vt:lpstr>Model!tauTVA</vt:lpstr>
      <vt:lpstr>Calibration!tauY</vt:lpstr>
      <vt:lpstr>Model!tauY</vt:lpstr>
      <vt:lpstr>Calibration!tEXC</vt:lpstr>
      <vt:lpstr>Model!tEXC</vt:lpstr>
      <vt:lpstr>Calibration!tEXC1</vt:lpstr>
      <vt:lpstr>Model!tEXC1</vt:lpstr>
      <vt:lpstr>Calibration!tEXC2</vt:lpstr>
      <vt:lpstr>Model!tEXC2</vt:lpstr>
      <vt:lpstr>Calibration!U</vt:lpstr>
      <vt:lpstr>Model!U</vt:lpstr>
      <vt:lpstr>Calibration!VARIABLES</vt:lpstr>
      <vt:lpstr>Model!VARIABLES</vt:lpstr>
      <vt:lpstr>Calibration!VOLUMES</vt:lpstr>
      <vt:lpstr>Model!VOLUMES</vt:lpstr>
      <vt:lpstr>Calibration!w</vt:lpstr>
      <vt:lpstr>Model!w</vt:lpstr>
      <vt:lpstr>Model!wE</vt:lpstr>
      <vt:lpstr>Model!wQ</vt:lpstr>
      <vt:lpstr>Calibration!X</vt:lpstr>
      <vt:lpstr>Model!X</vt:lpstr>
      <vt:lpstr>Calibration!XE</vt:lpstr>
      <vt:lpstr>Model!XE</vt:lpstr>
      <vt:lpstr>Calibration!Y</vt:lpstr>
      <vt:lpstr>Model!Y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Frédéric Ghersi</dc:creator>
  <cp:lastModifiedBy>Louis Daumas</cp:lastModifiedBy>
  <dcterms:created xsi:type="dcterms:W3CDTF">2012-11-16T13:59:17Z</dcterms:created>
  <dcterms:modified xsi:type="dcterms:W3CDTF">2025-07-03T15:28:27Z</dcterms:modified>
</cp:coreProperties>
</file>