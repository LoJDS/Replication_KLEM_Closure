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6EE66C79-D0FC-4CC8-8F31-70EFB1D0F184}" xr6:coauthVersionLast="47" xr6:coauthVersionMax="47" xr10:uidLastSave="{00000000-0000-0000-0000-000000000000}"/>
  <bookViews>
    <workbookView xWindow="-110" yWindow="-110" windowWidth="19420" windowHeight="11500" tabRatio="887" firstSheet="10" activeTab="17"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NC heteroS" sheetId="32" r:id="rId12"/>
    <sheet name="Keynes-I" sheetId="36" r:id="rId13"/>
    <sheet name="GraphU" sheetId="34" r:id="rId14"/>
    <sheet name="Diagnosis Indicators" sheetId="23" r:id="rId15"/>
    <sheet name="Tax_export" sheetId="40" r:id="rId16"/>
    <sheet name="PShare_export" sheetId="41" r:id="rId17"/>
    <sheet name="Utility_Export" sheetId="42" r:id="rId18"/>
    <sheet name="Utility-Export" sheetId="39" r:id="rId19"/>
    <sheet name="GraphPi" sheetId="37" r:id="rId20"/>
    <sheet name="G Tax" sheetId="7" r:id="rId21"/>
  </sheets>
  <functionGroups builtInGroupCount="19"/>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 i="23" l="1"/>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Q9" i="23"/>
  <c r="P9" i="23"/>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R6"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X4" i="23"/>
  <c r="W4" i="23"/>
  <c r="V4" i="23"/>
  <c r="U4"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Z83" i="35"/>
  <c r="T83" i="35"/>
  <c r="AP82" i="35"/>
  <c r="AJ82" i="35"/>
  <c r="J82" i="35"/>
  <c r="D82" i="35"/>
  <c r="AT81" i="35"/>
  <c r="AN81" i="35"/>
  <c r="AH81" i="35"/>
  <c r="AF81" i="35"/>
  <c r="AB81" i="35"/>
  <c r="Z81" i="35"/>
  <c r="V81" i="35"/>
  <c r="T81" i="35"/>
  <c r="R81" i="35"/>
  <c r="N81" i="35"/>
  <c r="H81" i="35"/>
  <c r="B81" i="35"/>
  <c r="AV80" i="35"/>
  <c r="AR80" i="35"/>
  <c r="AP80" i="35"/>
  <c r="AL80" i="35"/>
  <c r="AJ80" i="35"/>
  <c r="AH80" i="35"/>
  <c r="AD80" i="35"/>
  <c r="X80" i="35"/>
  <c r="R80" i="35"/>
  <c r="P80" i="35"/>
  <c r="L80" i="35"/>
  <c r="J80" i="35"/>
  <c r="F80" i="35"/>
  <c r="D80" i="35"/>
  <c r="B80" i="35"/>
  <c r="AV79" i="35" a="1"/>
  <c r="AV79" i="35" s="1"/>
  <c r="AT79" i="35"/>
  <c r="AT79" i="35" a="1"/>
  <c r="AR79" i="35"/>
  <c r="AR79" i="35" a="1"/>
  <c r="AP79" i="35" a="1"/>
  <c r="AP79" i="35" s="1"/>
  <c r="AN79" i="35"/>
  <c r="AN79" i="35" a="1"/>
  <c r="AL79" i="35" a="1"/>
  <c r="AL79" i="35" s="1"/>
  <c r="AJ79" i="35" a="1"/>
  <c r="AJ79" i="35" s="1"/>
  <c r="AH79" i="35"/>
  <c r="AH79" i="35" a="1"/>
  <c r="AF79" i="35" a="1"/>
  <c r="AF79" i="35" s="1"/>
  <c r="AD79" i="35"/>
  <c r="AD79" i="35" a="1"/>
  <c r="AB79" i="35"/>
  <c r="AB79" i="35" a="1"/>
  <c r="Z79" i="35" a="1"/>
  <c r="Z79" i="35" s="1"/>
  <c r="X79" i="35"/>
  <c r="X79" i="35" a="1"/>
  <c r="V79" i="35" a="1"/>
  <c r="V79" i="35" s="1"/>
  <c r="T79" i="35" a="1"/>
  <c r="T79" i="35" s="1"/>
  <c r="R79" i="35" a="1"/>
  <c r="R79" i="35" s="1"/>
  <c r="P79" i="35" a="1"/>
  <c r="P79" i="35" s="1"/>
  <c r="N79" i="35"/>
  <c r="N79" i="35" a="1"/>
  <c r="L79" i="35"/>
  <c r="L79" i="35" a="1"/>
  <c r="J79" i="35" a="1"/>
  <c r="J79" i="35" s="1"/>
  <c r="H79" i="35"/>
  <c r="H79" i="35" a="1"/>
  <c r="F79" i="35" a="1"/>
  <c r="F79" i="35" s="1"/>
  <c r="D79" i="35" a="1"/>
  <c r="D79" i="35" s="1"/>
  <c r="B79" i="35" a="1"/>
  <c r="B79" i="35" s="1"/>
  <c r="AV78" i="35" a="1"/>
  <c r="AV78" i="35" s="1"/>
  <c r="AT78" i="35"/>
  <c r="AT78" i="35" a="1"/>
  <c r="AR78" i="35"/>
  <c r="AR78" i="35" a="1"/>
  <c r="AP78" i="35" a="1"/>
  <c r="AP78" i="35" s="1"/>
  <c r="AN78" i="35"/>
  <c r="AN78" i="35" a="1"/>
  <c r="AL78" i="35" a="1"/>
  <c r="AL78" i="35" s="1"/>
  <c r="AJ78" i="35" a="1"/>
  <c r="AJ78" i="35" s="1"/>
  <c r="AH78" i="35" a="1"/>
  <c r="AH78" i="35" s="1"/>
  <c r="AF78" i="35" a="1"/>
  <c r="AF78" i="35" s="1"/>
  <c r="AD78" i="35"/>
  <c r="AD78" i="35" a="1"/>
  <c r="AB78" i="35"/>
  <c r="AB78" i="35" a="1"/>
  <c r="Z78" i="35" a="1"/>
  <c r="Z78" i="35" s="1"/>
  <c r="X78" i="35"/>
  <c r="X78" i="35" a="1"/>
  <c r="V78" i="35" a="1"/>
  <c r="V78" i="35" s="1"/>
  <c r="T78" i="35" a="1"/>
  <c r="T78" i="35" s="1"/>
  <c r="R78" i="35" a="1"/>
  <c r="R78" i="35" s="1"/>
  <c r="P78" i="35" a="1"/>
  <c r="P78" i="35" s="1"/>
  <c r="N78" i="35"/>
  <c r="N78" i="35" a="1"/>
  <c r="L78" i="35"/>
  <c r="L78" i="35" a="1"/>
  <c r="J78" i="35" a="1"/>
  <c r="J78" i="35" s="1"/>
  <c r="H78" i="35"/>
  <c r="H78" i="35" a="1"/>
  <c r="F78" i="35" a="1"/>
  <c r="F78" i="35" s="1"/>
  <c r="D78" i="35" a="1"/>
  <c r="D78" i="35" s="1"/>
  <c r="B78" i="35" a="1"/>
  <c r="B78" i="35" s="1"/>
  <c r="AV77" i="35" a="1"/>
  <c r="AV77" i="35" s="1"/>
  <c r="AT77" i="35"/>
  <c r="AT77" i="35" a="1"/>
  <c r="AR77" i="35"/>
  <c r="AR77" i="35" a="1"/>
  <c r="AP77" i="35" a="1"/>
  <c r="AP77" i="35" s="1"/>
  <c r="AN77" i="35"/>
  <c r="AN77" i="35" a="1"/>
  <c r="AL77" i="35" a="1"/>
  <c r="AL77" i="35" s="1"/>
  <c r="AJ77" i="35" a="1"/>
  <c r="AJ77" i="35" s="1"/>
  <c r="AH77" i="35" a="1"/>
  <c r="AH77" i="35" s="1"/>
  <c r="AF77" i="35" a="1"/>
  <c r="AF77" i="35" s="1"/>
  <c r="AD77" i="35"/>
  <c r="AD77" i="35" a="1"/>
  <c r="AB77" i="35"/>
  <c r="AB77" i="35" a="1"/>
  <c r="Z77" i="35" a="1"/>
  <c r="Z77" i="35" s="1"/>
  <c r="X77" i="35"/>
  <c r="X77" i="35" a="1"/>
  <c r="V77" i="35" a="1"/>
  <c r="V77" i="35" s="1"/>
  <c r="T77" i="35" a="1"/>
  <c r="T77" i="35" s="1"/>
  <c r="R77" i="35" a="1"/>
  <c r="R77" i="35" s="1"/>
  <c r="P77" i="35" a="1"/>
  <c r="P77" i="35" s="1"/>
  <c r="N77" i="35"/>
  <c r="N77" i="35" a="1"/>
  <c r="L77" i="35"/>
  <c r="L77" i="35" a="1"/>
  <c r="J77" i="35" a="1"/>
  <c r="J77" i="35" s="1"/>
  <c r="H77" i="35"/>
  <c r="H77" i="35" a="1"/>
  <c r="F77" i="35" a="1"/>
  <c r="F77" i="35" s="1"/>
  <c r="D77" i="35" a="1"/>
  <c r="D77" i="35" s="1"/>
  <c r="B77" i="35" a="1"/>
  <c r="B77" i="35" s="1"/>
  <c r="AV76" i="35" a="1"/>
  <c r="AV76" i="35" s="1"/>
  <c r="AT76" i="35"/>
  <c r="AT76" i="35" a="1"/>
  <c r="AR76" i="35"/>
  <c r="AR76" i="35" a="1"/>
  <c r="AP76" i="35" a="1"/>
  <c r="AP76" i="35" s="1"/>
  <c r="AN76" i="35"/>
  <c r="AN76" i="35" a="1"/>
  <c r="AL76" i="35" a="1"/>
  <c r="AL76" i="35" s="1"/>
  <c r="AJ76" i="35" a="1"/>
  <c r="AJ76" i="35" s="1"/>
  <c r="AH76" i="35" a="1"/>
  <c r="AH76" i="35" s="1"/>
  <c r="AF76" i="35" a="1"/>
  <c r="AF76" i="35" s="1"/>
  <c r="AD76" i="35"/>
  <c r="AD76" i="35" a="1"/>
  <c r="AB76" i="35"/>
  <c r="AB76" i="35" a="1"/>
  <c r="Z76" i="35" a="1"/>
  <c r="Z76" i="35" s="1"/>
  <c r="X76" i="35"/>
  <c r="X76" i="35" a="1"/>
  <c r="V76" i="35" a="1"/>
  <c r="V76" i="35" s="1"/>
  <c r="T76" i="35" a="1"/>
  <c r="T76" i="35" s="1"/>
  <c r="R76" i="35" a="1"/>
  <c r="R76" i="35" s="1"/>
  <c r="P76" i="35" a="1"/>
  <c r="P76" i="35" s="1"/>
  <c r="N76" i="35"/>
  <c r="N76" i="35" a="1"/>
  <c r="L76" i="35"/>
  <c r="L76" i="35" a="1"/>
  <c r="J76" i="35" a="1"/>
  <c r="J76" i="35" s="1"/>
  <c r="H76" i="35"/>
  <c r="H76" i="35" a="1"/>
  <c r="F76" i="35" a="1"/>
  <c r="F76" i="35" s="1"/>
  <c r="D76" i="35" a="1"/>
  <c r="D76" i="35" s="1"/>
  <c r="B76" i="35" a="1"/>
  <c r="B76" i="35" s="1"/>
  <c r="AV75" i="35" a="1"/>
  <c r="AV75" i="35" s="1"/>
  <c r="AT75" i="35"/>
  <c r="AT75" i="35" a="1"/>
  <c r="AR75" i="35"/>
  <c r="AR75" i="35" a="1"/>
  <c r="AP75" i="35" a="1"/>
  <c r="AP75" i="35" s="1"/>
  <c r="AN75" i="35"/>
  <c r="AN75" i="35" a="1"/>
  <c r="AL75" i="35" a="1"/>
  <c r="AL75" i="35" s="1"/>
  <c r="AJ75" i="35" a="1"/>
  <c r="AJ75" i="35" s="1"/>
  <c r="AH75" i="35" a="1"/>
  <c r="AH75" i="35" s="1"/>
  <c r="AF75" i="35" a="1"/>
  <c r="AF75" i="35" s="1"/>
  <c r="AD75" i="35"/>
  <c r="AD75" i="35" a="1"/>
  <c r="AB75" i="35"/>
  <c r="AB75" i="35" a="1"/>
  <c r="Z75" i="35" a="1"/>
  <c r="Z75" i="35" s="1"/>
  <c r="X75" i="35"/>
  <c r="X75" i="35" a="1"/>
  <c r="V75" i="35" a="1"/>
  <c r="V75" i="35" s="1"/>
  <c r="T75" i="35" a="1"/>
  <c r="T75" i="35" s="1"/>
  <c r="R75" i="35" a="1"/>
  <c r="R75" i="35" s="1"/>
  <c r="P75" i="35" a="1"/>
  <c r="P75" i="35" s="1"/>
  <c r="N75" i="35"/>
  <c r="N75" i="35" a="1"/>
  <c r="L75" i="35"/>
  <c r="L75" i="35" a="1"/>
  <c r="J75" i="35" a="1"/>
  <c r="J75" i="35" s="1"/>
  <c r="H75" i="35"/>
  <c r="H75" i="35" a="1"/>
  <c r="F75" i="35" a="1"/>
  <c r="F75" i="35" s="1"/>
  <c r="D75" i="35" a="1"/>
  <c r="D75" i="35" s="1"/>
  <c r="B75" i="35" a="1"/>
  <c r="B75" i="35" s="1"/>
  <c r="AV74" i="35" a="1"/>
  <c r="AV74" i="35" s="1"/>
  <c r="AT74" i="35"/>
  <c r="AT74" i="35" a="1"/>
  <c r="AR74" i="35"/>
  <c r="AR74" i="35" a="1"/>
  <c r="AP74" i="35" a="1"/>
  <c r="AP74" i="35" s="1"/>
  <c r="AN74" i="35"/>
  <c r="AN74" i="35" a="1"/>
  <c r="AL74" i="35" a="1"/>
  <c r="AL74" i="35" s="1"/>
  <c r="AJ74" i="35" a="1"/>
  <c r="AJ74" i="35" s="1"/>
  <c r="AH74" i="35" a="1"/>
  <c r="AH74" i="35" s="1"/>
  <c r="AF74" i="35" a="1"/>
  <c r="AF74" i="35" s="1"/>
  <c r="AD74" i="35"/>
  <c r="AD74" i="35" a="1"/>
  <c r="AB74" i="35"/>
  <c r="AB74" i="35" a="1"/>
  <c r="Z74" i="35" a="1"/>
  <c r="Z74" i="35" s="1"/>
  <c r="X74" i="35"/>
  <c r="X74" i="35" a="1"/>
  <c r="V74" i="35" a="1"/>
  <c r="V74" i="35" s="1"/>
  <c r="T74" i="35" a="1"/>
  <c r="T74" i="35" s="1"/>
  <c r="R74" i="35" a="1"/>
  <c r="R74" i="35" s="1"/>
  <c r="P74" i="35" a="1"/>
  <c r="P74" i="35" s="1"/>
  <c r="N74" i="35"/>
  <c r="N74" i="35" a="1"/>
  <c r="L74" i="35"/>
  <c r="L74" i="35" a="1"/>
  <c r="J74" i="35" a="1"/>
  <c r="J74" i="35" s="1"/>
  <c r="H74" i="35"/>
  <c r="H74" i="35" a="1"/>
  <c r="F74" i="35" a="1"/>
  <c r="F74" i="35" s="1"/>
  <c r="D74" i="35" a="1"/>
  <c r="D74" i="35" s="1"/>
  <c r="B74" i="35" a="1"/>
  <c r="B74" i="35" s="1"/>
  <c r="AV73" i="35" a="1"/>
  <c r="AV73" i="35" s="1"/>
  <c r="AT73" i="35"/>
  <c r="AT73" i="35" a="1"/>
  <c r="AR73" i="35"/>
  <c r="AR73" i="35" a="1"/>
  <c r="AP73" i="35" a="1"/>
  <c r="AP73" i="35" s="1"/>
  <c r="AN73" i="35"/>
  <c r="AN73" i="35" a="1"/>
  <c r="AL73" i="35" a="1"/>
  <c r="AL73" i="35" s="1"/>
  <c r="AJ73" i="35" a="1"/>
  <c r="AJ73" i="35" s="1"/>
  <c r="AH73" i="35" a="1"/>
  <c r="AH73" i="35" s="1"/>
  <c r="AF73" i="35" a="1"/>
  <c r="AF73" i="35" s="1"/>
  <c r="AD73" i="35"/>
  <c r="AD73" i="35" a="1"/>
  <c r="AB73" i="35"/>
  <c r="AB73" i="35" a="1"/>
  <c r="Z73" i="35" a="1"/>
  <c r="Z73" i="35" s="1"/>
  <c r="X73" i="35"/>
  <c r="X73" i="35" a="1"/>
  <c r="V73" i="35" a="1"/>
  <c r="V73" i="35" s="1"/>
  <c r="T73" i="35" a="1"/>
  <c r="T73" i="35" s="1"/>
  <c r="R73" i="35" a="1"/>
  <c r="R73" i="35" s="1"/>
  <c r="P73" i="35" a="1"/>
  <c r="P73" i="35" s="1"/>
  <c r="N73" i="35"/>
  <c r="N73" i="35" a="1"/>
  <c r="L73" i="35"/>
  <c r="L73" i="35" a="1"/>
  <c r="J73" i="35" a="1"/>
  <c r="J73" i="35" s="1"/>
  <c r="H73" i="35"/>
  <c r="H73" i="35" a="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L69" i="35"/>
  <c r="AJ69" i="35"/>
  <c r="V69" i="35"/>
  <c r="F69" i="35"/>
  <c r="D69" i="35"/>
  <c r="B69" i="35"/>
  <c r="AL68" i="35"/>
  <c r="V68" i="35"/>
  <c r="T68" i="35"/>
  <c r="F68" i="35"/>
  <c r="AV67" i="35"/>
  <c r="AV67" i="35" a="1"/>
  <c r="AT67" i="35" a="1"/>
  <c r="AT67" i="35" s="1"/>
  <c r="AR67" i="35" a="1"/>
  <c r="AR67" i="35" s="1"/>
  <c r="AP67" i="35" a="1"/>
  <c r="AP67" i="35" s="1"/>
  <c r="AN67" i="35" a="1"/>
  <c r="AN67" i="35" s="1"/>
  <c r="AL67" i="35"/>
  <c r="AL67" i="35" a="1"/>
  <c r="AJ67" i="35"/>
  <c r="AJ67" i="35" a="1"/>
  <c r="AH67" i="35" a="1"/>
  <c r="AH67" i="35" s="1"/>
  <c r="AF67" i="35"/>
  <c r="AF67" i="35" a="1"/>
  <c r="AD67" i="35" a="1"/>
  <c r="AD67" i="35" s="1"/>
  <c r="AB67" i="35" a="1"/>
  <c r="AB67" i="35" s="1"/>
  <c r="Z67" i="35" a="1"/>
  <c r="Z67" i="35" s="1"/>
  <c r="X67" i="35" a="1"/>
  <c r="X67" i="35" s="1"/>
  <c r="V67" i="35"/>
  <c r="V67" i="35" a="1"/>
  <c r="T67" i="35"/>
  <c r="T67" i="35" a="1"/>
  <c r="R67" i="35" a="1"/>
  <c r="R67" i="35" s="1"/>
  <c r="P67" i="35"/>
  <c r="P67" i="35" a="1"/>
  <c r="N67" i="35" a="1"/>
  <c r="N67" i="35" s="1"/>
  <c r="L67" i="35" a="1"/>
  <c r="L67" i="35" s="1"/>
  <c r="J67" i="35" a="1"/>
  <c r="J67" i="35" s="1"/>
  <c r="H67" i="35" a="1"/>
  <c r="H67" i="35" s="1"/>
  <c r="F67" i="35"/>
  <c r="F67" i="35" a="1"/>
  <c r="D67" i="35"/>
  <c r="D67" i="35" a="1"/>
  <c r="B67" i="35" a="1"/>
  <c r="B67" i="35" s="1"/>
  <c r="AV66" i="35"/>
  <c r="AV68" i="35" s="1"/>
  <c r="AV66" i="35" a="1"/>
  <c r="AT66" i="35" a="1"/>
  <c r="AT66" i="35" s="1"/>
  <c r="AT68" i="35" s="1"/>
  <c r="AR66" i="35" a="1"/>
  <c r="AR66" i="35" s="1"/>
  <c r="AR68" i="35" s="1"/>
  <c r="AP66" i="35" a="1"/>
  <c r="AP66" i="35" s="1"/>
  <c r="AN66" i="35" a="1"/>
  <c r="AN66" i="35" s="1"/>
  <c r="AN68" i="35" s="1"/>
  <c r="AL66" i="35"/>
  <c r="AL66" i="35" a="1"/>
  <c r="AJ66" i="35"/>
  <c r="AJ68" i="35" s="1"/>
  <c r="AJ66" i="35" a="1"/>
  <c r="AH66" i="35" a="1"/>
  <c r="AH66" i="35" s="1"/>
  <c r="AH68" i="35" s="1"/>
  <c r="AF66" i="35"/>
  <c r="AF68" i="35" s="1"/>
  <c r="AF66" i="35" a="1"/>
  <c r="AD66" i="35" a="1"/>
  <c r="AD66" i="35" s="1"/>
  <c r="AD68" i="35" s="1"/>
  <c r="AB66" i="35" a="1"/>
  <c r="AB66" i="35" s="1"/>
  <c r="AB68" i="35" s="1"/>
  <c r="Z66" i="35" a="1"/>
  <c r="Z66" i="35" s="1"/>
  <c r="Z68" i="35" s="1"/>
  <c r="X66" i="35" a="1"/>
  <c r="X66" i="35" s="1"/>
  <c r="V66" i="35"/>
  <c r="V66" i="35" a="1"/>
  <c r="T66" i="35"/>
  <c r="T66" i="35" a="1"/>
  <c r="R66" i="35" a="1"/>
  <c r="R66" i="35" s="1"/>
  <c r="R68" i="35" s="1"/>
  <c r="P66" i="35"/>
  <c r="P68" i="35" s="1"/>
  <c r="P66" i="35" a="1"/>
  <c r="N66" i="35" a="1"/>
  <c r="N66" i="35" s="1"/>
  <c r="N68" i="35" s="1"/>
  <c r="L66" i="35" a="1"/>
  <c r="L66" i="35" s="1"/>
  <c r="J66" i="35" a="1"/>
  <c r="J66" i="35" s="1"/>
  <c r="J68" i="35" s="1"/>
  <c r="H66" i="35" a="1"/>
  <c r="H66" i="35" s="1"/>
  <c r="H68" i="35" s="1"/>
  <c r="F66" i="35"/>
  <c r="F66" i="35" a="1"/>
  <c r="D66" i="35"/>
  <c r="D68" i="35" s="1"/>
  <c r="D66" i="35" a="1"/>
  <c r="B66" i="35" a="1"/>
  <c r="B66" i="35" s="1"/>
  <c r="AV65" i="35"/>
  <c r="AV69" i="35" s="1"/>
  <c r="AV65" i="35" a="1"/>
  <c r="AT65" i="35" a="1"/>
  <c r="AT65" i="35" s="1"/>
  <c r="AT69" i="35" s="1"/>
  <c r="AR65" i="35" a="1"/>
  <c r="AR65" i="35" s="1"/>
  <c r="AR69" i="35" s="1"/>
  <c r="AP65" i="35" a="1"/>
  <c r="AP65" i="35" s="1"/>
  <c r="AP69" i="35" s="1"/>
  <c r="AN65" i="35" a="1"/>
  <c r="AN65" i="35" s="1"/>
  <c r="AN69" i="35" s="1"/>
  <c r="AL65" i="35"/>
  <c r="AL65" i="35" a="1"/>
  <c r="AJ65" i="35"/>
  <c r="AJ65" i="35" a="1"/>
  <c r="AH65" i="35" a="1"/>
  <c r="AH65" i="35" s="1"/>
  <c r="AH69" i="35" s="1"/>
  <c r="AF65" i="35"/>
  <c r="AF69" i="35" s="1"/>
  <c r="AF65" i="35" a="1"/>
  <c r="AD65" i="35" a="1"/>
  <c r="AD65" i="35" s="1"/>
  <c r="AD69" i="35" s="1"/>
  <c r="AB65" i="35" a="1"/>
  <c r="AB65" i="35" s="1"/>
  <c r="AB69" i="35" s="1"/>
  <c r="Z65" i="35" a="1"/>
  <c r="Z65" i="35" s="1"/>
  <c r="Z69" i="35" s="1"/>
  <c r="X65" i="35" a="1"/>
  <c r="X65" i="35" s="1"/>
  <c r="X69" i="35" s="1"/>
  <c r="V65" i="35"/>
  <c r="V65" i="35" a="1"/>
  <c r="T65" i="35"/>
  <c r="T69" i="35" s="1"/>
  <c r="T65" i="35" a="1"/>
  <c r="R65" i="35" a="1"/>
  <c r="R65" i="35" s="1"/>
  <c r="R69" i="35" s="1"/>
  <c r="P65" i="35"/>
  <c r="P69" i="35" s="1"/>
  <c r="P65" i="35" a="1"/>
  <c r="N65" i="35" a="1"/>
  <c r="N65" i="35" s="1"/>
  <c r="N69" i="35" s="1"/>
  <c r="L65" i="35" a="1"/>
  <c r="L65" i="35" s="1"/>
  <c r="L69" i="35" s="1"/>
  <c r="J65" i="35" a="1"/>
  <c r="J65" i="35" s="1"/>
  <c r="J69" i="35" s="1"/>
  <c r="H65" i="35" a="1"/>
  <c r="H65" i="35" s="1"/>
  <c r="H69" i="35" s="1"/>
  <c r="F65" i="35"/>
  <c r="F65" i="35" a="1"/>
  <c r="D65" i="35"/>
  <c r="D65" i="35" a="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c r="AP58" i="35" a="1"/>
  <c r="AN58" i="35" a="1"/>
  <c r="AN58" i="35" s="1"/>
  <c r="AL58" i="35" a="1"/>
  <c r="AL58" i="35" s="1"/>
  <c r="AJ58" i="35"/>
  <c r="AJ58" i="35" a="1"/>
  <c r="AH58" i="35" a="1"/>
  <c r="AH58" i="35" s="1"/>
  <c r="AF58" i="35"/>
  <c r="AF58" i="35" a="1"/>
  <c r="AD58" i="35"/>
  <c r="AD58" i="35" a="1"/>
  <c r="AB58" i="35" a="1"/>
  <c r="AB58" i="35" s="1"/>
  <c r="Z58" i="35"/>
  <c r="Z58" i="35" a="1"/>
  <c r="X58" i="35" a="1"/>
  <c r="X58" i="35" s="1"/>
  <c r="V58" i="35" a="1"/>
  <c r="V58" i="35" s="1"/>
  <c r="T58" i="35"/>
  <c r="T58" i="35" a="1"/>
  <c r="R58" i="35" a="1"/>
  <c r="R58" i="35" s="1"/>
  <c r="P58" i="35"/>
  <c r="P58" i="35" a="1"/>
  <c r="N58" i="35"/>
  <c r="N58" i="35" a="1"/>
  <c r="L58" i="35" a="1"/>
  <c r="L58" i="35" s="1"/>
  <c r="J58" i="35"/>
  <c r="J58" i="35" a="1"/>
  <c r="H58" i="35" a="1"/>
  <c r="H58" i="35" s="1"/>
  <c r="F58" i="35" a="1"/>
  <c r="F58" i="35" s="1"/>
  <c r="D58" i="35"/>
  <c r="D58" i="35" a="1"/>
  <c r="B58" i="35" a="1"/>
  <c r="B58" i="35" s="1"/>
  <c r="AV57" i="35"/>
  <c r="AV57" i="35" a="1"/>
  <c r="AT57" i="35"/>
  <c r="AT57" i="35" a="1"/>
  <c r="AR57" i="35" a="1"/>
  <c r="AR57" i="35" s="1"/>
  <c r="AP57" i="35"/>
  <c r="AP57" i="35" a="1"/>
  <c r="AN57" i="35" a="1"/>
  <c r="AN57" i="35" s="1"/>
  <c r="AL57" i="35" a="1"/>
  <c r="AL57" i="35" s="1"/>
  <c r="AJ57" i="35"/>
  <c r="AJ57" i="35" a="1"/>
  <c r="AH57" i="35" a="1"/>
  <c r="AH57" i="35" s="1"/>
  <c r="AF57" i="35"/>
  <c r="AF57" i="35" a="1"/>
  <c r="AD57" i="35"/>
  <c r="AD57" i="35" a="1"/>
  <c r="AB57" i="35" a="1"/>
  <c r="AB57" i="35" s="1"/>
  <c r="Z57" i="35"/>
  <c r="Z57" i="35" a="1"/>
  <c r="X57" i="35" a="1"/>
  <c r="X57" i="35" s="1"/>
  <c r="V57" i="35" a="1"/>
  <c r="V57" i="35" s="1"/>
  <c r="T57" i="35"/>
  <c r="T57" i="35" a="1"/>
  <c r="R57" i="35" a="1"/>
  <c r="R57" i="35" s="1"/>
  <c r="P57" i="35"/>
  <c r="P57" i="35" a="1"/>
  <c r="N57" i="35"/>
  <c r="N57" i="35" a="1"/>
  <c r="L57" i="35" a="1"/>
  <c r="L57" i="35" s="1"/>
  <c r="J57" i="35"/>
  <c r="J57" i="35" a="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T80" i="35" s="1"/>
  <c r="AR55" i="35"/>
  <c r="AP55" i="35"/>
  <c r="AN55" i="35"/>
  <c r="AN80" i="35" s="1"/>
  <c r="AL55" i="35"/>
  <c r="AJ55" i="35"/>
  <c r="AH55" i="35"/>
  <c r="AF55" i="35"/>
  <c r="AF80" i="35" s="1"/>
  <c r="AD55" i="35"/>
  <c r="AB55" i="35"/>
  <c r="AB80" i="35" s="1"/>
  <c r="Z55" i="35"/>
  <c r="Z80" i="35" s="1"/>
  <c r="X55" i="35"/>
  <c r="V55" i="35"/>
  <c r="V80" i="35" s="1"/>
  <c r="T55" i="35"/>
  <c r="T80" i="35" s="1"/>
  <c r="R55" i="35"/>
  <c r="P55" i="35"/>
  <c r="N55" i="35"/>
  <c r="N80" i="35" s="1"/>
  <c r="L55" i="35"/>
  <c r="J55" i="35"/>
  <c r="H55" i="35"/>
  <c r="H80" i="35" s="1"/>
  <c r="F55" i="35"/>
  <c r="D55" i="35"/>
  <c r="B55" i="35"/>
  <c r="AV53" i="35"/>
  <c r="AV83" i="35" s="1"/>
  <c r="AV53" i="35" a="1"/>
  <c r="AT53" i="35"/>
  <c r="AT83" i="35" s="1"/>
  <c r="AT53" i="35" a="1"/>
  <c r="AR53" i="35" a="1"/>
  <c r="AR53" i="35" s="1"/>
  <c r="AR83" i="35" s="1"/>
  <c r="AP53" i="35"/>
  <c r="AP83" i="35" s="1"/>
  <c r="AP53" i="35" a="1"/>
  <c r="AN53" i="35" a="1"/>
  <c r="AN53" i="35" s="1"/>
  <c r="AN83" i="35" s="1"/>
  <c r="AL53" i="35" a="1"/>
  <c r="AL53" i="35" s="1"/>
  <c r="AL83" i="35" s="1"/>
  <c r="AJ53" i="35"/>
  <c r="AJ83" i="35" s="1"/>
  <c r="AJ53" i="35" a="1"/>
  <c r="AH53" i="35" a="1"/>
  <c r="AH53" i="35" s="1"/>
  <c r="AH83" i="35" s="1"/>
  <c r="AF53" i="35"/>
  <c r="AF83" i="35" s="1"/>
  <c r="AF53" i="35" a="1"/>
  <c r="AD53" i="35"/>
  <c r="AD83" i="35" s="1"/>
  <c r="AD53" i="35" a="1"/>
  <c r="AB53" i="35" a="1"/>
  <c r="AB53" i="35" s="1"/>
  <c r="AB83" i="35" s="1"/>
  <c r="Z53" i="35"/>
  <c r="Z53" i="35" a="1"/>
  <c r="X53" i="35" a="1"/>
  <c r="X53" i="35" s="1"/>
  <c r="X83" i="35" s="1"/>
  <c r="V53" i="35" a="1"/>
  <c r="V53" i="35" s="1"/>
  <c r="V83" i="35" s="1"/>
  <c r="T53" i="35"/>
  <c r="T53" i="35" a="1"/>
  <c r="R53" i="35" a="1"/>
  <c r="R53" i="35" s="1"/>
  <c r="R83" i="35" s="1"/>
  <c r="P53" i="35"/>
  <c r="P83" i="35" s="1"/>
  <c r="P53" i="35" a="1"/>
  <c r="N53" i="35"/>
  <c r="N83" i="35" s="1"/>
  <c r="N53" i="35" a="1"/>
  <c r="L53" i="35" a="1"/>
  <c r="L53" i="35" s="1"/>
  <c r="L83" i="35" s="1"/>
  <c r="J53" i="35"/>
  <c r="J83" i="35" s="1"/>
  <c r="J53" i="35" a="1"/>
  <c r="H53" i="35" a="1"/>
  <c r="H53" i="35" s="1"/>
  <c r="H83" i="35" s="1"/>
  <c r="F53" i="35" a="1"/>
  <c r="F53" i="35" s="1"/>
  <c r="F83" i="35" s="1"/>
  <c r="D53" i="35"/>
  <c r="D83" i="35" s="1"/>
  <c r="D53" i="35" a="1"/>
  <c r="B53" i="35" a="1"/>
  <c r="B53" i="35" s="1"/>
  <c r="B83" i="35" s="1"/>
  <c r="AV52" i="35"/>
  <c r="AV82" i="35" s="1"/>
  <c r="AV52" i="35" a="1"/>
  <c r="AT52" i="35"/>
  <c r="AT82" i="35" s="1"/>
  <c r="AT52" i="35" a="1"/>
  <c r="AR52" i="35" a="1"/>
  <c r="AR52" i="35" s="1"/>
  <c r="AR82" i="35" s="1"/>
  <c r="AP52" i="35"/>
  <c r="AP52" i="35" a="1"/>
  <c r="AN52" i="35" a="1"/>
  <c r="AN52" i="35" s="1"/>
  <c r="AN82" i="35" s="1"/>
  <c r="AL52" i="35" a="1"/>
  <c r="AL52" i="35" s="1"/>
  <c r="AL82" i="35" s="1"/>
  <c r="AJ52" i="35"/>
  <c r="AJ52" i="35" a="1"/>
  <c r="AH52" i="35" a="1"/>
  <c r="AH52" i="35" s="1"/>
  <c r="AH82" i="35" s="1"/>
  <c r="AF52" i="35"/>
  <c r="AF82" i="35" s="1"/>
  <c r="AF52" i="35" a="1"/>
  <c r="AD52" i="35"/>
  <c r="AD82" i="35" s="1"/>
  <c r="AD52" i="35" a="1"/>
  <c r="AB52" i="35" a="1"/>
  <c r="AB52" i="35" s="1"/>
  <c r="AB82" i="35" s="1"/>
  <c r="Z52" i="35"/>
  <c r="Z82" i="35" s="1"/>
  <c r="Z52" i="35" a="1"/>
  <c r="X52" i="35" a="1"/>
  <c r="X52" i="35" s="1"/>
  <c r="X82" i="35" s="1"/>
  <c r="V52" i="35" a="1"/>
  <c r="V52" i="35" s="1"/>
  <c r="V82" i="35" s="1"/>
  <c r="T52" i="35"/>
  <c r="T82" i="35" s="1"/>
  <c r="T52" i="35" a="1"/>
  <c r="R52" i="35" a="1"/>
  <c r="R52" i="35" s="1"/>
  <c r="R82" i="35" s="1"/>
  <c r="P52" i="35"/>
  <c r="P82" i="35" s="1"/>
  <c r="P52" i="35" a="1"/>
  <c r="N52" i="35"/>
  <c r="N82" i="35" s="1"/>
  <c r="N52" i="35" a="1"/>
  <c r="L52" i="35" a="1"/>
  <c r="L52" i="35" s="1"/>
  <c r="L82" i="35" s="1"/>
  <c r="J52" i="35"/>
  <c r="J52" i="35" a="1"/>
  <c r="H52" i="35" a="1"/>
  <c r="H52" i="35" s="1"/>
  <c r="H82" i="35" s="1"/>
  <c r="F52" i="35" a="1"/>
  <c r="F52" i="35" s="1"/>
  <c r="F82" i="35" s="1"/>
  <c r="D52" i="35"/>
  <c r="D52" i="35" a="1"/>
  <c r="B52" i="35" a="1"/>
  <c r="B52" i="35" s="1"/>
  <c r="B82" i="35" s="1"/>
  <c r="AV51" i="35"/>
  <c r="AV81" i="35" s="1"/>
  <c r="AT51" i="35"/>
  <c r="AR51" i="35"/>
  <c r="AR81" i="35" s="1"/>
  <c r="AP51" i="35"/>
  <c r="AP81" i="35" s="1"/>
  <c r="AN51" i="35"/>
  <c r="AL51" i="35"/>
  <c r="AL81" i="35" s="1"/>
  <c r="AJ51" i="35"/>
  <c r="AJ81" i="35" s="1"/>
  <c r="AH51" i="35"/>
  <c r="AF51" i="35"/>
  <c r="AD51" i="35"/>
  <c r="AD81" i="35" s="1"/>
  <c r="AB51" i="35"/>
  <c r="Z51" i="35"/>
  <c r="X51" i="35"/>
  <c r="X81" i="35" s="1"/>
  <c r="V51" i="35"/>
  <c r="T51" i="35"/>
  <c r="R51" i="35"/>
  <c r="P51" i="35"/>
  <c r="P81" i="35" s="1"/>
  <c r="N51" i="35"/>
  <c r="L51" i="35"/>
  <c r="L81" i="35" s="1"/>
  <c r="J51" i="35"/>
  <c r="J81" i="35" s="1"/>
  <c r="H51" i="35"/>
  <c r="F51" i="35"/>
  <c r="F81" i="35" s="1"/>
  <c r="D51" i="35"/>
  <c r="D81" i="35" s="1"/>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c r="AT43" i="35" a="1"/>
  <c r="AR43" i="35" a="1"/>
  <c r="AR43" i="35" s="1"/>
  <c r="AP43" i="35"/>
  <c r="AP43" i="35" a="1"/>
  <c r="AN43" i="35" a="1"/>
  <c r="AN43" i="35" s="1"/>
  <c r="AL43" i="35" a="1"/>
  <c r="AL43" i="35" s="1"/>
  <c r="AJ43" i="35"/>
  <c r="AJ43" i="35" a="1"/>
  <c r="AH43" i="35" a="1"/>
  <c r="AH43" i="35" s="1"/>
  <c r="AF43" i="35"/>
  <c r="AF43" i="35" a="1"/>
  <c r="AD43" i="35"/>
  <c r="AD43" i="35" a="1"/>
  <c r="AB43" i="35" a="1"/>
  <c r="AB43" i="35" s="1"/>
  <c r="Z43" i="35"/>
  <c r="Z43" i="35" a="1"/>
  <c r="X43" i="35" a="1"/>
  <c r="X43" i="35" s="1"/>
  <c r="V43" i="35" a="1"/>
  <c r="V43" i="35" s="1"/>
  <c r="T43" i="35"/>
  <c r="T43" i="35" a="1"/>
  <c r="R43" i="35" a="1"/>
  <c r="R43" i="35" s="1"/>
  <c r="P43" i="35"/>
  <c r="P43" i="35" a="1"/>
  <c r="N43" i="35"/>
  <c r="N43" i="35" a="1"/>
  <c r="L43" i="35" a="1"/>
  <c r="L43" i="35" s="1"/>
  <c r="J43" i="35"/>
  <c r="J43" i="35" a="1"/>
  <c r="H43" i="35" a="1"/>
  <c r="H43" i="35" s="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AB83" i="24"/>
  <c r="R83" i="24"/>
  <c r="AR82" i="24"/>
  <c r="L82" i="24"/>
  <c r="AP81" i="24"/>
  <c r="AJ81" i="24"/>
  <c r="AH81" i="24"/>
  <c r="AF81" i="24"/>
  <c r="AD81" i="24"/>
  <c r="AB81" i="24"/>
  <c r="Z81" i="24"/>
  <c r="R81" i="24"/>
  <c r="J81" i="24"/>
  <c r="D81" i="24"/>
  <c r="B81" i="24"/>
  <c r="AV80" i="24"/>
  <c r="AT80" i="24"/>
  <c r="AR80" i="24"/>
  <c r="AP80" i="24"/>
  <c r="AN80" i="24"/>
  <c r="Z80" i="24"/>
  <c r="T80" i="24"/>
  <c r="R80" i="24"/>
  <c r="P80" i="24"/>
  <c r="N80" i="24"/>
  <c r="L80" i="24"/>
  <c r="J80" i="24"/>
  <c r="H80" i="24"/>
  <c r="F80" i="24"/>
  <c r="D80" i="24"/>
  <c r="B80" i="24"/>
  <c r="AV79" i="24" a="1"/>
  <c r="AV79" i="24" s="1"/>
  <c r="AT79" i="24" a="1"/>
  <c r="AT79" i="24" s="1"/>
  <c r="AR79" i="24" a="1"/>
  <c r="AR79" i="24" s="1"/>
  <c r="AP79" i="24" a="1"/>
  <c r="AP79" i="24" s="1"/>
  <c r="AN79" i="24" a="1"/>
  <c r="AN79" i="24" s="1"/>
  <c r="AL79" i="24" a="1"/>
  <c r="AL79" i="24" s="1"/>
  <c r="AJ79" i="24" a="1"/>
  <c r="AJ79" i="24" s="1"/>
  <c r="AH79" i="24" a="1"/>
  <c r="AH79" i="24" s="1"/>
  <c r="AF79" i="24" a="1"/>
  <c r="AF79" i="24" s="1"/>
  <c r="AD79" i="24" a="1"/>
  <c r="AD79" i="24" s="1"/>
  <c r="AB79" i="24" a="1"/>
  <c r="AB79" i="24" s="1"/>
  <c r="Z79" i="24" a="1"/>
  <c r="Z79" i="24" s="1"/>
  <c r="X79" i="24" a="1"/>
  <c r="X79" i="24" s="1"/>
  <c r="V79" i="24" a="1"/>
  <c r="V79" i="24" s="1"/>
  <c r="T79" i="24" a="1"/>
  <c r="T79" i="24" s="1"/>
  <c r="R79" i="24" a="1"/>
  <c r="R79" i="24" s="1"/>
  <c r="P79" i="24" a="1"/>
  <c r="P79" i="24" s="1"/>
  <c r="N79" i="24" a="1"/>
  <c r="N79" i="24" s="1"/>
  <c r="L79" i="24" a="1"/>
  <c r="L79" i="24" s="1"/>
  <c r="J79" i="24" a="1"/>
  <c r="J79" i="24" s="1"/>
  <c r="H79" i="24" a="1"/>
  <c r="H79" i="24" s="1"/>
  <c r="F79" i="24" a="1"/>
  <c r="F79" i="24" s="1"/>
  <c r="D79" i="24" a="1"/>
  <c r="D79" i="24" s="1"/>
  <c r="B79" i="24" a="1"/>
  <c r="B79" i="24" s="1"/>
  <c r="AV78" i="24" a="1"/>
  <c r="AV78" i="24" s="1"/>
  <c r="AT78" i="24" a="1"/>
  <c r="AT78" i="24" s="1"/>
  <c r="AR78" i="24" a="1"/>
  <c r="AR78" i="24" s="1"/>
  <c r="AP78" i="24" a="1"/>
  <c r="AP78" i="24" s="1"/>
  <c r="AN78" i="24" a="1"/>
  <c r="AN78" i="24" s="1"/>
  <c r="AL78" i="24" a="1"/>
  <c r="AL78" i="24" s="1"/>
  <c r="AJ78" i="24" a="1"/>
  <c r="AJ78" i="24" s="1"/>
  <c r="AH78" i="24" a="1"/>
  <c r="AH78" i="24" s="1"/>
  <c r="AF78" i="24" a="1"/>
  <c r="AF78" i="24" s="1"/>
  <c r="AD78" i="24" a="1"/>
  <c r="AD78" i="24" s="1"/>
  <c r="AB78" i="24" a="1"/>
  <c r="AB78" i="24" s="1"/>
  <c r="Z78" i="24" a="1"/>
  <c r="Z78" i="24" s="1"/>
  <c r="X78" i="24" a="1"/>
  <c r="X78" i="24" s="1"/>
  <c r="V78" i="24" a="1"/>
  <c r="V78" i="24" s="1"/>
  <c r="T78" i="24" a="1"/>
  <c r="T78" i="24" s="1"/>
  <c r="R78" i="24" a="1"/>
  <c r="R78" i="24" s="1"/>
  <c r="P78" i="24" a="1"/>
  <c r="P78" i="24" s="1"/>
  <c r="N78" i="24" a="1"/>
  <c r="N78" i="24" s="1"/>
  <c r="L78" i="24" a="1"/>
  <c r="L78" i="24" s="1"/>
  <c r="J78" i="24" a="1"/>
  <c r="J78" i="24" s="1"/>
  <c r="H78" i="24" a="1"/>
  <c r="H78" i="24" s="1"/>
  <c r="F78" i="24" a="1"/>
  <c r="F78" i="24" s="1"/>
  <c r="D78" i="24" a="1"/>
  <c r="D78" i="24" s="1"/>
  <c r="B78" i="24" a="1"/>
  <c r="B78" i="24" s="1"/>
  <c r="AV77" i="24" a="1"/>
  <c r="AV77" i="24" s="1"/>
  <c r="AT77" i="24" a="1"/>
  <c r="AT77" i="24" s="1"/>
  <c r="AR77" i="24" a="1"/>
  <c r="AR77" i="24" s="1"/>
  <c r="AP77" i="24" a="1"/>
  <c r="AP77" i="24" s="1"/>
  <c r="AN77" i="24" a="1"/>
  <c r="AN77" i="24" s="1"/>
  <c r="AL77" i="24" a="1"/>
  <c r="AL77" i="24" s="1"/>
  <c r="AJ77" i="24" a="1"/>
  <c r="AJ77" i="24" s="1"/>
  <c r="AH77" i="24" a="1"/>
  <c r="AH77" i="24" s="1"/>
  <c r="AF77" i="24" a="1"/>
  <c r="AF77" i="24" s="1"/>
  <c r="AD77" i="24" a="1"/>
  <c r="AD77" i="24" s="1"/>
  <c r="AB77" i="24" a="1"/>
  <c r="AB77" i="24" s="1"/>
  <c r="Z77" i="24" a="1"/>
  <c r="Z77" i="24" s="1"/>
  <c r="X77" i="24" a="1"/>
  <c r="X77" i="24" s="1"/>
  <c r="V77" i="24" a="1"/>
  <c r="V77" i="24" s="1"/>
  <c r="T77" i="24" a="1"/>
  <c r="T77" i="24" s="1"/>
  <c r="R77" i="24" a="1"/>
  <c r="R77" i="24" s="1"/>
  <c r="P77" i="24" a="1"/>
  <c r="P77" i="24" s="1"/>
  <c r="N77" i="24" a="1"/>
  <c r="N77" i="24" s="1"/>
  <c r="L77" i="24" a="1"/>
  <c r="L77" i="24" s="1"/>
  <c r="J77" i="24" a="1"/>
  <c r="J77" i="24" s="1"/>
  <c r="H77" i="24" a="1"/>
  <c r="H77" i="24" s="1"/>
  <c r="F77" i="24" a="1"/>
  <c r="F77" i="24" s="1"/>
  <c r="D77" i="24" a="1"/>
  <c r="D77" i="24" s="1"/>
  <c r="B77" i="24" a="1"/>
  <c r="B77" i="24" s="1"/>
  <c r="AV76" i="24" a="1"/>
  <c r="AV76" i="24" s="1"/>
  <c r="AT76" i="24" a="1"/>
  <c r="AT76" i="24" s="1"/>
  <c r="AR76" i="24" a="1"/>
  <c r="AR76" i="24" s="1"/>
  <c r="AP76" i="24" a="1"/>
  <c r="AP76" i="24" s="1"/>
  <c r="AN76" i="24" a="1"/>
  <c r="AN76" i="24" s="1"/>
  <c r="AL76" i="24" a="1"/>
  <c r="AL76" i="24" s="1"/>
  <c r="AJ76" i="24" a="1"/>
  <c r="AJ76" i="24" s="1"/>
  <c r="AH76" i="24" a="1"/>
  <c r="AH76" i="24" s="1"/>
  <c r="AF76" i="24" a="1"/>
  <c r="AF76" i="24" s="1"/>
  <c r="AD76" i="24" a="1"/>
  <c r="AD76" i="24" s="1"/>
  <c r="AB76" i="24" a="1"/>
  <c r="AB76" i="24" s="1"/>
  <c r="Z76" i="24" a="1"/>
  <c r="Z76" i="24" s="1"/>
  <c r="X76" i="24" a="1"/>
  <c r="X76" i="24" s="1"/>
  <c r="V76" i="24" a="1"/>
  <c r="V76" i="24" s="1"/>
  <c r="T76" i="24" a="1"/>
  <c r="T76" i="24" s="1"/>
  <c r="R76" i="24" a="1"/>
  <c r="R76" i="24" s="1"/>
  <c r="P76" i="24" a="1"/>
  <c r="P76" i="24" s="1"/>
  <c r="N76" i="24" a="1"/>
  <c r="N76" i="24" s="1"/>
  <c r="L76" i="24" a="1"/>
  <c r="L76" i="24" s="1"/>
  <c r="J76" i="24" a="1"/>
  <c r="J76" i="24" s="1"/>
  <c r="H76" i="24" a="1"/>
  <c r="H76" i="24" s="1"/>
  <c r="F76" i="24" a="1"/>
  <c r="F76" i="24" s="1"/>
  <c r="D76" i="24" a="1"/>
  <c r="D76" i="24" s="1"/>
  <c r="B76" i="24" a="1"/>
  <c r="B76" i="24" s="1"/>
  <c r="AV75" i="24" a="1"/>
  <c r="AV75" i="24" s="1"/>
  <c r="AT75" i="24" a="1"/>
  <c r="AT75" i="24" s="1"/>
  <c r="AR75" i="24" a="1"/>
  <c r="AR75" i="24" s="1"/>
  <c r="AP75" i="24" a="1"/>
  <c r="AP75" i="24" s="1"/>
  <c r="AN75" i="24" a="1"/>
  <c r="AN75" i="24" s="1"/>
  <c r="AL75" i="24" a="1"/>
  <c r="AL75" i="24" s="1"/>
  <c r="AJ75" i="24" a="1"/>
  <c r="AJ75" i="24" s="1"/>
  <c r="AH75" i="24" a="1"/>
  <c r="AH75" i="24" s="1"/>
  <c r="AF75" i="24" a="1"/>
  <c r="AF75" i="24" s="1"/>
  <c r="AD75" i="24" a="1"/>
  <c r="AD75" i="24" s="1"/>
  <c r="AB75" i="24" a="1"/>
  <c r="AB75" i="24" s="1"/>
  <c r="Z75" i="24" a="1"/>
  <c r="Z75" i="24" s="1"/>
  <c r="X75" i="24" a="1"/>
  <c r="X75" i="24" s="1"/>
  <c r="V75" i="24" a="1"/>
  <c r="V75" i="24" s="1"/>
  <c r="T75" i="24" a="1"/>
  <c r="T75" i="24" s="1"/>
  <c r="R75" i="24" a="1"/>
  <c r="R75" i="24" s="1"/>
  <c r="P75" i="24" a="1"/>
  <c r="P75" i="24" s="1"/>
  <c r="N75" i="24" a="1"/>
  <c r="N75" i="24" s="1"/>
  <c r="L75" i="24" a="1"/>
  <c r="L75" i="24" s="1"/>
  <c r="J75" i="24" a="1"/>
  <c r="J75" i="24" s="1"/>
  <c r="H75" i="24" a="1"/>
  <c r="H75" i="24" s="1"/>
  <c r="F75" i="24" a="1"/>
  <c r="F75" i="24" s="1"/>
  <c r="D75" i="24" a="1"/>
  <c r="D75" i="24" s="1"/>
  <c r="B75" i="24" a="1"/>
  <c r="B75" i="24" s="1"/>
  <c r="AV74" i="24" a="1"/>
  <c r="AV74" i="24" s="1"/>
  <c r="AT74" i="24" a="1"/>
  <c r="AT74" i="24" s="1"/>
  <c r="AR74" i="24" a="1"/>
  <c r="AR74" i="24" s="1"/>
  <c r="AP74" i="24" a="1"/>
  <c r="AP74" i="24" s="1"/>
  <c r="AN74" i="24" a="1"/>
  <c r="AN74" i="24" s="1"/>
  <c r="AL74" i="24" a="1"/>
  <c r="AL74" i="24" s="1"/>
  <c r="AJ74" i="24" a="1"/>
  <c r="AJ74" i="24" s="1"/>
  <c r="AH74" i="24" a="1"/>
  <c r="AH74" i="24" s="1"/>
  <c r="AF74" i="24" a="1"/>
  <c r="AF74" i="24" s="1"/>
  <c r="AD74" i="24" a="1"/>
  <c r="AD74" i="24" s="1"/>
  <c r="AB74" i="24" a="1"/>
  <c r="AB74" i="24" s="1"/>
  <c r="Z74" i="24" a="1"/>
  <c r="Z74" i="24" s="1"/>
  <c r="X74" i="24" a="1"/>
  <c r="X74" i="24" s="1"/>
  <c r="V74" i="24" a="1"/>
  <c r="V74" i="24" s="1"/>
  <c r="T74" i="24" a="1"/>
  <c r="T74" i="24" s="1"/>
  <c r="R74" i="24" a="1"/>
  <c r="R74" i="24" s="1"/>
  <c r="P74" i="24" a="1"/>
  <c r="P74" i="24" s="1"/>
  <c r="N74" i="24" a="1"/>
  <c r="N74" i="24" s="1"/>
  <c r="L74" i="24" a="1"/>
  <c r="L74" i="24" s="1"/>
  <c r="J74" i="24" a="1"/>
  <c r="J74" i="24" s="1"/>
  <c r="H74" i="24" a="1"/>
  <c r="H74" i="24" s="1"/>
  <c r="F74" i="24" a="1"/>
  <c r="F74" i="24" s="1"/>
  <c r="D74" i="24" a="1"/>
  <c r="D74" i="24" s="1"/>
  <c r="B74" i="24" a="1"/>
  <c r="B74" i="24" s="1"/>
  <c r="AV73" i="24" a="1"/>
  <c r="AV73" i="24" s="1"/>
  <c r="AT73" i="24" a="1"/>
  <c r="AT73" i="24" s="1"/>
  <c r="AR73" i="24" a="1"/>
  <c r="AR73" i="24" s="1"/>
  <c r="AP73" i="24" a="1"/>
  <c r="AP73" i="24" s="1"/>
  <c r="AN73" i="24" a="1"/>
  <c r="AN73" i="24" s="1"/>
  <c r="AL73" i="24" a="1"/>
  <c r="AL73" i="24" s="1"/>
  <c r="AJ73" i="24" a="1"/>
  <c r="AJ73" i="24" s="1"/>
  <c r="AH73" i="24" a="1"/>
  <c r="AH73" i="24" s="1"/>
  <c r="AF73" i="24" a="1"/>
  <c r="AF73" i="24" s="1"/>
  <c r="AD73" i="24" a="1"/>
  <c r="AD73" i="24" s="1"/>
  <c r="AB73" i="24" a="1"/>
  <c r="AB73" i="24" s="1"/>
  <c r="Z73" i="24" a="1"/>
  <c r="Z73" i="24" s="1"/>
  <c r="X73" i="24" a="1"/>
  <c r="X73" i="24" s="1"/>
  <c r="V73" i="24" a="1"/>
  <c r="V73" i="24" s="1"/>
  <c r="T73" i="24" a="1"/>
  <c r="T73" i="24" s="1"/>
  <c r="R73" i="24" a="1"/>
  <c r="R73" i="24" s="1"/>
  <c r="P73" i="24" a="1"/>
  <c r="P73" i="24" s="1"/>
  <c r="N73" i="24" a="1"/>
  <c r="N73" i="24" s="1"/>
  <c r="L73" i="24" a="1"/>
  <c r="L73" i="24" s="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N69" i="24"/>
  <c r="AL69" i="24"/>
  <c r="AJ69" i="24"/>
  <c r="AH69" i="24"/>
  <c r="H69" i="24"/>
  <c r="F69" i="24"/>
  <c r="B69" i="24"/>
  <c r="AV67" i="24" a="1"/>
  <c r="AV67" i="24" s="1"/>
  <c r="AT67" i="24" a="1"/>
  <c r="AT67" i="24" s="1"/>
  <c r="AR67" i="24" a="1"/>
  <c r="AR67" i="24" s="1"/>
  <c r="AP67" i="24" a="1"/>
  <c r="AP67" i="24" s="1"/>
  <c r="AN67" i="24" a="1"/>
  <c r="AN67" i="24" s="1"/>
  <c r="AL67" i="24" a="1"/>
  <c r="AL67" i="24" s="1"/>
  <c r="AJ67" i="24" a="1"/>
  <c r="AJ67" i="24" s="1"/>
  <c r="AH67" i="24" a="1"/>
  <c r="AH67" i="24" s="1"/>
  <c r="AF67" i="24" a="1"/>
  <c r="AF67" i="24" s="1"/>
  <c r="AD67" i="24" a="1"/>
  <c r="AD67" i="24" s="1"/>
  <c r="AB67" i="24" a="1"/>
  <c r="AB67" i="24" s="1"/>
  <c r="Z67" i="24" a="1"/>
  <c r="Z67" i="24" s="1"/>
  <c r="X67" i="24" a="1"/>
  <c r="X67" i="24" s="1"/>
  <c r="V67" i="24" a="1"/>
  <c r="V67" i="24" s="1"/>
  <c r="T67" i="24" a="1"/>
  <c r="T67" i="24" s="1"/>
  <c r="T68" i="24" s="1"/>
  <c r="R67" i="24" a="1"/>
  <c r="R67" i="24" s="1"/>
  <c r="R68" i="24" s="1"/>
  <c r="P67" i="24" a="1"/>
  <c r="P67" i="24" s="1"/>
  <c r="N67" i="24" a="1"/>
  <c r="N67" i="24" s="1"/>
  <c r="L67" i="24" a="1"/>
  <c r="L67" i="24" s="1"/>
  <c r="J67" i="24" a="1"/>
  <c r="J67" i="24" s="1"/>
  <c r="H67" i="24" a="1"/>
  <c r="H67" i="24" s="1"/>
  <c r="F67" i="24" a="1"/>
  <c r="F67" i="24" s="1"/>
  <c r="D67" i="24" a="1"/>
  <c r="D67" i="24" s="1"/>
  <c r="B67" i="24" a="1"/>
  <c r="B67" i="24" s="1"/>
  <c r="AV66" i="24" a="1"/>
  <c r="AV66" i="24" s="1"/>
  <c r="AV68" i="24" s="1"/>
  <c r="AT66" i="24" a="1"/>
  <c r="AT66" i="24" s="1"/>
  <c r="AT68" i="24" s="1"/>
  <c r="AR66" i="24" a="1"/>
  <c r="AR66" i="24" s="1"/>
  <c r="AP66" i="24" a="1"/>
  <c r="AP66" i="24" s="1"/>
  <c r="AN66" i="24" a="1"/>
  <c r="AN66" i="24" s="1"/>
  <c r="AL66" i="24" a="1"/>
  <c r="AL66" i="24" s="1"/>
  <c r="AJ66" i="24" a="1"/>
  <c r="AJ66" i="24" s="1"/>
  <c r="AH66" i="24" a="1"/>
  <c r="AH66" i="24" s="1"/>
  <c r="AF66" i="24" a="1"/>
  <c r="AF66" i="24" s="1"/>
  <c r="AF68" i="24" s="1"/>
  <c r="AD66" i="24" a="1"/>
  <c r="AD66" i="24" s="1"/>
  <c r="AD68" i="24" s="1"/>
  <c r="AB66" i="24" a="1"/>
  <c r="AB66" i="24" s="1"/>
  <c r="AB68" i="24" s="1"/>
  <c r="Z66" i="24" a="1"/>
  <c r="Z66" i="24" s="1"/>
  <c r="Z68" i="24" s="1"/>
  <c r="X66" i="24" a="1"/>
  <c r="X66" i="24" s="1"/>
  <c r="X68" i="24" s="1"/>
  <c r="V66" i="24" a="1"/>
  <c r="V66" i="24" s="1"/>
  <c r="V68" i="24" s="1"/>
  <c r="T66" i="24" a="1"/>
  <c r="T66" i="24" s="1"/>
  <c r="R66" i="24" a="1"/>
  <c r="R66" i="24" s="1"/>
  <c r="P66" i="24" a="1"/>
  <c r="P66" i="24" s="1"/>
  <c r="N66" i="24" a="1"/>
  <c r="N66" i="24" s="1"/>
  <c r="L66" i="24" a="1"/>
  <c r="L66" i="24" s="1"/>
  <c r="J66" i="24" a="1"/>
  <c r="J66" i="24" s="1"/>
  <c r="H66" i="24" a="1"/>
  <c r="H66" i="24" s="1"/>
  <c r="H68" i="24" s="1"/>
  <c r="F66" i="24" a="1"/>
  <c r="F66" i="24" s="1"/>
  <c r="F68" i="24" s="1"/>
  <c r="D66" i="24" a="1"/>
  <c r="D66" i="24" s="1"/>
  <c r="B66" i="24" a="1"/>
  <c r="B66" i="24" s="1"/>
  <c r="AV65" i="24" a="1"/>
  <c r="AV65" i="24" s="1"/>
  <c r="AV69" i="24" s="1"/>
  <c r="AT65" i="24" a="1"/>
  <c r="AT65" i="24" s="1"/>
  <c r="AT69" i="24" s="1"/>
  <c r="AR65" i="24" a="1"/>
  <c r="AR65" i="24" s="1"/>
  <c r="AR69" i="24" s="1"/>
  <c r="AP65" i="24" a="1"/>
  <c r="AP65" i="24" s="1"/>
  <c r="AP69" i="24" s="1"/>
  <c r="AN65" i="24" a="1"/>
  <c r="AN65" i="24" s="1"/>
  <c r="AL65" i="24" a="1"/>
  <c r="AL65" i="24" s="1"/>
  <c r="AJ65" i="24" a="1"/>
  <c r="AJ65" i="24" s="1"/>
  <c r="AH65" i="24" a="1"/>
  <c r="AH65"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a="1"/>
  <c r="T65" i="24" s="1"/>
  <c r="T69" i="24" s="1"/>
  <c r="R65" i="24" a="1"/>
  <c r="R65" i="24" s="1"/>
  <c r="R69" i="24" s="1"/>
  <c r="P65" i="24" a="1"/>
  <c r="P65" i="24" s="1"/>
  <c r="P69" i="24" s="1"/>
  <c r="N65" i="24" a="1"/>
  <c r="N65" i="24" s="1"/>
  <c r="N69" i="24" s="1"/>
  <c r="L65" i="24" a="1"/>
  <c r="L65" i="24" s="1"/>
  <c r="L69" i="24" s="1"/>
  <c r="J65" i="24" a="1"/>
  <c r="J65" i="24" s="1"/>
  <c r="J69" i="24" s="1"/>
  <c r="H65" i="24" a="1"/>
  <c r="H65" i="24" s="1"/>
  <c r="F65" i="24" a="1"/>
  <c r="F65"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c r="AR58" i="24" a="1"/>
  <c r="AP58" i="24" a="1"/>
  <c r="AP58" i="24" s="1"/>
  <c r="AN58" i="24" a="1"/>
  <c r="AN58" i="24" s="1"/>
  <c r="AL58" i="24" a="1"/>
  <c r="AL58" i="24" s="1"/>
  <c r="AJ58" i="24" a="1"/>
  <c r="AJ58" i="24" s="1"/>
  <c r="AH58" i="24" a="1"/>
  <c r="AH58" i="24" s="1"/>
  <c r="AF58" i="24"/>
  <c r="AF58" i="24" a="1"/>
  <c r="AD58" i="24"/>
  <c r="AD58" i="24" a="1"/>
  <c r="AB58" i="24"/>
  <c r="AB58" i="24" a="1"/>
  <c r="Z58" i="24" a="1"/>
  <c r="Z58" i="24" s="1"/>
  <c r="X58" i="24" a="1"/>
  <c r="X58" i="24" s="1"/>
  <c r="V58" i="24" a="1"/>
  <c r="V58" i="24" s="1"/>
  <c r="T58" i="24" a="1"/>
  <c r="T58" i="24" s="1"/>
  <c r="R58" i="24" a="1"/>
  <c r="R58" i="24" s="1"/>
  <c r="P58" i="24"/>
  <c r="P58" i="24" a="1"/>
  <c r="N58" i="24" a="1"/>
  <c r="N58" i="24" s="1"/>
  <c r="L58" i="24"/>
  <c r="L58" i="24" a="1"/>
  <c r="J58" i="24" a="1"/>
  <c r="J58" i="24" s="1"/>
  <c r="H58" i="24" a="1"/>
  <c r="H58" i="24" s="1"/>
  <c r="F58" i="24" a="1"/>
  <c r="F58" i="24" s="1"/>
  <c r="D58" i="24" a="1"/>
  <c r="D58" i="24" s="1"/>
  <c r="B58" i="24" a="1"/>
  <c r="B58" i="24" s="1"/>
  <c r="AV57" i="24"/>
  <c r="AV57" i="24" a="1"/>
  <c r="AT57" i="24" a="1"/>
  <c r="AT57" i="24" s="1"/>
  <c r="AR57" i="24"/>
  <c r="AR57" i="24" a="1"/>
  <c r="AP57" i="24" a="1"/>
  <c r="AP57" i="24" s="1"/>
  <c r="AN57" i="24" a="1"/>
  <c r="AN57" i="24" s="1"/>
  <c r="AL57" i="24" a="1"/>
  <c r="AL57" i="24" s="1"/>
  <c r="AJ57" i="24" a="1"/>
  <c r="AJ57" i="24" s="1"/>
  <c r="AH57" i="24" a="1"/>
  <c r="AH57" i="24" s="1"/>
  <c r="AF57" i="24"/>
  <c r="AF57" i="24" a="1"/>
  <c r="AD57" i="24" a="1"/>
  <c r="AD57" i="24" s="1"/>
  <c r="AB57" i="24"/>
  <c r="AB57" i="24" a="1"/>
  <c r="Z57" i="24" a="1"/>
  <c r="Z57" i="24" s="1"/>
  <c r="X57" i="24" a="1"/>
  <c r="X57" i="24" s="1"/>
  <c r="V57" i="24" a="1"/>
  <c r="V57" i="24" s="1"/>
  <c r="T57" i="24" a="1"/>
  <c r="T57" i="24" s="1"/>
  <c r="R57" i="24"/>
  <c r="R57" i="24" a="1"/>
  <c r="P57" i="24"/>
  <c r="P57" i="24" a="1"/>
  <c r="N57" i="24" a="1"/>
  <c r="N57" i="24" s="1"/>
  <c r="L57" i="24"/>
  <c r="L57" i="24" a="1"/>
  <c r="J57" i="24" a="1"/>
  <c r="J57" i="24" s="1"/>
  <c r="H57" i="24" a="1"/>
  <c r="H57" i="24" s="1"/>
  <c r="F57" i="24" a="1"/>
  <c r="F57" i="24" s="1"/>
  <c r="D57" i="24" a="1"/>
  <c r="D57" i="24" s="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L55" i="24"/>
  <c r="AL80" i="24" s="1"/>
  <c r="AJ55" i="24"/>
  <c r="AJ80" i="24" s="1"/>
  <c r="AH55" i="24"/>
  <c r="AH80" i="24" s="1"/>
  <c r="AF55" i="24"/>
  <c r="AF80" i="24" s="1"/>
  <c r="AD55" i="24"/>
  <c r="AD80" i="24" s="1"/>
  <c r="AB55" i="24"/>
  <c r="AB80" i="24" s="1"/>
  <c r="Z55" i="24"/>
  <c r="X55" i="24"/>
  <c r="X80" i="24" s="1"/>
  <c r="V55" i="24"/>
  <c r="V80" i="24" s="1"/>
  <c r="T55" i="24"/>
  <c r="R55" i="24"/>
  <c r="P55" i="24"/>
  <c r="N55" i="24"/>
  <c r="L55" i="24"/>
  <c r="J55" i="24"/>
  <c r="H55" i="24"/>
  <c r="F55" i="24"/>
  <c r="D55" i="24"/>
  <c r="B55" i="24"/>
  <c r="AV53" i="24"/>
  <c r="AV83" i="24" s="1"/>
  <c r="AV53" i="24" a="1"/>
  <c r="AT53" i="24" a="1"/>
  <c r="AT53" i="24" s="1"/>
  <c r="AT83" i="24" s="1"/>
  <c r="AR53" i="24"/>
  <c r="AR83" i="24" s="1"/>
  <c r="AR53" i="24" a="1"/>
  <c r="AP53" i="24" a="1"/>
  <c r="AP53" i="24" s="1"/>
  <c r="AP83" i="24" s="1"/>
  <c r="AN53" i="24" a="1"/>
  <c r="AN53" i="24" s="1"/>
  <c r="AN83" i="24" s="1"/>
  <c r="AL53" i="24" a="1"/>
  <c r="AL53" i="24" s="1"/>
  <c r="AL83" i="24" s="1"/>
  <c r="AJ53" i="24" a="1"/>
  <c r="AJ53" i="24" s="1"/>
  <c r="AJ83" i="24" s="1"/>
  <c r="AH53" i="24"/>
  <c r="AH83" i="24" s="1"/>
  <c r="AH53" i="24" a="1"/>
  <c r="AF53" i="24"/>
  <c r="AF83" i="24" s="1"/>
  <c r="AF53" i="24" a="1"/>
  <c r="AD53" i="24" a="1"/>
  <c r="AD53" i="24" s="1"/>
  <c r="AD83" i="24" s="1"/>
  <c r="AB53" i="24"/>
  <c r="AB53" i="24" a="1"/>
  <c r="Z53" i="24" a="1"/>
  <c r="Z53" i="24" s="1"/>
  <c r="Z83" i="24" s="1"/>
  <c r="X53" i="24" a="1"/>
  <c r="X53" i="24" s="1"/>
  <c r="X83" i="24" s="1"/>
  <c r="V53" i="24" a="1"/>
  <c r="V53" i="24" s="1"/>
  <c r="V83" i="24" s="1"/>
  <c r="T53" i="24"/>
  <c r="T83" i="24" s="1"/>
  <c r="T53" i="24" a="1"/>
  <c r="R53" i="24"/>
  <c r="R53" i="24" a="1"/>
  <c r="P53" i="24"/>
  <c r="P83" i="24" s="1"/>
  <c r="P53" i="24" a="1"/>
  <c r="N53" i="24" a="1"/>
  <c r="N53" i="24" s="1"/>
  <c r="N83" i="24" s="1"/>
  <c r="L53" i="24"/>
  <c r="L83" i="24" s="1"/>
  <c r="L53" i="24" a="1"/>
  <c r="J53" i="24" a="1"/>
  <c r="J53" i="24" s="1"/>
  <c r="J83" i="24" s="1"/>
  <c r="H53" i="24" a="1"/>
  <c r="H53" i="24" s="1"/>
  <c r="H83" i="24" s="1"/>
  <c r="F53" i="24" a="1"/>
  <c r="F53" i="24" s="1"/>
  <c r="F83" i="24" s="1"/>
  <c r="D53" i="24" a="1"/>
  <c r="D53" i="24" s="1"/>
  <c r="D83" i="24" s="1"/>
  <c r="B53" i="24" a="1"/>
  <c r="B53" i="24" s="1"/>
  <c r="B83" i="24" s="1"/>
  <c r="AV52" i="24"/>
  <c r="AV82" i="24" s="1"/>
  <c r="AV52" i="24" a="1"/>
  <c r="AT52" i="24" a="1"/>
  <c r="AT52" i="24" s="1"/>
  <c r="AT82" i="24" s="1"/>
  <c r="AR52" i="24"/>
  <c r="AR52" i="24" a="1"/>
  <c r="AP52" i="24" a="1"/>
  <c r="AP52" i="24" s="1"/>
  <c r="AP82" i="24" s="1"/>
  <c r="AN52" i="24" a="1"/>
  <c r="AN52" i="24" s="1"/>
  <c r="AN82" i="24" s="1"/>
  <c r="AL52" i="24" a="1"/>
  <c r="AL52" i="24" s="1"/>
  <c r="AL82" i="24" s="1"/>
  <c r="AJ52" i="24" a="1"/>
  <c r="AJ52" i="24" s="1"/>
  <c r="AJ82" i="24" s="1"/>
  <c r="AH52" i="24" a="1"/>
  <c r="AH52" i="24" s="1"/>
  <c r="AH82" i="24" s="1"/>
  <c r="AF52" i="24"/>
  <c r="AF82" i="24" s="1"/>
  <c r="AF52" i="24" a="1"/>
  <c r="AD52" i="24" a="1"/>
  <c r="AD52" i="24" s="1"/>
  <c r="AD82" i="24" s="1"/>
  <c r="AB52" i="24"/>
  <c r="AB82" i="24" s="1"/>
  <c r="AB52" i="24" a="1"/>
  <c r="Z52" i="24" a="1"/>
  <c r="Z52" i="24" s="1"/>
  <c r="Z82" i="24" s="1"/>
  <c r="X52" i="24" a="1"/>
  <c r="X52" i="24" s="1"/>
  <c r="X82" i="24" s="1"/>
  <c r="V52" i="24" a="1"/>
  <c r="V52" i="24" s="1"/>
  <c r="V82" i="24" s="1"/>
  <c r="T52" i="24" a="1"/>
  <c r="T52" i="24" s="1"/>
  <c r="T82" i="24" s="1"/>
  <c r="R52" i="24" a="1"/>
  <c r="R52" i="24" s="1"/>
  <c r="R82" i="24" s="1"/>
  <c r="P52" i="24"/>
  <c r="P82" i="24" s="1"/>
  <c r="P52" i="24" a="1"/>
  <c r="N52" i="24" a="1"/>
  <c r="N52" i="24" s="1"/>
  <c r="N82" i="24" s="1"/>
  <c r="L52" i="24"/>
  <c r="L52" i="24" a="1"/>
  <c r="J52" i="24" a="1"/>
  <c r="J52" i="24" s="1"/>
  <c r="J82" i="24" s="1"/>
  <c r="H52" i="24" a="1"/>
  <c r="H52" i="24" s="1"/>
  <c r="H82" i="24" s="1"/>
  <c r="F52" i="24" a="1"/>
  <c r="F52" i="24" s="1"/>
  <c r="F82" i="24" s="1"/>
  <c r="D52" i="24" a="1"/>
  <c r="D52" i="24" s="1"/>
  <c r="D82" i="24" s="1"/>
  <c r="B52" i="24"/>
  <c r="B82" i="24" s="1"/>
  <c r="B52" i="24" a="1"/>
  <c r="AV51" i="24"/>
  <c r="AV81" i="24" s="1"/>
  <c r="AT51" i="24"/>
  <c r="AT81" i="24" s="1"/>
  <c r="AR51" i="24"/>
  <c r="AR81" i="24" s="1"/>
  <c r="AP51" i="24"/>
  <c r="AN51" i="24"/>
  <c r="AN81" i="24" s="1"/>
  <c r="AL51" i="24"/>
  <c r="AL81" i="24" s="1"/>
  <c r="AJ51" i="24"/>
  <c r="AH51" i="24"/>
  <c r="AF51" i="24"/>
  <c r="AD51" i="24"/>
  <c r="AB51" i="24"/>
  <c r="Z51" i="24"/>
  <c r="X51" i="24"/>
  <c r="X81" i="24" s="1"/>
  <c r="V51" i="24"/>
  <c r="V81" i="24" s="1"/>
  <c r="T51" i="24"/>
  <c r="T81" i="24" s="1"/>
  <c r="R51" i="24"/>
  <c r="P51" i="24"/>
  <c r="P81" i="24" s="1"/>
  <c r="N51" i="24"/>
  <c r="N81" i="24" s="1"/>
  <c r="L51" i="24"/>
  <c r="L81" i="24" s="1"/>
  <c r="J51" i="24"/>
  <c r="H51" i="24"/>
  <c r="H81" i="24" s="1"/>
  <c r="F51" i="24"/>
  <c r="F81" i="24" s="1"/>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c r="AR43" i="24" a="1"/>
  <c r="AP43" i="24" a="1"/>
  <c r="AP43" i="24" s="1"/>
  <c r="AN43" i="24" a="1"/>
  <c r="AN43" i="24" s="1"/>
  <c r="AL43" i="24" a="1"/>
  <c r="AL43" i="24" s="1"/>
  <c r="AJ43" i="24" a="1"/>
  <c r="AJ43" i="24" s="1"/>
  <c r="AH43" i="24" a="1"/>
  <c r="AH43" i="24" s="1"/>
  <c r="AF43" i="24"/>
  <c r="AF43" i="24" a="1"/>
  <c r="AD43" i="24" a="1"/>
  <c r="AD43" i="24" s="1"/>
  <c r="AB43" i="24"/>
  <c r="AB43" i="24" a="1"/>
  <c r="Z43" i="24" a="1"/>
  <c r="Z43" i="24" s="1"/>
  <c r="X43" i="24" a="1"/>
  <c r="X43" i="24" s="1"/>
  <c r="V43" i="24" a="1"/>
  <c r="V43" i="24" s="1"/>
  <c r="T43" i="24"/>
  <c r="T43" i="24" a="1"/>
  <c r="R43" i="24" a="1"/>
  <c r="R43" i="24" s="1"/>
  <c r="P43" i="24"/>
  <c r="P43" i="24" a="1"/>
  <c r="N43" i="24" a="1"/>
  <c r="N43" i="24" s="1"/>
  <c r="L43" i="24"/>
  <c r="L43" i="24" a="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L6" i="41"/>
  <c r="L6" i="40"/>
  <c r="K59" i="2" a="1"/>
  <c r="K58" i="2" a="1"/>
  <c r="K57" i="2" a="1"/>
  <c r="K56" i="2" a="1"/>
  <c r="K55" i="2" a="1"/>
  <c r="AJ81" i="12"/>
  <c r="AF81" i="12"/>
  <c r="D81" i="12"/>
  <c r="B81" i="12"/>
  <c r="AV80" i="12"/>
  <c r="AR80" i="12"/>
  <c r="AH80" i="12"/>
  <c r="AB80" i="12"/>
  <c r="P80" i="12"/>
  <c r="AV79" i="12"/>
  <c r="AV79" i="12" a="1"/>
  <c r="AT79" i="12"/>
  <c r="AT79" i="12" a="1"/>
  <c r="AR79" i="12"/>
  <c r="AR79" i="12" a="1"/>
  <c r="AP79" i="12" a="1"/>
  <c r="AP79" i="12" s="1"/>
  <c r="AN79" i="12" a="1"/>
  <c r="AN79" i="12" s="1"/>
  <c r="AL79" i="12"/>
  <c r="AL79" i="12" a="1"/>
  <c r="AJ79" i="12" a="1"/>
  <c r="AJ79" i="12" s="1"/>
  <c r="AH79" i="12" a="1"/>
  <c r="AH79" i="12" s="1"/>
  <c r="AF79" i="12"/>
  <c r="AF79" i="12" a="1"/>
  <c r="AD79" i="12"/>
  <c r="AD79" i="12" a="1"/>
  <c r="AB79" i="12"/>
  <c r="AB79" i="12" a="1"/>
  <c r="Z79" i="12" a="1"/>
  <c r="Z79" i="12" s="1"/>
  <c r="X79" i="12" a="1"/>
  <c r="X79" i="12" s="1"/>
  <c r="V79" i="12"/>
  <c r="V79" i="12" a="1"/>
  <c r="T79" i="12" a="1"/>
  <c r="T79" i="12" s="1"/>
  <c r="R79" i="12" a="1"/>
  <c r="R79" i="12" s="1"/>
  <c r="P79" i="12"/>
  <c r="P79" i="12" a="1"/>
  <c r="N79" i="12"/>
  <c r="N79" i="12" a="1"/>
  <c r="L79" i="12"/>
  <c r="L79" i="12" a="1"/>
  <c r="J79" i="12" a="1"/>
  <c r="J79" i="12" s="1"/>
  <c r="H79" i="12" a="1"/>
  <c r="H79" i="12" s="1"/>
  <c r="F79" i="12" a="1"/>
  <c r="F79" i="12" s="1"/>
  <c r="D79" i="12" a="1"/>
  <c r="D79" i="12" s="1"/>
  <c r="B79" i="12" a="1"/>
  <c r="B79" i="12" s="1"/>
  <c r="AV78" i="12"/>
  <c r="AV78" i="12" a="1"/>
  <c r="AT78" i="12"/>
  <c r="AT78" i="12" a="1"/>
  <c r="AR78" i="12"/>
  <c r="AR78" i="12" a="1"/>
  <c r="AP78" i="12" a="1"/>
  <c r="AP78" i="12" s="1"/>
  <c r="AN78" i="12" a="1"/>
  <c r="AN78" i="12" s="1"/>
  <c r="AL78" i="12" a="1"/>
  <c r="AL78" i="12" s="1"/>
  <c r="AJ78" i="12" a="1"/>
  <c r="AJ78" i="12" s="1"/>
  <c r="AH78" i="12" a="1"/>
  <c r="AH78" i="12" s="1"/>
  <c r="AF78" i="12"/>
  <c r="AF78" i="12" a="1"/>
  <c r="AD78" i="12"/>
  <c r="AD78" i="12" a="1"/>
  <c r="AB78" i="12"/>
  <c r="AB78" i="12" a="1"/>
  <c r="Z78" i="12" a="1"/>
  <c r="Z78" i="12" s="1"/>
  <c r="X78" i="12" a="1"/>
  <c r="X78" i="12" s="1"/>
  <c r="V78" i="12"/>
  <c r="V78" i="12" a="1"/>
  <c r="T78" i="12" a="1"/>
  <c r="T78" i="12" s="1"/>
  <c r="R78" i="12" a="1"/>
  <c r="R78" i="12" s="1"/>
  <c r="P78" i="12"/>
  <c r="P78" i="12" a="1"/>
  <c r="N78" i="12"/>
  <c r="N78" i="12" a="1"/>
  <c r="L78" i="12"/>
  <c r="L78" i="12" a="1"/>
  <c r="J78" i="12" a="1"/>
  <c r="J78" i="12" s="1"/>
  <c r="H78" i="12" a="1"/>
  <c r="H78" i="12" s="1"/>
  <c r="F78" i="12"/>
  <c r="F78" i="12" a="1"/>
  <c r="D78" i="12" a="1"/>
  <c r="D78" i="12" s="1"/>
  <c r="B78" i="12" a="1"/>
  <c r="B78" i="12" s="1"/>
  <c r="AV77" i="12"/>
  <c r="AV77" i="12" a="1"/>
  <c r="AT77" i="12"/>
  <c r="AT77" i="12" a="1"/>
  <c r="AR77" i="12"/>
  <c r="AR77" i="12" a="1"/>
  <c r="AP77" i="12" a="1"/>
  <c r="AP77" i="12" s="1"/>
  <c r="AN77" i="12" a="1"/>
  <c r="AN77" i="12" s="1"/>
  <c r="AL77" i="12" a="1"/>
  <c r="AL77" i="12" s="1"/>
  <c r="AJ77" i="12" a="1"/>
  <c r="AJ77" i="12" s="1"/>
  <c r="AH77" i="12" a="1"/>
  <c r="AH77" i="12" s="1"/>
  <c r="AF77" i="12"/>
  <c r="AF77" i="12" a="1"/>
  <c r="AD77" i="12"/>
  <c r="AD77" i="12" a="1"/>
  <c r="AB77" i="12"/>
  <c r="AB77" i="12" a="1"/>
  <c r="Z77" i="12" a="1"/>
  <c r="Z77" i="12" s="1"/>
  <c r="X77" i="12" a="1"/>
  <c r="X77" i="12" s="1"/>
  <c r="V77" i="12" a="1"/>
  <c r="V77" i="12" s="1"/>
  <c r="T77" i="12" a="1"/>
  <c r="T77" i="12" s="1"/>
  <c r="R77" i="12" a="1"/>
  <c r="R77" i="12" s="1"/>
  <c r="P77" i="12"/>
  <c r="P77" i="12" a="1"/>
  <c r="N77" i="12"/>
  <c r="N77" i="12" a="1"/>
  <c r="L77" i="12"/>
  <c r="L77" i="12" a="1"/>
  <c r="J77" i="12" a="1"/>
  <c r="J77" i="12" s="1"/>
  <c r="H77" i="12" a="1"/>
  <c r="H77" i="12" s="1"/>
  <c r="F77" i="12"/>
  <c r="F77" i="12" a="1"/>
  <c r="D77" i="12" a="1"/>
  <c r="D77" i="12" s="1"/>
  <c r="B77" i="12" a="1"/>
  <c r="B77" i="12" s="1"/>
  <c r="AV76" i="12"/>
  <c r="AV76" i="12" a="1"/>
  <c r="AT76" i="12"/>
  <c r="AT76" i="12" a="1"/>
  <c r="AR76" i="12"/>
  <c r="AR76" i="12" a="1"/>
  <c r="AP76" i="12" a="1"/>
  <c r="AP76" i="12" s="1"/>
  <c r="AN76" i="12" a="1"/>
  <c r="AN76" i="12" s="1"/>
  <c r="AL76" i="12"/>
  <c r="AL76" i="12" a="1"/>
  <c r="AJ76" i="12" a="1"/>
  <c r="AJ76" i="12" s="1"/>
  <c r="AH76" i="12" a="1"/>
  <c r="AH76" i="12" s="1"/>
  <c r="AF76" i="12"/>
  <c r="AF76" i="12" a="1"/>
  <c r="AD76" i="12"/>
  <c r="AD76" i="12" a="1"/>
  <c r="AB76" i="12"/>
  <c r="AB76" i="12" a="1"/>
  <c r="Z76" i="12" a="1"/>
  <c r="Z76" i="12" s="1"/>
  <c r="X76" i="12" a="1"/>
  <c r="X76" i="12" s="1"/>
  <c r="V76" i="12" a="1"/>
  <c r="V76" i="12" s="1"/>
  <c r="T76" i="12" a="1"/>
  <c r="T76" i="12" s="1"/>
  <c r="R76" i="12" a="1"/>
  <c r="R76" i="12" s="1"/>
  <c r="P76" i="12"/>
  <c r="P76" i="12" a="1"/>
  <c r="N76" i="12"/>
  <c r="N76" i="12" a="1"/>
  <c r="L76" i="12"/>
  <c r="L76" i="12" a="1"/>
  <c r="J76" i="12" a="1"/>
  <c r="J76" i="12" s="1"/>
  <c r="H76" i="12" a="1"/>
  <c r="H76" i="12" s="1"/>
  <c r="F76" i="12" a="1"/>
  <c r="F76" i="12" s="1"/>
  <c r="D76" i="12" a="1"/>
  <c r="D76" i="12" s="1"/>
  <c r="B76" i="12" a="1"/>
  <c r="B76" i="12" s="1"/>
  <c r="AV75" i="12"/>
  <c r="AV75" i="12" a="1"/>
  <c r="AT75" i="12"/>
  <c r="AT75" i="12" a="1"/>
  <c r="AR75" i="12"/>
  <c r="AR75" i="12" a="1"/>
  <c r="AP75" i="12" a="1"/>
  <c r="AP75" i="12" s="1"/>
  <c r="AN75" i="12" a="1"/>
  <c r="AN75" i="12" s="1"/>
  <c r="AL75" i="12"/>
  <c r="AL75" i="12" a="1"/>
  <c r="AJ75" i="12" a="1"/>
  <c r="AJ75" i="12" s="1"/>
  <c r="AH75" i="12" a="1"/>
  <c r="AH75" i="12" s="1"/>
  <c r="AF75" i="12"/>
  <c r="AF75" i="12" a="1"/>
  <c r="AD75" i="12"/>
  <c r="AD75" i="12" a="1"/>
  <c r="AB75" i="12"/>
  <c r="AB75" i="12" a="1"/>
  <c r="Z75" i="12" a="1"/>
  <c r="Z75" i="12" s="1"/>
  <c r="X75" i="12" a="1"/>
  <c r="X75" i="12" s="1"/>
  <c r="V75" i="12"/>
  <c r="V75" i="12" a="1"/>
  <c r="T75" i="12" a="1"/>
  <c r="T75" i="12" s="1"/>
  <c r="R75" i="12" a="1"/>
  <c r="R75" i="12" s="1"/>
  <c r="P75" i="12"/>
  <c r="P75" i="12" a="1"/>
  <c r="N75" i="12"/>
  <c r="N75" i="12" a="1"/>
  <c r="L75" i="12" a="1"/>
  <c r="L75" i="12" s="1"/>
  <c r="J75" i="12" a="1"/>
  <c r="J75" i="12" s="1"/>
  <c r="H75" i="12" a="1"/>
  <c r="H75" i="12" s="1"/>
  <c r="F75" i="12" a="1"/>
  <c r="F75" i="12" s="1"/>
  <c r="D75" i="12" a="1"/>
  <c r="D75" i="12" s="1"/>
  <c r="B75" i="12" a="1"/>
  <c r="B75" i="12" s="1"/>
  <c r="AV74" i="12"/>
  <c r="AV74" i="12" a="1"/>
  <c r="AT74" i="12"/>
  <c r="AT74" i="12" a="1"/>
  <c r="AR74" i="12" a="1"/>
  <c r="AR74" i="12" s="1"/>
  <c r="AP74" i="12" a="1"/>
  <c r="AP74" i="12" s="1"/>
  <c r="AN74" i="12" a="1"/>
  <c r="AN74" i="12" s="1"/>
  <c r="AL74" i="12" a="1"/>
  <c r="AL74" i="12" s="1"/>
  <c r="AJ74" i="12" a="1"/>
  <c r="AJ74" i="12" s="1"/>
  <c r="AH74" i="12" a="1"/>
  <c r="AH74" i="12" s="1"/>
  <c r="AF74" i="12"/>
  <c r="AF74" i="12" a="1"/>
  <c r="AD74" i="12"/>
  <c r="AD74" i="12" a="1"/>
  <c r="AB74" i="12" a="1"/>
  <c r="AB74" i="12" s="1"/>
  <c r="Z74" i="12" a="1"/>
  <c r="Z74" i="12" s="1"/>
  <c r="X74" i="12" a="1"/>
  <c r="X74" i="12" s="1"/>
  <c r="V74" i="12" a="1"/>
  <c r="V74" i="12" s="1"/>
  <c r="T74" i="12" a="1"/>
  <c r="T74" i="12" s="1"/>
  <c r="R74" i="12" a="1"/>
  <c r="R74" i="12" s="1"/>
  <c r="P74" i="12"/>
  <c r="P74" i="12" a="1"/>
  <c r="N74" i="12"/>
  <c r="N74" i="12" a="1"/>
  <c r="L74" i="12" a="1"/>
  <c r="L74" i="12" s="1"/>
  <c r="J74" i="12" a="1"/>
  <c r="J74" i="12" s="1"/>
  <c r="H74" i="12" a="1"/>
  <c r="H74" i="12" s="1"/>
  <c r="F74" i="12" a="1"/>
  <c r="F74" i="12" s="1"/>
  <c r="D74" i="12" a="1"/>
  <c r="D74" i="12" s="1"/>
  <c r="B74" i="12" a="1"/>
  <c r="B74" i="12" s="1"/>
  <c r="AV73" i="12" a="1"/>
  <c r="AV73" i="12" s="1"/>
  <c r="AT73" i="12"/>
  <c r="AT73" i="12" a="1"/>
  <c r="AR73" i="12" a="1"/>
  <c r="AR73" i="12" s="1"/>
  <c r="AP73" i="12" a="1"/>
  <c r="AP73" i="12" s="1"/>
  <c r="AN73" i="12" a="1"/>
  <c r="AN73" i="12" s="1"/>
  <c r="AL73" i="12" a="1"/>
  <c r="AL73" i="12" s="1"/>
  <c r="AJ73" i="12" a="1"/>
  <c r="AJ73" i="12" s="1"/>
  <c r="AH73" i="12" a="1"/>
  <c r="AH73" i="12" s="1"/>
  <c r="AF73" i="12" a="1"/>
  <c r="AF73" i="12" s="1"/>
  <c r="AD73" i="12"/>
  <c r="AD73" i="12" a="1"/>
  <c r="AB73" i="12" a="1"/>
  <c r="AB73" i="12" s="1"/>
  <c r="Z73" i="12" a="1"/>
  <c r="Z73" i="12" s="1"/>
  <c r="X73" i="12" a="1"/>
  <c r="X73" i="12" s="1"/>
  <c r="V73" i="12"/>
  <c r="V73" i="12" a="1"/>
  <c r="T73" i="12" a="1"/>
  <c r="T73" i="12" s="1"/>
  <c r="R73" i="12" a="1"/>
  <c r="R73" i="12" s="1"/>
  <c r="P73" i="12" a="1"/>
  <c r="P73" i="12" s="1"/>
  <c r="N73" i="12"/>
  <c r="N73" i="12" a="1"/>
  <c r="L73" i="12" a="1"/>
  <c r="L73" i="12" s="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L68" i="12"/>
  <c r="AB68" i="12"/>
  <c r="V68" i="12"/>
  <c r="F68" i="12"/>
  <c r="AV67" i="12" a="1"/>
  <c r="AV67" i="12" s="1"/>
  <c r="AT67" i="12" a="1"/>
  <c r="AT67" i="12" s="1"/>
  <c r="AR67" i="12" a="1"/>
  <c r="AR67" i="12" s="1"/>
  <c r="AP67" i="12" a="1"/>
  <c r="AP67" i="12" s="1"/>
  <c r="AN67" i="12" a="1"/>
  <c r="AN67" i="12" s="1"/>
  <c r="AL67" i="12"/>
  <c r="AL67" i="12" a="1"/>
  <c r="AJ67" i="12" a="1"/>
  <c r="AJ67" i="12" s="1"/>
  <c r="AH67" i="12" a="1"/>
  <c r="AH67" i="12" s="1"/>
  <c r="AF67" i="12" a="1"/>
  <c r="AF67" i="12" s="1"/>
  <c r="AD67" i="12"/>
  <c r="AD67" i="12" a="1"/>
  <c r="AB67" i="12" a="1"/>
  <c r="AB67" i="12" s="1"/>
  <c r="Z67" i="12" a="1"/>
  <c r="Z67" i="12" s="1"/>
  <c r="Z68" i="12" s="1"/>
  <c r="X67" i="12" a="1"/>
  <c r="X67" i="12" s="1"/>
  <c r="V67" i="12"/>
  <c r="V67" i="12" a="1"/>
  <c r="T67" i="12" a="1"/>
  <c r="T67" i="12" s="1"/>
  <c r="R67" i="12" a="1"/>
  <c r="R67" i="12" s="1"/>
  <c r="R68" i="12" s="1"/>
  <c r="P67" i="12" a="1"/>
  <c r="P67" i="12" s="1"/>
  <c r="N67" i="12" a="1"/>
  <c r="N67" i="12" s="1"/>
  <c r="L67" i="12" a="1"/>
  <c r="L67" i="12" s="1"/>
  <c r="J67" i="12" a="1"/>
  <c r="J67" i="12" s="1"/>
  <c r="H67" i="12" a="1"/>
  <c r="H67" i="12" s="1"/>
  <c r="F67" i="12"/>
  <c r="F67" i="12" a="1"/>
  <c r="D67" i="12" a="1"/>
  <c r="D67" i="12" s="1"/>
  <c r="B67" i="12" a="1"/>
  <c r="B67" i="12" s="1"/>
  <c r="AV66" i="12"/>
  <c r="AV66" i="12" a="1"/>
  <c r="AT66" i="12"/>
  <c r="AT66" i="12" a="1"/>
  <c r="AR66" i="12" a="1"/>
  <c r="AR66" i="12" s="1"/>
  <c r="AP66" i="12" a="1"/>
  <c r="AP66" i="12" s="1"/>
  <c r="AN66" i="12" a="1"/>
  <c r="AN66" i="12" s="1"/>
  <c r="AL66" i="12"/>
  <c r="AL66" i="12" a="1"/>
  <c r="AJ66" i="12" a="1"/>
  <c r="AJ66" i="12" s="1"/>
  <c r="AH66" i="12" a="1"/>
  <c r="AH66" i="12" s="1"/>
  <c r="AF66" i="12" a="1"/>
  <c r="AF66" i="12" s="1"/>
  <c r="AD66" i="12" a="1"/>
  <c r="AD66" i="12" s="1"/>
  <c r="AB66" i="12" a="1"/>
  <c r="AB66" i="12" s="1"/>
  <c r="Z66" i="12" a="1"/>
  <c r="Z66" i="12" s="1"/>
  <c r="X66" i="12" a="1"/>
  <c r="X66" i="12" s="1"/>
  <c r="V66" i="12"/>
  <c r="V66" i="12" a="1"/>
  <c r="T66" i="12" a="1"/>
  <c r="T66" i="12" s="1"/>
  <c r="R66" i="12" a="1"/>
  <c r="R66" i="12" s="1"/>
  <c r="P66" i="12" a="1"/>
  <c r="P66" i="12" s="1"/>
  <c r="N66" i="12" a="1"/>
  <c r="N66" i="12" s="1"/>
  <c r="N68" i="12" s="1"/>
  <c r="L66" i="12" a="1"/>
  <c r="L66" i="12" s="1"/>
  <c r="J66" i="12" a="1"/>
  <c r="J66" i="12" s="1"/>
  <c r="H66" i="12" a="1"/>
  <c r="H66" i="12" s="1"/>
  <c r="F66" i="12"/>
  <c r="F66" i="12" a="1"/>
  <c r="D66" i="12" a="1"/>
  <c r="D66" i="12" s="1"/>
  <c r="D68" i="12" s="1"/>
  <c r="B66" i="12" a="1"/>
  <c r="B66" i="12" s="1"/>
  <c r="AV65" i="12" a="1"/>
  <c r="AV65" i="12" s="1"/>
  <c r="AV69" i="12" s="1"/>
  <c r="AT65" i="12"/>
  <c r="AT69" i="12" s="1"/>
  <c r="AT65" i="12" a="1"/>
  <c r="AR65" i="12" a="1"/>
  <c r="AR65" i="12" s="1"/>
  <c r="AR69" i="12" s="1"/>
  <c r="AP65" i="12" a="1"/>
  <c r="AP65" i="12" s="1"/>
  <c r="AP69" i="12" s="1"/>
  <c r="AN65" i="12" a="1"/>
  <c r="AN65" i="12" s="1"/>
  <c r="AN69" i="12" s="1"/>
  <c r="AL65" i="12"/>
  <c r="AL69" i="12" s="1"/>
  <c r="AL65" i="12" a="1"/>
  <c r="AJ65" i="12" a="1"/>
  <c r="AJ65" i="12" s="1"/>
  <c r="AJ69" i="12" s="1"/>
  <c r="AH65" i="12" a="1"/>
  <c r="AH65" i="12" s="1"/>
  <c r="AH69" i="12" s="1"/>
  <c r="AF65" i="12"/>
  <c r="AF69" i="12" s="1"/>
  <c r="AF65" i="12" a="1"/>
  <c r="AD65" i="12" a="1"/>
  <c r="AD65" i="12" s="1"/>
  <c r="AD69" i="12" s="1"/>
  <c r="AB65" i="12" a="1"/>
  <c r="AB65" i="12" s="1"/>
  <c r="AB69" i="12" s="1"/>
  <c r="Z65" i="12" a="1"/>
  <c r="Z65" i="12" s="1"/>
  <c r="Z69" i="12" s="1"/>
  <c r="X65" i="12" a="1"/>
  <c r="X65" i="12" s="1"/>
  <c r="X69" i="12" s="1"/>
  <c r="V65" i="12"/>
  <c r="V69" i="12" s="1"/>
  <c r="V65" i="12" a="1"/>
  <c r="T65" i="12" a="1"/>
  <c r="T65" i="12" s="1"/>
  <c r="T69" i="12" s="1"/>
  <c r="R65" i="12" a="1"/>
  <c r="R65" i="12" s="1"/>
  <c r="R69" i="12" s="1"/>
  <c r="P65" i="12" a="1"/>
  <c r="P65" i="12" s="1"/>
  <c r="P69" i="12" s="1"/>
  <c r="N65" i="12" a="1"/>
  <c r="N65" i="12" s="1"/>
  <c r="N69" i="12" s="1"/>
  <c r="L65" i="12" a="1"/>
  <c r="L65" i="12" s="1"/>
  <c r="L69" i="12" s="1"/>
  <c r="J65" i="12" a="1"/>
  <c r="J65" i="12" s="1"/>
  <c r="J69" i="12" s="1"/>
  <c r="H65" i="12" a="1"/>
  <c r="H65" i="12" s="1"/>
  <c r="H69" i="12" s="1"/>
  <c r="F65" i="12"/>
  <c r="F69" i="12" s="1"/>
  <c r="F65" i="12" a="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a="1"/>
  <c r="AP58" i="12" s="1"/>
  <c r="AN58" i="12" a="1"/>
  <c r="AN58" i="12" s="1"/>
  <c r="AL58" i="12"/>
  <c r="AL58" i="12" a="1"/>
  <c r="AJ58" i="12"/>
  <c r="AJ58" i="12" a="1"/>
  <c r="AH58" i="12"/>
  <c r="AH58" i="12" a="1"/>
  <c r="AF58" i="12"/>
  <c r="AF58" i="12" a="1"/>
  <c r="AD58" i="12" a="1"/>
  <c r="AD58" i="12" s="1"/>
  <c r="AB58" i="12" a="1"/>
  <c r="AB58" i="12" s="1"/>
  <c r="Z58" i="12" a="1"/>
  <c r="Z58" i="12" s="1"/>
  <c r="X58" i="12" a="1"/>
  <c r="X58" i="12" s="1"/>
  <c r="V58" i="12"/>
  <c r="V58" i="12" a="1"/>
  <c r="T58" i="12"/>
  <c r="T58" i="12" a="1"/>
  <c r="R58" i="12" a="1"/>
  <c r="R58" i="12" s="1"/>
  <c r="P58" i="12"/>
  <c r="P58" i="12" a="1"/>
  <c r="N58" i="12" a="1"/>
  <c r="N58" i="12" s="1"/>
  <c r="L58" i="12" a="1"/>
  <c r="L58" i="12" s="1"/>
  <c r="J58" i="12" a="1"/>
  <c r="J58" i="12" s="1"/>
  <c r="H58" i="12" a="1"/>
  <c r="H58" i="12" s="1"/>
  <c r="F58" i="12" a="1"/>
  <c r="F58" i="12" s="1"/>
  <c r="D58" i="12"/>
  <c r="D58" i="12" a="1"/>
  <c r="B58" i="12" a="1"/>
  <c r="B58" i="12" s="1"/>
  <c r="AV57" i="12"/>
  <c r="AV57" i="12" a="1"/>
  <c r="AT57" i="12" a="1"/>
  <c r="AT57" i="12" s="1"/>
  <c r="AR57" i="12" a="1"/>
  <c r="AR57" i="12" s="1"/>
  <c r="AP57" i="12" a="1"/>
  <c r="AP57" i="12" s="1"/>
  <c r="AN57" i="12" a="1"/>
  <c r="AN57" i="12" s="1"/>
  <c r="AL57" i="12" a="1"/>
  <c r="AL57" i="12" s="1"/>
  <c r="AJ57" i="12"/>
  <c r="AJ57" i="12" a="1"/>
  <c r="AH57" i="12" a="1"/>
  <c r="AH57" i="12" s="1"/>
  <c r="AF57" i="12"/>
  <c r="AF57" i="12" a="1"/>
  <c r="AD57" i="12" a="1"/>
  <c r="AD57" i="12" s="1"/>
  <c r="AB57" i="12" a="1"/>
  <c r="AB57" i="12" s="1"/>
  <c r="Z57" i="12" a="1"/>
  <c r="Z57" i="12" s="1"/>
  <c r="X57" i="12" a="1"/>
  <c r="X57" i="12" s="1"/>
  <c r="V57" i="12" a="1"/>
  <c r="V57" i="12" s="1"/>
  <c r="T57" i="12"/>
  <c r="T57" i="12" a="1"/>
  <c r="R57" i="12" a="1"/>
  <c r="R57" i="12" s="1"/>
  <c r="P57" i="12"/>
  <c r="P57" i="12" a="1"/>
  <c r="N57" i="12" a="1"/>
  <c r="N57" i="12" s="1"/>
  <c r="L57" i="12" a="1"/>
  <c r="L57" i="12" s="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T80" i="12" s="1"/>
  <c r="AR55" i="12"/>
  <c r="AP55" i="12"/>
  <c r="AP80" i="12" s="1"/>
  <c r="AN55" i="12"/>
  <c r="AN80" i="12" s="1"/>
  <c r="AL55" i="12"/>
  <c r="AL80" i="12" s="1"/>
  <c r="AJ55" i="12"/>
  <c r="AJ80" i="12" s="1"/>
  <c r="AH55" i="12"/>
  <c r="AF55" i="12"/>
  <c r="AF80" i="12" s="1"/>
  <c r="AD55" i="12"/>
  <c r="AD80" i="12" s="1"/>
  <c r="AB55" i="12"/>
  <c r="Z55" i="12"/>
  <c r="Z80" i="12" s="1"/>
  <c r="X55" i="12"/>
  <c r="X80" i="12" s="1"/>
  <c r="V55" i="12"/>
  <c r="V80" i="12" s="1"/>
  <c r="T55" i="12"/>
  <c r="T80" i="12" s="1"/>
  <c r="R55" i="12"/>
  <c r="R80" i="12" s="1"/>
  <c r="P55" i="12"/>
  <c r="N55" i="12"/>
  <c r="N80" i="12" s="1"/>
  <c r="L55" i="12"/>
  <c r="L80" i="12" s="1"/>
  <c r="J55" i="12"/>
  <c r="J80" i="12" s="1"/>
  <c r="H55" i="12"/>
  <c r="H80" i="12" s="1"/>
  <c r="F55" i="12"/>
  <c r="F80" i="12" s="1"/>
  <c r="D55" i="12"/>
  <c r="D80" i="12" s="1"/>
  <c r="B55" i="12"/>
  <c r="B80" i="12" s="1"/>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H51" i="12"/>
  <c r="AH81" i="12" s="1"/>
  <c r="AF51" i="12"/>
  <c r="AD51" i="12"/>
  <c r="AD81" i="12" s="1"/>
  <c r="AB51" i="12"/>
  <c r="AB81" i="12" s="1"/>
  <c r="Z51" i="12"/>
  <c r="Z81" i="12" s="1"/>
  <c r="X51" i="12"/>
  <c r="X81" i="12" s="1"/>
  <c r="V51" i="12"/>
  <c r="V81" i="12" s="1"/>
  <c r="T51" i="12"/>
  <c r="T81" i="12" s="1"/>
  <c r="R51" i="12"/>
  <c r="R81" i="12" s="1"/>
  <c r="P51" i="12"/>
  <c r="P81" i="12" s="1"/>
  <c r="N51" i="12"/>
  <c r="N81" i="12" s="1"/>
  <c r="L51" i="12"/>
  <c r="L81" i="12" s="1"/>
  <c r="J51" i="12"/>
  <c r="J81" i="12" s="1"/>
  <c r="H51" i="12"/>
  <c r="H81" i="12" s="1"/>
  <c r="F51" i="12"/>
  <c r="F81" i="12" s="1"/>
  <c r="D51" i="12"/>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c r="AL43" i="12" a="1"/>
  <c r="AJ43" i="12"/>
  <c r="AJ43" i="12" a="1"/>
  <c r="AH43" i="12" a="1"/>
  <c r="AH43" i="12" s="1"/>
  <c r="AF43" i="12"/>
  <c r="AF43" i="12" a="1"/>
  <c r="AD43" i="12" a="1"/>
  <c r="AD43" i="12" s="1"/>
  <c r="AB43" i="12" a="1"/>
  <c r="AB43" i="12" s="1"/>
  <c r="Z43" i="12" a="1"/>
  <c r="Z43" i="12" s="1"/>
  <c r="X43" i="12" a="1"/>
  <c r="X43" i="12" s="1"/>
  <c r="V43" i="12"/>
  <c r="V43" i="12" a="1"/>
  <c r="T43" i="12"/>
  <c r="T43" i="12" a="1"/>
  <c r="R43" i="12" a="1"/>
  <c r="R43" i="12" s="1"/>
  <c r="P43" i="12"/>
  <c r="P43" i="12" a="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V79" i="11" a="1"/>
  <c r="AV79" i="11" s="1"/>
  <c r="AT79" i="11" a="1"/>
  <c r="AT79" i="11" s="1"/>
  <c r="AR79" i="11" a="1"/>
  <c r="AR79" i="11" s="1"/>
  <c r="AP79" i="11" a="1"/>
  <c r="AP79" i="11" s="1"/>
  <c r="AN79" i="11" a="1"/>
  <c r="AN79" i="11" s="1"/>
  <c r="AL79" i="11" a="1"/>
  <c r="AL79" i="11" s="1"/>
  <c r="AJ79" i="11" a="1"/>
  <c r="AJ79" i="11" s="1"/>
  <c r="AH79" i="11" a="1"/>
  <c r="AH79" i="11" s="1"/>
  <c r="AF79" i="11" a="1"/>
  <c r="AF79" i="11" s="1"/>
  <c r="AD79" i="11" a="1"/>
  <c r="AD79" i="11" s="1"/>
  <c r="AB79" i="11" a="1"/>
  <c r="AB79" i="11" s="1"/>
  <c r="Z79" i="11" a="1"/>
  <c r="Z79" i="11" s="1"/>
  <c r="X79" i="11" a="1"/>
  <c r="X79" i="11" s="1"/>
  <c r="V79" i="11" a="1"/>
  <c r="V79" i="11" s="1"/>
  <c r="T79" i="11" a="1"/>
  <c r="T79" i="11" s="1"/>
  <c r="R79" i="11" a="1"/>
  <c r="R79" i="11" s="1"/>
  <c r="P79" i="11" a="1"/>
  <c r="P79" i="11" s="1"/>
  <c r="N79" i="11" a="1"/>
  <c r="N79" i="11" s="1"/>
  <c r="L79" i="11" a="1"/>
  <c r="L79" i="11" s="1"/>
  <c r="J79" i="11" a="1"/>
  <c r="J79" i="11" s="1"/>
  <c r="H79" i="11" a="1"/>
  <c r="H79" i="11" s="1"/>
  <c r="F79" i="11" a="1"/>
  <c r="F79" i="11" s="1"/>
  <c r="D79" i="11" a="1"/>
  <c r="D79" i="11" s="1"/>
  <c r="B79" i="11" a="1"/>
  <c r="B79" i="11" s="1"/>
  <c r="AV78" i="11" a="1"/>
  <c r="AV78" i="11" s="1"/>
  <c r="AT78" i="11" a="1"/>
  <c r="AT78" i="11" s="1"/>
  <c r="AR78" i="11" a="1"/>
  <c r="AR78" i="11" s="1"/>
  <c r="AP78" i="11" a="1"/>
  <c r="AP78" i="11" s="1"/>
  <c r="AN78" i="11" a="1"/>
  <c r="AN78" i="11" s="1"/>
  <c r="AL78" i="11" a="1"/>
  <c r="AL78" i="11" s="1"/>
  <c r="AJ78" i="11" a="1"/>
  <c r="AJ78" i="11" s="1"/>
  <c r="AH78" i="11" a="1"/>
  <c r="AH78" i="11" s="1"/>
  <c r="AF78" i="11" a="1"/>
  <c r="AF78" i="11" s="1"/>
  <c r="AD78" i="11" a="1"/>
  <c r="AD78" i="11" s="1"/>
  <c r="AB78" i="11" a="1"/>
  <c r="AB78" i="11" s="1"/>
  <c r="Z78" i="11" a="1"/>
  <c r="Z78" i="11" s="1"/>
  <c r="X78" i="11" a="1"/>
  <c r="X78" i="11" s="1"/>
  <c r="V78" i="11" a="1"/>
  <c r="V78" i="11" s="1"/>
  <c r="T78" i="11" a="1"/>
  <c r="T78" i="11" s="1"/>
  <c r="R78" i="11" a="1"/>
  <c r="R78" i="11" s="1"/>
  <c r="P78" i="11" a="1"/>
  <c r="P78" i="11" s="1"/>
  <c r="N78" i="11" a="1"/>
  <c r="N78" i="11" s="1"/>
  <c r="L78" i="11" a="1"/>
  <c r="L78" i="11" s="1"/>
  <c r="J78" i="11" a="1"/>
  <c r="J78" i="11" s="1"/>
  <c r="H78" i="11" a="1"/>
  <c r="H78" i="11" s="1"/>
  <c r="F78" i="11" a="1"/>
  <c r="F78" i="11" s="1"/>
  <c r="D78" i="11" a="1"/>
  <c r="D78" i="11" s="1"/>
  <c r="B78" i="11" a="1"/>
  <c r="B78" i="11" s="1"/>
  <c r="AV77" i="11" a="1"/>
  <c r="AV77" i="11" s="1"/>
  <c r="AT77" i="11" a="1"/>
  <c r="AT77" i="11" s="1"/>
  <c r="AR77" i="11" a="1"/>
  <c r="AR77" i="11" s="1"/>
  <c r="AP77" i="11" a="1"/>
  <c r="AP77" i="11" s="1"/>
  <c r="AN77" i="11" a="1"/>
  <c r="AN77" i="11" s="1"/>
  <c r="AL77" i="11" a="1"/>
  <c r="AL77" i="11" s="1"/>
  <c r="AJ77" i="11" a="1"/>
  <c r="AJ77" i="11" s="1"/>
  <c r="AH77" i="11" a="1"/>
  <c r="AH77" i="11" s="1"/>
  <c r="AF77" i="11" a="1"/>
  <c r="AF77" i="11" s="1"/>
  <c r="AD77" i="11" a="1"/>
  <c r="AD77" i="11" s="1"/>
  <c r="AB77" i="11" a="1"/>
  <c r="AB77" i="11" s="1"/>
  <c r="Z77" i="11" a="1"/>
  <c r="Z77" i="11" s="1"/>
  <c r="X77" i="11" a="1"/>
  <c r="X77" i="11" s="1"/>
  <c r="V77" i="11" a="1"/>
  <c r="V77" i="11" s="1"/>
  <c r="T77" i="11" a="1"/>
  <c r="T77" i="11" s="1"/>
  <c r="R77" i="11" a="1"/>
  <c r="R77" i="11" s="1"/>
  <c r="P77" i="11" a="1"/>
  <c r="P77" i="11" s="1"/>
  <c r="N77" i="11" a="1"/>
  <c r="N77" i="11" s="1"/>
  <c r="L77" i="11" a="1"/>
  <c r="L77" i="11" s="1"/>
  <c r="J77" i="11" a="1"/>
  <c r="J77" i="11" s="1"/>
  <c r="H77" i="11" a="1"/>
  <c r="H77" i="11" s="1"/>
  <c r="F77" i="11" a="1"/>
  <c r="F77" i="11" s="1"/>
  <c r="D77" i="11" a="1"/>
  <c r="D77" i="11" s="1"/>
  <c r="B77" i="11" a="1"/>
  <c r="B77" i="11" s="1"/>
  <c r="AV76" i="11" a="1"/>
  <c r="AV76" i="11" s="1"/>
  <c r="AT76" i="11" a="1"/>
  <c r="AT76" i="11" s="1"/>
  <c r="AR76" i="11" a="1"/>
  <c r="AR76" i="11" s="1"/>
  <c r="AP76" i="11" a="1"/>
  <c r="AP76" i="11" s="1"/>
  <c r="AN76" i="11" a="1"/>
  <c r="AN76" i="11" s="1"/>
  <c r="AL76" i="11" a="1"/>
  <c r="AL76" i="11" s="1"/>
  <c r="AJ76" i="11" a="1"/>
  <c r="AJ76" i="11" s="1"/>
  <c r="AH76" i="11" a="1"/>
  <c r="AH76" i="11" s="1"/>
  <c r="AF76" i="11" a="1"/>
  <c r="AF76" i="11" s="1"/>
  <c r="AD76" i="11" a="1"/>
  <c r="AD76" i="11" s="1"/>
  <c r="AB76" i="11" a="1"/>
  <c r="AB76" i="11" s="1"/>
  <c r="Z76" i="11" a="1"/>
  <c r="Z76" i="11" s="1"/>
  <c r="X76" i="11" a="1"/>
  <c r="X76" i="11" s="1"/>
  <c r="V76" i="11" a="1"/>
  <c r="V76" i="11" s="1"/>
  <c r="T76" i="11" a="1"/>
  <c r="T76" i="11" s="1"/>
  <c r="R76" i="11" a="1"/>
  <c r="R76" i="11" s="1"/>
  <c r="P76" i="11" a="1"/>
  <c r="P76" i="11" s="1"/>
  <c r="N76" i="11" a="1"/>
  <c r="N76" i="11" s="1"/>
  <c r="L76" i="11" a="1"/>
  <c r="L76" i="11" s="1"/>
  <c r="J76" i="11" a="1"/>
  <c r="J76" i="11" s="1"/>
  <c r="H76" i="11" a="1"/>
  <c r="H76" i="11" s="1"/>
  <c r="F76" i="11" a="1"/>
  <c r="F76" i="11" s="1"/>
  <c r="D76" i="11" a="1"/>
  <c r="D76" i="11" s="1"/>
  <c r="B76" i="11" a="1"/>
  <c r="B76" i="11" s="1"/>
  <c r="AV75" i="11" a="1"/>
  <c r="AV75" i="11" s="1"/>
  <c r="AT75" i="11" a="1"/>
  <c r="AT75" i="11" s="1"/>
  <c r="AR75" i="11" a="1"/>
  <c r="AR75" i="11" s="1"/>
  <c r="AP75" i="11" a="1"/>
  <c r="AP75" i="11" s="1"/>
  <c r="AN75" i="11" a="1"/>
  <c r="AN75" i="11" s="1"/>
  <c r="AL75" i="11" a="1"/>
  <c r="AL75" i="11" s="1"/>
  <c r="AJ75" i="11" a="1"/>
  <c r="AJ75" i="11" s="1"/>
  <c r="AH75" i="11" a="1"/>
  <c r="AH75" i="11" s="1"/>
  <c r="AF75" i="11" a="1"/>
  <c r="AF75" i="11" s="1"/>
  <c r="AD75" i="11" a="1"/>
  <c r="AD75" i="11" s="1"/>
  <c r="AB75" i="11" a="1"/>
  <c r="AB75" i="11" s="1"/>
  <c r="Z75" i="11" a="1"/>
  <c r="Z75" i="11" s="1"/>
  <c r="X75" i="11" a="1"/>
  <c r="X75" i="11" s="1"/>
  <c r="V75" i="11" a="1"/>
  <c r="V75" i="11" s="1"/>
  <c r="T75" i="11" a="1"/>
  <c r="T75" i="11" s="1"/>
  <c r="R75" i="11" a="1"/>
  <c r="R75" i="11" s="1"/>
  <c r="P75" i="11" a="1"/>
  <c r="P75" i="11" s="1"/>
  <c r="N75" i="11" a="1"/>
  <c r="N75" i="11" s="1"/>
  <c r="L75" i="11" a="1"/>
  <c r="L75" i="11" s="1"/>
  <c r="J75" i="11" a="1"/>
  <c r="J75" i="11" s="1"/>
  <c r="H75" i="11" a="1"/>
  <c r="H75" i="11" s="1"/>
  <c r="F75" i="11" a="1"/>
  <c r="F75" i="11" s="1"/>
  <c r="D75" i="11" a="1"/>
  <c r="D75" i="11" s="1"/>
  <c r="B75" i="11" a="1"/>
  <c r="B75" i="11" s="1"/>
  <c r="AV74" i="11" a="1"/>
  <c r="AV74" i="11" s="1"/>
  <c r="AT74" i="11" a="1"/>
  <c r="AT74" i="11" s="1"/>
  <c r="AR74" i="11" a="1"/>
  <c r="AR74" i="11" s="1"/>
  <c r="AP74" i="11" a="1"/>
  <c r="AP74" i="11" s="1"/>
  <c r="AN74" i="11" a="1"/>
  <c r="AN74" i="11" s="1"/>
  <c r="AL74" i="11" a="1"/>
  <c r="AL74" i="11" s="1"/>
  <c r="AJ74" i="11" a="1"/>
  <c r="AJ74" i="11" s="1"/>
  <c r="AH74" i="11" a="1"/>
  <c r="AH74" i="11" s="1"/>
  <c r="AF74" i="11" a="1"/>
  <c r="AF74" i="11" s="1"/>
  <c r="AD74" i="11" a="1"/>
  <c r="AD74" i="11" s="1"/>
  <c r="AB74" i="11" a="1"/>
  <c r="AB74" i="11" s="1"/>
  <c r="Z74" i="11" a="1"/>
  <c r="Z74" i="11" s="1"/>
  <c r="X74" i="11" a="1"/>
  <c r="X74" i="11" s="1"/>
  <c r="V74" i="11" a="1"/>
  <c r="V74" i="11" s="1"/>
  <c r="T74" i="11" a="1"/>
  <c r="T74" i="11" s="1"/>
  <c r="R74" i="11" a="1"/>
  <c r="R74" i="11" s="1"/>
  <c r="P74" i="11" a="1"/>
  <c r="P74" i="11" s="1"/>
  <c r="N74" i="11" a="1"/>
  <c r="N74" i="11" s="1"/>
  <c r="L74" i="11" a="1"/>
  <c r="L74" i="11" s="1"/>
  <c r="J74" i="11" a="1"/>
  <c r="J74" i="11" s="1"/>
  <c r="H74" i="11" a="1"/>
  <c r="H74" i="11" s="1"/>
  <c r="F74" i="11" a="1"/>
  <c r="F74" i="11" s="1"/>
  <c r="D74" i="11" a="1"/>
  <c r="D74" i="11" s="1"/>
  <c r="B74" i="11" a="1"/>
  <c r="B74" i="11" s="1"/>
  <c r="AV73" i="11" a="1"/>
  <c r="AV73" i="11" s="1"/>
  <c r="AT73" i="11" a="1"/>
  <c r="AT73" i="11" s="1"/>
  <c r="AR73" i="11" a="1"/>
  <c r="AR73" i="11" s="1"/>
  <c r="AP73" i="11" a="1"/>
  <c r="AP73" i="11" s="1"/>
  <c r="AN73" i="11" a="1"/>
  <c r="AN73" i="11" s="1"/>
  <c r="AL73" i="11" a="1"/>
  <c r="AL73" i="11" s="1"/>
  <c r="AJ73" i="11" a="1"/>
  <c r="AJ73" i="11" s="1"/>
  <c r="AH73" i="11" a="1"/>
  <c r="AH73" i="11" s="1"/>
  <c r="AF73" i="11" a="1"/>
  <c r="AF73" i="11" s="1"/>
  <c r="AD73" i="11" a="1"/>
  <c r="AD73" i="11" s="1"/>
  <c r="AB73" i="11" a="1"/>
  <c r="AB73" i="11" s="1"/>
  <c r="Z73" i="11" a="1"/>
  <c r="Z73" i="11" s="1"/>
  <c r="X73" i="11" a="1"/>
  <c r="X73" i="11" s="1"/>
  <c r="V73" i="11" a="1"/>
  <c r="V73" i="11" s="1"/>
  <c r="T73" i="11" a="1"/>
  <c r="T73" i="11" s="1"/>
  <c r="R73" i="11" a="1"/>
  <c r="R73" i="11" s="1"/>
  <c r="P73" i="11" a="1"/>
  <c r="P73" i="11" s="1"/>
  <c r="N73" i="11" a="1"/>
  <c r="N73" i="11" s="1"/>
  <c r="L73" i="11" a="1"/>
  <c r="L73" i="11" s="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V67" i="11" a="1"/>
  <c r="AV67" i="11" s="1"/>
  <c r="AT67" i="11" a="1"/>
  <c r="AT67" i="11" s="1"/>
  <c r="AR67" i="11" a="1"/>
  <c r="AR67" i="11" s="1"/>
  <c r="AP67" i="11" a="1"/>
  <c r="AP67" i="11" s="1"/>
  <c r="AN67" i="11" a="1"/>
  <c r="AN67" i="11" s="1"/>
  <c r="AL67" i="11" a="1"/>
  <c r="AL67" i="11" s="1"/>
  <c r="AJ67" i="11" a="1"/>
  <c r="AJ67" i="11" s="1"/>
  <c r="AH67" i="11" a="1"/>
  <c r="AH67" i="11" s="1"/>
  <c r="AF67" i="11" a="1"/>
  <c r="AF67" i="11" s="1"/>
  <c r="AD67" i="11" a="1"/>
  <c r="AD67" i="11" s="1"/>
  <c r="AB67" i="11" a="1"/>
  <c r="AB67" i="11" s="1"/>
  <c r="Z67" i="11" a="1"/>
  <c r="Z67" i="11" s="1"/>
  <c r="X67" i="11" a="1"/>
  <c r="X67" i="11" s="1"/>
  <c r="V67" i="11" a="1"/>
  <c r="V67" i="11" s="1"/>
  <c r="T67" i="11" a="1"/>
  <c r="T67" i="11" s="1"/>
  <c r="R67" i="11" a="1"/>
  <c r="R67" i="11" s="1"/>
  <c r="P67" i="11" a="1"/>
  <c r="P67" i="11" s="1"/>
  <c r="N67" i="11" a="1"/>
  <c r="N67" i="11" s="1"/>
  <c r="L67" i="11" a="1"/>
  <c r="L67" i="11" s="1"/>
  <c r="J67" i="11" a="1"/>
  <c r="J67" i="11" s="1"/>
  <c r="H67" i="11" a="1"/>
  <c r="H67" i="11" s="1"/>
  <c r="F67" i="11" a="1"/>
  <c r="F67" i="11" s="1"/>
  <c r="D67" i="11" a="1"/>
  <c r="D67" i="11" s="1"/>
  <c r="B67" i="11" a="1"/>
  <c r="B67" i="11" s="1"/>
  <c r="AV66" i="11" a="1"/>
  <c r="AV66" i="11" s="1"/>
  <c r="AT66" i="11" a="1"/>
  <c r="AT66" i="11" s="1"/>
  <c r="AR66" i="11" a="1"/>
  <c r="AR66" i="11" s="1"/>
  <c r="AR68" i="11" s="1"/>
  <c r="AP66" i="11" a="1"/>
  <c r="AP66" i="11" s="1"/>
  <c r="AP68" i="11" s="1"/>
  <c r="AN66" i="11" a="1"/>
  <c r="AN66" i="11" s="1"/>
  <c r="AN68" i="11" s="1"/>
  <c r="AL66" i="11" a="1"/>
  <c r="AL66" i="11" s="1"/>
  <c r="AJ66" i="11" a="1"/>
  <c r="AJ66" i="11" s="1"/>
  <c r="AH66" i="11" a="1"/>
  <c r="AH66" i="11" s="1"/>
  <c r="AF66" i="11" a="1"/>
  <c r="AF66" i="11" s="1"/>
  <c r="AF68" i="11" s="1"/>
  <c r="AD66" i="11" a="1"/>
  <c r="AD66" i="11" s="1"/>
  <c r="AB66" i="11" a="1"/>
  <c r="AB66" i="11" s="1"/>
  <c r="Z66" i="11" a="1"/>
  <c r="Z66" i="11" s="1"/>
  <c r="X66" i="11" a="1"/>
  <c r="X66" i="11" s="1"/>
  <c r="V66" i="11" a="1"/>
  <c r="V66" i="11" s="1"/>
  <c r="V68" i="11" s="1"/>
  <c r="T66" i="11" a="1"/>
  <c r="T66" i="11" s="1"/>
  <c r="R66" i="11" a="1"/>
  <c r="R66" i="11" s="1"/>
  <c r="P66" i="11" a="1"/>
  <c r="P66" i="11" s="1"/>
  <c r="N66" i="11" a="1"/>
  <c r="N66" i="11" s="1"/>
  <c r="L66" i="11" a="1"/>
  <c r="L66" i="11" s="1"/>
  <c r="L68" i="11" s="1"/>
  <c r="J66" i="11" a="1"/>
  <c r="J66" i="11" s="1"/>
  <c r="J68" i="11" s="1"/>
  <c r="H66" i="11" a="1"/>
  <c r="H66" i="11" s="1"/>
  <c r="H68" i="11" s="1"/>
  <c r="F66" i="11" a="1"/>
  <c r="F66" i="11" s="1"/>
  <c r="D66" i="11" a="1"/>
  <c r="D66" i="11" s="1"/>
  <c r="B66" i="11" a="1"/>
  <c r="B66" i="11" s="1"/>
  <c r="AV65" i="11" a="1"/>
  <c r="AV65" i="11" s="1"/>
  <c r="AV69" i="11" s="1"/>
  <c r="AT65" i="11" a="1"/>
  <c r="AT65" i="11" s="1"/>
  <c r="AT69" i="11" s="1"/>
  <c r="AR65" i="11" a="1"/>
  <c r="AR65" i="11" s="1"/>
  <c r="AR69" i="11" s="1"/>
  <c r="AP65" i="11" a="1"/>
  <c r="AP65" i="11" s="1"/>
  <c r="AP69" i="11" s="1"/>
  <c r="AN65" i="11" a="1"/>
  <c r="AN65" i="11" s="1"/>
  <c r="AN69" i="11" s="1"/>
  <c r="AL65" i="11" a="1"/>
  <c r="AL65" i="11" s="1"/>
  <c r="AL69" i="11" s="1"/>
  <c r="AJ65" i="11" a="1"/>
  <c r="AJ65" i="11" s="1"/>
  <c r="AJ69" i="11" s="1"/>
  <c r="AH65" i="11" a="1"/>
  <c r="AH65" i="11" s="1"/>
  <c r="AH69" i="11" s="1"/>
  <c r="AF65" i="11" a="1"/>
  <c r="AF65" i="11" s="1"/>
  <c r="AF69" i="11" s="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a="1"/>
  <c r="P65" i="11" s="1"/>
  <c r="P69" i="11" s="1"/>
  <c r="N65" i="11" a="1"/>
  <c r="N65" i="11" s="1"/>
  <c r="N69" i="11" s="1"/>
  <c r="L65" i="11" a="1"/>
  <c r="L65" i="11" s="1"/>
  <c r="L69" i="11" s="1"/>
  <c r="J65" i="11" a="1"/>
  <c r="J65" i="11" s="1"/>
  <c r="J69" i="11" s="1"/>
  <c r="H65" i="11" a="1"/>
  <c r="H65" i="11" s="1"/>
  <c r="H69" i="11" s="1"/>
  <c r="F65" i="11" a="1"/>
  <c r="F65" i="11" s="1"/>
  <c r="F69" i="11" s="1"/>
  <c r="D65" i="11" a="1"/>
  <c r="D65" i="11" s="1"/>
  <c r="D69" i="11" s="1"/>
  <c r="B65" i="11"/>
  <c r="B69" i="11" s="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a="1"/>
  <c r="AT58" i="11" s="1"/>
  <c r="AR58" i="11" a="1"/>
  <c r="AR58" i="11" s="1"/>
  <c r="AP58" i="11"/>
  <c r="AP58" i="11" a="1"/>
  <c r="AN58" i="11"/>
  <c r="AN58" i="11" a="1"/>
  <c r="AL58" i="11"/>
  <c r="AL58" i="11" a="1"/>
  <c r="AJ58" i="11"/>
  <c r="AJ58" i="11" a="1"/>
  <c r="AH58" i="11"/>
  <c r="AH58" i="11" a="1"/>
  <c r="AF58" i="11"/>
  <c r="AF58" i="11" a="1"/>
  <c r="AD58" i="11" a="1"/>
  <c r="AD58" i="11" s="1"/>
  <c r="AB58" i="11" a="1"/>
  <c r="AB58" i="11" s="1"/>
  <c r="Z58" i="11"/>
  <c r="Z58" i="11" a="1"/>
  <c r="X58" i="11"/>
  <c r="X58" i="11" a="1"/>
  <c r="V58" i="11"/>
  <c r="V58" i="11" a="1"/>
  <c r="T58" i="11"/>
  <c r="T58" i="11" a="1"/>
  <c r="R58" i="11"/>
  <c r="R58" i="11" a="1"/>
  <c r="P58" i="11"/>
  <c r="P58" i="11" a="1"/>
  <c r="N58" i="11" a="1"/>
  <c r="N58" i="11" s="1"/>
  <c r="L58" i="11" a="1"/>
  <c r="L58" i="11" s="1"/>
  <c r="J58" i="11"/>
  <c r="J58" i="11" a="1"/>
  <c r="H58" i="11"/>
  <c r="H58" i="11" a="1"/>
  <c r="F58" i="11"/>
  <c r="F58" i="11" a="1"/>
  <c r="D58" i="11"/>
  <c r="D58" i="11" a="1"/>
  <c r="B58" i="11"/>
  <c r="B58" i="11" a="1"/>
  <c r="AV57" i="11"/>
  <c r="AV57" i="11" a="1"/>
  <c r="AT57" i="11" a="1"/>
  <c r="AT57" i="11" s="1"/>
  <c r="AR57" i="11" a="1"/>
  <c r="AR57" i="11" s="1"/>
  <c r="AP57" i="11"/>
  <c r="AP57" i="11" a="1"/>
  <c r="AN57" i="11"/>
  <c r="AN57" i="11" a="1"/>
  <c r="AL57" i="11"/>
  <c r="AL57" i="11" a="1"/>
  <c r="AJ57" i="11"/>
  <c r="AJ57" i="11" a="1"/>
  <c r="AH57" i="11"/>
  <c r="AH57" i="11" a="1"/>
  <c r="AF57" i="11"/>
  <c r="AF57" i="11" a="1"/>
  <c r="AD57" i="11" a="1"/>
  <c r="AD57" i="11" s="1"/>
  <c r="AB57" i="11" a="1"/>
  <c r="AB57" i="11" s="1"/>
  <c r="Z57" i="11"/>
  <c r="Z57" i="11" a="1"/>
  <c r="X57" i="11"/>
  <c r="X57" i="11" a="1"/>
  <c r="V57" i="11"/>
  <c r="V57" i="11" a="1"/>
  <c r="T57" i="11"/>
  <c r="T57" i="11" a="1"/>
  <c r="R57" i="11"/>
  <c r="R57" i="11" a="1"/>
  <c r="P57" i="11"/>
  <c r="P57" i="11" a="1"/>
  <c r="N57" i="11" a="1"/>
  <c r="N57" i="11" s="1"/>
  <c r="L57" i="11" a="1"/>
  <c r="L57" i="11" s="1"/>
  <c r="J57" i="11"/>
  <c r="J57" i="11" a="1"/>
  <c r="H57" i="11"/>
  <c r="H57" i="11" a="1"/>
  <c r="F57" i="11"/>
  <c r="F57" i="11" a="1"/>
  <c r="D57" i="11"/>
  <c r="D57" i="11" a="1"/>
  <c r="B57" i="11"/>
  <c r="B57" i="11" a="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V80" i="11" s="1"/>
  <c r="AT55" i="11"/>
  <c r="AT80" i="11" s="1"/>
  <c r="AR55" i="11"/>
  <c r="AR80" i="11" s="1"/>
  <c r="AP55" i="11"/>
  <c r="AP80" i="11" s="1"/>
  <c r="AN55" i="11"/>
  <c r="AN80" i="11" s="1"/>
  <c r="AL55" i="11"/>
  <c r="AL80" i="11" s="1"/>
  <c r="AJ55" i="11"/>
  <c r="AJ80" i="11" s="1"/>
  <c r="AH55" i="11"/>
  <c r="AH80" i="11" s="1"/>
  <c r="AF55" i="11"/>
  <c r="AF80" i="11" s="1"/>
  <c r="AD55" i="11"/>
  <c r="AD80" i="11" s="1"/>
  <c r="AB55" i="11"/>
  <c r="AB80" i="11" s="1"/>
  <c r="Z55" i="11"/>
  <c r="Z80" i="11" s="1"/>
  <c r="X55" i="11"/>
  <c r="X80" i="11" s="1"/>
  <c r="V55" i="11"/>
  <c r="V80" i="11" s="1"/>
  <c r="T55" i="11"/>
  <c r="T80" i="11" s="1"/>
  <c r="R55" i="11"/>
  <c r="R80" i="11" s="1"/>
  <c r="P55" i="11"/>
  <c r="P80" i="11" s="1"/>
  <c r="N55" i="11"/>
  <c r="N80" i="11" s="1"/>
  <c r="L55" i="11"/>
  <c r="L80" i="11" s="1"/>
  <c r="J55" i="11"/>
  <c r="J80" i="11" s="1"/>
  <c r="H55" i="11"/>
  <c r="H80" i="11" s="1"/>
  <c r="F55" i="11"/>
  <c r="F80" i="11" s="1"/>
  <c r="D55" i="11"/>
  <c r="D80" i="11" s="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L81" i="11" s="1"/>
  <c r="AJ51" i="11"/>
  <c r="AJ81" i="11" s="1"/>
  <c r="AH51" i="11"/>
  <c r="AH81" i="11" s="1"/>
  <c r="AF51" i="11"/>
  <c r="AF81" i="11" s="1"/>
  <c r="AD51" i="11"/>
  <c r="AD81" i="11" s="1"/>
  <c r="AB51" i="11"/>
  <c r="AB81" i="11" s="1"/>
  <c r="Z51" i="11"/>
  <c r="Z81" i="11" s="1"/>
  <c r="X51" i="11"/>
  <c r="X81" i="11" s="1"/>
  <c r="V51" i="11"/>
  <c r="V81" i="11" s="1"/>
  <c r="T51" i="11"/>
  <c r="T81" i="11" s="1"/>
  <c r="R51" i="11"/>
  <c r="R81" i="11" s="1"/>
  <c r="P51" i="11"/>
  <c r="P81" i="11" s="1"/>
  <c r="N51" i="11"/>
  <c r="N81" i="11" s="1"/>
  <c r="L51" i="11"/>
  <c r="L81" i="11" s="1"/>
  <c r="J51" i="11"/>
  <c r="J81" i="11" s="1"/>
  <c r="H51" i="11"/>
  <c r="H81" i="11" s="1"/>
  <c r="F51" i="11"/>
  <c r="F81" i="11" s="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c r="AP43" i="11" a="1"/>
  <c r="AN43" i="11"/>
  <c r="AN43" i="11" a="1"/>
  <c r="AL43" i="11"/>
  <c r="AL43" i="11" a="1"/>
  <c r="AJ43" i="11"/>
  <c r="AJ43" i="11" a="1"/>
  <c r="AH43" i="11"/>
  <c r="AH43" i="11" a="1"/>
  <c r="AF43" i="11"/>
  <c r="AF43" i="11" a="1"/>
  <c r="AD43" i="11" a="1"/>
  <c r="AD43" i="11" s="1"/>
  <c r="AB43" i="11" a="1"/>
  <c r="AB43" i="11" s="1"/>
  <c r="Z43" i="11"/>
  <c r="Z43" i="11" a="1"/>
  <c r="X43" i="11"/>
  <c r="X43" i="11" a="1"/>
  <c r="V43" i="11"/>
  <c r="V43" i="11" a="1"/>
  <c r="T43" i="11"/>
  <c r="T43" i="11" a="1"/>
  <c r="R43" i="11"/>
  <c r="R43" i="11" a="1"/>
  <c r="P43" i="11"/>
  <c r="P43" i="11" a="1"/>
  <c r="N43" i="11" a="1"/>
  <c r="N43" i="11" s="1"/>
  <c r="L43" i="11" a="1"/>
  <c r="L43" i="11" s="1"/>
  <c r="J43" i="11"/>
  <c r="J43" i="11" a="1"/>
  <c r="H43" i="11"/>
  <c r="H43" i="11" a="1"/>
  <c r="F43" i="11"/>
  <c r="F43" i="11" a="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D12" i="1"/>
  <c r="C12" i="1"/>
  <c r="A9" i="42"/>
  <c r="A8" i="42"/>
  <c r="A7" i="42"/>
  <c r="A6" i="42"/>
  <c r="A5" i="42"/>
  <c r="A4" i="42"/>
  <c r="A3" i="42"/>
  <c r="A2" i="42"/>
  <c r="Y1" i="42"/>
  <c r="X1" i="42"/>
  <c r="W1" i="42"/>
  <c r="V1" i="42"/>
  <c r="U1" i="42"/>
  <c r="T1" i="42"/>
  <c r="S1" i="42"/>
  <c r="R1" i="42"/>
  <c r="Q1" i="42"/>
  <c r="P1" i="42"/>
  <c r="O1" i="42"/>
  <c r="N1" i="42"/>
  <c r="M1" i="42"/>
  <c r="L1" i="42"/>
  <c r="K1" i="42"/>
  <c r="J1" i="42"/>
  <c r="I1" i="42"/>
  <c r="H1" i="42"/>
  <c r="G1" i="42"/>
  <c r="F1" i="42"/>
  <c r="E1" i="42"/>
  <c r="D1" i="42"/>
  <c r="C1" i="42"/>
  <c r="B1" i="42"/>
  <c r="B68" i="35" l="1"/>
  <c r="X68" i="35"/>
  <c r="L68" i="35"/>
  <c r="AP68" i="35"/>
  <c r="J68" i="24"/>
  <c r="AP68" i="24"/>
  <c r="L68" i="24"/>
  <c r="AR68" i="24"/>
  <c r="AN68" i="24"/>
  <c r="P68" i="24"/>
  <c r="AL68" i="24"/>
  <c r="AH68" i="24"/>
  <c r="AJ68" i="24"/>
  <c r="N68" i="24"/>
  <c r="B68" i="24"/>
  <c r="D68" i="24"/>
  <c r="X68" i="12"/>
  <c r="B68" i="12"/>
  <c r="AD68" i="12"/>
  <c r="AJ68" i="12"/>
  <c r="J68" i="12"/>
  <c r="AJ68" i="11"/>
  <c r="D68" i="11"/>
  <c r="N68" i="11"/>
  <c r="AT68" i="11"/>
  <c r="B68" i="11"/>
  <c r="AH68" i="11"/>
  <c r="AF68" i="12"/>
  <c r="H68" i="12"/>
  <c r="AH68" i="12"/>
  <c r="P68" i="12"/>
  <c r="AP68" i="12"/>
  <c r="AR68" i="12"/>
  <c r="T68" i="12"/>
  <c r="L68" i="12"/>
  <c r="AN68" i="12"/>
  <c r="AT68" i="12"/>
  <c r="AV68" i="12"/>
  <c r="F68" i="11"/>
  <c r="AL68" i="11"/>
  <c r="AV68" i="11"/>
  <c r="R68" i="11"/>
  <c r="T68" i="11"/>
  <c r="P68" i="11"/>
  <c r="AB68" i="11"/>
  <c r="X68" i="11"/>
  <c r="Z68" i="11"/>
  <c r="AD68" i="11"/>
  <c r="C85" i="22"/>
  <c r="D85" i="22"/>
  <c r="E85" i="22"/>
  <c r="F85" i="22"/>
  <c r="G85" i="22"/>
  <c r="H85" i="22"/>
  <c r="I85" i="22"/>
  <c r="J85" i="22"/>
  <c r="K85" i="22"/>
  <c r="L85" i="22"/>
  <c r="M85" i="22"/>
  <c r="N85" i="22"/>
  <c r="O85" i="22"/>
  <c r="P85" i="22"/>
  <c r="Q85" i="22"/>
  <c r="R85" i="22"/>
  <c r="S85" i="22"/>
  <c r="T85" i="22"/>
  <c r="U85" i="22"/>
  <c r="V85" i="22"/>
  <c r="W85" i="22"/>
  <c r="X85" i="22"/>
  <c r="Y85" i="22"/>
  <c r="Z85" i="22"/>
  <c r="AA85" i="22"/>
  <c r="AB85" i="22"/>
  <c r="AC85" i="22"/>
  <c r="AD85" i="22"/>
  <c r="AE85" i="22"/>
  <c r="AF85" i="22"/>
  <c r="AG85" i="22"/>
  <c r="AV85" i="22"/>
  <c r="AT85" i="22"/>
  <c r="AR85" i="22"/>
  <c r="AP85" i="22"/>
  <c r="AN85" i="22"/>
  <c r="AL85" i="22"/>
  <c r="AJ85" i="22"/>
  <c r="AH85" i="22"/>
  <c r="B85" i="22"/>
  <c r="Y1" i="41"/>
  <c r="B1" i="41"/>
  <c r="C1" i="41"/>
  <c r="D1" i="41"/>
  <c r="E1" i="41"/>
  <c r="F1" i="41"/>
  <c r="G1" i="41"/>
  <c r="H1" i="41"/>
  <c r="I1" i="41"/>
  <c r="J1" i="41"/>
  <c r="K1" i="41"/>
  <c r="L1" i="41"/>
  <c r="M1" i="41"/>
  <c r="N1" i="41"/>
  <c r="O1" i="41"/>
  <c r="P1" i="41"/>
  <c r="Q1" i="41"/>
  <c r="R1" i="41"/>
  <c r="S1" i="41"/>
  <c r="T1" i="41"/>
  <c r="U1" i="41"/>
  <c r="V1" i="41"/>
  <c r="W1" i="41"/>
  <c r="X1" i="41"/>
  <c r="A2" i="41"/>
  <c r="A3" i="41"/>
  <c r="A4" i="41"/>
  <c r="A5" i="41"/>
  <c r="A6" i="41"/>
  <c r="A7" i="41"/>
  <c r="A8" i="41"/>
  <c r="A9" i="41"/>
  <c r="Y9" i="39"/>
  <c r="X9" i="39"/>
  <c r="W9" i="39"/>
  <c r="V9" i="39"/>
  <c r="U9" i="39"/>
  <c r="T9" i="39"/>
  <c r="S9" i="39"/>
  <c r="R9" i="39"/>
  <c r="Q9" i="39"/>
  <c r="P9" i="39"/>
  <c r="O9" i="39"/>
  <c r="N9" i="39"/>
  <c r="M9" i="39"/>
  <c r="L9" i="39"/>
  <c r="K9" i="39"/>
  <c r="J9" i="39"/>
  <c r="I9" i="39"/>
  <c r="H9" i="39"/>
  <c r="G9" i="39"/>
  <c r="F9" i="39"/>
  <c r="E9" i="39"/>
  <c r="D9" i="39"/>
  <c r="C9" i="39"/>
  <c r="B9" i="39"/>
  <c r="V8" i="39"/>
  <c r="U8" i="39"/>
  <c r="T8" i="39"/>
  <c r="S8" i="39"/>
  <c r="R8" i="39"/>
  <c r="Q8" i="39"/>
  <c r="P8" i="39"/>
  <c r="O8" i="39"/>
  <c r="N8" i="39"/>
  <c r="M8" i="39"/>
  <c r="L8" i="39"/>
  <c r="K8" i="39"/>
  <c r="J8" i="39"/>
  <c r="I8" i="39"/>
  <c r="H8" i="39"/>
  <c r="G8" i="39"/>
  <c r="F8" i="39"/>
  <c r="E8" i="39"/>
  <c r="D8" i="39"/>
  <c r="C8" i="39"/>
  <c r="B8" i="39"/>
  <c r="I7" i="39"/>
  <c r="H7" i="39"/>
  <c r="G7" i="39"/>
  <c r="F7" i="39"/>
  <c r="E7" i="39"/>
  <c r="D7" i="39"/>
  <c r="C7" i="39"/>
  <c r="B7" i="39"/>
  <c r="K6" i="39"/>
  <c r="J6" i="39"/>
  <c r="I6" i="39"/>
  <c r="H6" i="39"/>
  <c r="G6" i="39"/>
  <c r="F6" i="39"/>
  <c r="E6" i="39"/>
  <c r="D6" i="39"/>
  <c r="C6" i="39"/>
  <c r="B6" i="39"/>
  <c r="P5" i="39"/>
  <c r="O5" i="39"/>
  <c r="N5" i="39"/>
  <c r="M5" i="39"/>
  <c r="L5" i="39"/>
  <c r="K5" i="39"/>
  <c r="J5" i="39"/>
  <c r="I5" i="39"/>
  <c r="H5" i="39"/>
  <c r="G5" i="39"/>
  <c r="F5" i="39"/>
  <c r="E5" i="39"/>
  <c r="D5" i="39"/>
  <c r="C5" i="39"/>
  <c r="B5" i="39"/>
  <c r="Y4" i="39"/>
  <c r="X4" i="39"/>
  <c r="W4" i="39"/>
  <c r="V4" i="39"/>
  <c r="U4" i="39"/>
  <c r="T4" i="39"/>
  <c r="S4" i="39"/>
  <c r="R4" i="39"/>
  <c r="Q4" i="39"/>
  <c r="P4" i="39"/>
  <c r="O4" i="39"/>
  <c r="N4" i="39"/>
  <c r="M4" i="39"/>
  <c r="L4" i="39"/>
  <c r="K4" i="39"/>
  <c r="J4" i="39"/>
  <c r="I4" i="39"/>
  <c r="H4" i="39"/>
  <c r="G4" i="39"/>
  <c r="F4" i="39"/>
  <c r="E4" i="39"/>
  <c r="D4" i="39"/>
  <c r="C4" i="39"/>
  <c r="B4" i="39"/>
  <c r="P3" i="39"/>
  <c r="O3" i="39"/>
  <c r="N3" i="39"/>
  <c r="M3" i="39"/>
  <c r="L3" i="39"/>
  <c r="K3" i="39"/>
  <c r="J3" i="39"/>
  <c r="I3" i="39"/>
  <c r="H3" i="39"/>
  <c r="G3" i="39"/>
  <c r="F3" i="39"/>
  <c r="E3" i="39"/>
  <c r="D3" i="39"/>
  <c r="C3" i="39"/>
  <c r="B3" i="39"/>
  <c r="Y2" i="39"/>
  <c r="X2" i="39"/>
  <c r="W2" i="39"/>
  <c r="V2" i="39"/>
  <c r="U2" i="39"/>
  <c r="T2" i="39"/>
  <c r="S2" i="39"/>
  <c r="R2" i="39"/>
  <c r="Q2" i="39"/>
  <c r="P2" i="39"/>
  <c r="O2" i="39"/>
  <c r="N2" i="39"/>
  <c r="M2" i="39"/>
  <c r="L2" i="39"/>
  <c r="K2" i="39"/>
  <c r="J2" i="39"/>
  <c r="I2" i="39"/>
  <c r="H2" i="39"/>
  <c r="G2" i="39"/>
  <c r="F2" i="39"/>
  <c r="E2" i="39"/>
  <c r="D2" i="39"/>
  <c r="C2" i="39"/>
  <c r="B2" i="39"/>
  <c r="C66" i="1" l="1"/>
  <c r="Y51" i="23"/>
  <c r="X51" i="23"/>
  <c r="W51" i="23"/>
  <c r="S51" i="23"/>
  <c r="R51" i="23"/>
  <c r="P51" i="23"/>
  <c r="O51" i="23"/>
  <c r="N51" i="23"/>
  <c r="M51" i="23"/>
  <c r="L51" i="23"/>
  <c r="K51" i="23"/>
  <c r="J51" i="23"/>
  <c r="J4" i="41" s="1"/>
  <c r="I51" i="23"/>
  <c r="I4" i="41" s="1"/>
  <c r="H51" i="23"/>
  <c r="H4" i="41" s="1"/>
  <c r="G51" i="23"/>
  <c r="G4" i="41" s="1"/>
  <c r="D51" i="23"/>
  <c r="D4" i="41" s="1"/>
  <c r="C51" i="23"/>
  <c r="C4" i="41" s="1"/>
  <c r="AR81" i="22"/>
  <c r="AP81" i="22"/>
  <c r="AV80" i="22"/>
  <c r="AT80" i="22"/>
  <c r="AR80" i="22"/>
  <c r="AJ80" i="22"/>
  <c r="AV79" i="22" a="1"/>
  <c r="AV79" i="22" s="1"/>
  <c r="AT79" i="22" a="1"/>
  <c r="AT79" i="22" s="1"/>
  <c r="AR79" i="22"/>
  <c r="AR79" i="22" a="1"/>
  <c r="AP79" i="22" a="1"/>
  <c r="AP79" i="22" s="1"/>
  <c r="AN79" i="22" a="1"/>
  <c r="AN79" i="22" s="1"/>
  <c r="AL79" i="22" a="1"/>
  <c r="AL79" i="22" s="1"/>
  <c r="AJ79" i="22" a="1"/>
  <c r="AJ79" i="22" s="1"/>
  <c r="AH79" i="22"/>
  <c r="AH79" i="22" a="1"/>
  <c r="AF79" i="22" a="1"/>
  <c r="AF79" i="22" s="1"/>
  <c r="AD79" i="22" a="1"/>
  <c r="AD79" i="22" s="1"/>
  <c r="AB79" i="22"/>
  <c r="AB79" i="22" a="1"/>
  <c r="Z79" i="22" a="1"/>
  <c r="Z79" i="22" s="1"/>
  <c r="X79" i="22" a="1"/>
  <c r="X79" i="22" s="1"/>
  <c r="V79" i="22" a="1"/>
  <c r="V79" i="22" s="1"/>
  <c r="T79" i="22" a="1"/>
  <c r="T79" i="22" s="1"/>
  <c r="R79" i="22" a="1"/>
  <c r="R79" i="22" s="1"/>
  <c r="P79" i="22" a="1"/>
  <c r="P79" i="22" s="1"/>
  <c r="N79" i="22" a="1"/>
  <c r="N79" i="22" s="1"/>
  <c r="L79" i="22"/>
  <c r="L79" i="22" a="1"/>
  <c r="J79" i="22" a="1"/>
  <c r="J79" i="22" s="1"/>
  <c r="H79" i="22" a="1"/>
  <c r="H79" i="22" s="1"/>
  <c r="F79" i="22" a="1"/>
  <c r="F79" i="22" s="1"/>
  <c r="D79" i="22" a="1"/>
  <c r="D79" i="22" s="1"/>
  <c r="B79" i="22" a="1"/>
  <c r="B79" i="22" s="1"/>
  <c r="AV78" i="22" a="1"/>
  <c r="AV78" i="22" s="1"/>
  <c r="AT78" i="22" a="1"/>
  <c r="AT78" i="22" s="1"/>
  <c r="AR78" i="22"/>
  <c r="AR78" i="22" a="1"/>
  <c r="AP78" i="22" a="1"/>
  <c r="AP78" i="22" s="1"/>
  <c r="AN78" i="22" a="1"/>
  <c r="AN78" i="22" s="1"/>
  <c r="AL78" i="22"/>
  <c r="AL78" i="22" a="1"/>
  <c r="AJ78" i="22" a="1"/>
  <c r="AJ78" i="22" s="1"/>
  <c r="AH78" i="22" a="1"/>
  <c r="AH78" i="22" s="1"/>
  <c r="AF78" i="22" a="1"/>
  <c r="AF78" i="22" s="1"/>
  <c r="AD78" i="22" a="1"/>
  <c r="AD78" i="22" s="1"/>
  <c r="AB78" i="22"/>
  <c r="AB78" i="22" a="1"/>
  <c r="Z78" i="22" a="1"/>
  <c r="Z78" i="22" s="1"/>
  <c r="X78" i="22" a="1"/>
  <c r="X78" i="22" s="1"/>
  <c r="V78" i="22" a="1"/>
  <c r="V78" i="22" s="1"/>
  <c r="T78" i="22" a="1"/>
  <c r="T78" i="22" s="1"/>
  <c r="R78" i="22"/>
  <c r="R78" i="22" a="1"/>
  <c r="P78" i="22" a="1"/>
  <c r="P78" i="22" s="1"/>
  <c r="N78" i="22" a="1"/>
  <c r="N78" i="22" s="1"/>
  <c r="L78" i="22"/>
  <c r="L78" i="22" a="1"/>
  <c r="J78" i="22" a="1"/>
  <c r="J78" i="22" s="1"/>
  <c r="H78" i="22" a="1"/>
  <c r="H78" i="22" s="1"/>
  <c r="F78" i="22" a="1"/>
  <c r="F78" i="22" s="1"/>
  <c r="D78" i="22" a="1"/>
  <c r="D78" i="22" s="1"/>
  <c r="B78" i="22" a="1"/>
  <c r="B78" i="22" s="1"/>
  <c r="AV77" i="22" a="1"/>
  <c r="AV77" i="22" s="1"/>
  <c r="AT77" i="22" a="1"/>
  <c r="AT77" i="22" s="1"/>
  <c r="AR77" i="22"/>
  <c r="AR77" i="22" a="1"/>
  <c r="AP77" i="22" a="1"/>
  <c r="AP77" i="22" s="1"/>
  <c r="AN77" i="22" a="1"/>
  <c r="AN77" i="22" s="1"/>
  <c r="AL77" i="22" a="1"/>
  <c r="AL77" i="22" s="1"/>
  <c r="AJ77" i="22" a="1"/>
  <c r="AJ77" i="22" s="1"/>
  <c r="AH77" i="22" a="1"/>
  <c r="AH77" i="22" s="1"/>
  <c r="AF77" i="22" a="1"/>
  <c r="AF77" i="22" s="1"/>
  <c r="AD77" i="22" a="1"/>
  <c r="AD77" i="22" s="1"/>
  <c r="AB77" i="22"/>
  <c r="AB77" i="22" a="1"/>
  <c r="Z77" i="22" a="1"/>
  <c r="Z77" i="22" s="1"/>
  <c r="X77" i="22" a="1"/>
  <c r="X77" i="22" s="1"/>
  <c r="V77" i="22"/>
  <c r="V77" i="22" a="1"/>
  <c r="T77" i="22" a="1"/>
  <c r="T77" i="22" s="1"/>
  <c r="R77" i="22" a="1"/>
  <c r="R77" i="22" s="1"/>
  <c r="P77" i="22" a="1"/>
  <c r="P77" i="22" s="1"/>
  <c r="N77" i="22" a="1"/>
  <c r="N77" i="22" s="1"/>
  <c r="L77" i="22"/>
  <c r="L77" i="22" a="1"/>
  <c r="J77" i="22" a="1"/>
  <c r="J77" i="22" s="1"/>
  <c r="H77" i="22" a="1"/>
  <c r="H77" i="22" s="1"/>
  <c r="F77" i="22" a="1"/>
  <c r="F77" i="22" s="1"/>
  <c r="D77" i="22" a="1"/>
  <c r="D77" i="22" s="1"/>
  <c r="B77" i="22"/>
  <c r="B77" i="22" a="1"/>
  <c r="AV76" i="22" a="1"/>
  <c r="AV76" i="22" s="1"/>
  <c r="AT76" i="22" a="1"/>
  <c r="AT76" i="22" s="1"/>
  <c r="AR76" i="22"/>
  <c r="AR76" i="22" a="1"/>
  <c r="AP76" i="22" a="1"/>
  <c r="AP76" i="22" s="1"/>
  <c r="AN76" i="22" a="1"/>
  <c r="AN76" i="22" s="1"/>
  <c r="AL76" i="22" a="1"/>
  <c r="AL76" i="22" s="1"/>
  <c r="AJ76" i="22" a="1"/>
  <c r="AJ76" i="22" s="1"/>
  <c r="AH76" i="22" a="1"/>
  <c r="AH76" i="22" s="1"/>
  <c r="AF76" i="22" a="1"/>
  <c r="AF76" i="22" s="1"/>
  <c r="AD76" i="22" a="1"/>
  <c r="AD76" i="22" s="1"/>
  <c r="AB76" i="22"/>
  <c r="AB76" i="22" a="1"/>
  <c r="Z76" i="22" a="1"/>
  <c r="Z76" i="22" s="1"/>
  <c r="X76" i="22" a="1"/>
  <c r="X76" i="22" s="1"/>
  <c r="V76" i="22" a="1"/>
  <c r="V76" i="22" s="1"/>
  <c r="T76" i="22" a="1"/>
  <c r="T76" i="22" s="1"/>
  <c r="R76" i="22" a="1"/>
  <c r="R76" i="22" s="1"/>
  <c r="P76" i="22" a="1"/>
  <c r="P76" i="22" s="1"/>
  <c r="N76" i="22" a="1"/>
  <c r="N76" i="22" s="1"/>
  <c r="L76" i="22"/>
  <c r="L76" i="22" a="1"/>
  <c r="J76" i="22" a="1"/>
  <c r="J76" i="22" s="1"/>
  <c r="H76" i="22" a="1"/>
  <c r="H76" i="22" s="1"/>
  <c r="F76" i="22"/>
  <c r="F76" i="22" a="1"/>
  <c r="D76" i="22" a="1"/>
  <c r="D76" i="22" s="1"/>
  <c r="B76" i="22" a="1"/>
  <c r="B76" i="22" s="1"/>
  <c r="AV75" i="22" a="1"/>
  <c r="AV75" i="22" s="1"/>
  <c r="AT75" i="22" a="1"/>
  <c r="AT75" i="22" s="1"/>
  <c r="AR75" i="22"/>
  <c r="AR75" i="22" a="1"/>
  <c r="AP75" i="22" a="1"/>
  <c r="AP75" i="22" s="1"/>
  <c r="AN75" i="22" a="1"/>
  <c r="AN75" i="22" s="1"/>
  <c r="AL75" i="22" a="1"/>
  <c r="AL75" i="22" s="1"/>
  <c r="AJ75" i="22" a="1"/>
  <c r="AJ75" i="22" s="1"/>
  <c r="AH75" i="22"/>
  <c r="AH75" i="22" a="1"/>
  <c r="AF75" i="22" a="1"/>
  <c r="AF75" i="22" s="1"/>
  <c r="AD75" i="22" a="1"/>
  <c r="AD75" i="22" s="1"/>
  <c r="AB75" i="22"/>
  <c r="AB75" i="22" a="1"/>
  <c r="Z75" i="22" a="1"/>
  <c r="Z75" i="22" s="1"/>
  <c r="X75" i="22" a="1"/>
  <c r="X75" i="22" s="1"/>
  <c r="V75" i="22" a="1"/>
  <c r="V75" i="22" s="1"/>
  <c r="T75" i="22" a="1"/>
  <c r="T75" i="22" s="1"/>
  <c r="R75" i="22" a="1"/>
  <c r="R75" i="22" s="1"/>
  <c r="P75" i="22" a="1"/>
  <c r="P75" i="22" s="1"/>
  <c r="N75" i="22" a="1"/>
  <c r="N75" i="22" s="1"/>
  <c r="L75" i="22"/>
  <c r="L75" i="22" a="1"/>
  <c r="J75" i="22" a="1"/>
  <c r="J75" i="22" s="1"/>
  <c r="H75" i="22" a="1"/>
  <c r="H75" i="22" s="1"/>
  <c r="F75" i="22" a="1"/>
  <c r="F75" i="22" s="1"/>
  <c r="D75" i="22" a="1"/>
  <c r="D75" i="22" s="1"/>
  <c r="B75" i="22" a="1"/>
  <c r="B75" i="22" s="1"/>
  <c r="AV74" i="22" a="1"/>
  <c r="AV74" i="22" s="1"/>
  <c r="AT74" i="22" a="1"/>
  <c r="AT74" i="22" s="1"/>
  <c r="AR74" i="22"/>
  <c r="AR74" i="22" a="1"/>
  <c r="AP74" i="22" a="1"/>
  <c r="AP74" i="22" s="1"/>
  <c r="AN74" i="22" a="1"/>
  <c r="AN74" i="22" s="1"/>
  <c r="AL74" i="22"/>
  <c r="AL74" i="22" a="1"/>
  <c r="AJ74" i="22" a="1"/>
  <c r="AJ74" i="22" s="1"/>
  <c r="AH74" i="22" a="1"/>
  <c r="AH74" i="22" s="1"/>
  <c r="AF74" i="22" a="1"/>
  <c r="AF74" i="22" s="1"/>
  <c r="AD74" i="22" a="1"/>
  <c r="AD74" i="22" s="1"/>
  <c r="AB74" i="22"/>
  <c r="AB74" i="22" a="1"/>
  <c r="Z74" i="22" a="1"/>
  <c r="Z74" i="22" s="1"/>
  <c r="X74" i="22" a="1"/>
  <c r="X74" i="22" s="1"/>
  <c r="V74" i="22" a="1"/>
  <c r="V74" i="22" s="1"/>
  <c r="T74" i="22" a="1"/>
  <c r="T74" i="22" s="1"/>
  <c r="R74" i="22"/>
  <c r="R74" i="22" a="1"/>
  <c r="P74" i="22" a="1"/>
  <c r="P74" i="22" s="1"/>
  <c r="N74" i="22" a="1"/>
  <c r="N74" i="22" s="1"/>
  <c r="L74" i="22"/>
  <c r="L74" i="22" a="1"/>
  <c r="J74" i="22" a="1"/>
  <c r="J74" i="22" s="1"/>
  <c r="H74" i="22" a="1"/>
  <c r="H74" i="22" s="1"/>
  <c r="F74" i="22" a="1"/>
  <c r="F74" i="22" s="1"/>
  <c r="D74" i="22" a="1"/>
  <c r="D74" i="22" s="1"/>
  <c r="B74" i="22" a="1"/>
  <c r="B74" i="22" s="1"/>
  <c r="AV73" i="22" a="1"/>
  <c r="AV73" i="22" s="1"/>
  <c r="AT73" i="22" a="1"/>
  <c r="AT73" i="22" s="1"/>
  <c r="AR73" i="22"/>
  <c r="AR73" i="22" a="1"/>
  <c r="AP73" i="22" a="1"/>
  <c r="AP73" i="22" s="1"/>
  <c r="AN73" i="22" a="1"/>
  <c r="AN73" i="22" s="1"/>
  <c r="AL73" i="22" a="1"/>
  <c r="AL73" i="22" s="1"/>
  <c r="AJ73" i="22" a="1"/>
  <c r="AJ73" i="22" s="1"/>
  <c r="AH73" i="22" a="1"/>
  <c r="AH73" i="22" s="1"/>
  <c r="AF73" i="22" a="1"/>
  <c r="AF73" i="22" s="1"/>
  <c r="AD73" i="22" a="1"/>
  <c r="AD73" i="22" s="1"/>
  <c r="AB73" i="22"/>
  <c r="AB73" i="22" a="1"/>
  <c r="Z73" i="22" a="1"/>
  <c r="Z73" i="22" s="1"/>
  <c r="X73" i="22" a="1"/>
  <c r="X73" i="22" s="1"/>
  <c r="V73" i="22"/>
  <c r="V73" i="22" a="1"/>
  <c r="T73" i="22" a="1"/>
  <c r="T73" i="22" s="1"/>
  <c r="R73" i="22" a="1"/>
  <c r="R73" i="22" s="1"/>
  <c r="P73" i="22" a="1"/>
  <c r="P73" i="22" s="1"/>
  <c r="N73" i="22" a="1"/>
  <c r="N73" i="22" s="1"/>
  <c r="L73" i="22"/>
  <c r="L73" i="22" a="1"/>
  <c r="J73" i="22" a="1"/>
  <c r="J73" i="22" s="1"/>
  <c r="H73" i="22" a="1"/>
  <c r="H73" i="22" s="1"/>
  <c r="F73" i="22" a="1"/>
  <c r="F73" i="22" s="1"/>
  <c r="D73" i="22" a="1"/>
  <c r="D73" i="22" s="1"/>
  <c r="B73" i="22"/>
  <c r="B73" i="22" a="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V67" i="22" a="1"/>
  <c r="AV67" i="22" s="1"/>
  <c r="AT67" i="22" a="1"/>
  <c r="AT67" i="22" s="1"/>
  <c r="AR67" i="22" a="1"/>
  <c r="AR67" i="22" s="1"/>
  <c r="AP67" i="22" a="1"/>
  <c r="AP67" i="22" s="1"/>
  <c r="AN67" i="22" a="1"/>
  <c r="AN67" i="22" s="1"/>
  <c r="AL67" i="22" a="1"/>
  <c r="AL67" i="22" s="1"/>
  <c r="AJ67" i="22"/>
  <c r="AJ67" i="22" a="1"/>
  <c r="AH67" i="22" a="1"/>
  <c r="AH67" i="22" s="1"/>
  <c r="AF67" i="22" a="1"/>
  <c r="AF67" i="22" s="1"/>
  <c r="AD67" i="22" a="1"/>
  <c r="AD67" i="22" s="1"/>
  <c r="AB67" i="22" a="1"/>
  <c r="AB67" i="22" s="1"/>
  <c r="Z67" i="22" a="1"/>
  <c r="Z67" i="22" s="1"/>
  <c r="X67" i="22" a="1"/>
  <c r="X67" i="22" s="1"/>
  <c r="V67" i="22" a="1"/>
  <c r="V67" i="22" s="1"/>
  <c r="T67" i="22"/>
  <c r="T67" i="22" a="1"/>
  <c r="R67" i="22" a="1"/>
  <c r="R67" i="22" s="1"/>
  <c r="P67" i="22" a="1"/>
  <c r="P67" i="22" s="1"/>
  <c r="N67" i="22"/>
  <c r="N67" i="22" a="1"/>
  <c r="L67" i="22" a="1"/>
  <c r="L67" i="22" s="1"/>
  <c r="J67" i="22" a="1"/>
  <c r="J67" i="22" s="1"/>
  <c r="H67" i="22" a="1"/>
  <c r="H67" i="22" s="1"/>
  <c r="F67" i="22" a="1"/>
  <c r="F67" i="22" s="1"/>
  <c r="D67" i="22"/>
  <c r="D67" i="22" a="1"/>
  <c r="B67" i="22" a="1"/>
  <c r="B67" i="22" s="1"/>
  <c r="AV66" i="22" a="1"/>
  <c r="AV66" i="22" s="1"/>
  <c r="AT66" i="22" a="1"/>
  <c r="AT66" i="22" s="1"/>
  <c r="AR66" i="22" a="1"/>
  <c r="AR66" i="22" s="1"/>
  <c r="AP66" i="22"/>
  <c r="AP66" i="22" a="1"/>
  <c r="AN66" i="22" a="1"/>
  <c r="AN66" i="22" s="1"/>
  <c r="AL66" i="22" a="1"/>
  <c r="AL66" i="22" s="1"/>
  <c r="AJ66" i="22"/>
  <c r="AJ66" i="22" a="1"/>
  <c r="AH66" i="22" a="1"/>
  <c r="AH66" i="22" s="1"/>
  <c r="AF66" i="22" a="1"/>
  <c r="AF66" i="22" s="1"/>
  <c r="AD66" i="22" a="1"/>
  <c r="AD66" i="22" s="1"/>
  <c r="AB66" i="22" a="1"/>
  <c r="AB66" i="22" s="1"/>
  <c r="Z66" i="22" a="1"/>
  <c r="Z66" i="22" s="1"/>
  <c r="X66" i="22" a="1"/>
  <c r="X66" i="22" s="1"/>
  <c r="V66" i="22" a="1"/>
  <c r="V66" i="22" s="1"/>
  <c r="T66" i="22"/>
  <c r="T66" i="22" a="1"/>
  <c r="R66" i="22" a="1"/>
  <c r="R66" i="22" s="1"/>
  <c r="P66" i="22" a="1"/>
  <c r="P66" i="22" s="1"/>
  <c r="N66" i="22" a="1"/>
  <c r="N66" i="22" s="1"/>
  <c r="L66" i="22" a="1"/>
  <c r="L66" i="22" s="1"/>
  <c r="J66" i="22" a="1"/>
  <c r="J66" i="22" s="1"/>
  <c r="H66" i="22" a="1"/>
  <c r="H66" i="22" s="1"/>
  <c r="F66" i="22" a="1"/>
  <c r="F66" i="22" s="1"/>
  <c r="D66" i="22"/>
  <c r="D66" i="22" a="1"/>
  <c r="B66" i="22" a="1"/>
  <c r="B66" i="22" s="1"/>
  <c r="AV65" i="22" a="1"/>
  <c r="AV65" i="22" s="1"/>
  <c r="AV69" i="22" s="1"/>
  <c r="AT65" i="22"/>
  <c r="AT69" i="22" s="1"/>
  <c r="AT65" i="22" a="1"/>
  <c r="AR65" i="22" a="1"/>
  <c r="AR65" i="22" s="1"/>
  <c r="AR69" i="22" s="1"/>
  <c r="AP65" i="22" a="1"/>
  <c r="AP65" i="22" s="1"/>
  <c r="AP69" i="22" s="1"/>
  <c r="AN65" i="22" a="1"/>
  <c r="AN65" i="22" s="1"/>
  <c r="AN69" i="22" s="1"/>
  <c r="AL65" i="22" a="1"/>
  <c r="AL65" i="22" s="1"/>
  <c r="AL69" i="22" s="1"/>
  <c r="AJ65" i="22"/>
  <c r="AJ69" i="22" s="1"/>
  <c r="AJ65" i="22" a="1"/>
  <c r="AH65" i="22" a="1"/>
  <c r="AH65" i="22" s="1"/>
  <c r="AH69" i="22" s="1"/>
  <c r="AF65" i="22" a="1"/>
  <c r="AF65" i="22" s="1"/>
  <c r="AF69" i="22" s="1"/>
  <c r="AD65" i="22" a="1"/>
  <c r="AD65" i="22" s="1"/>
  <c r="AD69" i="22" s="1"/>
  <c r="AB65" i="22" a="1"/>
  <c r="AB65" i="22" s="1"/>
  <c r="AB69" i="22" s="1"/>
  <c r="Z65" i="22"/>
  <c r="Z69" i="22" s="1"/>
  <c r="Z65" i="22" a="1"/>
  <c r="X65" i="22" a="1"/>
  <c r="X65" i="22" s="1"/>
  <c r="X69" i="22" s="1"/>
  <c r="V65" i="22" a="1"/>
  <c r="V65" i="22" s="1"/>
  <c r="V69" i="22" s="1"/>
  <c r="T65" i="22"/>
  <c r="T69" i="22" s="1"/>
  <c r="T65" i="22" a="1"/>
  <c r="R65" i="22" a="1"/>
  <c r="R65" i="22" s="1"/>
  <c r="R69" i="22" s="1"/>
  <c r="P65" i="22" a="1"/>
  <c r="P65" i="22" s="1"/>
  <c r="P69" i="22" s="1"/>
  <c r="N65" i="22" a="1"/>
  <c r="N65" i="22" s="1"/>
  <c r="N69" i="22" s="1"/>
  <c r="L65" i="22" a="1"/>
  <c r="L65" i="22" s="1"/>
  <c r="L69" i="22" s="1"/>
  <c r="J65" i="22" a="1"/>
  <c r="J65" i="22" s="1"/>
  <c r="J69" i="22" s="1"/>
  <c r="H65" i="22" a="1"/>
  <c r="H65" i="22" s="1"/>
  <c r="H69" i="22" s="1"/>
  <c r="F65" i="22" a="1"/>
  <c r="F65" i="22" s="1"/>
  <c r="F69" i="22" s="1"/>
  <c r="D65" i="22"/>
  <c r="D69" i="22" s="1"/>
  <c r="D65" i="22" a="1"/>
  <c r="B65" i="22"/>
  <c r="B69" i="22" s="1"/>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5" i="22"/>
  <c r="AT55" i="22"/>
  <c r="AR55" i="22"/>
  <c r="AP55" i="22"/>
  <c r="AP80" i="22" s="1"/>
  <c r="AN55" i="22"/>
  <c r="AN80" i="22" s="1"/>
  <c r="AL55" i="22"/>
  <c r="AL80" i="22" s="1"/>
  <c r="AJ55" i="22"/>
  <c r="AH55" i="22"/>
  <c r="AH80" i="22" s="1"/>
  <c r="AF55" i="22"/>
  <c r="AF80" i="22" s="1"/>
  <c r="AD55" i="22"/>
  <c r="AD80" i="22" s="1"/>
  <c r="AB55" i="22"/>
  <c r="AB80" i="22" s="1"/>
  <c r="Z55" i="22"/>
  <c r="Z80" i="22" s="1"/>
  <c r="X55" i="22"/>
  <c r="X80" i="22" s="1"/>
  <c r="V55" i="22"/>
  <c r="V80" i="22" s="1"/>
  <c r="T55" i="22"/>
  <c r="T80" i="22" s="1"/>
  <c r="R55" i="22"/>
  <c r="R80" i="22" s="1"/>
  <c r="P55" i="22"/>
  <c r="P80" i="22" s="1"/>
  <c r="N55" i="22"/>
  <c r="N80" i="22" s="1"/>
  <c r="L55" i="22"/>
  <c r="L80" i="22" s="1"/>
  <c r="J55" i="22"/>
  <c r="J80" i="22" s="1"/>
  <c r="H55" i="22"/>
  <c r="H80" i="22" s="1"/>
  <c r="F55" i="22"/>
  <c r="F80" i="22" s="1"/>
  <c r="D55" i="22"/>
  <c r="D80" i="22" s="1"/>
  <c r="B55" i="22"/>
  <c r="B80" i="22" s="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P51" i="22"/>
  <c r="AN51" i="22"/>
  <c r="AN81" i="22" s="1"/>
  <c r="AL51" i="22"/>
  <c r="AL81" i="22" s="1"/>
  <c r="AJ51" i="22"/>
  <c r="AJ81" i="22" s="1"/>
  <c r="AH51" i="22"/>
  <c r="AH81" i="22" s="1"/>
  <c r="AF51" i="22"/>
  <c r="AF81" i="22" s="1"/>
  <c r="AD51" i="22"/>
  <c r="AD81" i="22" s="1"/>
  <c r="AB51" i="22"/>
  <c r="AB81" i="22" s="1"/>
  <c r="Z51" i="22"/>
  <c r="Z81" i="22" s="1"/>
  <c r="X51" i="22"/>
  <c r="X81" i="22" s="1"/>
  <c r="V51" i="22"/>
  <c r="V81" i="22" s="1"/>
  <c r="T51" i="22"/>
  <c r="T81" i="22" s="1"/>
  <c r="R51" i="22"/>
  <c r="R81" i="22" s="1"/>
  <c r="P51" i="22"/>
  <c r="P81" i="22" s="1"/>
  <c r="N51" i="22"/>
  <c r="N81" i="22" s="1"/>
  <c r="L51" i="22"/>
  <c r="L81" i="22" s="1"/>
  <c r="J51" i="22"/>
  <c r="J81" i="22" s="1"/>
  <c r="H51" i="22"/>
  <c r="H81" i="22" s="1"/>
  <c r="F51" i="22"/>
  <c r="F81" i="22" s="1"/>
  <c r="D51" i="22"/>
  <c r="D81" i="22" s="1"/>
  <c r="B51" i="22"/>
  <c r="B81" i="22" s="1"/>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Y50" i="23" s="1"/>
  <c r="AV43" i="22" a="1"/>
  <c r="AT43" i="22" a="1"/>
  <c r="AT43" i="22" s="1"/>
  <c r="X50" i="23" s="1"/>
  <c r="AR43" i="22" a="1"/>
  <c r="AR43" i="22" s="1"/>
  <c r="W50" i="23" s="1"/>
  <c r="AP43" i="22" a="1"/>
  <c r="AP43" i="22" s="1"/>
  <c r="V50" i="23" s="1"/>
  <c r="AN43" i="22" a="1"/>
  <c r="AN43" i="22" s="1"/>
  <c r="U50" i="23" s="1"/>
  <c r="AL43" i="22" a="1"/>
  <c r="AL43" i="22" s="1"/>
  <c r="T50" i="23" s="1"/>
  <c r="AJ43" i="22" a="1"/>
  <c r="AJ43" i="22" s="1"/>
  <c r="S50" i="23" s="1"/>
  <c r="AH43" i="22"/>
  <c r="AH43" i="22" a="1"/>
  <c r="AF43" i="22"/>
  <c r="Q50" i="23" s="1"/>
  <c r="AF43" i="22" a="1"/>
  <c r="AD43" i="22" a="1"/>
  <c r="AD43" i="22" s="1"/>
  <c r="P50" i="23" s="1"/>
  <c r="P3" i="41" s="1"/>
  <c r="AB43" i="22" a="1"/>
  <c r="AB43" i="22" s="1"/>
  <c r="O50" i="23" s="1"/>
  <c r="O3" i="41" s="1"/>
  <c r="Z43" i="22" a="1"/>
  <c r="Z43" i="22" s="1"/>
  <c r="N50" i="23" s="1"/>
  <c r="N3" i="41" s="1"/>
  <c r="X43" i="22" a="1"/>
  <c r="X43" i="22" s="1"/>
  <c r="M50" i="23" s="1"/>
  <c r="M3" i="41" s="1"/>
  <c r="V43" i="22" a="1"/>
  <c r="V43" i="22" s="1"/>
  <c r="L50" i="23" s="1"/>
  <c r="L3" i="41" s="1"/>
  <c r="T43" i="22" a="1"/>
  <c r="T43" i="22" s="1"/>
  <c r="K50" i="23" s="1"/>
  <c r="K3" i="41" s="1"/>
  <c r="R43" i="22" a="1"/>
  <c r="R43" i="22" s="1"/>
  <c r="J50" i="23" s="1"/>
  <c r="J3" i="41" s="1"/>
  <c r="P43" i="22"/>
  <c r="P43" i="22" a="1"/>
  <c r="N43" i="22" a="1"/>
  <c r="N43" i="22" s="1"/>
  <c r="L43" i="22" a="1"/>
  <c r="L43" i="22" s="1"/>
  <c r="G50" i="23" s="1"/>
  <c r="G3" i="41" s="1"/>
  <c r="J43" i="22" a="1"/>
  <c r="J43" i="22" s="1"/>
  <c r="F50" i="23" s="1"/>
  <c r="F3" i="41" s="1"/>
  <c r="H43" i="22" a="1"/>
  <c r="H43" i="22" s="1"/>
  <c r="E50" i="23" s="1"/>
  <c r="E3" i="41" s="1"/>
  <c r="F43" i="22" a="1"/>
  <c r="F43" i="22" s="1"/>
  <c r="D50" i="23" s="1"/>
  <c r="D3" i="41" s="1"/>
  <c r="D43" i="22" a="1"/>
  <c r="D43" i="22" s="1"/>
  <c r="C50" i="23" s="1"/>
  <c r="C3" i="41" s="1"/>
  <c r="B43" i="22"/>
  <c r="B50" i="23" s="1"/>
  <c r="B3" i="41" s="1"/>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R81" i="18"/>
  <c r="AN81" i="18"/>
  <c r="AL81" i="18"/>
  <c r="AJ81" i="18"/>
  <c r="H81" i="18"/>
  <c r="F81" i="18"/>
  <c r="D81" i="18"/>
  <c r="AV80" i="18"/>
  <c r="AR80" i="18"/>
  <c r="AP80" i="18"/>
  <c r="AB80" i="18"/>
  <c r="X80" i="18"/>
  <c r="V80" i="18"/>
  <c r="T80" i="18"/>
  <c r="R80" i="18"/>
  <c r="AV79" i="18"/>
  <c r="AV79" i="18" a="1"/>
  <c r="AT79" i="18"/>
  <c r="AT79" i="18" a="1"/>
  <c r="AR79" i="18" a="1"/>
  <c r="AR79" i="18" s="1"/>
  <c r="AP79" i="18" a="1"/>
  <c r="AP79" i="18" s="1"/>
  <c r="AN79" i="18" a="1"/>
  <c r="AN79" i="18" s="1"/>
  <c r="AL79" i="18" a="1"/>
  <c r="AL79" i="18" s="1"/>
  <c r="AJ79" i="18" a="1"/>
  <c r="AJ79" i="18" s="1"/>
  <c r="AH79" i="18" a="1"/>
  <c r="AH79" i="18" s="1"/>
  <c r="AF79" i="18"/>
  <c r="AF79" i="18" a="1"/>
  <c r="AD79" i="18"/>
  <c r="AD79" i="18" a="1"/>
  <c r="AB79" i="18" a="1"/>
  <c r="AB79" i="18" s="1"/>
  <c r="Z79" i="18" a="1"/>
  <c r="Z79" i="18" s="1"/>
  <c r="X79" i="18" a="1"/>
  <c r="X79" i="18" s="1"/>
  <c r="V79" i="18" a="1"/>
  <c r="V79" i="18" s="1"/>
  <c r="T79" i="18" a="1"/>
  <c r="T79" i="18" s="1"/>
  <c r="R79" i="18" a="1"/>
  <c r="R79" i="18" s="1"/>
  <c r="P79" i="18"/>
  <c r="P79" i="18" a="1"/>
  <c r="N79" i="18"/>
  <c r="N79" i="18" a="1"/>
  <c r="L79" i="18" a="1"/>
  <c r="L79" i="18" s="1"/>
  <c r="J79" i="18" a="1"/>
  <c r="J79" i="18" s="1"/>
  <c r="H79" i="18" a="1"/>
  <c r="H79" i="18" s="1"/>
  <c r="F79" i="18" a="1"/>
  <c r="F79" i="18" s="1"/>
  <c r="D79" i="18" a="1"/>
  <c r="D79" i="18" s="1"/>
  <c r="B79" i="18" a="1"/>
  <c r="B79" i="18" s="1"/>
  <c r="AV78" i="18"/>
  <c r="AV78" i="18" a="1"/>
  <c r="AT78" i="18"/>
  <c r="AT78" i="18" a="1"/>
  <c r="AR78" i="18" a="1"/>
  <c r="AR78" i="18" s="1"/>
  <c r="AP78" i="18" a="1"/>
  <c r="AP78" i="18" s="1"/>
  <c r="AN78" i="18" a="1"/>
  <c r="AN78" i="18" s="1"/>
  <c r="AL78" i="18" a="1"/>
  <c r="AL78" i="18" s="1"/>
  <c r="AJ78" i="18" a="1"/>
  <c r="AJ78" i="18" s="1"/>
  <c r="AH78" i="18" a="1"/>
  <c r="AH78" i="18" s="1"/>
  <c r="AF78" i="18"/>
  <c r="AF78" i="18" a="1"/>
  <c r="AD78" i="18"/>
  <c r="AD78" i="18" a="1"/>
  <c r="AB78" i="18" a="1"/>
  <c r="AB78" i="18" s="1"/>
  <c r="Z78" i="18" a="1"/>
  <c r="Z78" i="18" s="1"/>
  <c r="X78" i="18"/>
  <c r="X78" i="18" a="1"/>
  <c r="V78" i="18" a="1"/>
  <c r="V78" i="18" s="1"/>
  <c r="T78" i="18" a="1"/>
  <c r="T78" i="18" s="1"/>
  <c r="R78" i="18" a="1"/>
  <c r="R78" i="18" s="1"/>
  <c r="P78" i="18"/>
  <c r="P78" i="18" a="1"/>
  <c r="N78" i="18"/>
  <c r="N78" i="18" a="1"/>
  <c r="L78" i="18" a="1"/>
  <c r="L78" i="18" s="1"/>
  <c r="J78" i="18" a="1"/>
  <c r="J78" i="18" s="1"/>
  <c r="H78" i="18" a="1"/>
  <c r="H78" i="18" s="1"/>
  <c r="F78" i="18"/>
  <c r="F78" i="18" a="1"/>
  <c r="D78" i="18" a="1"/>
  <c r="D78" i="18" s="1"/>
  <c r="B78" i="18" a="1"/>
  <c r="B78" i="18" s="1"/>
  <c r="AV77" i="18"/>
  <c r="AV77" i="18" a="1"/>
  <c r="AT77" i="18"/>
  <c r="AT77" i="18" a="1"/>
  <c r="AR77" i="18" a="1"/>
  <c r="AR77" i="18" s="1"/>
  <c r="AP77" i="18" a="1"/>
  <c r="AP77" i="18" s="1"/>
  <c r="AN77" i="18" a="1"/>
  <c r="AN77" i="18" s="1"/>
  <c r="AL77" i="18" a="1"/>
  <c r="AL77" i="18" s="1"/>
  <c r="AJ77" i="18"/>
  <c r="AJ77" i="18" a="1"/>
  <c r="AH77" i="18" a="1"/>
  <c r="AH77" i="18" s="1"/>
  <c r="AF77" i="18"/>
  <c r="AF77" i="18" a="1"/>
  <c r="AD77" i="18"/>
  <c r="AD77" i="18" a="1"/>
  <c r="AB77" i="18" a="1"/>
  <c r="AB77" i="18" s="1"/>
  <c r="Z77" i="18" a="1"/>
  <c r="Z77" i="18" s="1"/>
  <c r="X77" i="18" a="1"/>
  <c r="X77" i="18" s="1"/>
  <c r="V77" i="18" a="1"/>
  <c r="V77" i="18" s="1"/>
  <c r="T77" i="18" a="1"/>
  <c r="T77" i="18" s="1"/>
  <c r="R77" i="18"/>
  <c r="R77" i="18" a="1"/>
  <c r="P77" i="18"/>
  <c r="P77" i="18" a="1"/>
  <c r="N77" i="18"/>
  <c r="N77" i="18" a="1"/>
  <c r="L77" i="18" a="1"/>
  <c r="L77" i="18" s="1"/>
  <c r="J77" i="18" a="1"/>
  <c r="J77" i="18" s="1"/>
  <c r="H77" i="18" a="1"/>
  <c r="H77" i="18" s="1"/>
  <c r="F77" i="18" a="1"/>
  <c r="F77" i="18" s="1"/>
  <c r="D77" i="18" a="1"/>
  <c r="D77" i="18" s="1"/>
  <c r="B77" i="18" a="1"/>
  <c r="B77" i="18" s="1"/>
  <c r="AV76" i="18"/>
  <c r="AV76" i="18" a="1"/>
  <c r="AT76" i="18"/>
  <c r="AT76" i="18" a="1"/>
  <c r="AR76" i="18" a="1"/>
  <c r="AR76" i="18" s="1"/>
  <c r="AP76" i="18" a="1"/>
  <c r="AP76" i="18" s="1"/>
  <c r="AN76" i="18" a="1"/>
  <c r="AN76" i="18" s="1"/>
  <c r="AL76" i="18" a="1"/>
  <c r="AL76" i="18" s="1"/>
  <c r="AJ76" i="18" a="1"/>
  <c r="AJ76" i="18" s="1"/>
  <c r="AH76" i="18" a="1"/>
  <c r="AH76" i="18" s="1"/>
  <c r="AF76" i="18"/>
  <c r="AF76" i="18" a="1"/>
  <c r="AD76" i="18"/>
  <c r="AD76" i="18" a="1"/>
  <c r="AB76" i="18" a="1"/>
  <c r="AB76" i="18" s="1"/>
  <c r="Z76" i="18" a="1"/>
  <c r="Z76" i="18" s="1"/>
  <c r="X76" i="18" a="1"/>
  <c r="X76" i="18" s="1"/>
  <c r="V76" i="18" a="1"/>
  <c r="V76" i="18" s="1"/>
  <c r="T76" i="18" a="1"/>
  <c r="T76" i="18" s="1"/>
  <c r="R76" i="18" a="1"/>
  <c r="R76" i="18" s="1"/>
  <c r="P76" i="18"/>
  <c r="P76" i="18" a="1"/>
  <c r="N76" i="18"/>
  <c r="N76" i="18" a="1"/>
  <c r="L76" i="18" a="1"/>
  <c r="L76" i="18" s="1"/>
  <c r="J76" i="18" a="1"/>
  <c r="J76" i="18" s="1"/>
  <c r="H76" i="18"/>
  <c r="H76" i="18" a="1"/>
  <c r="F76" i="18" a="1"/>
  <c r="F76" i="18" s="1"/>
  <c r="D76" i="18" a="1"/>
  <c r="D76" i="18" s="1"/>
  <c r="B76" i="18" a="1"/>
  <c r="B76" i="18" s="1"/>
  <c r="AV75" i="18"/>
  <c r="AV75" i="18" a="1"/>
  <c r="AT75" i="18"/>
  <c r="AT75" i="18" a="1"/>
  <c r="AR75" i="18" a="1"/>
  <c r="AR75" i="18" s="1"/>
  <c r="AP75" i="18"/>
  <c r="AP75" i="18" a="1"/>
  <c r="AN75" i="18" a="1"/>
  <c r="AN75" i="18" s="1"/>
  <c r="AL75" i="18" a="1"/>
  <c r="AL75" i="18" s="1"/>
  <c r="AJ75" i="18" a="1"/>
  <c r="AJ75" i="18" s="1"/>
  <c r="AH75" i="18" a="1"/>
  <c r="AH75" i="18" s="1"/>
  <c r="AF75" i="18"/>
  <c r="AF75" i="18" a="1"/>
  <c r="AD75" i="18"/>
  <c r="AD75" i="18" a="1"/>
  <c r="AB75" i="18" a="1"/>
  <c r="AB75" i="18" s="1"/>
  <c r="Z75" i="18" a="1"/>
  <c r="Z75" i="18" s="1"/>
  <c r="X75" i="18" a="1"/>
  <c r="X75" i="18" s="1"/>
  <c r="V75" i="18"/>
  <c r="V75" i="18" a="1"/>
  <c r="T75" i="18" a="1"/>
  <c r="T75" i="18" s="1"/>
  <c r="R75" i="18" a="1"/>
  <c r="R75" i="18" s="1"/>
  <c r="P75" i="18"/>
  <c r="P75" i="18" a="1"/>
  <c r="N75" i="18"/>
  <c r="N75" i="18" a="1"/>
  <c r="L75" i="18" a="1"/>
  <c r="L75" i="18" s="1"/>
  <c r="J75" i="18" a="1"/>
  <c r="J75" i="18" s="1"/>
  <c r="H75" i="18"/>
  <c r="H75" i="18" a="1"/>
  <c r="F75" i="18" a="1"/>
  <c r="F75" i="18" s="1"/>
  <c r="D75" i="18" a="1"/>
  <c r="D75" i="18" s="1"/>
  <c r="B75" i="18" a="1"/>
  <c r="B75" i="18" s="1"/>
  <c r="AV74" i="18"/>
  <c r="AV74" i="18" a="1"/>
  <c r="AT74" i="18"/>
  <c r="AT74" i="18" a="1"/>
  <c r="AR74" i="18" a="1"/>
  <c r="AR74" i="18" s="1"/>
  <c r="AP74" i="18"/>
  <c r="AP74" i="18" a="1"/>
  <c r="AN74" i="18" a="1"/>
  <c r="AN74" i="18" s="1"/>
  <c r="AL74" i="18" a="1"/>
  <c r="AL74" i="18" s="1"/>
  <c r="AJ74" i="18"/>
  <c r="AJ74" i="18" a="1"/>
  <c r="AH74" i="18" a="1"/>
  <c r="AH74" i="18" s="1"/>
  <c r="AF74" i="18"/>
  <c r="AF74" i="18" a="1"/>
  <c r="AD74" i="18"/>
  <c r="AD74" i="18" a="1"/>
  <c r="AB74" i="18" a="1"/>
  <c r="AB74" i="18" s="1"/>
  <c r="Z74" i="18" a="1"/>
  <c r="Z74" i="18" s="1"/>
  <c r="X74" i="18" a="1"/>
  <c r="X74" i="18" s="1"/>
  <c r="V74" i="18"/>
  <c r="V74" i="18" a="1"/>
  <c r="T74" i="18" a="1"/>
  <c r="T74" i="18" s="1"/>
  <c r="R74" i="18" a="1"/>
  <c r="R74" i="18" s="1"/>
  <c r="P74" i="18"/>
  <c r="P74" i="18" a="1"/>
  <c r="N74" i="18"/>
  <c r="N74" i="18" a="1"/>
  <c r="L74" i="18" a="1"/>
  <c r="L74" i="18" s="1"/>
  <c r="J74" i="18" a="1"/>
  <c r="J74" i="18" s="1"/>
  <c r="H74" i="18"/>
  <c r="H74" i="18" a="1"/>
  <c r="F74" i="18" a="1"/>
  <c r="F74" i="18" s="1"/>
  <c r="D74" i="18" a="1"/>
  <c r="D74" i="18" s="1"/>
  <c r="B74" i="18"/>
  <c r="B74" i="18" a="1"/>
  <c r="AV73" i="18"/>
  <c r="AV73" i="18" a="1"/>
  <c r="AT73" i="18"/>
  <c r="AT73" i="18" a="1"/>
  <c r="AR73" i="18" a="1"/>
  <c r="AR73" i="18" s="1"/>
  <c r="AP73" i="18" a="1"/>
  <c r="AP73" i="18" s="1"/>
  <c r="AN73" i="18" a="1"/>
  <c r="AN73" i="18" s="1"/>
  <c r="AL73" i="18" a="1"/>
  <c r="AL73" i="18" s="1"/>
  <c r="AJ73" i="18"/>
  <c r="AJ73" i="18" a="1"/>
  <c r="AH73" i="18" a="1"/>
  <c r="AH73" i="18" s="1"/>
  <c r="AF73" i="18"/>
  <c r="AF73" i="18" a="1"/>
  <c r="AD73" i="18"/>
  <c r="AD73" i="18" a="1"/>
  <c r="AB73" i="18" a="1"/>
  <c r="AB73" i="18" s="1"/>
  <c r="Z73" i="18" a="1"/>
  <c r="Z73" i="18" s="1"/>
  <c r="X73" i="18" a="1"/>
  <c r="X73" i="18" s="1"/>
  <c r="V73" i="18"/>
  <c r="V73" i="18" a="1"/>
  <c r="T73" i="18" a="1"/>
  <c r="T73" i="18" s="1"/>
  <c r="R73" i="18" a="1"/>
  <c r="R73" i="18" s="1"/>
  <c r="P73" i="18"/>
  <c r="P73" i="18" a="1"/>
  <c r="N73" i="18"/>
  <c r="N73" i="18" a="1"/>
  <c r="L73" i="18" a="1"/>
  <c r="L73" i="18" s="1"/>
  <c r="J73" i="18" a="1"/>
  <c r="J73" i="18" s="1"/>
  <c r="H73" i="18" a="1"/>
  <c r="H73" i="18" s="1"/>
  <c r="F73" i="18" a="1"/>
  <c r="F73" i="18" s="1"/>
  <c r="D73" i="18" a="1"/>
  <c r="D73" i="18" s="1"/>
  <c r="B73" i="18"/>
  <c r="B73" i="18" a="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P69" i="18"/>
  <c r="AN69" i="18"/>
  <c r="AL69" i="18"/>
  <c r="AJ69" i="18"/>
  <c r="X69" i="18"/>
  <c r="H69" i="18"/>
  <c r="D69" i="18"/>
  <c r="D68" i="18"/>
  <c r="AV67" i="18" a="1"/>
  <c r="AV67" i="18" s="1"/>
  <c r="AT67" i="18"/>
  <c r="AT67" i="18" a="1"/>
  <c r="AR67" i="18" a="1"/>
  <c r="AR67" i="18" s="1"/>
  <c r="AP67" i="18" a="1"/>
  <c r="AP67" i="18" s="1"/>
  <c r="AN67" i="18"/>
  <c r="AN67" i="18" a="1"/>
  <c r="AL67" i="18"/>
  <c r="AL67" i="18" a="1"/>
  <c r="AJ67" i="18" a="1"/>
  <c r="AJ67" i="18" s="1"/>
  <c r="AH67" i="18" a="1"/>
  <c r="AH67" i="18" s="1"/>
  <c r="AF67" i="18"/>
  <c r="AF67" i="18" a="1"/>
  <c r="AD67" i="18" a="1"/>
  <c r="AD67" i="18" s="1"/>
  <c r="AB67" i="18" a="1"/>
  <c r="AB67" i="18" s="1"/>
  <c r="Z67" i="18"/>
  <c r="Z67" i="18" a="1"/>
  <c r="X67" i="18"/>
  <c r="X67" i="18" a="1"/>
  <c r="V67" i="18"/>
  <c r="V67" i="18" a="1"/>
  <c r="T67" i="18" a="1"/>
  <c r="T67" i="18" s="1"/>
  <c r="R67" i="18" a="1"/>
  <c r="R67" i="18" s="1"/>
  <c r="P67" i="18"/>
  <c r="P67" i="18" a="1"/>
  <c r="N67" i="18" a="1"/>
  <c r="N67" i="18" s="1"/>
  <c r="L67" i="18"/>
  <c r="L67" i="18" a="1"/>
  <c r="J67" i="18" a="1"/>
  <c r="J67" i="18" s="1"/>
  <c r="H67" i="18"/>
  <c r="H67" i="18" a="1"/>
  <c r="F67" i="18"/>
  <c r="F67" i="18" a="1"/>
  <c r="D67" i="18" a="1"/>
  <c r="D67" i="18" s="1"/>
  <c r="B67" i="18" a="1"/>
  <c r="B67" i="18" s="1"/>
  <c r="AV66" i="18" a="1"/>
  <c r="AV66" i="18" s="1"/>
  <c r="AT66" i="18"/>
  <c r="AT68" i="18" s="1"/>
  <c r="AT66" i="18" a="1"/>
  <c r="AR66" i="18" a="1"/>
  <c r="AR66" i="18" s="1"/>
  <c r="AP66" i="18" a="1"/>
  <c r="AP66" i="18" s="1"/>
  <c r="AN66" i="18"/>
  <c r="AN68" i="18" s="1"/>
  <c r="AN66" i="18" a="1"/>
  <c r="AL66" i="18"/>
  <c r="AL68" i="18" s="1"/>
  <c r="AL66" i="18" a="1"/>
  <c r="AJ66" i="18" a="1"/>
  <c r="AJ66" i="18" s="1"/>
  <c r="AJ68" i="18" s="1"/>
  <c r="AH66" i="18" a="1"/>
  <c r="AH66" i="18" s="1"/>
  <c r="AH68" i="18" s="1"/>
  <c r="AF66" i="18" a="1"/>
  <c r="AF66" i="18" s="1"/>
  <c r="AF68" i="18" s="1"/>
  <c r="AD66" i="18" a="1"/>
  <c r="AD66" i="18" s="1"/>
  <c r="AD68" i="18" s="1"/>
  <c r="AB66" i="18" a="1"/>
  <c r="AB66" i="18" s="1"/>
  <c r="AB68" i="18" s="1"/>
  <c r="Z66" i="18"/>
  <c r="Z66" i="18" a="1"/>
  <c r="X66" i="18"/>
  <c r="X68" i="18" s="1"/>
  <c r="X66" i="18" a="1"/>
  <c r="V66" i="18"/>
  <c r="V68" i="18" s="1"/>
  <c r="V66" i="18" a="1"/>
  <c r="T66" i="18" a="1"/>
  <c r="T66" i="18" s="1"/>
  <c r="R66" i="18" a="1"/>
  <c r="R66" i="18" s="1"/>
  <c r="P66" i="18" a="1"/>
  <c r="P66" i="18" s="1"/>
  <c r="N66" i="18" a="1"/>
  <c r="N66" i="18" s="1"/>
  <c r="L66" i="18"/>
  <c r="L66" i="18" a="1"/>
  <c r="J66" i="18" a="1"/>
  <c r="J66" i="18" s="1"/>
  <c r="J68" i="18" s="1"/>
  <c r="H66" i="18"/>
  <c r="H68" i="18" s="1"/>
  <c r="H66" i="18" a="1"/>
  <c r="F66" i="18"/>
  <c r="F68" i="18" s="1"/>
  <c r="F66" i="18" a="1"/>
  <c r="D66" i="18" a="1"/>
  <c r="D66" i="18" s="1"/>
  <c r="B66" i="18" a="1"/>
  <c r="B66" i="18" s="1"/>
  <c r="B68" i="18" s="1"/>
  <c r="AV65" i="18" a="1"/>
  <c r="AV65" i="18" s="1"/>
  <c r="AV69" i="18" s="1"/>
  <c r="AT65" i="18" a="1"/>
  <c r="AT65" i="18" s="1"/>
  <c r="AT69" i="18" s="1"/>
  <c r="AR65" i="18"/>
  <c r="AR69" i="18" s="1"/>
  <c r="AR65" i="18" a="1"/>
  <c r="AP65" i="18" a="1"/>
  <c r="AP65" i="18" s="1"/>
  <c r="AN65" i="18"/>
  <c r="AN65" i="18" a="1"/>
  <c r="AL65" i="18"/>
  <c r="AL65" i="18" a="1"/>
  <c r="AJ65" i="18" a="1"/>
  <c r="AJ65" i="18" s="1"/>
  <c r="AH65" i="18" a="1"/>
  <c r="AH65" i="18" s="1"/>
  <c r="AH69" i="18" s="1"/>
  <c r="AF65" i="18" a="1"/>
  <c r="AF65" i="18" s="1"/>
  <c r="AF69" i="18" s="1"/>
  <c r="AD65" i="18" a="1"/>
  <c r="AD65" i="18" s="1"/>
  <c r="AD69" i="18" s="1"/>
  <c r="AB65" i="18" a="1"/>
  <c r="AB65" i="18" s="1"/>
  <c r="AB69" i="18" s="1"/>
  <c r="Z65" i="18"/>
  <c r="Z69" i="18" s="1"/>
  <c r="Z65" i="18" a="1"/>
  <c r="X65" i="18"/>
  <c r="X65" i="18" a="1"/>
  <c r="V65" i="18"/>
  <c r="V69" i="18" s="1"/>
  <c r="V65" i="18" a="1"/>
  <c r="T65" i="18" a="1"/>
  <c r="T65" i="18" s="1"/>
  <c r="T69" i="18" s="1"/>
  <c r="R65" i="18" a="1"/>
  <c r="R65" i="18" s="1"/>
  <c r="R69" i="18" s="1"/>
  <c r="P65" i="18" a="1"/>
  <c r="P65" i="18" s="1"/>
  <c r="P69" i="18" s="1"/>
  <c r="N65" i="18" a="1"/>
  <c r="N65" i="18" s="1"/>
  <c r="N69" i="18" s="1"/>
  <c r="L65" i="18" a="1"/>
  <c r="L65" i="18" s="1"/>
  <c r="L69" i="18" s="1"/>
  <c r="J65" i="18" a="1"/>
  <c r="J65" i="18" s="1"/>
  <c r="J69" i="18" s="1"/>
  <c r="H65" i="18"/>
  <c r="H65" i="18" a="1"/>
  <c r="F65" i="18"/>
  <c r="F69" i="18" s="1"/>
  <c r="F65" i="18" a="1"/>
  <c r="D65" i="18" a="1"/>
  <c r="D65" i="18" s="1"/>
  <c r="B65" i="18"/>
  <c r="B69" i="18" s="1"/>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5" i="18"/>
  <c r="AT55" i="18"/>
  <c r="AT80" i="18" s="1"/>
  <c r="AR55" i="18"/>
  <c r="AP55" i="18"/>
  <c r="AN55" i="18"/>
  <c r="AN80" i="18" s="1"/>
  <c r="AL55" i="18"/>
  <c r="AL80" i="18" s="1"/>
  <c r="AJ55" i="18"/>
  <c r="AJ80" i="18" s="1"/>
  <c r="AH55" i="18"/>
  <c r="AH80" i="18" s="1"/>
  <c r="AF55" i="18"/>
  <c r="AF80" i="18" s="1"/>
  <c r="AD55" i="18"/>
  <c r="AD80" i="18" s="1"/>
  <c r="AB55" i="18"/>
  <c r="Z55" i="18"/>
  <c r="Z80" i="18" s="1"/>
  <c r="X55" i="18"/>
  <c r="V55" i="18"/>
  <c r="T55" i="18"/>
  <c r="R55" i="18"/>
  <c r="P55" i="18"/>
  <c r="P80" i="18" s="1"/>
  <c r="N55" i="18"/>
  <c r="N80" i="18" s="1"/>
  <c r="L55" i="18"/>
  <c r="L80" i="18" s="1"/>
  <c r="J55" i="18"/>
  <c r="J80" i="18" s="1"/>
  <c r="H55" i="18"/>
  <c r="H80" i="18" s="1"/>
  <c r="F55" i="18"/>
  <c r="F80" i="18" s="1"/>
  <c r="D55" i="18"/>
  <c r="D80" i="18" s="1"/>
  <c r="B55" i="18"/>
  <c r="B80" i="18" s="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P51" i="18"/>
  <c r="AP81" i="18" s="1"/>
  <c r="AN51" i="18"/>
  <c r="AL51" i="18"/>
  <c r="AJ51" i="18"/>
  <c r="AH51" i="18"/>
  <c r="AH81" i="18" s="1"/>
  <c r="AF51" i="18"/>
  <c r="AF81" i="18" s="1"/>
  <c r="AD51" i="18"/>
  <c r="AD81" i="18" s="1"/>
  <c r="AB51" i="18"/>
  <c r="AB81" i="18" s="1"/>
  <c r="Z51" i="18"/>
  <c r="Z81" i="18" s="1"/>
  <c r="X51" i="18"/>
  <c r="X81" i="18" s="1"/>
  <c r="V51" i="18"/>
  <c r="V81" i="18" s="1"/>
  <c r="T51" i="18"/>
  <c r="T81" i="18" s="1"/>
  <c r="R51" i="18"/>
  <c r="R81" i="18" s="1"/>
  <c r="P51" i="18"/>
  <c r="P81" i="18" s="1"/>
  <c r="N51" i="18"/>
  <c r="N81" i="18" s="1"/>
  <c r="L51" i="18"/>
  <c r="L81" i="18" s="1"/>
  <c r="J51" i="18"/>
  <c r="J81" i="18" s="1"/>
  <c r="H51" i="18"/>
  <c r="F51" i="18"/>
  <c r="D51" i="18"/>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c r="AN43" i="18" a="1"/>
  <c r="AL43" i="18" a="1"/>
  <c r="AL43" i="18" s="1"/>
  <c r="AJ43" i="18" a="1"/>
  <c r="AJ43" i="18" s="1"/>
  <c r="AH43" i="18"/>
  <c r="AH43" i="18" a="1"/>
  <c r="AF43" i="18"/>
  <c r="AF43" i="18" a="1"/>
  <c r="AD43" i="18" a="1"/>
  <c r="AD43" i="18" s="1"/>
  <c r="AB43" i="18" a="1"/>
  <c r="AB43" i="18" s="1"/>
  <c r="Z43" i="18" a="1"/>
  <c r="Z43" i="18" s="1"/>
  <c r="X43" i="18" a="1"/>
  <c r="X43" i="18" s="1"/>
  <c r="V43" i="18" a="1"/>
  <c r="V43" i="18" s="1"/>
  <c r="T43" i="18" a="1"/>
  <c r="T43" i="18" s="1"/>
  <c r="R43" i="18"/>
  <c r="R43" i="18" a="1"/>
  <c r="P43" i="18"/>
  <c r="P43" i="18" a="1"/>
  <c r="N43" i="18" a="1"/>
  <c r="N43" i="18" s="1"/>
  <c r="L43" i="18" a="1"/>
  <c r="L43" i="18" s="1"/>
  <c r="J43" i="18" a="1"/>
  <c r="J43" i="18" s="1"/>
  <c r="H43" i="18" a="1"/>
  <c r="H43" i="18" s="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B81" i="38"/>
  <c r="Z81" i="38"/>
  <c r="AD80" i="38"/>
  <c r="V80" i="38"/>
  <c r="R80" i="38"/>
  <c r="AV79" i="38" a="1"/>
  <c r="AV79" i="38" s="1"/>
  <c r="AT79" i="38" a="1"/>
  <c r="AT79" i="38" s="1"/>
  <c r="AR79" i="38" a="1"/>
  <c r="AR79" i="38" s="1"/>
  <c r="AP79" i="38" a="1"/>
  <c r="AP79" i="38" s="1"/>
  <c r="AN79" i="38" a="1"/>
  <c r="AN79" i="38" s="1"/>
  <c r="AL79" i="38" a="1"/>
  <c r="AL79" i="38" s="1"/>
  <c r="AJ79" i="38" a="1"/>
  <c r="AJ79" i="38" s="1"/>
  <c r="AH79" i="38" a="1"/>
  <c r="AH79" i="38" s="1"/>
  <c r="AF79" i="38" a="1"/>
  <c r="AF79" i="38" s="1"/>
  <c r="AD79" i="38" a="1"/>
  <c r="AD79" i="38" s="1"/>
  <c r="AB79" i="38" a="1"/>
  <c r="AB79" i="38" s="1"/>
  <c r="Z79" i="38" a="1"/>
  <c r="Z79" i="38" s="1"/>
  <c r="X79" i="38" a="1"/>
  <c r="X79" i="38" s="1"/>
  <c r="V79" i="38" a="1"/>
  <c r="V79" i="38" s="1"/>
  <c r="T79" i="38" a="1"/>
  <c r="T79" i="38" s="1"/>
  <c r="R79" i="38" a="1"/>
  <c r="R79" i="38" s="1"/>
  <c r="P79" i="38" a="1"/>
  <c r="P79" i="38" s="1"/>
  <c r="N79" i="38" a="1"/>
  <c r="N79" i="38" s="1"/>
  <c r="L79" i="38" a="1"/>
  <c r="L79" i="38" s="1"/>
  <c r="J79" i="38" a="1"/>
  <c r="J79" i="38" s="1"/>
  <c r="H79" i="38" a="1"/>
  <c r="H79" i="38" s="1"/>
  <c r="F79" i="38" a="1"/>
  <c r="F79" i="38" s="1"/>
  <c r="D79" i="38" a="1"/>
  <c r="D79" i="38" s="1"/>
  <c r="B79" i="38" a="1"/>
  <c r="B79" i="38" s="1"/>
  <c r="AV78" i="38" a="1"/>
  <c r="AV78" i="38" s="1"/>
  <c r="AT78" i="38" a="1"/>
  <c r="AT78" i="38" s="1"/>
  <c r="AR78" i="38" a="1"/>
  <c r="AR78" i="38" s="1"/>
  <c r="AP78" i="38" a="1"/>
  <c r="AP78" i="38" s="1"/>
  <c r="AN78" i="38" a="1"/>
  <c r="AN78" i="38" s="1"/>
  <c r="AL78" i="38" a="1"/>
  <c r="AL78" i="38" s="1"/>
  <c r="AJ78" i="38" a="1"/>
  <c r="AJ78" i="38" s="1"/>
  <c r="AH78" i="38" a="1"/>
  <c r="AH78" i="38" s="1"/>
  <c r="AF78" i="38" a="1"/>
  <c r="AF78" i="38" s="1"/>
  <c r="AD78" i="38" a="1"/>
  <c r="AD78" i="38" s="1"/>
  <c r="AB78" i="38" a="1"/>
  <c r="AB78" i="38" s="1"/>
  <c r="Z78" i="38" a="1"/>
  <c r="Z78" i="38" s="1"/>
  <c r="X78" i="38" a="1"/>
  <c r="X78" i="38" s="1"/>
  <c r="V78" i="38" a="1"/>
  <c r="V78" i="38" s="1"/>
  <c r="T78" i="38" a="1"/>
  <c r="T78" i="38" s="1"/>
  <c r="R78" i="38" a="1"/>
  <c r="R78" i="38" s="1"/>
  <c r="P78" i="38" a="1"/>
  <c r="P78" i="38" s="1"/>
  <c r="N78" i="38" a="1"/>
  <c r="N78" i="38" s="1"/>
  <c r="L78" i="38" a="1"/>
  <c r="L78" i="38" s="1"/>
  <c r="J78" i="38" a="1"/>
  <c r="J78" i="38" s="1"/>
  <c r="H78" i="38" a="1"/>
  <c r="H78" i="38" s="1"/>
  <c r="F78" i="38" a="1"/>
  <c r="F78" i="38" s="1"/>
  <c r="D78" i="38" a="1"/>
  <c r="D78" i="38" s="1"/>
  <c r="B78" i="38" a="1"/>
  <c r="B78" i="38" s="1"/>
  <c r="AV77" i="38" a="1"/>
  <c r="AV77" i="38" s="1"/>
  <c r="AT77" i="38" a="1"/>
  <c r="AT77" i="38" s="1"/>
  <c r="AR77" i="38" a="1"/>
  <c r="AR77" i="38" s="1"/>
  <c r="AP77" i="38" a="1"/>
  <c r="AP77" i="38" s="1"/>
  <c r="AN77" i="38" a="1"/>
  <c r="AN77" i="38" s="1"/>
  <c r="AL77" i="38" a="1"/>
  <c r="AL77" i="38" s="1"/>
  <c r="AJ77" i="38" a="1"/>
  <c r="AJ77" i="38" s="1"/>
  <c r="AH77" i="38" a="1"/>
  <c r="AH77" i="38" s="1"/>
  <c r="AF77" i="38" a="1"/>
  <c r="AF77" i="38" s="1"/>
  <c r="AD77" i="38" a="1"/>
  <c r="AD77" i="38" s="1"/>
  <c r="AB77" i="38" a="1"/>
  <c r="AB77" i="38" s="1"/>
  <c r="Z77" i="38" a="1"/>
  <c r="Z77" i="38" s="1"/>
  <c r="X77" i="38" a="1"/>
  <c r="X77" i="38" s="1"/>
  <c r="V77" i="38" a="1"/>
  <c r="V77" i="38" s="1"/>
  <c r="T77" i="38" a="1"/>
  <c r="T77" i="38" s="1"/>
  <c r="R77" i="38" a="1"/>
  <c r="R77" i="38" s="1"/>
  <c r="P77" i="38" a="1"/>
  <c r="P77" i="38" s="1"/>
  <c r="N77" i="38" a="1"/>
  <c r="N77" i="38" s="1"/>
  <c r="L77" i="38" a="1"/>
  <c r="L77" i="38" s="1"/>
  <c r="J77" i="38" a="1"/>
  <c r="J77" i="38" s="1"/>
  <c r="H77" i="38" a="1"/>
  <c r="H77" i="38" s="1"/>
  <c r="F77" i="38" a="1"/>
  <c r="F77" i="38" s="1"/>
  <c r="D77" i="38" a="1"/>
  <c r="D77" i="38" s="1"/>
  <c r="B77" i="38" a="1"/>
  <c r="B77" i="38" s="1"/>
  <c r="AV76" i="38" a="1"/>
  <c r="AV76" i="38" s="1"/>
  <c r="AT76" i="38" a="1"/>
  <c r="AT76" i="38" s="1"/>
  <c r="AR76" i="38" a="1"/>
  <c r="AR76" i="38" s="1"/>
  <c r="AP76" i="38" a="1"/>
  <c r="AP76" i="38" s="1"/>
  <c r="AN76" i="38" a="1"/>
  <c r="AN76" i="38" s="1"/>
  <c r="AL76" i="38" a="1"/>
  <c r="AL76" i="38" s="1"/>
  <c r="AJ76" i="38" a="1"/>
  <c r="AJ76" i="38" s="1"/>
  <c r="AH76" i="38" a="1"/>
  <c r="AH76" i="38" s="1"/>
  <c r="AF76" i="38" a="1"/>
  <c r="AF76" i="38" s="1"/>
  <c r="AD76" i="38" a="1"/>
  <c r="AD76" i="38" s="1"/>
  <c r="AB76" i="38" a="1"/>
  <c r="AB76" i="38" s="1"/>
  <c r="Z76" i="38" a="1"/>
  <c r="Z76" i="38" s="1"/>
  <c r="X76" i="38" a="1"/>
  <c r="X76" i="38" s="1"/>
  <c r="V76" i="38" a="1"/>
  <c r="V76" i="38" s="1"/>
  <c r="T76" i="38" a="1"/>
  <c r="T76" i="38" s="1"/>
  <c r="R76" i="38" a="1"/>
  <c r="R76" i="38" s="1"/>
  <c r="P76" i="38" a="1"/>
  <c r="P76" i="38" s="1"/>
  <c r="N76" i="38" a="1"/>
  <c r="N76" i="38" s="1"/>
  <c r="L76" i="38" a="1"/>
  <c r="L76" i="38" s="1"/>
  <c r="J76" i="38" a="1"/>
  <c r="J76" i="38" s="1"/>
  <c r="H76" i="38" a="1"/>
  <c r="H76" i="38" s="1"/>
  <c r="F76" i="38" a="1"/>
  <c r="F76" i="38" s="1"/>
  <c r="D76" i="38" a="1"/>
  <c r="D76" i="38" s="1"/>
  <c r="B76" i="38" a="1"/>
  <c r="B76" i="38" s="1"/>
  <c r="AV75" i="38" a="1"/>
  <c r="AV75" i="38" s="1"/>
  <c r="AT75" i="38" a="1"/>
  <c r="AT75" i="38" s="1"/>
  <c r="AR75" i="38" a="1"/>
  <c r="AR75" i="38" s="1"/>
  <c r="AP75" i="38" a="1"/>
  <c r="AP75" i="38" s="1"/>
  <c r="AN75" i="38" a="1"/>
  <c r="AN75" i="38" s="1"/>
  <c r="AL75" i="38" a="1"/>
  <c r="AL75" i="38" s="1"/>
  <c r="AJ75" i="38" a="1"/>
  <c r="AJ75" i="38" s="1"/>
  <c r="AH75" i="38" a="1"/>
  <c r="AH75" i="38" s="1"/>
  <c r="AF75" i="38" a="1"/>
  <c r="AF75" i="38" s="1"/>
  <c r="AD75" i="38" a="1"/>
  <c r="AD75" i="38" s="1"/>
  <c r="AB75" i="38" a="1"/>
  <c r="AB75" i="38" s="1"/>
  <c r="Z75" i="38" a="1"/>
  <c r="Z75" i="38" s="1"/>
  <c r="X75" i="38" a="1"/>
  <c r="X75" i="38" s="1"/>
  <c r="V75" i="38" a="1"/>
  <c r="V75" i="38" s="1"/>
  <c r="T75" i="38" a="1"/>
  <c r="T75" i="38" s="1"/>
  <c r="R75" i="38" a="1"/>
  <c r="R75" i="38" s="1"/>
  <c r="P75" i="38" a="1"/>
  <c r="P75" i="38" s="1"/>
  <c r="N75" i="38" a="1"/>
  <c r="N75" i="38" s="1"/>
  <c r="L75" i="38" a="1"/>
  <c r="L75" i="38" s="1"/>
  <c r="J75" i="38" a="1"/>
  <c r="J75" i="38" s="1"/>
  <c r="H75" i="38" a="1"/>
  <c r="H75" i="38" s="1"/>
  <c r="F75" i="38" a="1"/>
  <c r="F75" i="38" s="1"/>
  <c r="D75" i="38" a="1"/>
  <c r="D75" i="38" s="1"/>
  <c r="B75" i="38" a="1"/>
  <c r="B75" i="38" s="1"/>
  <c r="AV74" i="38" a="1"/>
  <c r="AV74" i="38" s="1"/>
  <c r="AT74" i="38" a="1"/>
  <c r="AT74" i="38" s="1"/>
  <c r="AR74" i="38" a="1"/>
  <c r="AR74" i="38" s="1"/>
  <c r="AP74" i="38" a="1"/>
  <c r="AP74" i="38" s="1"/>
  <c r="AN74" i="38" a="1"/>
  <c r="AN74" i="38" s="1"/>
  <c r="AL74" i="38" a="1"/>
  <c r="AL74" i="38" s="1"/>
  <c r="AJ74" i="38" a="1"/>
  <c r="AJ74" i="38" s="1"/>
  <c r="AH74" i="38" a="1"/>
  <c r="AH74" i="38" s="1"/>
  <c r="AF74" i="38" a="1"/>
  <c r="AF74" i="38" s="1"/>
  <c r="AD74" i="38" a="1"/>
  <c r="AD74" i="38" s="1"/>
  <c r="AB74" i="38" a="1"/>
  <c r="AB74" i="38" s="1"/>
  <c r="Z74" i="38" a="1"/>
  <c r="Z74" i="38" s="1"/>
  <c r="X74" i="38" a="1"/>
  <c r="X74" i="38" s="1"/>
  <c r="V74" i="38" a="1"/>
  <c r="V74" i="38" s="1"/>
  <c r="T74" i="38" a="1"/>
  <c r="T74" i="38" s="1"/>
  <c r="R74" i="38" a="1"/>
  <c r="R74" i="38" s="1"/>
  <c r="P74" i="38" a="1"/>
  <c r="P74" i="38" s="1"/>
  <c r="N74" i="38" a="1"/>
  <c r="N74" i="38" s="1"/>
  <c r="L74" i="38" a="1"/>
  <c r="L74" i="38" s="1"/>
  <c r="J74" i="38" a="1"/>
  <c r="J74" i="38" s="1"/>
  <c r="H74" i="38" a="1"/>
  <c r="H74" i="38" s="1"/>
  <c r="F74" i="38" a="1"/>
  <c r="F74" i="38" s="1"/>
  <c r="D74" i="38" a="1"/>
  <c r="D74" i="38" s="1"/>
  <c r="B74" i="38" a="1"/>
  <c r="B74" i="38" s="1"/>
  <c r="AV73" i="38" a="1"/>
  <c r="AV73" i="38" s="1"/>
  <c r="AT73" i="38" a="1"/>
  <c r="AT73" i="38" s="1"/>
  <c r="AR73" i="38" a="1"/>
  <c r="AR73" i="38" s="1"/>
  <c r="AP73" i="38" a="1"/>
  <c r="AP73" i="38" s="1"/>
  <c r="AN73" i="38" a="1"/>
  <c r="AN73" i="38" s="1"/>
  <c r="AL73" i="38" a="1"/>
  <c r="AL73" i="38" s="1"/>
  <c r="AJ73" i="38" a="1"/>
  <c r="AJ73" i="38" s="1"/>
  <c r="AH73" i="38" a="1"/>
  <c r="AH73" i="38" s="1"/>
  <c r="AF73" i="38" a="1"/>
  <c r="AF73" i="38" s="1"/>
  <c r="AD73" i="38" a="1"/>
  <c r="AD73" i="38" s="1"/>
  <c r="AB73" i="38" a="1"/>
  <c r="AB73" i="38" s="1"/>
  <c r="Z73" i="38" a="1"/>
  <c r="Z73" i="38" s="1"/>
  <c r="X73" i="38" a="1"/>
  <c r="X73" i="38" s="1"/>
  <c r="V73" i="38" a="1"/>
  <c r="V73" i="38" s="1"/>
  <c r="T73" i="38" a="1"/>
  <c r="T73" i="38" s="1"/>
  <c r="R73" i="38" a="1"/>
  <c r="R73" i="38" s="1"/>
  <c r="P73" i="38" a="1"/>
  <c r="P73" i="38" s="1"/>
  <c r="N73" i="38" a="1"/>
  <c r="N73" i="38" s="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V67" i="38" a="1"/>
  <c r="AV67" i="38" s="1"/>
  <c r="AT67" i="38" a="1"/>
  <c r="AT67" i="38" s="1"/>
  <c r="AR67" i="38" a="1"/>
  <c r="AR67" i="38" s="1"/>
  <c r="AP67" i="38" a="1"/>
  <c r="AP67" i="38" s="1"/>
  <c r="AN67" i="38" a="1"/>
  <c r="AN67" i="38" s="1"/>
  <c r="AL67" i="38" a="1"/>
  <c r="AL67" i="38" s="1"/>
  <c r="AJ67" i="38" a="1"/>
  <c r="AJ67" i="38" s="1"/>
  <c r="AH67" i="38" a="1"/>
  <c r="AH67" i="38" s="1"/>
  <c r="AF67" i="38" a="1"/>
  <c r="AF67" i="38" s="1"/>
  <c r="AD67" i="38" a="1"/>
  <c r="AD67" i="38" s="1"/>
  <c r="AB67" i="38" a="1"/>
  <c r="AB67" i="38" s="1"/>
  <c r="Z67" i="38" a="1"/>
  <c r="Z67" i="38" s="1"/>
  <c r="X67" i="38" a="1"/>
  <c r="X67" i="38" s="1"/>
  <c r="V67" i="38" a="1"/>
  <c r="V67" i="38" s="1"/>
  <c r="T67" i="38" a="1"/>
  <c r="T67" i="38" s="1"/>
  <c r="R67" i="38" a="1"/>
  <c r="R67" i="38" s="1"/>
  <c r="P67" i="38" a="1"/>
  <c r="P67" i="38" s="1"/>
  <c r="N67" i="38" a="1"/>
  <c r="N67" i="38" s="1"/>
  <c r="L67" i="38" a="1"/>
  <c r="L67" i="38" s="1"/>
  <c r="J67" i="38" a="1"/>
  <c r="J67" i="38" s="1"/>
  <c r="H67" i="38" a="1"/>
  <c r="H67" i="38" s="1"/>
  <c r="F67" i="38" a="1"/>
  <c r="F67" i="38" s="1"/>
  <c r="D67" i="38" a="1"/>
  <c r="D67" i="38" s="1"/>
  <c r="B67" i="38" a="1"/>
  <c r="B67" i="38" s="1"/>
  <c r="AV66" i="38" a="1"/>
  <c r="AV66" i="38" s="1"/>
  <c r="AT66" i="38" a="1"/>
  <c r="AT66" i="38" s="1"/>
  <c r="AR66" i="38" a="1"/>
  <c r="AR66" i="38" s="1"/>
  <c r="AP66" i="38" a="1"/>
  <c r="AP66" i="38" s="1"/>
  <c r="AN66" i="38" a="1"/>
  <c r="AN66" i="38" s="1"/>
  <c r="AL66" i="38" a="1"/>
  <c r="AL66" i="38" s="1"/>
  <c r="AL68" i="38" s="1"/>
  <c r="AJ66" i="38" a="1"/>
  <c r="AJ66" i="38" s="1"/>
  <c r="AJ68" i="38" s="1"/>
  <c r="AH66" i="38" a="1"/>
  <c r="AH66" i="38" s="1"/>
  <c r="AF66" i="38" a="1"/>
  <c r="AF66" i="38" s="1"/>
  <c r="AD66" i="38" a="1"/>
  <c r="AD66" i="38" s="1"/>
  <c r="AB66" i="38" a="1"/>
  <c r="AB66" i="38" s="1"/>
  <c r="Z66" i="38" a="1"/>
  <c r="Z66" i="38" s="1"/>
  <c r="X66" i="38" a="1"/>
  <c r="X66" i="38" s="1"/>
  <c r="V66" i="38" a="1"/>
  <c r="V66" i="38" s="1"/>
  <c r="T66" i="38" a="1"/>
  <c r="T66" i="38" s="1"/>
  <c r="R66" i="38" a="1"/>
  <c r="R66" i="38" s="1"/>
  <c r="P66" i="38" a="1"/>
  <c r="P66" i="38" s="1"/>
  <c r="N66" i="38" a="1"/>
  <c r="N66" i="38" s="1"/>
  <c r="L66" i="38" a="1"/>
  <c r="L66" i="38" s="1"/>
  <c r="J66" i="38" a="1"/>
  <c r="J66" i="38" s="1"/>
  <c r="H66" i="38" a="1"/>
  <c r="H66" i="38" s="1"/>
  <c r="F66" i="38" a="1"/>
  <c r="F66" i="38" s="1"/>
  <c r="F68" i="38" s="1"/>
  <c r="D66" i="38" a="1"/>
  <c r="D66" i="38" s="1"/>
  <c r="D68" i="38" s="1"/>
  <c r="B66" i="38" a="1"/>
  <c r="B66"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a="1"/>
  <c r="D65" i="38" s="1"/>
  <c r="D69" i="38" s="1"/>
  <c r="B65" i="38"/>
  <c r="B69" i="38" s="1"/>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5" i="38"/>
  <c r="AV80" i="38" s="1"/>
  <c r="AT55" i="38"/>
  <c r="AT80" i="38" s="1"/>
  <c r="AR55" i="38"/>
  <c r="AR80" i="38" s="1"/>
  <c r="AP55" i="38"/>
  <c r="AP80" i="38" s="1"/>
  <c r="AN55" i="38"/>
  <c r="AN80" i="38" s="1"/>
  <c r="AL55" i="38"/>
  <c r="AL80" i="38" s="1"/>
  <c r="AJ55" i="38"/>
  <c r="AJ80" i="38" s="1"/>
  <c r="AH55" i="38"/>
  <c r="AH80" i="38" s="1"/>
  <c r="AF55" i="38"/>
  <c r="AF80" i="38" s="1"/>
  <c r="AD55" i="38"/>
  <c r="AB55" i="38"/>
  <c r="AB80" i="38" s="1"/>
  <c r="Z55" i="38"/>
  <c r="Z80" i="38" s="1"/>
  <c r="X55" i="38"/>
  <c r="X80" i="38" s="1"/>
  <c r="V55" i="38"/>
  <c r="T55" i="38"/>
  <c r="T80" i="38" s="1"/>
  <c r="R55" i="38"/>
  <c r="P55" i="38"/>
  <c r="P80" i="38" s="1"/>
  <c r="N55" i="38"/>
  <c r="N80" i="38" s="1"/>
  <c r="L55" i="38"/>
  <c r="L80" i="38" s="1"/>
  <c r="J55" i="38"/>
  <c r="J80" i="38" s="1"/>
  <c r="H55" i="38"/>
  <c r="H80" i="38" s="1"/>
  <c r="F55" i="38"/>
  <c r="F80" i="38" s="1"/>
  <c r="D55" i="38"/>
  <c r="D80" i="38" s="1"/>
  <c r="B55" i="38"/>
  <c r="B80" i="38" s="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N81" i="38" s="1"/>
  <c r="AL51" i="38"/>
  <c r="AL81" i="38" s="1"/>
  <c r="AJ51" i="38"/>
  <c r="AJ81" i="38" s="1"/>
  <c r="AH51" i="38"/>
  <c r="AH81" i="38" s="1"/>
  <c r="AF51" i="38"/>
  <c r="AF81" i="38" s="1"/>
  <c r="AD51" i="38"/>
  <c r="AD81" i="38" s="1"/>
  <c r="AB51" i="38"/>
  <c r="Z51" i="38"/>
  <c r="X51" i="38"/>
  <c r="X81" i="38" s="1"/>
  <c r="V51" i="38"/>
  <c r="V81" i="38" s="1"/>
  <c r="T51" i="38"/>
  <c r="T81" i="38" s="1"/>
  <c r="R51" i="38"/>
  <c r="R81" i="38" s="1"/>
  <c r="P51" i="38"/>
  <c r="P81" i="38" s="1"/>
  <c r="N51" i="38"/>
  <c r="N81" i="38" s="1"/>
  <c r="L51" i="38"/>
  <c r="L81" i="38" s="1"/>
  <c r="J51" i="38"/>
  <c r="J81" i="38" s="1"/>
  <c r="H51" i="38"/>
  <c r="H81" i="38" s="1"/>
  <c r="F51" i="38"/>
  <c r="F81" i="38" s="1"/>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Y55" i="23" s="1"/>
  <c r="Y8" i="41" s="1"/>
  <c r="AV43" i="38" a="1"/>
  <c r="AT43" i="38" a="1"/>
  <c r="AT43" i="38" s="1"/>
  <c r="X55" i="23" s="1"/>
  <c r="X8" i="41" s="1"/>
  <c r="AR43" i="38" a="1"/>
  <c r="AR43" i="38" s="1"/>
  <c r="W55" i="23" s="1"/>
  <c r="W8" i="41" s="1"/>
  <c r="AP43" i="38"/>
  <c r="V55" i="23" s="1"/>
  <c r="V8" i="41" s="1"/>
  <c r="AP43" i="38" a="1"/>
  <c r="AN43" i="38"/>
  <c r="U55" i="23" s="1"/>
  <c r="U8" i="41" s="1"/>
  <c r="AN43" i="38" a="1"/>
  <c r="AL43" i="38" a="1"/>
  <c r="AL43" i="38" s="1"/>
  <c r="T55" i="23" s="1"/>
  <c r="T8" i="41" s="1"/>
  <c r="AJ43" i="38"/>
  <c r="S55" i="23" s="1"/>
  <c r="S8" i="41" s="1"/>
  <c r="AJ43" i="38" a="1"/>
  <c r="AH43" i="38" a="1"/>
  <c r="AH43" i="38" s="1"/>
  <c r="R55" i="23" s="1"/>
  <c r="R8" i="41" s="1"/>
  <c r="AF43" i="38"/>
  <c r="Q55" i="23" s="1"/>
  <c r="Q8" i="41" s="1"/>
  <c r="AF43" i="38" a="1"/>
  <c r="AD43" i="38" a="1"/>
  <c r="AD43" i="38" s="1"/>
  <c r="P55" i="23" s="1"/>
  <c r="P8" i="41" s="1"/>
  <c r="AB43" i="38" a="1"/>
  <c r="AB43" i="38" s="1"/>
  <c r="O55" i="23" s="1"/>
  <c r="O8" i="41" s="1"/>
  <c r="Z43" i="38"/>
  <c r="N55" i="23" s="1"/>
  <c r="N8" i="41" s="1"/>
  <c r="Z43" i="38" a="1"/>
  <c r="X43" i="38"/>
  <c r="M55" i="23" s="1"/>
  <c r="M8" i="41" s="1"/>
  <c r="X43" i="38" a="1"/>
  <c r="V43" i="38" a="1"/>
  <c r="V43" i="38" s="1"/>
  <c r="L55" i="23" s="1"/>
  <c r="L8" i="41" s="1"/>
  <c r="T43" i="38"/>
  <c r="K55" i="23" s="1"/>
  <c r="K8" i="41" s="1"/>
  <c r="T43" i="38" a="1"/>
  <c r="R43" i="38" a="1"/>
  <c r="R43" i="38" s="1"/>
  <c r="J55" i="23" s="1"/>
  <c r="J8" i="41" s="1"/>
  <c r="P43" i="38"/>
  <c r="I55" i="23" s="1"/>
  <c r="I8" i="41" s="1"/>
  <c r="P43" i="38" a="1"/>
  <c r="N43" i="38" a="1"/>
  <c r="N43" i="38" s="1"/>
  <c r="H55" i="23" s="1"/>
  <c r="H8" i="41" s="1"/>
  <c r="L43" i="38" a="1"/>
  <c r="L43" i="38" s="1"/>
  <c r="G55" i="23" s="1"/>
  <c r="G8" i="41" s="1"/>
  <c r="J43" i="38"/>
  <c r="J43" i="38" a="1"/>
  <c r="H43" i="38"/>
  <c r="E55" i="23" s="1"/>
  <c r="E8" i="41" s="1"/>
  <c r="H43" i="38" a="1"/>
  <c r="F43" i="38" a="1"/>
  <c r="F43" i="38" s="1"/>
  <c r="D55" i="23" s="1"/>
  <c r="D8" i="41" s="1"/>
  <c r="D43" i="38"/>
  <c r="C55" i="23" s="1"/>
  <c r="C8" i="41" s="1"/>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B79" i="21" a="1"/>
  <c r="B79" i="21" s="1"/>
  <c r="B49" i="21"/>
  <c r="F85" i="21"/>
  <c r="D85" i="21"/>
  <c r="B85" i="21"/>
  <c r="Y36" i="23"/>
  <c r="Y4" i="40" s="1"/>
  <c r="X36" i="23"/>
  <c r="X4" i="40" s="1"/>
  <c r="W36" i="23"/>
  <c r="W4" i="40" s="1"/>
  <c r="V36" i="23"/>
  <c r="V4" i="40" s="1"/>
  <c r="U36" i="23"/>
  <c r="T36" i="23"/>
  <c r="S36" i="23"/>
  <c r="R36" i="23"/>
  <c r="Q36" i="23"/>
  <c r="P36" i="23"/>
  <c r="O36" i="23"/>
  <c r="N36" i="23"/>
  <c r="M36" i="23"/>
  <c r="L36" i="23"/>
  <c r="K36" i="23"/>
  <c r="J36" i="23"/>
  <c r="J4" i="40" s="1"/>
  <c r="I36" i="23"/>
  <c r="H36" i="23"/>
  <c r="H4" i="40" s="1"/>
  <c r="G36" i="23"/>
  <c r="G4" i="40" s="1"/>
  <c r="F36" i="23"/>
  <c r="F4" i="40" s="1"/>
  <c r="E36" i="23"/>
  <c r="E4" i="40" s="1"/>
  <c r="D36" i="23"/>
  <c r="D4" i="40" s="1"/>
  <c r="C36" i="23"/>
  <c r="C4" i="40" s="1"/>
  <c r="B36" i="23"/>
  <c r="B4" i="40" s="1"/>
  <c r="Y35" i="23"/>
  <c r="Y86" i="23" s="1"/>
  <c r="X35" i="23"/>
  <c r="X86" i="23" s="1"/>
  <c r="W35" i="23"/>
  <c r="W86" i="23" s="1"/>
  <c r="V35" i="23"/>
  <c r="V86" i="23" s="1"/>
  <c r="U35" i="23"/>
  <c r="U86" i="23" s="1"/>
  <c r="T35" i="23"/>
  <c r="S35" i="23"/>
  <c r="R35" i="23"/>
  <c r="R86" i="23" s="1"/>
  <c r="Q35" i="23"/>
  <c r="P35" i="23"/>
  <c r="O35" i="23"/>
  <c r="N35" i="23"/>
  <c r="M35" i="23"/>
  <c r="M3" i="40" s="1"/>
  <c r="L35" i="23"/>
  <c r="K35" i="23"/>
  <c r="J35" i="23"/>
  <c r="I35" i="23"/>
  <c r="H35" i="23"/>
  <c r="G35" i="23"/>
  <c r="F35" i="23"/>
  <c r="E35" i="23"/>
  <c r="D35" i="23"/>
  <c r="C35" i="23"/>
  <c r="B35" i="23"/>
  <c r="B3" i="40" s="1"/>
  <c r="C84" i="23"/>
  <c r="D84" i="23"/>
  <c r="E84" i="23"/>
  <c r="F84" i="23"/>
  <c r="G84" i="23"/>
  <c r="H84" i="23"/>
  <c r="I84" i="23"/>
  <c r="J84" i="23"/>
  <c r="K84" i="23"/>
  <c r="L84" i="23"/>
  <c r="M84" i="23"/>
  <c r="N84" i="23"/>
  <c r="O84" i="23"/>
  <c r="P84" i="23"/>
  <c r="Q84" i="23"/>
  <c r="R84" i="23"/>
  <c r="S84" i="23"/>
  <c r="T84" i="23"/>
  <c r="U84" i="23"/>
  <c r="V84" i="23"/>
  <c r="W84" i="23"/>
  <c r="X84" i="23"/>
  <c r="Y84" i="23"/>
  <c r="S86" i="23"/>
  <c r="T86" i="23"/>
  <c r="U88" i="23"/>
  <c r="V88" i="23"/>
  <c r="W88" i="23"/>
  <c r="X88" i="23"/>
  <c r="Y88" i="23"/>
  <c r="O91" i="23"/>
  <c r="B92" i="23"/>
  <c r="B84" i="23"/>
  <c r="A86" i="23"/>
  <c r="A87" i="23"/>
  <c r="A88" i="23"/>
  <c r="A89" i="23"/>
  <c r="A90" i="23"/>
  <c r="A91" i="23"/>
  <c r="A92" i="23"/>
  <c r="A93" i="23"/>
  <c r="A85" i="23"/>
  <c r="Y38" i="23"/>
  <c r="Y89" i="23" s="1"/>
  <c r="Y41" i="23"/>
  <c r="X41" i="23"/>
  <c r="W41" i="23"/>
  <c r="V41" i="23"/>
  <c r="U41" i="23"/>
  <c r="U9" i="40" s="1"/>
  <c r="T41" i="23"/>
  <c r="T9" i="40" s="1"/>
  <c r="S41" i="23"/>
  <c r="S9" i="40" s="1"/>
  <c r="R41" i="23"/>
  <c r="R9" i="40" s="1"/>
  <c r="Q41" i="23"/>
  <c r="P41" i="23"/>
  <c r="O41" i="23"/>
  <c r="N41" i="23"/>
  <c r="M41" i="23"/>
  <c r="M9" i="40" s="1"/>
  <c r="L41" i="23"/>
  <c r="L9" i="40" s="1"/>
  <c r="K41" i="23"/>
  <c r="K9" i="40" s="1"/>
  <c r="J41" i="23"/>
  <c r="J9" i="40" s="1"/>
  <c r="I41" i="23"/>
  <c r="H41" i="23"/>
  <c r="G41" i="23"/>
  <c r="F41" i="23"/>
  <c r="E41" i="23"/>
  <c r="E9" i="40" s="1"/>
  <c r="D41" i="23"/>
  <c r="D9" i="40" s="1"/>
  <c r="C41" i="23"/>
  <c r="C9" i="40" s="1"/>
  <c r="B41" i="23"/>
  <c r="B9" i="40" s="1"/>
  <c r="Y40" i="23"/>
  <c r="X40" i="23"/>
  <c r="W40" i="23"/>
  <c r="V40" i="23"/>
  <c r="U40" i="23"/>
  <c r="T40" i="23"/>
  <c r="T8" i="40" s="1"/>
  <c r="S40" i="23"/>
  <c r="R40" i="23"/>
  <c r="Q40" i="23"/>
  <c r="Q8" i="40" s="1"/>
  <c r="P40" i="23"/>
  <c r="P8" i="40" s="1"/>
  <c r="O40" i="23"/>
  <c r="O8" i="40" s="1"/>
  <c r="N40" i="23"/>
  <c r="N8" i="40" s="1"/>
  <c r="M40" i="23"/>
  <c r="M8" i="40" s="1"/>
  <c r="L40" i="23"/>
  <c r="K40" i="23"/>
  <c r="J40" i="23"/>
  <c r="I40" i="23"/>
  <c r="H40" i="23"/>
  <c r="G40" i="23"/>
  <c r="F40" i="23"/>
  <c r="E40" i="23"/>
  <c r="D40" i="23"/>
  <c r="D8" i="40" s="1"/>
  <c r="C40" i="23"/>
  <c r="B40" i="23"/>
  <c r="Y39" i="23"/>
  <c r="Y90" i="23" s="1"/>
  <c r="X39" i="23"/>
  <c r="W39" i="23"/>
  <c r="V39" i="23"/>
  <c r="U39" i="23"/>
  <c r="T39" i="23"/>
  <c r="S39" i="23"/>
  <c r="R39" i="23"/>
  <c r="Q39" i="23"/>
  <c r="P39" i="23"/>
  <c r="O39" i="23"/>
  <c r="N39" i="23"/>
  <c r="M39" i="23"/>
  <c r="L39" i="23"/>
  <c r="K39" i="23"/>
  <c r="J39" i="23"/>
  <c r="I39" i="23"/>
  <c r="H39" i="23"/>
  <c r="G39" i="23"/>
  <c r="F39" i="23"/>
  <c r="E39" i="23"/>
  <c r="D39" i="23"/>
  <c r="C39" i="23"/>
  <c r="B39" i="23"/>
  <c r="B34" i="23"/>
  <c r="B2" i="40" s="1"/>
  <c r="A35" i="23"/>
  <c r="A36" i="23"/>
  <c r="A37" i="23"/>
  <c r="A38" i="23"/>
  <c r="A39" i="23"/>
  <c r="A40" i="23"/>
  <c r="A41" i="23"/>
  <c r="A42" i="23"/>
  <c r="A34" i="23"/>
  <c r="F55" i="23"/>
  <c r="F8" i="41" s="1"/>
  <c r="V51" i="23"/>
  <c r="U51" i="23"/>
  <c r="T51" i="23"/>
  <c r="Q51" i="23"/>
  <c r="F51" i="23"/>
  <c r="F4" i="41" s="1"/>
  <c r="E51" i="23"/>
  <c r="E4" i="41" s="1"/>
  <c r="R50" i="23"/>
  <c r="I50" i="23"/>
  <c r="I3" i="41" s="1"/>
  <c r="H50" i="23"/>
  <c r="H3" i="41" s="1"/>
  <c r="A50" i="23"/>
  <c r="T52" i="23"/>
  <c r="U52" i="23"/>
  <c r="V52" i="23"/>
  <c r="W52" i="23"/>
  <c r="X52" i="23"/>
  <c r="Y52" i="23"/>
  <c r="AR81" i="21"/>
  <c r="AP81" i="21"/>
  <c r="AN81" i="21"/>
  <c r="AJ81" i="21"/>
  <c r="AV80" i="21"/>
  <c r="AT80" i="21"/>
  <c r="AR80" i="21"/>
  <c r="AP80" i="21"/>
  <c r="N80" i="21"/>
  <c r="L80" i="21"/>
  <c r="AV79" i="21"/>
  <c r="AV79" i="21" a="1"/>
  <c r="AT79" i="21" a="1"/>
  <c r="AT79" i="21" s="1"/>
  <c r="AR79" i="21"/>
  <c r="AR79" i="21" a="1"/>
  <c r="AP79" i="21"/>
  <c r="AP79" i="21" a="1"/>
  <c r="AN79" i="21" a="1"/>
  <c r="AN79" i="21" s="1"/>
  <c r="AL79" i="21" a="1"/>
  <c r="AL79" i="21" s="1"/>
  <c r="AJ79" i="21"/>
  <c r="AJ79" i="21" a="1"/>
  <c r="AH79" i="21" a="1"/>
  <c r="AH79" i="21" s="1"/>
  <c r="AF79" i="21"/>
  <c r="AF79" i="21" a="1"/>
  <c r="AD79" i="21" a="1"/>
  <c r="AD79" i="21" s="1"/>
  <c r="AB79" i="21"/>
  <c r="AB79" i="21" a="1"/>
  <c r="Z79" i="21"/>
  <c r="Z79" i="21" a="1"/>
  <c r="X79" i="21" a="1"/>
  <c r="X79" i="21" s="1"/>
  <c r="V79" i="21" a="1"/>
  <c r="V79" i="21" s="1"/>
  <c r="T79" i="21" a="1"/>
  <c r="T79" i="21" s="1"/>
  <c r="R79" i="21" a="1"/>
  <c r="R79" i="21" s="1"/>
  <c r="P79" i="21"/>
  <c r="P79" i="21" a="1"/>
  <c r="N79" i="21" a="1"/>
  <c r="N79" i="21" s="1"/>
  <c r="L79" i="21"/>
  <c r="L79" i="21" a="1"/>
  <c r="J79" i="21"/>
  <c r="J79" i="21" a="1"/>
  <c r="H79" i="21" a="1"/>
  <c r="H79" i="21" s="1"/>
  <c r="F79" i="21" a="1"/>
  <c r="F79" i="21" s="1"/>
  <c r="D79" i="21" a="1"/>
  <c r="D79" i="21" s="1"/>
  <c r="AV78" i="21"/>
  <c r="AV78" i="21" a="1"/>
  <c r="AT78" i="21" a="1"/>
  <c r="AT78" i="21" s="1"/>
  <c r="AR78" i="21"/>
  <c r="AR78" i="21" a="1"/>
  <c r="AP78" i="21"/>
  <c r="AP78" i="21" a="1"/>
  <c r="AN78" i="21" a="1"/>
  <c r="AN78" i="21" s="1"/>
  <c r="AL78" i="21" a="1"/>
  <c r="AL78" i="21" s="1"/>
  <c r="AJ78" i="21" a="1"/>
  <c r="AJ78" i="21" s="1"/>
  <c r="AH78" i="21" a="1"/>
  <c r="AH78" i="21" s="1"/>
  <c r="AF78" i="21"/>
  <c r="AF78" i="21" a="1"/>
  <c r="AD78" i="21" a="1"/>
  <c r="AD78" i="21" s="1"/>
  <c r="AB78" i="21"/>
  <c r="AB78" i="21" a="1"/>
  <c r="Z78" i="21"/>
  <c r="Z78" i="21" a="1"/>
  <c r="X78" i="21" a="1"/>
  <c r="X78" i="21" s="1"/>
  <c r="V78" i="21" a="1"/>
  <c r="V78" i="21" s="1"/>
  <c r="T78" i="21" a="1"/>
  <c r="T78" i="21" s="1"/>
  <c r="R78" i="21" a="1"/>
  <c r="R78" i="21" s="1"/>
  <c r="P78" i="21"/>
  <c r="P78" i="21" a="1"/>
  <c r="N78" i="21" a="1"/>
  <c r="N78" i="21" s="1"/>
  <c r="L78" i="21"/>
  <c r="L78" i="21" a="1"/>
  <c r="J78" i="21"/>
  <c r="J78" i="21" a="1"/>
  <c r="H78" i="21" a="1"/>
  <c r="H78" i="21" s="1"/>
  <c r="F78" i="21" a="1"/>
  <c r="F78" i="21" s="1"/>
  <c r="D78" i="21" a="1"/>
  <c r="D78" i="21" s="1"/>
  <c r="B78" i="21" a="1"/>
  <c r="B78" i="21" s="1"/>
  <c r="AV77" i="21"/>
  <c r="AV77" i="21" a="1"/>
  <c r="AT77" i="21" a="1"/>
  <c r="AT77" i="21" s="1"/>
  <c r="AR77" i="21"/>
  <c r="AR77" i="21" a="1"/>
  <c r="AP77" i="21"/>
  <c r="AP77" i="21" a="1"/>
  <c r="AN77" i="21" a="1"/>
  <c r="AN77" i="21" s="1"/>
  <c r="AL77" i="21" a="1"/>
  <c r="AL77" i="21" s="1"/>
  <c r="AJ77" i="21"/>
  <c r="AJ77" i="21" a="1"/>
  <c r="AH77" i="21" a="1"/>
  <c r="AH77" i="21" s="1"/>
  <c r="AF77" i="21"/>
  <c r="AF77" i="21" a="1"/>
  <c r="AD77" i="21" a="1"/>
  <c r="AD77" i="21" s="1"/>
  <c r="AB77" i="21"/>
  <c r="AB77" i="21" a="1"/>
  <c r="Z77" i="21"/>
  <c r="Z77" i="21" a="1"/>
  <c r="X77" i="21" a="1"/>
  <c r="X77" i="21" s="1"/>
  <c r="V77" i="21" a="1"/>
  <c r="V77" i="21" s="1"/>
  <c r="T77" i="21" a="1"/>
  <c r="T77" i="21" s="1"/>
  <c r="R77" i="21"/>
  <c r="R77" i="21" a="1"/>
  <c r="P77" i="21"/>
  <c r="P77" i="21" a="1"/>
  <c r="N77" i="21" a="1"/>
  <c r="N77" i="21" s="1"/>
  <c r="L77" i="21"/>
  <c r="L77" i="21" a="1"/>
  <c r="J77" i="21"/>
  <c r="J77" i="21" a="1"/>
  <c r="H77" i="21" a="1"/>
  <c r="H77" i="21" s="1"/>
  <c r="F77" i="21" a="1"/>
  <c r="F77" i="21" s="1"/>
  <c r="D77" i="21" a="1"/>
  <c r="D77" i="21" s="1"/>
  <c r="B77" i="21" a="1"/>
  <c r="B77" i="21" s="1"/>
  <c r="AV76" i="21"/>
  <c r="AV76" i="21" a="1"/>
  <c r="AT76" i="21" a="1"/>
  <c r="AT76" i="21" s="1"/>
  <c r="AR76" i="21"/>
  <c r="AR76" i="21" a="1"/>
  <c r="AP76" i="21"/>
  <c r="AP76" i="21" a="1"/>
  <c r="AN76" i="21" a="1"/>
  <c r="AN76" i="21" s="1"/>
  <c r="AL76" i="21" a="1"/>
  <c r="AL76" i="21" s="1"/>
  <c r="AJ76" i="21" a="1"/>
  <c r="AJ76" i="21" s="1"/>
  <c r="AH76" i="21" a="1"/>
  <c r="AH76" i="21" s="1"/>
  <c r="AF76" i="21"/>
  <c r="AF76" i="21" a="1"/>
  <c r="AD76" i="21" a="1"/>
  <c r="AD76" i="21" s="1"/>
  <c r="AB76" i="21"/>
  <c r="AB76" i="21" a="1"/>
  <c r="Z76" i="21"/>
  <c r="Z76" i="21" a="1"/>
  <c r="X76" i="21" a="1"/>
  <c r="X76" i="21" s="1"/>
  <c r="V76" i="21"/>
  <c r="V76" i="21" a="1"/>
  <c r="T76" i="21" a="1"/>
  <c r="T76" i="21" s="1"/>
  <c r="R76" i="21" a="1"/>
  <c r="R76" i="21" s="1"/>
  <c r="P76" i="21"/>
  <c r="P76" i="21" a="1"/>
  <c r="N76" i="21" a="1"/>
  <c r="N76" i="21" s="1"/>
  <c r="L76" i="21"/>
  <c r="L76" i="21" a="1"/>
  <c r="J76" i="21"/>
  <c r="J76" i="21" a="1"/>
  <c r="H76" i="21" a="1"/>
  <c r="H76" i="21" s="1"/>
  <c r="F76" i="21" a="1"/>
  <c r="F76" i="21" s="1"/>
  <c r="D76" i="21"/>
  <c r="D76" i="21" a="1"/>
  <c r="B76" i="21" a="1"/>
  <c r="B76" i="21" s="1"/>
  <c r="AV75" i="21"/>
  <c r="AV75" i="21" a="1"/>
  <c r="AT75" i="21" a="1"/>
  <c r="AT75" i="21" s="1"/>
  <c r="AR75" i="21"/>
  <c r="AR75" i="21" a="1"/>
  <c r="AP75" i="21"/>
  <c r="AP75" i="21" a="1"/>
  <c r="AN75" i="21" a="1"/>
  <c r="AN75" i="21" s="1"/>
  <c r="AL75" i="21" a="1"/>
  <c r="AL75" i="21" s="1"/>
  <c r="AJ75" i="21" a="1"/>
  <c r="AJ75" i="21" s="1"/>
  <c r="AH75" i="21"/>
  <c r="AH75" i="21" a="1"/>
  <c r="AF75" i="21"/>
  <c r="AF75" i="21" a="1"/>
  <c r="AD75" i="21" a="1"/>
  <c r="AD75" i="21" s="1"/>
  <c r="AB75" i="21"/>
  <c r="AB75" i="21" a="1"/>
  <c r="Z75" i="21"/>
  <c r="Z75" i="21" a="1"/>
  <c r="X75" i="21" a="1"/>
  <c r="X75" i="21" s="1"/>
  <c r="V75" i="21"/>
  <c r="V75" i="21" a="1"/>
  <c r="T75" i="21" a="1"/>
  <c r="T75" i="21" s="1"/>
  <c r="R75" i="21" a="1"/>
  <c r="R75" i="21" s="1"/>
  <c r="P75" i="21"/>
  <c r="P75" i="21" a="1"/>
  <c r="N75" i="21" a="1"/>
  <c r="N75" i="21" s="1"/>
  <c r="L75" i="21"/>
  <c r="L75" i="21" a="1"/>
  <c r="J75" i="21"/>
  <c r="J75" i="21" a="1"/>
  <c r="H75" i="21" a="1"/>
  <c r="H75" i="21" s="1"/>
  <c r="F75" i="21" a="1"/>
  <c r="F75" i="21" s="1"/>
  <c r="D75" i="21"/>
  <c r="D75" i="21" a="1"/>
  <c r="B75" i="21" a="1"/>
  <c r="B75" i="21" s="1"/>
  <c r="AV74" i="21"/>
  <c r="AV74" i="21" a="1"/>
  <c r="AT74" i="21" a="1"/>
  <c r="AT74" i="21" s="1"/>
  <c r="AR74" i="21"/>
  <c r="AR74" i="21" a="1"/>
  <c r="AP74" i="21"/>
  <c r="AP74" i="21" a="1"/>
  <c r="AN74" i="21" a="1"/>
  <c r="AN74" i="21" s="1"/>
  <c r="AL74" i="21" a="1"/>
  <c r="AL74" i="21" s="1"/>
  <c r="AJ74" i="21" a="1"/>
  <c r="AJ74" i="21" s="1"/>
  <c r="AH74" i="21"/>
  <c r="AH74" i="21" a="1"/>
  <c r="AF74" i="21"/>
  <c r="AF74" i="21" a="1"/>
  <c r="AD74" i="21" a="1"/>
  <c r="AD74" i="21" s="1"/>
  <c r="AB74" i="21"/>
  <c r="AB74" i="21" a="1"/>
  <c r="Z74" i="21"/>
  <c r="Z74" i="21" a="1"/>
  <c r="X74" i="21" a="1"/>
  <c r="X74" i="21" s="1"/>
  <c r="V74" i="21" a="1"/>
  <c r="V74" i="21" s="1"/>
  <c r="T74" i="21" a="1"/>
  <c r="T74" i="21" s="1"/>
  <c r="R74" i="21" a="1"/>
  <c r="R74" i="21" s="1"/>
  <c r="P74" i="21"/>
  <c r="P74" i="21" a="1"/>
  <c r="N74" i="21" a="1"/>
  <c r="N74" i="21" s="1"/>
  <c r="L74" i="21"/>
  <c r="L74" i="21" a="1"/>
  <c r="J74" i="21"/>
  <c r="J74" i="21" a="1"/>
  <c r="H74" i="21" a="1"/>
  <c r="H74" i="21" s="1"/>
  <c r="F74" i="21" a="1"/>
  <c r="F74" i="21" s="1"/>
  <c r="D74" i="21" a="1"/>
  <c r="D74" i="21" s="1"/>
  <c r="B74" i="21" a="1"/>
  <c r="B74" i="21" s="1"/>
  <c r="AV73" i="21"/>
  <c r="AV73" i="21" a="1"/>
  <c r="AT73" i="21" a="1"/>
  <c r="AT73" i="21" s="1"/>
  <c r="AR73" i="21"/>
  <c r="AR73" i="21" a="1"/>
  <c r="AP73" i="21"/>
  <c r="AP73" i="21" a="1"/>
  <c r="AN73" i="21" a="1"/>
  <c r="AN73" i="21" s="1"/>
  <c r="AL73" i="21"/>
  <c r="AL73" i="21" a="1"/>
  <c r="AJ73" i="21" a="1"/>
  <c r="AJ73" i="21" s="1"/>
  <c r="AH73" i="21" a="1"/>
  <c r="AH73" i="21" s="1"/>
  <c r="AF73" i="21"/>
  <c r="AF73" i="21" a="1"/>
  <c r="AD73" i="21" a="1"/>
  <c r="AD73" i="21" s="1"/>
  <c r="AB73" i="21"/>
  <c r="AB73" i="21" a="1"/>
  <c r="Z73" i="21"/>
  <c r="Z73" i="21" a="1"/>
  <c r="X73" i="21" a="1"/>
  <c r="X73" i="21" s="1"/>
  <c r="V73" i="21" a="1"/>
  <c r="V73" i="21" s="1"/>
  <c r="T73" i="21"/>
  <c r="T73" i="21" a="1"/>
  <c r="R73" i="21" a="1"/>
  <c r="R73" i="21" s="1"/>
  <c r="P73" i="21"/>
  <c r="P73" i="21" a="1"/>
  <c r="N73" i="21" a="1"/>
  <c r="N73" i="21" s="1"/>
  <c r="L73" i="21"/>
  <c r="L73" i="21" a="1"/>
  <c r="J73" i="21"/>
  <c r="J73" i="21" a="1"/>
  <c r="H73" i="21" a="1"/>
  <c r="H73" i="21" s="1"/>
  <c r="F73" i="21" a="1"/>
  <c r="F73" i="21" s="1"/>
  <c r="D73" i="21" a="1"/>
  <c r="D73" i="21" s="1"/>
  <c r="B73" i="21"/>
  <c r="B73" i="21" a="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V67" i="21" a="1"/>
  <c r="AV67" i="21" s="1"/>
  <c r="AT67" i="21"/>
  <c r="AT67" i="21" a="1"/>
  <c r="AR67" i="21" a="1"/>
  <c r="AR67" i="21" s="1"/>
  <c r="AP67" i="21" a="1"/>
  <c r="AP67" i="21" s="1"/>
  <c r="AN67" i="21"/>
  <c r="AN68" i="21" s="1"/>
  <c r="AN67" i="21" a="1"/>
  <c r="AL67" i="21" a="1"/>
  <c r="AL67" i="21" s="1"/>
  <c r="AJ67" i="21"/>
  <c r="AJ67" i="21" a="1"/>
  <c r="AH67" i="21"/>
  <c r="AH67" i="21" a="1"/>
  <c r="AF67" i="21" a="1"/>
  <c r="AF67" i="21" s="1"/>
  <c r="AD67" i="21" a="1"/>
  <c r="AD67" i="21" s="1"/>
  <c r="AB67" i="21"/>
  <c r="AB67" i="21" a="1"/>
  <c r="Z67" i="21" a="1"/>
  <c r="Z67" i="21" s="1"/>
  <c r="X67" i="21"/>
  <c r="X67" i="21" a="1"/>
  <c r="V67" i="21" a="1"/>
  <c r="V67" i="21" s="1"/>
  <c r="T67" i="21"/>
  <c r="T67" i="21" a="1"/>
  <c r="R67" i="21"/>
  <c r="R67" i="21" a="1"/>
  <c r="P67" i="21" a="1"/>
  <c r="P67" i="21" s="1"/>
  <c r="N67" i="21" a="1"/>
  <c r="N67" i="21" s="1"/>
  <c r="L67" i="21" a="1"/>
  <c r="L67" i="21" s="1"/>
  <c r="J67" i="21"/>
  <c r="J67" i="21" a="1"/>
  <c r="H67" i="21"/>
  <c r="H67" i="21" a="1"/>
  <c r="F67" i="21" a="1"/>
  <c r="F67" i="21" s="1"/>
  <c r="D67" i="21"/>
  <c r="D67" i="21" a="1"/>
  <c r="B67" i="21"/>
  <c r="B67" i="21" a="1"/>
  <c r="AV66" i="21" a="1"/>
  <c r="AV66" i="21" s="1"/>
  <c r="AT66" i="21"/>
  <c r="AT68" i="21" s="1"/>
  <c r="AT66" i="21" a="1"/>
  <c r="AR66" i="21" a="1"/>
  <c r="AR66" i="21" s="1"/>
  <c r="AP66" i="21" a="1"/>
  <c r="AP66" i="21" s="1"/>
  <c r="AN66" i="21"/>
  <c r="AN66" i="21" a="1"/>
  <c r="AL66" i="21" a="1"/>
  <c r="AL66" i="21" s="1"/>
  <c r="AJ66" i="21"/>
  <c r="AJ66" i="21" a="1"/>
  <c r="AH66" i="21"/>
  <c r="AH66" i="21" a="1"/>
  <c r="AF66" i="21" a="1"/>
  <c r="AF66" i="21" s="1"/>
  <c r="AD66" i="21" a="1"/>
  <c r="AD66" i="21" s="1"/>
  <c r="AB66" i="21"/>
  <c r="AB68" i="21" s="1"/>
  <c r="AB66" i="21" a="1"/>
  <c r="Z66" i="21" a="1"/>
  <c r="Z66" i="21" s="1"/>
  <c r="X66" i="21"/>
  <c r="X68" i="21" s="1"/>
  <c r="X66" i="21" a="1"/>
  <c r="V66" i="21" a="1"/>
  <c r="V66" i="21" s="1"/>
  <c r="T66" i="21"/>
  <c r="T66" i="21" a="1"/>
  <c r="R66" i="21"/>
  <c r="R66" i="21" a="1"/>
  <c r="P66" i="21" a="1"/>
  <c r="P66" i="21" s="1"/>
  <c r="N66" i="21" a="1"/>
  <c r="N66" i="21" s="1"/>
  <c r="L66" i="21" a="1"/>
  <c r="L66" i="21" s="1"/>
  <c r="J66" i="21"/>
  <c r="J66" i="21" a="1"/>
  <c r="H66" i="21"/>
  <c r="H68" i="21" s="1"/>
  <c r="H66" i="21" a="1"/>
  <c r="F66" i="21" a="1"/>
  <c r="F66" i="21" s="1"/>
  <c r="D66" i="21"/>
  <c r="D66" i="21" a="1"/>
  <c r="B66" i="21"/>
  <c r="B68" i="21" s="1"/>
  <c r="B66" i="21" a="1"/>
  <c r="AV65" i="21" a="1"/>
  <c r="AV65" i="21" s="1"/>
  <c r="AV69" i="21" s="1"/>
  <c r="AT65" i="21" a="1"/>
  <c r="AT65" i="21" s="1"/>
  <c r="AT69" i="21" s="1"/>
  <c r="AR65" i="21" a="1"/>
  <c r="AR65" i="21" s="1"/>
  <c r="AR69" i="21" s="1"/>
  <c r="AP65" i="21" a="1"/>
  <c r="AP65" i="21" s="1"/>
  <c r="AP69" i="21" s="1"/>
  <c r="AN65" i="21"/>
  <c r="AN69" i="21" s="1"/>
  <c r="AN65" i="21" a="1"/>
  <c r="AL65" i="21" a="1"/>
  <c r="AL65" i="21" s="1"/>
  <c r="AL69" i="21" s="1"/>
  <c r="AJ65" i="21"/>
  <c r="AJ69" i="21" s="1"/>
  <c r="AJ65" i="21" a="1"/>
  <c r="AH65" i="21"/>
  <c r="AH69" i="21" s="1"/>
  <c r="AH65" i="21" a="1"/>
  <c r="AF65" i="21" a="1"/>
  <c r="AF65" i="21" s="1"/>
  <c r="AF69" i="21" s="1"/>
  <c r="AD65" i="21" a="1"/>
  <c r="AD65" i="21" s="1"/>
  <c r="AD69" i="21" s="1"/>
  <c r="AB65" i="21" a="1"/>
  <c r="AB65" i="21" s="1"/>
  <c r="AB69" i="21" s="1"/>
  <c r="Z65" i="21" a="1"/>
  <c r="Z65" i="21" s="1"/>
  <c r="Z69" i="21" s="1"/>
  <c r="X65" i="21"/>
  <c r="X69" i="21" s="1"/>
  <c r="X65" i="21" a="1"/>
  <c r="V65" i="21" a="1"/>
  <c r="V65" i="21" s="1"/>
  <c r="V69" i="21" s="1"/>
  <c r="T65" i="21"/>
  <c r="T69" i="21" s="1"/>
  <c r="T65" i="21" a="1"/>
  <c r="R65" i="21"/>
  <c r="R69" i="21" s="1"/>
  <c r="R65" i="21" a="1"/>
  <c r="P65" i="21" a="1"/>
  <c r="P65" i="21" s="1"/>
  <c r="P69" i="21" s="1"/>
  <c r="N65" i="21"/>
  <c r="N69" i="21" s="1"/>
  <c r="N65" i="21" a="1"/>
  <c r="L65" i="21" a="1"/>
  <c r="L65" i="21" s="1"/>
  <c r="L69" i="21" s="1"/>
  <c r="J65" i="21" a="1"/>
  <c r="J65" i="21" s="1"/>
  <c r="J69" i="21" s="1"/>
  <c r="H65" i="21"/>
  <c r="H69" i="21" s="1"/>
  <c r="H65" i="21" a="1"/>
  <c r="F65" i="21" a="1"/>
  <c r="F65" i="21" s="1"/>
  <c r="F69" i="21" s="1"/>
  <c r="D65" i="21"/>
  <c r="D69" i="21" s="1"/>
  <c r="D65" i="21" a="1"/>
  <c r="B65" i="21"/>
  <c r="B69" i="21" s="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5" i="21"/>
  <c r="AT55" i="21"/>
  <c r="AR55" i="21"/>
  <c r="AP55" i="21"/>
  <c r="AN55" i="21"/>
  <c r="AN80" i="21" s="1"/>
  <c r="AL55" i="21"/>
  <c r="AL80" i="21" s="1"/>
  <c r="AJ55" i="21"/>
  <c r="AJ80" i="21" s="1"/>
  <c r="AH55" i="21"/>
  <c r="AH80" i="21" s="1"/>
  <c r="AF55" i="21"/>
  <c r="AF80" i="21" s="1"/>
  <c r="AD55" i="21"/>
  <c r="AD80" i="21" s="1"/>
  <c r="AB55" i="21"/>
  <c r="AB80" i="21" s="1"/>
  <c r="Z55" i="21"/>
  <c r="Z80" i="21" s="1"/>
  <c r="X55" i="21"/>
  <c r="X80" i="21" s="1"/>
  <c r="V55" i="21"/>
  <c r="V80" i="21" s="1"/>
  <c r="T55" i="21"/>
  <c r="T80" i="21" s="1"/>
  <c r="R55" i="21"/>
  <c r="R80" i="21" s="1"/>
  <c r="P55" i="21"/>
  <c r="P80" i="21" s="1"/>
  <c r="N55" i="21"/>
  <c r="L55" i="21"/>
  <c r="J55" i="21"/>
  <c r="J80" i="21" s="1"/>
  <c r="H55" i="21"/>
  <c r="H80" i="21" s="1"/>
  <c r="F55" i="21"/>
  <c r="F80" i="21" s="1"/>
  <c r="D55" i="21"/>
  <c r="D80" i="21" s="1"/>
  <c r="B55" i="21"/>
  <c r="B80" i="21" s="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P51" i="21"/>
  <c r="AN51" i="21"/>
  <c r="AL51" i="21"/>
  <c r="AL81" i="21" s="1"/>
  <c r="AJ51" i="21"/>
  <c r="AH51" i="21"/>
  <c r="AH81" i="21" s="1"/>
  <c r="AF51" i="21"/>
  <c r="AF81" i="21" s="1"/>
  <c r="AD51" i="21"/>
  <c r="AD81" i="21" s="1"/>
  <c r="AB51" i="21"/>
  <c r="AB81" i="21" s="1"/>
  <c r="Z51" i="21"/>
  <c r="Z81" i="21" s="1"/>
  <c r="X51" i="21"/>
  <c r="X81" i="21" s="1"/>
  <c r="V51" i="21"/>
  <c r="V81" i="21" s="1"/>
  <c r="T51" i="21"/>
  <c r="T81" i="21" s="1"/>
  <c r="R51" i="21"/>
  <c r="R81" i="21" s="1"/>
  <c r="P51" i="21"/>
  <c r="P81" i="21" s="1"/>
  <c r="N51" i="21"/>
  <c r="N81" i="21" s="1"/>
  <c r="L51" i="21"/>
  <c r="L81" i="21" s="1"/>
  <c r="J51" i="21"/>
  <c r="J81" i="21" s="1"/>
  <c r="H51" i="21"/>
  <c r="H81" i="21" s="1"/>
  <c r="F51" i="21"/>
  <c r="F81" i="21" s="1"/>
  <c r="D51" i="21"/>
  <c r="D81" i="21" s="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a="1"/>
  <c r="AV43" i="21" s="1"/>
  <c r="AT43" i="21" a="1"/>
  <c r="AT43" i="21" s="1"/>
  <c r="AR43" i="21"/>
  <c r="AR43" i="21" a="1"/>
  <c r="AP43" i="21" a="1"/>
  <c r="AP43" i="21" s="1"/>
  <c r="AN43" i="21" a="1"/>
  <c r="AN43" i="21" s="1"/>
  <c r="AL43" i="21" a="1"/>
  <c r="AL43" i="21" s="1"/>
  <c r="AJ43" i="21"/>
  <c r="AJ43" i="21" a="1"/>
  <c r="AH43" i="21" a="1"/>
  <c r="AH43" i="21" s="1"/>
  <c r="AF43" i="21" a="1"/>
  <c r="AF43" i="21" s="1"/>
  <c r="AD43" i="21" a="1"/>
  <c r="AD43" i="21" s="1"/>
  <c r="AB43" i="21" a="1"/>
  <c r="AB43" i="21" s="1"/>
  <c r="Z43" i="21" a="1"/>
  <c r="Z43" i="21" s="1"/>
  <c r="X43" i="21" a="1"/>
  <c r="X43" i="21" s="1"/>
  <c r="V43" i="21" a="1"/>
  <c r="V43" i="21" s="1"/>
  <c r="T43" i="21" a="1"/>
  <c r="T43" i="21" s="1"/>
  <c r="R43" i="21" a="1"/>
  <c r="R43" i="21" s="1"/>
  <c r="P43" i="21"/>
  <c r="P43" i="21" a="1"/>
  <c r="N43" i="21" a="1"/>
  <c r="N43" i="21" s="1"/>
  <c r="L43" i="21" a="1"/>
  <c r="L43" i="21" s="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N91" i="23" l="1"/>
  <c r="M91" i="23"/>
  <c r="B91" i="23"/>
  <c r="B8" i="40"/>
  <c r="R91" i="23"/>
  <c r="R8" i="40"/>
  <c r="C91" i="23"/>
  <c r="C8" i="40"/>
  <c r="S91" i="23"/>
  <c r="S8" i="40"/>
  <c r="D91" i="23"/>
  <c r="U91" i="23"/>
  <c r="U8" i="40"/>
  <c r="V91" i="23"/>
  <c r="V8" i="40"/>
  <c r="G91" i="23"/>
  <c r="G8" i="40"/>
  <c r="W91" i="23"/>
  <c r="E91" i="23"/>
  <c r="E8" i="40"/>
  <c r="H91" i="23"/>
  <c r="H8" i="40"/>
  <c r="X91" i="23"/>
  <c r="F91" i="23"/>
  <c r="F8" i="40"/>
  <c r="I91" i="23"/>
  <c r="I8" i="40"/>
  <c r="Y91" i="23"/>
  <c r="J91" i="23"/>
  <c r="J8" i="40"/>
  <c r="K91" i="23"/>
  <c r="K8" i="40"/>
  <c r="L91" i="23"/>
  <c r="L8" i="40"/>
  <c r="T91" i="23"/>
  <c r="Q91" i="23"/>
  <c r="P91" i="23"/>
  <c r="H68" i="38"/>
  <c r="AN68" i="38"/>
  <c r="R92" i="23"/>
  <c r="M92" i="23"/>
  <c r="L92" i="23"/>
  <c r="J92" i="23"/>
  <c r="Z68" i="38"/>
  <c r="T92" i="23"/>
  <c r="S92" i="23"/>
  <c r="K92" i="23"/>
  <c r="N92" i="23"/>
  <c r="N9" i="40"/>
  <c r="E92" i="23"/>
  <c r="D92" i="23"/>
  <c r="P92" i="23"/>
  <c r="P9" i="40"/>
  <c r="C92" i="23"/>
  <c r="AD68" i="38"/>
  <c r="Y69" i="23"/>
  <c r="F92" i="23"/>
  <c r="F9" i="40"/>
  <c r="V92" i="23"/>
  <c r="V9" i="40"/>
  <c r="W92" i="23"/>
  <c r="W9" i="40"/>
  <c r="X92" i="23"/>
  <c r="X9" i="40"/>
  <c r="I92" i="23"/>
  <c r="I9" i="40"/>
  <c r="Y92" i="23"/>
  <c r="Y9" i="40"/>
  <c r="O92" i="23"/>
  <c r="O9" i="40"/>
  <c r="AB68" i="38"/>
  <c r="Q92" i="23"/>
  <c r="Q9" i="40"/>
  <c r="AF68" i="38"/>
  <c r="U92" i="23"/>
  <c r="G92" i="23"/>
  <c r="G9" i="40"/>
  <c r="H92" i="23"/>
  <c r="H9" i="40"/>
  <c r="B68" i="38"/>
  <c r="AH68" i="38"/>
  <c r="AV68" i="21"/>
  <c r="Z68" i="21"/>
  <c r="T68" i="21"/>
  <c r="AP68" i="21"/>
  <c r="AR68" i="21"/>
  <c r="P68" i="21"/>
  <c r="R68" i="21"/>
  <c r="T68" i="18"/>
  <c r="AV68" i="18"/>
  <c r="Z68" i="18"/>
  <c r="L68" i="18"/>
  <c r="N90" i="23"/>
  <c r="P90" i="23"/>
  <c r="O90" i="23"/>
  <c r="Q90" i="23"/>
  <c r="G90" i="23"/>
  <c r="G7" i="40"/>
  <c r="W90" i="23"/>
  <c r="H90" i="23"/>
  <c r="H7" i="40"/>
  <c r="X90" i="23"/>
  <c r="E90" i="23"/>
  <c r="E7" i="40"/>
  <c r="F90" i="23"/>
  <c r="F7" i="40"/>
  <c r="I90" i="23"/>
  <c r="I7" i="40"/>
  <c r="C90" i="23"/>
  <c r="C7" i="40"/>
  <c r="D90" i="23"/>
  <c r="D7" i="40"/>
  <c r="J90" i="23"/>
  <c r="U90" i="23"/>
  <c r="K90" i="23"/>
  <c r="B90" i="23"/>
  <c r="B7" i="40"/>
  <c r="R90" i="23"/>
  <c r="S90" i="23"/>
  <c r="T90" i="23"/>
  <c r="V90" i="23"/>
  <c r="L90" i="23"/>
  <c r="M90" i="23"/>
  <c r="H68" i="22"/>
  <c r="F68" i="22"/>
  <c r="R68" i="22"/>
  <c r="I86" i="23"/>
  <c r="I3" i="40"/>
  <c r="M86" i="23"/>
  <c r="J86" i="23"/>
  <c r="J3" i="40"/>
  <c r="H86" i="23"/>
  <c r="H3" i="40"/>
  <c r="Q86" i="23"/>
  <c r="K86" i="23"/>
  <c r="K3" i="40"/>
  <c r="O86" i="23"/>
  <c r="O3" i="40"/>
  <c r="L86" i="23"/>
  <c r="L3" i="40"/>
  <c r="B86" i="23"/>
  <c r="N86" i="23"/>
  <c r="N3" i="40"/>
  <c r="D68" i="22"/>
  <c r="C86" i="23"/>
  <c r="C3" i="40"/>
  <c r="N68" i="22"/>
  <c r="D86" i="23"/>
  <c r="D3" i="40"/>
  <c r="AP68" i="22"/>
  <c r="E86" i="23"/>
  <c r="E3" i="40"/>
  <c r="AR68" i="22"/>
  <c r="F86" i="23"/>
  <c r="F3" i="40"/>
  <c r="P86" i="23"/>
  <c r="P3" i="40"/>
  <c r="G86" i="23"/>
  <c r="G3" i="40"/>
  <c r="W87" i="23"/>
  <c r="J87" i="23"/>
  <c r="G87" i="23"/>
  <c r="F87" i="23"/>
  <c r="E87" i="23"/>
  <c r="D87" i="23"/>
  <c r="B87" i="23"/>
  <c r="C87" i="23"/>
  <c r="AJ52" i="12"/>
  <c r="AJ82" i="12" s="1"/>
  <c r="AV52" i="12"/>
  <c r="AV82" i="12" s="1"/>
  <c r="T52" i="12"/>
  <c r="T82" i="12" s="1"/>
  <c r="P52" i="12"/>
  <c r="P82" i="12" s="1"/>
  <c r="AF52" i="12"/>
  <c r="AF82" i="12" s="1"/>
  <c r="D52" i="12"/>
  <c r="D82" i="12" s="1"/>
  <c r="F52" i="12"/>
  <c r="F82" i="12" s="1"/>
  <c r="X52" i="12"/>
  <c r="X82" i="12" s="1"/>
  <c r="V52" i="12"/>
  <c r="V82" i="12" s="1"/>
  <c r="L52" i="12"/>
  <c r="L82" i="12" s="1"/>
  <c r="AR52" i="12"/>
  <c r="AR82" i="12" s="1"/>
  <c r="N52" i="12"/>
  <c r="N82" i="12" s="1"/>
  <c r="AD52" i="12"/>
  <c r="AD82" i="12" s="1"/>
  <c r="H52" i="12"/>
  <c r="H82" i="12" s="1"/>
  <c r="AH52" i="12"/>
  <c r="AH82" i="12" s="1"/>
  <c r="AN52" i="12"/>
  <c r="AN82" i="12" s="1"/>
  <c r="J52" i="12"/>
  <c r="J82" i="12" s="1"/>
  <c r="AL52" i="12"/>
  <c r="AL82" i="12" s="1"/>
  <c r="R52" i="12"/>
  <c r="R82" i="12" s="1"/>
  <c r="AT52" i="12"/>
  <c r="AT82" i="12" s="1"/>
  <c r="AP52" i="12"/>
  <c r="AP82" i="12" s="1"/>
  <c r="AB52" i="12"/>
  <c r="AB82" i="12" s="1"/>
  <c r="Z52" i="12"/>
  <c r="Z82" i="12" s="1"/>
  <c r="B52" i="12"/>
  <c r="B82" i="12" s="1"/>
  <c r="H87" i="23"/>
  <c r="I87" i="23"/>
  <c r="I4" i="40"/>
  <c r="O65" i="23"/>
  <c r="O4" i="41"/>
  <c r="N65" i="23"/>
  <c r="N4" i="41"/>
  <c r="P65" i="23"/>
  <c r="P4" i="41"/>
  <c r="K87" i="23"/>
  <c r="K4" i="40"/>
  <c r="R65" i="23"/>
  <c r="R4" i="41"/>
  <c r="Q87" i="23"/>
  <c r="Q4" i="40"/>
  <c r="L87" i="23"/>
  <c r="L4" i="40"/>
  <c r="W65" i="23"/>
  <c r="W4" i="41"/>
  <c r="N87" i="23"/>
  <c r="N4" i="40"/>
  <c r="X65" i="23"/>
  <c r="X4" i="41"/>
  <c r="Y65" i="23"/>
  <c r="Y4" i="41"/>
  <c r="T65" i="23"/>
  <c r="T4" i="41"/>
  <c r="S87" i="23"/>
  <c r="S4" i="40"/>
  <c r="S65" i="23"/>
  <c r="S4" i="41"/>
  <c r="M87" i="23"/>
  <c r="M4" i="40"/>
  <c r="O87" i="23"/>
  <c r="O4" i="40"/>
  <c r="P87" i="23"/>
  <c r="P4" i="40"/>
  <c r="Q65" i="23"/>
  <c r="Q4" i="41"/>
  <c r="R87" i="23"/>
  <c r="R4" i="40"/>
  <c r="U65" i="23"/>
  <c r="U4" i="41"/>
  <c r="Y87" i="23"/>
  <c r="T87" i="23"/>
  <c r="T4" i="40"/>
  <c r="V65" i="23"/>
  <c r="V4" i="41"/>
  <c r="X87" i="23"/>
  <c r="U87" i="23"/>
  <c r="U4" i="40"/>
  <c r="K65" i="23"/>
  <c r="K4" i="41"/>
  <c r="L65" i="23"/>
  <c r="L4" i="41"/>
  <c r="V87" i="23"/>
  <c r="M65" i="23"/>
  <c r="M4" i="41"/>
  <c r="AJ52" i="11"/>
  <c r="AJ82" i="11" s="1"/>
  <c r="R52" i="11"/>
  <c r="R82" i="11" s="1"/>
  <c r="AP52" i="11"/>
  <c r="AP82" i="11" s="1"/>
  <c r="F52" i="11"/>
  <c r="F82" i="11" s="1"/>
  <c r="AH52" i="11"/>
  <c r="AH82" i="11" s="1"/>
  <c r="P52" i="11"/>
  <c r="P82" i="11" s="1"/>
  <c r="X52" i="11"/>
  <c r="X82" i="11" s="1"/>
  <c r="AV52" i="11"/>
  <c r="AV82" i="11" s="1"/>
  <c r="J52" i="11"/>
  <c r="J82" i="11" s="1"/>
  <c r="Z52" i="11"/>
  <c r="Z82" i="11" s="1"/>
  <c r="H52" i="11"/>
  <c r="H82" i="11" s="1"/>
  <c r="AN52" i="11"/>
  <c r="AN82" i="11" s="1"/>
  <c r="V52" i="11"/>
  <c r="V82" i="11" s="1"/>
  <c r="D52" i="11"/>
  <c r="D82" i="11" s="1"/>
  <c r="AL52" i="11"/>
  <c r="AL82" i="11" s="1"/>
  <c r="B52" i="11"/>
  <c r="B82" i="11" s="1"/>
  <c r="T52" i="11"/>
  <c r="T82" i="11" s="1"/>
  <c r="AF52" i="11"/>
  <c r="AF82" i="11" s="1"/>
  <c r="AT52" i="11"/>
  <c r="AT82" i="11" s="1"/>
  <c r="AB52" i="11"/>
  <c r="AB82" i="11" s="1"/>
  <c r="L52" i="11"/>
  <c r="L82" i="11" s="1"/>
  <c r="N52" i="11"/>
  <c r="N82" i="11" s="1"/>
  <c r="AR52" i="11"/>
  <c r="AR82" i="11" s="1"/>
  <c r="AD52" i="11"/>
  <c r="AD82" i="11" s="1"/>
  <c r="B85" i="23"/>
  <c r="AV68" i="22"/>
  <c r="V68" i="22"/>
  <c r="X68" i="22"/>
  <c r="Z68" i="22"/>
  <c r="B68" i="22"/>
  <c r="AT68" i="22"/>
  <c r="T68" i="22"/>
  <c r="AN68" i="22"/>
  <c r="V52" i="18"/>
  <c r="V82" i="18" s="1"/>
  <c r="R52" i="22"/>
  <c r="R82" i="22" s="1"/>
  <c r="AL52" i="18"/>
  <c r="AL82" i="18" s="1"/>
  <c r="B52" i="22"/>
  <c r="B82" i="22" s="1"/>
  <c r="AR52" i="38"/>
  <c r="AR82" i="38" s="1"/>
  <c r="AD52" i="22"/>
  <c r="AD82" i="22" s="1"/>
  <c r="AL52" i="38"/>
  <c r="AL82" i="38" s="1"/>
  <c r="D52" i="22"/>
  <c r="D82" i="22" s="1"/>
  <c r="J52" i="22"/>
  <c r="J82" i="22" s="1"/>
  <c r="Z52" i="18"/>
  <c r="Z82" i="18" s="1"/>
  <c r="L52" i="22"/>
  <c r="L82" i="22" s="1"/>
  <c r="AN52" i="22"/>
  <c r="AN82" i="22" s="1"/>
  <c r="AB68" i="22"/>
  <c r="J68" i="22"/>
  <c r="AD68" i="22"/>
  <c r="L68" i="22"/>
  <c r="AF68" i="22"/>
  <c r="AH68" i="22"/>
  <c r="AL68" i="22"/>
  <c r="AJ68" i="22"/>
  <c r="P68" i="22"/>
  <c r="N68" i="18"/>
  <c r="P68" i="18"/>
  <c r="R68" i="18"/>
  <c r="AP68" i="18"/>
  <c r="AR68" i="18"/>
  <c r="X68" i="38"/>
  <c r="AT68" i="38"/>
  <c r="N68" i="38"/>
  <c r="P68" i="38"/>
  <c r="AV68" i="38"/>
  <c r="R68" i="38"/>
  <c r="J68" i="38"/>
  <c r="AP68" i="38"/>
  <c r="L68" i="38"/>
  <c r="T68" i="38"/>
  <c r="AR68" i="38"/>
  <c r="V68" i="38"/>
  <c r="V68" i="21"/>
  <c r="AF68" i="21"/>
  <c r="J68" i="21"/>
  <c r="AH68" i="21"/>
  <c r="N68" i="21"/>
  <c r="AD68" i="21"/>
  <c r="L68" i="21"/>
  <c r="AJ68" i="21"/>
  <c r="AL68" i="21"/>
  <c r="D68" i="21"/>
  <c r="F68" i="21"/>
  <c r="N52" i="38" l="1"/>
  <c r="N82" i="38" s="1"/>
  <c r="AT52" i="18"/>
  <c r="AT82" i="18" s="1"/>
  <c r="AB52" i="18"/>
  <c r="AB82" i="18" s="1"/>
  <c r="F52" i="18"/>
  <c r="F82" i="18" s="1"/>
  <c r="B52" i="18"/>
  <c r="B82" i="18" s="1"/>
  <c r="AB52" i="22"/>
  <c r="AB82" i="22" s="1"/>
  <c r="Z52" i="22"/>
  <c r="Z82" i="22" s="1"/>
  <c r="V52" i="22"/>
  <c r="V82" i="22" s="1"/>
  <c r="T52" i="18"/>
  <c r="T82" i="18" s="1"/>
  <c r="AR52" i="18"/>
  <c r="AR82" i="18" s="1"/>
  <c r="F52" i="22"/>
  <c r="F82" i="22" s="1"/>
  <c r="N52" i="18"/>
  <c r="N82" i="18" s="1"/>
  <c r="AH52" i="22"/>
  <c r="AH82" i="22" s="1"/>
  <c r="R52" i="18"/>
  <c r="R82" i="18" s="1"/>
  <c r="AT52" i="38"/>
  <c r="AT82" i="38" s="1"/>
  <c r="F52" i="38"/>
  <c r="F82" i="38" s="1"/>
  <c r="AD52" i="18"/>
  <c r="AD82" i="18" s="1"/>
  <c r="B52" i="38"/>
  <c r="B82" i="38" s="1"/>
  <c r="AJ52" i="22"/>
  <c r="AJ82" i="22" s="1"/>
  <c r="AJ52" i="18"/>
  <c r="AJ82" i="18" s="1"/>
  <c r="AT52" i="21"/>
  <c r="AT82" i="21" s="1"/>
  <c r="AP52" i="38"/>
  <c r="AP82" i="38" s="1"/>
  <c r="AN52" i="38"/>
  <c r="AN82" i="38" s="1"/>
  <c r="AF52" i="22"/>
  <c r="AF82" i="22" s="1"/>
  <c r="T52" i="38"/>
  <c r="T82" i="38" s="1"/>
  <c r="X52" i="18"/>
  <c r="X82" i="18" s="1"/>
  <c r="P52" i="38"/>
  <c r="P82" i="38" s="1"/>
  <c r="P52" i="18"/>
  <c r="P82" i="18" s="1"/>
  <c r="AF52" i="38"/>
  <c r="AF82" i="38" s="1"/>
  <c r="J52" i="38"/>
  <c r="J82" i="38" s="1"/>
  <c r="H52" i="18"/>
  <c r="H82" i="18" s="1"/>
  <c r="AJ52" i="38"/>
  <c r="AJ82" i="38" s="1"/>
  <c r="H52" i="38"/>
  <c r="H82" i="38" s="1"/>
  <c r="P52" i="22"/>
  <c r="P82" i="22" s="1"/>
  <c r="Z52" i="38"/>
  <c r="Z82" i="38" s="1"/>
  <c r="AF52" i="18"/>
  <c r="AF82" i="18" s="1"/>
  <c r="D52" i="38"/>
  <c r="D82" i="38" s="1"/>
  <c r="AV52" i="22"/>
  <c r="AV82" i="22" s="1"/>
  <c r="AV52" i="18"/>
  <c r="AV82" i="18" s="1"/>
  <c r="AV52" i="38"/>
  <c r="AV82" i="38" s="1"/>
  <c r="X52" i="38"/>
  <c r="X82" i="38" s="1"/>
  <c r="AP52" i="18"/>
  <c r="AP82" i="18" s="1"/>
  <c r="AB52" i="38"/>
  <c r="AB82" i="38" s="1"/>
  <c r="D52" i="18"/>
  <c r="D82" i="18" s="1"/>
  <c r="AH52" i="38"/>
  <c r="AH82" i="38" s="1"/>
  <c r="AN52" i="18"/>
  <c r="AN82" i="18" s="1"/>
  <c r="H52" i="22"/>
  <c r="H82" i="22" s="1"/>
  <c r="R52" i="38"/>
  <c r="R82" i="38" s="1"/>
  <c r="L52" i="38"/>
  <c r="L82" i="38" s="1"/>
  <c r="J52" i="18"/>
  <c r="J82" i="18" s="1"/>
  <c r="N52" i="22"/>
  <c r="N82" i="22" s="1"/>
  <c r="L52" i="18"/>
  <c r="L82" i="18" s="1"/>
  <c r="AP52" i="22"/>
  <c r="AP82" i="22" s="1"/>
  <c r="V52" i="38"/>
  <c r="V82" i="38" s="1"/>
  <c r="AL52" i="22"/>
  <c r="AL82" i="22" s="1"/>
  <c r="AT52" i="22"/>
  <c r="AT82" i="22" s="1"/>
  <c r="X52" i="22"/>
  <c r="X82" i="22" s="1"/>
  <c r="T52" i="22"/>
  <c r="T82" i="22" s="1"/>
  <c r="AR52" i="22"/>
  <c r="AR82" i="22" s="1"/>
  <c r="AH52" i="18"/>
  <c r="AH82" i="18" s="1"/>
  <c r="AD52" i="38"/>
  <c r="AD82" i="38" s="1"/>
  <c r="R52" i="21"/>
  <c r="R82" i="21" s="1"/>
  <c r="AH52" i="21"/>
  <c r="AH82" i="21" s="1"/>
  <c r="AV52" i="21"/>
  <c r="AV82" i="21" s="1"/>
  <c r="AF52" i="21"/>
  <c r="AF82" i="21" s="1"/>
  <c r="T52" i="21"/>
  <c r="T82" i="21" s="1"/>
  <c r="P52" i="21"/>
  <c r="P82" i="21" s="1"/>
  <c r="AP52" i="21"/>
  <c r="AP82" i="21" s="1"/>
  <c r="AN52" i="21"/>
  <c r="AN82" i="21" s="1"/>
  <c r="AL52" i="21"/>
  <c r="AL82" i="21" s="1"/>
  <c r="AR52" i="21"/>
  <c r="AR82" i="21" s="1"/>
  <c r="H52" i="21"/>
  <c r="H82" i="21" s="1"/>
  <c r="L52" i="21"/>
  <c r="L82" i="21" s="1"/>
  <c r="AD52" i="21"/>
  <c r="AD82" i="21" s="1"/>
  <c r="AJ52" i="21"/>
  <c r="AJ82" i="21" s="1"/>
  <c r="F52" i="21"/>
  <c r="F82" i="21" s="1"/>
  <c r="B52" i="21"/>
  <c r="B82" i="21" s="1"/>
  <c r="N52" i="21"/>
  <c r="N82" i="21" s="1"/>
  <c r="Z52" i="21"/>
  <c r="Z82" i="21" s="1"/>
  <c r="D52" i="21"/>
  <c r="D82" i="21" s="1"/>
  <c r="X52" i="21"/>
  <c r="X82" i="21" s="1"/>
  <c r="AB52" i="21"/>
  <c r="AB82" i="21" s="1"/>
  <c r="V52" i="21"/>
  <c r="V82" i="21" s="1"/>
  <c r="J52" i="21"/>
  <c r="J82" i="21" s="1"/>
  <c r="E57" i="1"/>
  <c r="G8" i="1" l="1"/>
  <c r="F8" i="1"/>
  <c r="A17" i="23" l="1"/>
  <c r="A18" i="23"/>
  <c r="A19" i="23"/>
  <c r="A20" i="23"/>
  <c r="A21" i="23"/>
  <c r="A22" i="23"/>
  <c r="A23" i="23"/>
  <c r="A24" i="23"/>
  <c r="A25" i="23"/>
  <c r="A26" i="23"/>
  <c r="A16" i="23"/>
  <c r="R19" i="23"/>
  <c r="N19" i="23" l="1"/>
  <c r="N3" i="42"/>
  <c r="P19" i="23"/>
  <c r="P3" i="42"/>
  <c r="B19" i="23"/>
  <c r="B3" i="42"/>
  <c r="C19" i="23"/>
  <c r="C3" i="42"/>
  <c r="D19" i="23"/>
  <c r="D3" i="42"/>
  <c r="H19" i="23"/>
  <c r="H3" i="42"/>
  <c r="L19" i="23"/>
  <c r="L3" i="42"/>
  <c r="O19" i="23"/>
  <c r="O3" i="42"/>
  <c r="Q19" i="23"/>
  <c r="E19" i="23"/>
  <c r="E3" i="42"/>
  <c r="F19" i="23"/>
  <c r="F3" i="42"/>
  <c r="G19" i="23"/>
  <c r="G3" i="42"/>
  <c r="I19" i="23"/>
  <c r="I3" i="42"/>
  <c r="J19" i="23"/>
  <c r="J3" i="42"/>
  <c r="K19" i="23"/>
  <c r="K3" i="42"/>
  <c r="M19" i="23"/>
  <c r="M3" i="42"/>
  <c r="F4" i="42"/>
  <c r="F20" i="23"/>
  <c r="V4" i="42"/>
  <c r="V20" i="23"/>
  <c r="G4" i="42"/>
  <c r="G20" i="23"/>
  <c r="W4" i="42"/>
  <c r="W20" i="23"/>
  <c r="H4" i="42"/>
  <c r="H20" i="23"/>
  <c r="X4" i="42"/>
  <c r="X20" i="23"/>
  <c r="I4" i="42"/>
  <c r="I20" i="23"/>
  <c r="Y4" i="42"/>
  <c r="Y20" i="23"/>
  <c r="J4" i="42"/>
  <c r="J20" i="23"/>
  <c r="K4" i="42"/>
  <c r="K20" i="23"/>
  <c r="L4" i="42"/>
  <c r="L20" i="23"/>
  <c r="M4" i="42"/>
  <c r="M20" i="23"/>
  <c r="N4" i="42"/>
  <c r="N20" i="23"/>
  <c r="O4" i="42"/>
  <c r="O20" i="23"/>
  <c r="P4" i="42"/>
  <c r="P20" i="23"/>
  <c r="Q4" i="42"/>
  <c r="Q20" i="23"/>
  <c r="B4" i="42"/>
  <c r="B20" i="23"/>
  <c r="R4" i="42"/>
  <c r="R20" i="23"/>
  <c r="C4" i="42"/>
  <c r="C20" i="23"/>
  <c r="S4" i="42"/>
  <c r="S20" i="23"/>
  <c r="D4" i="42"/>
  <c r="D20" i="23"/>
  <c r="T4" i="42"/>
  <c r="T20" i="23"/>
  <c r="E4" i="42"/>
  <c r="E20" i="23"/>
  <c r="U4" i="42"/>
  <c r="U20" i="23"/>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X56" i="23"/>
  <c r="W56" i="23"/>
  <c r="V56" i="23"/>
  <c r="U56" i="23"/>
  <c r="T56" i="23"/>
  <c r="S56" i="23"/>
  <c r="R56" i="23"/>
  <c r="Q56" i="23"/>
  <c r="P56" i="23"/>
  <c r="O56" i="23"/>
  <c r="N56" i="23"/>
  <c r="M56" i="23"/>
  <c r="L56" i="23"/>
  <c r="K56" i="23"/>
  <c r="K9" i="41" s="1"/>
  <c r="J56" i="23"/>
  <c r="J9" i="41" s="1"/>
  <c r="I56" i="23"/>
  <c r="I9" i="41" s="1"/>
  <c r="H56" i="23"/>
  <c r="H9" i="41" s="1"/>
  <c r="G56" i="23"/>
  <c r="G9" i="41" s="1"/>
  <c r="F56" i="23"/>
  <c r="F9" i="41" s="1"/>
  <c r="E56" i="23"/>
  <c r="E9" i="41" s="1"/>
  <c r="D56" i="23"/>
  <c r="D9" i="41" s="1"/>
  <c r="C56" i="23"/>
  <c r="C9" i="41" s="1"/>
  <c r="B56" i="23"/>
  <c r="B9" i="41" s="1"/>
  <c r="X69" i="23"/>
  <c r="B55" i="23"/>
  <c r="B8" i="41" s="1"/>
  <c r="Y54" i="23"/>
  <c r="X54" i="23"/>
  <c r="W54" i="23"/>
  <c r="V54" i="23"/>
  <c r="U54" i="23"/>
  <c r="T54" i="23"/>
  <c r="S54" i="23"/>
  <c r="R54" i="23"/>
  <c r="Q54" i="23"/>
  <c r="P54" i="23"/>
  <c r="O54" i="23"/>
  <c r="N54" i="23"/>
  <c r="M54" i="23"/>
  <c r="L54" i="23"/>
  <c r="K54" i="23"/>
  <c r="J54" i="23"/>
  <c r="I54" i="23"/>
  <c r="I7" i="41" s="1"/>
  <c r="H54" i="23"/>
  <c r="H7" i="41" s="1"/>
  <c r="G54" i="23"/>
  <c r="G7" i="41" s="1"/>
  <c r="F54" i="23"/>
  <c r="F7" i="41" s="1"/>
  <c r="E54" i="23"/>
  <c r="E7" i="41" s="1"/>
  <c r="D54" i="23"/>
  <c r="D7" i="41" s="1"/>
  <c r="C54" i="23"/>
  <c r="C7" i="41" s="1"/>
  <c r="B54" i="23"/>
  <c r="B7" i="41" s="1"/>
  <c r="Y53" i="23"/>
  <c r="X53" i="23"/>
  <c r="W53" i="23"/>
  <c r="V53" i="23"/>
  <c r="U53" i="23"/>
  <c r="T53" i="23"/>
  <c r="S53" i="23"/>
  <c r="R53" i="23"/>
  <c r="Q53" i="23"/>
  <c r="P53" i="23"/>
  <c r="O53" i="23"/>
  <c r="N53" i="23"/>
  <c r="M53" i="23"/>
  <c r="L53" i="23"/>
  <c r="K53" i="23"/>
  <c r="K6" i="41" s="1"/>
  <c r="J53" i="23"/>
  <c r="J6" i="41" s="1"/>
  <c r="I53" i="23"/>
  <c r="I6" i="41" s="1"/>
  <c r="H53" i="23"/>
  <c r="H6" i="41" s="1"/>
  <c r="G53" i="23"/>
  <c r="G6" i="41" s="1"/>
  <c r="F53" i="23"/>
  <c r="F6" i="41" s="1"/>
  <c r="E53" i="23"/>
  <c r="E6" i="41" s="1"/>
  <c r="D53" i="23"/>
  <c r="D6" i="41" s="1"/>
  <c r="C53" i="23"/>
  <c r="C6" i="41" s="1"/>
  <c r="B53" i="23"/>
  <c r="B6" i="41" s="1"/>
  <c r="S52" i="23"/>
  <c r="R52" i="23"/>
  <c r="Q52" i="23"/>
  <c r="P52" i="23"/>
  <c r="P5" i="41" s="1"/>
  <c r="O52" i="23"/>
  <c r="O5" i="41" s="1"/>
  <c r="N52" i="23"/>
  <c r="N5" i="41" s="1"/>
  <c r="M52" i="23"/>
  <c r="M5" i="41" s="1"/>
  <c r="L52" i="23"/>
  <c r="L5" i="41" s="1"/>
  <c r="K52" i="23"/>
  <c r="K5" i="41" s="1"/>
  <c r="J52" i="23"/>
  <c r="J5" i="41" s="1"/>
  <c r="I52" i="23"/>
  <c r="I5" i="41" s="1"/>
  <c r="H52" i="23"/>
  <c r="H5" i="41" s="1"/>
  <c r="G52" i="23"/>
  <c r="G5" i="41" s="1"/>
  <c r="F52" i="23"/>
  <c r="F5" i="41" s="1"/>
  <c r="E52" i="23"/>
  <c r="E5" i="41" s="1"/>
  <c r="D52" i="23"/>
  <c r="D5" i="41" s="1"/>
  <c r="C52" i="23"/>
  <c r="C5" i="41" s="1"/>
  <c r="B52" i="23"/>
  <c r="B5" i="41" s="1"/>
  <c r="B51" i="23"/>
  <c r="B4" i="41" s="1"/>
  <c r="Y49" i="23"/>
  <c r="X49" i="23"/>
  <c r="W49" i="23"/>
  <c r="W2" i="41" s="1"/>
  <c r="V49" i="23"/>
  <c r="V2" i="41" s="1"/>
  <c r="U49" i="23"/>
  <c r="U2" i="41" s="1"/>
  <c r="T49" i="23"/>
  <c r="T2" i="41" s="1"/>
  <c r="S49" i="23"/>
  <c r="S2" i="41" s="1"/>
  <c r="R49" i="23"/>
  <c r="R2" i="41" s="1"/>
  <c r="Q49" i="23"/>
  <c r="Q2" i="41" s="1"/>
  <c r="P49" i="23"/>
  <c r="P2" i="41" s="1"/>
  <c r="O49" i="23"/>
  <c r="O2" i="41" s="1"/>
  <c r="N49" i="23"/>
  <c r="N2" i="41" s="1"/>
  <c r="M49" i="23"/>
  <c r="M2" i="41" s="1"/>
  <c r="L49" i="23"/>
  <c r="L2" i="41" s="1"/>
  <c r="K49" i="23"/>
  <c r="K2" i="41" s="1"/>
  <c r="J49" i="23"/>
  <c r="J2" i="41" s="1"/>
  <c r="I49" i="23"/>
  <c r="I2" i="41" s="1"/>
  <c r="H49" i="23"/>
  <c r="H2" i="41" s="1"/>
  <c r="G49" i="23"/>
  <c r="G2" i="41" s="1"/>
  <c r="F49" i="23"/>
  <c r="F2" i="41" s="1"/>
  <c r="E49" i="23"/>
  <c r="E2" i="41" s="1"/>
  <c r="D49" i="23"/>
  <c r="D2" i="41" s="1"/>
  <c r="C49" i="23"/>
  <c r="C2" i="41" s="1"/>
  <c r="B49" i="23"/>
  <c r="B2" i="41" s="1"/>
  <c r="N70" i="23" l="1"/>
  <c r="N9" i="41"/>
  <c r="P70" i="23"/>
  <c r="P9" i="41"/>
  <c r="M70" i="23"/>
  <c r="M9" i="41"/>
  <c r="O70" i="23"/>
  <c r="O9" i="41"/>
  <c r="U70" i="23"/>
  <c r="U9" i="41"/>
  <c r="L70" i="23"/>
  <c r="L9" i="41"/>
  <c r="R70" i="23"/>
  <c r="R9" i="41"/>
  <c r="W70" i="23"/>
  <c r="W9" i="41"/>
  <c r="Q70" i="23"/>
  <c r="Q9" i="41"/>
  <c r="S70" i="23"/>
  <c r="S9" i="41"/>
  <c r="V70" i="23"/>
  <c r="V9" i="41"/>
  <c r="X70" i="23"/>
  <c r="X9" i="41"/>
  <c r="T70" i="23"/>
  <c r="T9" i="41"/>
  <c r="Y9" i="41"/>
  <c r="Y70" i="23"/>
  <c r="R66" i="23"/>
  <c r="Y63" i="23"/>
  <c r="Y2" i="41"/>
  <c r="X63" i="23"/>
  <c r="X2" i="41"/>
  <c r="Y81" i="23"/>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C25" i="23" l="1"/>
  <c r="C9" i="42"/>
  <c r="J25" i="23"/>
  <c r="J9" i="42"/>
  <c r="K25" i="23"/>
  <c r="K9" i="42"/>
  <c r="M25" i="23"/>
  <c r="M9" i="42"/>
  <c r="P25" i="23"/>
  <c r="P9" i="42"/>
  <c r="B25" i="23"/>
  <c r="B9" i="42"/>
  <c r="S25" i="23"/>
  <c r="S9" i="42"/>
  <c r="D25" i="23"/>
  <c r="D9" i="42"/>
  <c r="U25" i="23"/>
  <c r="U9" i="42"/>
  <c r="G25" i="23"/>
  <c r="G9" i="42"/>
  <c r="L25" i="23"/>
  <c r="L9" i="42"/>
  <c r="N25" i="23"/>
  <c r="N9" i="42"/>
  <c r="O25" i="23"/>
  <c r="O9" i="42"/>
  <c r="Q25" i="23"/>
  <c r="Q9" i="42"/>
  <c r="R25" i="23"/>
  <c r="R9" i="42"/>
  <c r="T25" i="23"/>
  <c r="T9" i="42"/>
  <c r="E25" i="23"/>
  <c r="E9" i="42"/>
  <c r="F25" i="23"/>
  <c r="F9" i="42"/>
  <c r="V25" i="23"/>
  <c r="V9" i="42"/>
  <c r="W25" i="23"/>
  <c r="W9" i="42"/>
  <c r="H25" i="23"/>
  <c r="H9" i="42"/>
  <c r="X25" i="23"/>
  <c r="X9" i="42"/>
  <c r="I25" i="23"/>
  <c r="I9" i="42"/>
  <c r="Y25" i="23"/>
  <c r="Y9" i="42"/>
  <c r="C43" i="2"/>
  <c r="C52" i="1" l="1" a="1"/>
  <c r="C52" i="1" s="1"/>
  <c r="D52" i="1" l="1"/>
  <c r="H25" i="1" s="1" a="1"/>
  <c r="C52" i="2"/>
  <c r="G24" i="23" l="1"/>
  <c r="G8" i="42"/>
  <c r="B24" i="23"/>
  <c r="B8" i="42"/>
  <c r="V24" i="23"/>
  <c r="V8" i="42"/>
  <c r="N24" i="23"/>
  <c r="N8" i="42"/>
  <c r="F24" i="23"/>
  <c r="F8" i="42"/>
  <c r="X24" i="23"/>
  <c r="Y24" i="23"/>
  <c r="C24" i="23"/>
  <c r="C8" i="42"/>
  <c r="K24" i="23"/>
  <c r="K8" i="42"/>
  <c r="L24" i="23"/>
  <c r="L8" i="42"/>
  <c r="M24" i="23"/>
  <c r="M8" i="42"/>
  <c r="O24" i="23"/>
  <c r="O8" i="42"/>
  <c r="T24" i="23"/>
  <c r="T8" i="42"/>
  <c r="W24" i="23"/>
  <c r="H24" i="23"/>
  <c r="H8" i="42"/>
  <c r="I24" i="23"/>
  <c r="I8" i="42"/>
  <c r="J24" i="23"/>
  <c r="J8" i="42"/>
  <c r="P24" i="23"/>
  <c r="P8" i="42"/>
  <c r="Q24" i="23"/>
  <c r="Q8" i="42"/>
  <c r="R24" i="23"/>
  <c r="R8" i="42"/>
  <c r="S24" i="23"/>
  <c r="S8" i="42"/>
  <c r="D24" i="23"/>
  <c r="D8" i="42"/>
  <c r="E24" i="23"/>
  <c r="E8" i="42"/>
  <c r="U24" i="23"/>
  <c r="U8" i="42"/>
  <c r="V60" i="22"/>
  <c r="V56" i="22"/>
  <c r="AL60" i="18"/>
  <c r="F60" i="18"/>
  <c r="AL56" i="18"/>
  <c r="F56" i="18"/>
  <c r="T60" i="38"/>
  <c r="T56" i="38"/>
  <c r="V60" i="21"/>
  <c r="V56" i="21"/>
  <c r="AT60" i="22"/>
  <c r="N60" i="22"/>
  <c r="AT56" i="22"/>
  <c r="N56" i="22"/>
  <c r="AD60" i="18"/>
  <c r="AD56" i="18"/>
  <c r="N60" i="21"/>
  <c r="AN60" i="21"/>
  <c r="AL60" i="22"/>
  <c r="F60" i="22"/>
  <c r="AL56" i="22"/>
  <c r="F56" i="22"/>
  <c r="V60" i="18"/>
  <c r="V56" i="18"/>
  <c r="AJ60" i="38"/>
  <c r="D60" i="38"/>
  <c r="AJ56" i="38"/>
  <c r="AL60" i="21"/>
  <c r="F60" i="21"/>
  <c r="AL56" i="21"/>
  <c r="F56" i="21"/>
  <c r="AJ60" i="22"/>
  <c r="D60" i="22"/>
  <c r="AJ56" i="22"/>
  <c r="D56" i="22"/>
  <c r="T60" i="18"/>
  <c r="T56" i="18"/>
  <c r="AH60" i="38"/>
  <c r="B60" i="38"/>
  <c r="AH56" i="38"/>
  <c r="B56" i="38"/>
  <c r="AJ60" i="21"/>
  <c r="D60" i="21"/>
  <c r="AJ56" i="21"/>
  <c r="T60" i="22"/>
  <c r="T56" i="22"/>
  <c r="AJ60" i="18"/>
  <c r="D60" i="18"/>
  <c r="AJ56" i="18"/>
  <c r="D56" i="18"/>
  <c r="R60" i="38"/>
  <c r="R56" i="38"/>
  <c r="T60" i="21"/>
  <c r="T56" i="21"/>
  <c r="L60" i="38"/>
  <c r="L56" i="38"/>
  <c r="N56" i="21"/>
  <c r="AN56" i="21"/>
  <c r="D56" i="38"/>
  <c r="R60" i="22"/>
  <c r="R56" i="22"/>
  <c r="AH60" i="18"/>
  <c r="B60" i="18"/>
  <c r="AH56" i="18"/>
  <c r="B56" i="18"/>
  <c r="AV60" i="38"/>
  <c r="P60" i="38"/>
  <c r="AV56" i="38"/>
  <c r="P56" i="38"/>
  <c r="R60" i="21"/>
  <c r="R56" i="21"/>
  <c r="AR56" i="38"/>
  <c r="AT60" i="21"/>
  <c r="AV60" i="22"/>
  <c r="P60" i="22"/>
  <c r="AV56" i="22"/>
  <c r="P56" i="22"/>
  <c r="AF60" i="18"/>
  <c r="AF56" i="18"/>
  <c r="AT60" i="38"/>
  <c r="N60" i="38"/>
  <c r="AT56" i="38"/>
  <c r="N56" i="38"/>
  <c r="AV60" i="21"/>
  <c r="P60" i="21"/>
  <c r="AV56" i="21"/>
  <c r="P56" i="21"/>
  <c r="AR60" i="38"/>
  <c r="AT56" i="21"/>
  <c r="H60" i="21"/>
  <c r="AR60" i="22"/>
  <c r="L60" i="22"/>
  <c r="AR56" i="22"/>
  <c r="L56" i="22"/>
  <c r="AB60" i="18"/>
  <c r="AB56" i="18"/>
  <c r="AP60" i="38"/>
  <c r="J60" i="38"/>
  <c r="AP56" i="38"/>
  <c r="J56" i="38"/>
  <c r="AR60" i="21"/>
  <c r="L60" i="21"/>
  <c r="AR56" i="21"/>
  <c r="L56" i="21"/>
  <c r="AP60" i="22"/>
  <c r="J60" i="22"/>
  <c r="AP56" i="22"/>
  <c r="J56" i="22"/>
  <c r="Z60" i="18"/>
  <c r="Z56" i="18"/>
  <c r="AN60" i="38"/>
  <c r="H60" i="38"/>
  <c r="AN56" i="38"/>
  <c r="H56" i="38"/>
  <c r="AP60" i="21"/>
  <c r="J60" i="21"/>
  <c r="AP56" i="21"/>
  <c r="J56" i="21"/>
  <c r="AN60" i="22"/>
  <c r="H60" i="22"/>
  <c r="AN56" i="22"/>
  <c r="H56" i="22"/>
  <c r="X60" i="18"/>
  <c r="X56" i="18"/>
  <c r="AL60" i="38"/>
  <c r="F60" i="38"/>
  <c r="AL56" i="38"/>
  <c r="F56" i="38"/>
  <c r="H56" i="21"/>
  <c r="AD60" i="22"/>
  <c r="AD56" i="22"/>
  <c r="AT60" i="18"/>
  <c r="N60" i="18"/>
  <c r="AT56" i="18"/>
  <c r="N56" i="18"/>
  <c r="AB60" i="38"/>
  <c r="AB56" i="38"/>
  <c r="AD60" i="21"/>
  <c r="AD56" i="21"/>
  <c r="X60" i="21"/>
  <c r="AB60" i="22"/>
  <c r="AB56" i="22"/>
  <c r="AR60" i="18"/>
  <c r="L60" i="18"/>
  <c r="AR56" i="18"/>
  <c r="L56" i="18"/>
  <c r="Z60" i="38"/>
  <c r="Z56" i="38"/>
  <c r="AB60" i="21"/>
  <c r="AB56" i="21"/>
  <c r="X60" i="22"/>
  <c r="X56" i="22"/>
  <c r="H60" i="18"/>
  <c r="AN56" i="18"/>
  <c r="H56" i="18"/>
  <c r="V60" i="38"/>
  <c r="Z60" i="22"/>
  <c r="Z56" i="22"/>
  <c r="AP60" i="18"/>
  <c r="J60" i="18"/>
  <c r="AP56" i="18"/>
  <c r="J56" i="18"/>
  <c r="X60" i="38"/>
  <c r="X56" i="38"/>
  <c r="Z60" i="21"/>
  <c r="Z56" i="21"/>
  <c r="AN60" i="18"/>
  <c r="V56" i="38"/>
  <c r="X56" i="21"/>
  <c r="AV56" i="18"/>
  <c r="AF56" i="38"/>
  <c r="R56" i="18"/>
  <c r="AD56" i="38"/>
  <c r="AH56" i="22"/>
  <c r="P56" i="18"/>
  <c r="AF56" i="22"/>
  <c r="AH56" i="21"/>
  <c r="B56" i="22"/>
  <c r="AV60" i="18"/>
  <c r="R60" i="18"/>
  <c r="AF60" i="38"/>
  <c r="AH60" i="22"/>
  <c r="P60" i="18"/>
  <c r="AD60" i="38"/>
  <c r="AF56" i="21"/>
  <c r="AF60" i="22"/>
  <c r="D56" i="21"/>
  <c r="B56" i="21"/>
  <c r="B60" i="22"/>
  <c r="AH60" i="21"/>
  <c r="AF60" i="21"/>
  <c r="B60" i="21"/>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W23" i="23"/>
  <c r="V23" i="23"/>
  <c r="U23" i="23"/>
  <c r="T23" i="23"/>
  <c r="S23" i="23"/>
  <c r="R23" i="23"/>
  <c r="Q23" i="23"/>
  <c r="P23" i="23"/>
  <c r="O23" i="23"/>
  <c r="T21" i="23"/>
  <c r="S21" i="23"/>
  <c r="Q21" i="23" l="1"/>
  <c r="F21" i="23"/>
  <c r="F5" i="42"/>
  <c r="N21" i="23"/>
  <c r="N5" i="42"/>
  <c r="P21" i="23"/>
  <c r="P5" i="42"/>
  <c r="R21" i="23"/>
  <c r="C21" i="23"/>
  <c r="C5" i="42"/>
  <c r="E21" i="23"/>
  <c r="E5" i="42"/>
  <c r="G21" i="23"/>
  <c r="G5" i="42"/>
  <c r="L21" i="23"/>
  <c r="L5" i="42"/>
  <c r="O21" i="23"/>
  <c r="O5" i="42"/>
  <c r="B21" i="23"/>
  <c r="B5" i="42"/>
  <c r="D21" i="23"/>
  <c r="D5" i="42"/>
  <c r="H21" i="23"/>
  <c r="H5" i="42"/>
  <c r="I21" i="23"/>
  <c r="I5" i="42"/>
  <c r="J21" i="23"/>
  <c r="J5" i="42"/>
  <c r="K21" i="23"/>
  <c r="K5" i="42"/>
  <c r="M21" i="23"/>
  <c r="M5" i="42"/>
  <c r="B6" i="42"/>
  <c r="B22" i="23"/>
  <c r="C6" i="42"/>
  <c r="C22" i="23"/>
  <c r="D6" i="42"/>
  <c r="D22" i="23"/>
  <c r="E6" i="42"/>
  <c r="E22" i="23"/>
  <c r="F6" i="42"/>
  <c r="F22" i="23"/>
  <c r="G6" i="42"/>
  <c r="G22" i="23"/>
  <c r="H6" i="42"/>
  <c r="H22" i="23"/>
  <c r="I6" i="42"/>
  <c r="I22" i="23"/>
  <c r="J6" i="42"/>
  <c r="J22" i="23"/>
  <c r="K6" i="42"/>
  <c r="K22" i="23"/>
  <c r="C7" i="42"/>
  <c r="C23" i="23"/>
  <c r="E23" i="23"/>
  <c r="E7" i="42"/>
  <c r="J23" i="23"/>
  <c r="N23" i="23"/>
  <c r="H23" i="23"/>
  <c r="H7" i="42"/>
  <c r="K23" i="23"/>
  <c r="B23" i="23"/>
  <c r="B7" i="42"/>
  <c r="D23" i="23"/>
  <c r="D7" i="42"/>
  <c r="F23" i="23"/>
  <c r="F7" i="42"/>
  <c r="G23" i="23"/>
  <c r="G7" i="42"/>
  <c r="I23" i="23"/>
  <c r="I7" i="42"/>
  <c r="L23" i="23"/>
  <c r="M23" i="23"/>
  <c r="V2" i="42"/>
  <c r="V18" i="23"/>
  <c r="I2" i="42"/>
  <c r="I18" i="23"/>
  <c r="J2" i="42"/>
  <c r="J18" i="23"/>
  <c r="K2" i="42"/>
  <c r="K18" i="23"/>
  <c r="B2" i="42"/>
  <c r="B18" i="23"/>
  <c r="F2" i="42"/>
  <c r="F18" i="23"/>
  <c r="W2" i="42"/>
  <c r="W18" i="23"/>
  <c r="X2" i="42"/>
  <c r="X18" i="23"/>
  <c r="Y2" i="42"/>
  <c r="Y18" i="23"/>
  <c r="N2" i="42"/>
  <c r="N18" i="23"/>
  <c r="H2" i="42"/>
  <c r="H18" i="23"/>
  <c r="L2" i="42"/>
  <c r="L18" i="23"/>
  <c r="P2" i="42"/>
  <c r="P18" i="23"/>
  <c r="C2" i="42"/>
  <c r="C18" i="23"/>
  <c r="T2" i="42"/>
  <c r="T18" i="23"/>
  <c r="G2" i="42"/>
  <c r="G18" i="23"/>
  <c r="M2" i="42"/>
  <c r="M18" i="23"/>
  <c r="O2" i="42"/>
  <c r="O18" i="23"/>
  <c r="Q2" i="42"/>
  <c r="Q18" i="23"/>
  <c r="R2" i="42"/>
  <c r="R18" i="23"/>
  <c r="S2" i="42"/>
  <c r="S18" i="23"/>
  <c r="D2" i="42"/>
  <c r="D18" i="23"/>
  <c r="E2" i="42"/>
  <c r="E18" i="23"/>
  <c r="U2" i="42"/>
  <c r="U18" i="23"/>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J38" i="23"/>
  <c r="I38" i="23"/>
  <c r="H38" i="23"/>
  <c r="G38" i="23"/>
  <c r="F38" i="23"/>
  <c r="E38" i="23"/>
  <c r="D38" i="23"/>
  <c r="C38" i="23"/>
  <c r="B38" i="23"/>
  <c r="Y37" i="23"/>
  <c r="X37" i="23"/>
  <c r="W37" i="23"/>
  <c r="V37" i="23"/>
  <c r="U37" i="23"/>
  <c r="T37" i="23"/>
  <c r="T88" i="23" s="1"/>
  <c r="S37" i="23"/>
  <c r="S88" i="23" s="1"/>
  <c r="R37" i="23"/>
  <c r="Q37" i="23"/>
  <c r="P37" i="23"/>
  <c r="O37" i="23"/>
  <c r="N37" i="23"/>
  <c r="M37" i="23"/>
  <c r="L37" i="23"/>
  <c r="K37" i="23"/>
  <c r="J37" i="23"/>
  <c r="I37" i="23"/>
  <c r="H37" i="23"/>
  <c r="G37" i="23"/>
  <c r="F37" i="23"/>
  <c r="E37" i="23"/>
  <c r="D37" i="23"/>
  <c r="C37" i="23"/>
  <c r="B37" i="23"/>
  <c r="Y34" i="23"/>
  <c r="X34" i="23"/>
  <c r="W34" i="23"/>
  <c r="V34" i="23"/>
  <c r="U34" i="23"/>
  <c r="T34" i="23"/>
  <c r="S34" i="23"/>
  <c r="R34" i="23"/>
  <c r="Q34" i="23"/>
  <c r="P34" i="23"/>
  <c r="O34" i="23"/>
  <c r="N34" i="23"/>
  <c r="M34" i="23"/>
  <c r="L34" i="23"/>
  <c r="K34" i="23"/>
  <c r="J34" i="23"/>
  <c r="I34" i="23"/>
  <c r="H34" i="23"/>
  <c r="G34" i="23"/>
  <c r="F34" i="23"/>
  <c r="E34" i="23"/>
  <c r="D34" i="23"/>
  <c r="C34" i="23"/>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P88" i="23" l="1"/>
  <c r="P5" i="40"/>
  <c r="G88" i="23"/>
  <c r="G5" i="40"/>
  <c r="Q88" i="23"/>
  <c r="E88" i="23"/>
  <c r="E5" i="40"/>
  <c r="I88" i="23"/>
  <c r="I5" i="40"/>
  <c r="K88" i="23"/>
  <c r="K5" i="40"/>
  <c r="B88" i="23"/>
  <c r="B5" i="40"/>
  <c r="R88" i="23"/>
  <c r="F88" i="23"/>
  <c r="F5" i="40"/>
  <c r="H88" i="23"/>
  <c r="H5" i="40"/>
  <c r="L88" i="23"/>
  <c r="L5" i="40"/>
  <c r="O88" i="23"/>
  <c r="O5" i="40"/>
  <c r="C88" i="23"/>
  <c r="C5" i="40"/>
  <c r="J88" i="23"/>
  <c r="J5" i="40"/>
  <c r="M88" i="23"/>
  <c r="M5" i="40"/>
  <c r="N88" i="23"/>
  <c r="N5" i="40"/>
  <c r="D88" i="23"/>
  <c r="D5" i="40"/>
  <c r="G89" i="23"/>
  <c r="G6" i="40"/>
  <c r="B89" i="23"/>
  <c r="B6" i="40"/>
  <c r="C89" i="23"/>
  <c r="C6" i="40"/>
  <c r="D89" i="23"/>
  <c r="D6" i="40"/>
  <c r="E89" i="23"/>
  <c r="E6" i="40"/>
  <c r="F89" i="23"/>
  <c r="F6" i="40"/>
  <c r="H89" i="23"/>
  <c r="H6" i="40"/>
  <c r="I89" i="23"/>
  <c r="I6" i="40"/>
  <c r="J89" i="23"/>
  <c r="J6" i="40"/>
  <c r="K89" i="23"/>
  <c r="K6" i="40"/>
  <c r="S85" i="23"/>
  <c r="S2" i="40"/>
  <c r="T85" i="23"/>
  <c r="T2" i="40"/>
  <c r="E85" i="23"/>
  <c r="E2" i="40"/>
  <c r="N85" i="23"/>
  <c r="N2" i="40"/>
  <c r="Q85" i="23"/>
  <c r="Q2" i="40"/>
  <c r="V85" i="23"/>
  <c r="V2" i="40"/>
  <c r="W85" i="23"/>
  <c r="W2" i="40"/>
  <c r="H85" i="23"/>
  <c r="H2" i="40"/>
  <c r="Y85" i="23"/>
  <c r="Y2" i="40"/>
  <c r="J85" i="23"/>
  <c r="J2" i="40"/>
  <c r="O85" i="23"/>
  <c r="O2" i="40"/>
  <c r="P85" i="23"/>
  <c r="P2" i="40"/>
  <c r="R85" i="23"/>
  <c r="R2" i="40"/>
  <c r="F85" i="23"/>
  <c r="F2" i="40"/>
  <c r="G85" i="23"/>
  <c r="G2" i="40"/>
  <c r="X85" i="23"/>
  <c r="X2" i="40"/>
  <c r="I85" i="23"/>
  <c r="I2" i="40"/>
  <c r="K85" i="23"/>
  <c r="K2" i="40"/>
  <c r="M85" i="23"/>
  <c r="M2" i="40"/>
  <c r="C85" i="23"/>
  <c r="C2" i="40"/>
  <c r="D85" i="23"/>
  <c r="D2" i="40"/>
  <c r="U85" i="23"/>
  <c r="U2" i="40"/>
  <c r="L85" i="23"/>
  <c r="L2" i="40"/>
  <c r="C3" i="2"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E3" i="2"/>
  <c r="H4" i="2"/>
  <c r="I3" i="1"/>
  <c r="G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F58" i="22" l="1" a="1"/>
  <c r="AF58" i="22" s="1"/>
  <c r="B58" i="22" a="1"/>
  <c r="B58" i="22" s="1"/>
  <c r="AR58" i="18" a="1"/>
  <c r="AR58" i="18" s="1"/>
  <c r="R58" i="18" a="1"/>
  <c r="R58" i="18" s="1"/>
  <c r="Z58" i="38" a="1"/>
  <c r="Z58" i="38" s="1"/>
  <c r="V58" i="21" a="1"/>
  <c r="V58" i="21" s="1"/>
  <c r="AV58" i="21" a="1"/>
  <c r="AV58" i="21" s="1"/>
  <c r="AD58" i="22" a="1"/>
  <c r="AD58" i="22" s="1"/>
  <c r="AP58" i="18" a="1"/>
  <c r="AP58" i="18" s="1"/>
  <c r="AT58" i="38" a="1"/>
  <c r="AT58" i="38" s="1"/>
  <c r="D58" i="38" a="1"/>
  <c r="D58" i="38" s="1"/>
  <c r="T58" i="21" a="1"/>
  <c r="T58" i="21" s="1"/>
  <c r="AB58" i="22" a="1"/>
  <c r="AB58" i="22" s="1"/>
  <c r="AN58" i="18" a="1"/>
  <c r="AN58" i="18" s="1"/>
  <c r="P58" i="18" a="1"/>
  <c r="P58" i="18" s="1"/>
  <c r="AR58" i="38" a="1"/>
  <c r="AR58" i="38" s="1"/>
  <c r="X58" i="38" a="1"/>
  <c r="X58" i="38" s="1"/>
  <c r="B58" i="38" a="1"/>
  <c r="B58" i="38" s="1"/>
  <c r="AT58" i="21" a="1"/>
  <c r="AT58" i="21" s="1"/>
  <c r="R58" i="21" a="1"/>
  <c r="R58" i="21" s="1"/>
  <c r="L58" i="18" a="1"/>
  <c r="L58" i="18" s="1"/>
  <c r="AP58" i="38" a="1"/>
  <c r="AP58" i="38" s="1"/>
  <c r="AP58" i="21" a="1"/>
  <c r="AP58" i="21" s="1"/>
  <c r="P58" i="21" a="1"/>
  <c r="P58" i="21" s="1"/>
  <c r="Z58" i="22" a="1"/>
  <c r="Z58" i="22" s="1"/>
  <c r="N58" i="18" a="1"/>
  <c r="N58" i="18" s="1"/>
  <c r="V58" i="38" a="1"/>
  <c r="V58" i="38" s="1"/>
  <c r="AR58" i="21" a="1"/>
  <c r="AR58" i="21" s="1"/>
  <c r="X58" i="22" a="1"/>
  <c r="X58" i="22" s="1"/>
  <c r="AL58" i="18" a="1"/>
  <c r="AL58" i="18" s="1"/>
  <c r="R58" i="38" a="1"/>
  <c r="R58" i="38" s="1"/>
  <c r="L58" i="21" a="1"/>
  <c r="L58" i="21" s="1"/>
  <c r="R58" i="22" a="1"/>
  <c r="R58" i="22" s="1"/>
  <c r="V58" i="22" a="1"/>
  <c r="V58" i="22" s="1"/>
  <c r="AJ58" i="18" a="1"/>
  <c r="AJ58" i="18" s="1"/>
  <c r="J58" i="18" a="1"/>
  <c r="J58" i="18" s="1"/>
  <c r="T58" i="38" a="1"/>
  <c r="T58" i="38" s="1"/>
  <c r="AN58" i="21" a="1"/>
  <c r="AN58" i="21" s="1"/>
  <c r="N58" i="21" a="1"/>
  <c r="N58" i="21" s="1"/>
  <c r="AV58" i="22" a="1"/>
  <c r="AV58" i="22" s="1"/>
  <c r="T58" i="22" a="1"/>
  <c r="T58" i="22" s="1"/>
  <c r="AH58" i="18" a="1"/>
  <c r="AH58" i="18" s="1"/>
  <c r="H58" i="18" a="1"/>
  <c r="H58" i="18" s="1"/>
  <c r="AN58" i="38" a="1"/>
  <c r="AN58" i="38" s="1"/>
  <c r="AL58" i="21" a="1"/>
  <c r="AL58" i="21" s="1"/>
  <c r="AT58" i="22" a="1"/>
  <c r="AT58" i="22" s="1"/>
  <c r="AR58" i="22" a="1"/>
  <c r="AR58" i="22" s="1"/>
  <c r="AF58" i="18" a="1"/>
  <c r="AF58" i="18" s="1"/>
  <c r="F58" i="18" a="1"/>
  <c r="F58" i="18" s="1"/>
  <c r="P58" i="38" a="1"/>
  <c r="P58" i="38" s="1"/>
  <c r="AJ58" i="21" a="1"/>
  <c r="AJ58" i="21" s="1"/>
  <c r="H58" i="21" a="1"/>
  <c r="H58" i="21" s="1"/>
  <c r="AP58" i="22" a="1"/>
  <c r="AP58" i="22" s="1"/>
  <c r="P58" i="22" a="1"/>
  <c r="P58" i="22" s="1"/>
  <c r="AD58" i="18" a="1"/>
  <c r="AD58" i="18" s="1"/>
  <c r="D58" i="18" a="1"/>
  <c r="D58" i="18" s="1"/>
  <c r="AJ58" i="38" a="1"/>
  <c r="AJ58" i="38" s="1"/>
  <c r="N58" i="38" a="1"/>
  <c r="N58" i="38" s="1"/>
  <c r="AH58" i="21" a="1"/>
  <c r="AH58" i="21" s="1"/>
  <c r="AJ58" i="22" a="1"/>
  <c r="AJ58" i="22" s="1"/>
  <c r="J58" i="22" a="1"/>
  <c r="J58" i="22" s="1"/>
  <c r="X58" i="18" a="1"/>
  <c r="X58" i="18" s="1"/>
  <c r="AF58" i="38" a="1"/>
  <c r="AF58" i="38" s="1"/>
  <c r="J58" i="38" a="1"/>
  <c r="J58" i="38" s="1"/>
  <c r="AD58" i="21" a="1"/>
  <c r="AD58" i="21" s="1"/>
  <c r="AD58" i="38" a="1"/>
  <c r="AD58" i="38" s="1"/>
  <c r="AB58" i="21" a="1"/>
  <c r="AB58" i="21" s="1"/>
  <c r="Z58" i="21" a="1"/>
  <c r="Z58" i="21" s="1"/>
  <c r="H58" i="22" a="1"/>
  <c r="H58" i="22" s="1"/>
  <c r="AH58" i="22" a="1"/>
  <c r="AH58" i="22" s="1"/>
  <c r="F58" i="22" a="1"/>
  <c r="F58" i="22" s="1"/>
  <c r="AV58" i="18" a="1"/>
  <c r="AV58" i="18" s="1"/>
  <c r="V58" i="18" a="1"/>
  <c r="V58" i="18" s="1"/>
  <c r="AB58" i="38" a="1"/>
  <c r="AB58" i="38" s="1"/>
  <c r="H58" i="38" a="1"/>
  <c r="H58" i="38" s="1"/>
  <c r="D58" i="22" a="1"/>
  <c r="D58" i="22" s="1"/>
  <c r="AT58" i="18" a="1"/>
  <c r="AT58" i="18" s="1"/>
  <c r="T58" i="18" a="1"/>
  <c r="T58" i="18" s="1"/>
  <c r="AV58" i="38" a="1"/>
  <c r="AV58" i="38" s="1"/>
  <c r="F58" i="38" a="1"/>
  <c r="F58" i="38" s="1"/>
  <c r="X58" i="21" a="1"/>
  <c r="X58" i="21" s="1"/>
  <c r="AN58" i="22" a="1"/>
  <c r="AN58" i="22" s="1"/>
  <c r="AL58" i="22" a="1"/>
  <c r="AL58" i="22" s="1"/>
  <c r="AL58" i="38" a="1"/>
  <c r="AL58" i="38" s="1"/>
  <c r="J58" i="21" a="1"/>
  <c r="J58" i="21" s="1"/>
  <c r="D58" i="21" a="1"/>
  <c r="D58" i="21" s="1"/>
  <c r="B58" i="21" a="1"/>
  <c r="B58" i="21" s="1"/>
  <c r="N58" i="22" a="1"/>
  <c r="N58" i="22" s="1"/>
  <c r="AB58" i="18" a="1"/>
  <c r="AB58" i="18" s="1"/>
  <c r="AH58" i="38" a="1"/>
  <c r="AH58" i="38" s="1"/>
  <c r="B58" i="18" a="1"/>
  <c r="B58" i="18" s="1"/>
  <c r="L58" i="38" a="1"/>
  <c r="L58" i="38" s="1"/>
  <c r="F58" i="21" a="1"/>
  <c r="F58" i="21" s="1"/>
  <c r="L58" i="22" a="1"/>
  <c r="L58" i="22" s="1"/>
  <c r="Z58" i="18" a="1"/>
  <c r="Z58" i="18" s="1"/>
  <c r="AF58" i="21" a="1"/>
  <c r="AF58" i="21" s="1"/>
  <c r="AJ58" i="3" a="1"/>
  <c r="AJ58" i="3" s="1"/>
  <c r="D58" i="3" a="1"/>
  <c r="AF58" i="3" a="1"/>
  <c r="AF58" i="3" s="1"/>
  <c r="AB58" i="3" a="1"/>
  <c r="Z58" i="3" a="1"/>
  <c r="Z58" i="3" s="1"/>
  <c r="X58" i="3" a="1"/>
  <c r="X58" i="3" s="1"/>
  <c r="V58" i="3" a="1"/>
  <c r="V58" i="3" s="1"/>
  <c r="T58" i="3" a="1"/>
  <c r="T58" i="3" s="1"/>
  <c r="R58" i="3" a="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F58" i="3" a="1"/>
  <c r="F58" i="3" s="1"/>
  <c r="R58" i="3"/>
  <c r="AN58" i="3"/>
  <c r="AB58" i="3"/>
  <c r="P58" i="3"/>
  <c r="N58" i="3"/>
  <c r="L58" i="3"/>
  <c r="AV58" i="3"/>
  <c r="D58" i="3"/>
  <c r="L6" i="1" a="1"/>
  <c r="L6" i="1" s="1"/>
  <c r="K45" i="1" a="1"/>
  <c r="L45" i="1" s="1"/>
  <c r="K46" i="1" a="1"/>
  <c r="L46" i="1" s="1"/>
  <c r="H32" i="1" a="1"/>
  <c r="C50" i="2" a="1"/>
  <c r="M6" i="1" l="1"/>
  <c r="K45" i="1"/>
  <c r="K46" i="1"/>
  <c r="I32" i="1"/>
  <c r="H32" i="1"/>
  <c r="D50" i="2"/>
  <c r="C50" i="2"/>
  <c r="V57" i="22" l="1" a="1"/>
  <c r="V57" i="22" s="1"/>
  <c r="AN57" i="18" a="1"/>
  <c r="AN57" i="18" s="1"/>
  <c r="L57" i="18" a="1"/>
  <c r="L57" i="18" s="1"/>
  <c r="AF57" i="38" a="1"/>
  <c r="AF57" i="38" s="1"/>
  <c r="J57" i="38" a="1"/>
  <c r="J57" i="38" s="1"/>
  <c r="AP57" i="21" a="1"/>
  <c r="AP57" i="21" s="1"/>
  <c r="N57" i="21" a="1"/>
  <c r="N57" i="21" s="1"/>
  <c r="AD57" i="38" a="1"/>
  <c r="AD57" i="38" s="1"/>
  <c r="AN57" i="21" a="1"/>
  <c r="AN57" i="21" s="1"/>
  <c r="L57" i="21" a="1"/>
  <c r="L57" i="21" s="1"/>
  <c r="AH57" i="21" a="1"/>
  <c r="AH57" i="21" s="1"/>
  <c r="AF57" i="21" a="1"/>
  <c r="AF57" i="21" s="1"/>
  <c r="L57" i="22" a="1"/>
  <c r="L57" i="22" s="1"/>
  <c r="T57" i="22" a="1"/>
  <c r="T57" i="22" s="1"/>
  <c r="AL57" i="18" a="1"/>
  <c r="AL57" i="18" s="1"/>
  <c r="J57" i="18" a="1"/>
  <c r="J57" i="18" s="1"/>
  <c r="AV57" i="22" a="1"/>
  <c r="AV57" i="22" s="1"/>
  <c r="AJ57" i="18" a="1"/>
  <c r="AJ57" i="18" s="1"/>
  <c r="H57" i="18" a="1"/>
  <c r="H57" i="18" s="1"/>
  <c r="AB57" i="38" a="1"/>
  <c r="AB57" i="38" s="1"/>
  <c r="H57" i="38" a="1"/>
  <c r="H57" i="38" s="1"/>
  <c r="AL57" i="21" a="1"/>
  <c r="AL57" i="21" s="1"/>
  <c r="J57" i="21" a="1"/>
  <c r="J57" i="21" s="1"/>
  <c r="D57" i="18" a="1"/>
  <c r="D57" i="18" s="1"/>
  <c r="AV57" i="38" a="1"/>
  <c r="AV57" i="38" s="1"/>
  <c r="Z57" i="38" a="1"/>
  <c r="Z57" i="38" s="1"/>
  <c r="AT57" i="22" a="1"/>
  <c r="AT57" i="22" s="1"/>
  <c r="R57" i="22" a="1"/>
  <c r="R57" i="22" s="1"/>
  <c r="AH57" i="18" a="1"/>
  <c r="AH57" i="18" s="1"/>
  <c r="F57" i="18" a="1"/>
  <c r="F57" i="18" s="1"/>
  <c r="F57" i="38" a="1"/>
  <c r="F57" i="38" s="1"/>
  <c r="AJ57" i="21" a="1"/>
  <c r="AJ57" i="21" s="1"/>
  <c r="H57" i="21" a="1"/>
  <c r="H57" i="21" s="1"/>
  <c r="AR57" i="22" a="1"/>
  <c r="AR57" i="22" s="1"/>
  <c r="B57" i="38" a="1"/>
  <c r="B57" i="38" s="1"/>
  <c r="B57" i="21" a="1"/>
  <c r="B57" i="21" s="1"/>
  <c r="AB57" i="18" a="1"/>
  <c r="AB57" i="18" s="1"/>
  <c r="AP57" i="22" a="1"/>
  <c r="AP57" i="22" s="1"/>
  <c r="P57" i="22" a="1"/>
  <c r="P57" i="22" s="1"/>
  <c r="AF57" i="18" a="1"/>
  <c r="AF57" i="18" s="1"/>
  <c r="B57" i="18" a="1"/>
  <c r="B57" i="18" s="1"/>
  <c r="AT57" i="38" a="1"/>
  <c r="AT57" i="38" s="1"/>
  <c r="D57" i="38" a="1"/>
  <c r="D57" i="38" s="1"/>
  <c r="D57" i="21" a="1"/>
  <c r="D57" i="21" s="1"/>
  <c r="AN57" i="22" a="1"/>
  <c r="AN57" i="22" s="1"/>
  <c r="N57" i="22" a="1"/>
  <c r="N57" i="22" s="1"/>
  <c r="AD57" i="18" a="1"/>
  <c r="AD57" i="18" s="1"/>
  <c r="AR57" i="38" a="1"/>
  <c r="AR57" i="38" s="1"/>
  <c r="AL57" i="22" a="1"/>
  <c r="AL57" i="22" s="1"/>
  <c r="AJ57" i="22" a="1"/>
  <c r="AJ57" i="22" s="1"/>
  <c r="J57" i="22" a="1"/>
  <c r="J57" i="22" s="1"/>
  <c r="Z57" i="18" a="1"/>
  <c r="Z57" i="18" s="1"/>
  <c r="AP57" i="38" a="1"/>
  <c r="AP57" i="38" s="1"/>
  <c r="AB57" i="21" a="1"/>
  <c r="AB57" i="21" s="1"/>
  <c r="AH57" i="22" a="1"/>
  <c r="AH57" i="22" s="1"/>
  <c r="H57" i="22" a="1"/>
  <c r="H57" i="22" s="1"/>
  <c r="X57" i="18" a="1"/>
  <c r="X57" i="18" s="1"/>
  <c r="T57" i="38" a="1"/>
  <c r="T57" i="38" s="1"/>
  <c r="AD57" i="22" a="1"/>
  <c r="AD57" i="22" s="1"/>
  <c r="B57" i="22" a="1"/>
  <c r="B57" i="22" s="1"/>
  <c r="AV57" i="18" a="1"/>
  <c r="AV57" i="18" s="1"/>
  <c r="R57" i="18" a="1"/>
  <c r="R57" i="18" s="1"/>
  <c r="P57" i="38" a="1"/>
  <c r="P57" i="38" s="1"/>
  <c r="T57" i="21" a="1"/>
  <c r="T57" i="21" s="1"/>
  <c r="AJ57" i="38" a="1"/>
  <c r="AJ57" i="38" s="1"/>
  <c r="N57" i="38" a="1"/>
  <c r="N57" i="38" s="1"/>
  <c r="AV57" i="21" a="1"/>
  <c r="AV57" i="21" s="1"/>
  <c r="R57" i="21" a="1"/>
  <c r="R57" i="21" s="1"/>
  <c r="AH57" i="38" a="1"/>
  <c r="AH57" i="38" s="1"/>
  <c r="AB57" i="22" a="1"/>
  <c r="AB57" i="22" s="1"/>
  <c r="AT57" i="18" a="1"/>
  <c r="AT57" i="18" s="1"/>
  <c r="L57" i="38" a="1"/>
  <c r="L57" i="38" s="1"/>
  <c r="AT57" i="21" a="1"/>
  <c r="AT57" i="21" s="1"/>
  <c r="Z57" i="22" a="1"/>
  <c r="Z57" i="22" s="1"/>
  <c r="AR57" i="18" a="1"/>
  <c r="AR57" i="18" s="1"/>
  <c r="P57" i="18" a="1"/>
  <c r="P57" i="18" s="1"/>
  <c r="X57" i="22" a="1"/>
  <c r="X57" i="22" s="1"/>
  <c r="AP57" i="18" a="1"/>
  <c r="AP57" i="18" s="1"/>
  <c r="N57" i="18" a="1"/>
  <c r="N57" i="18" s="1"/>
  <c r="AR57" i="21" a="1"/>
  <c r="AR57" i="21" s="1"/>
  <c r="P57" i="21" a="1"/>
  <c r="P57" i="21" s="1"/>
  <c r="F57" i="21" a="1"/>
  <c r="F57" i="21" s="1"/>
  <c r="X57" i="38" a="1"/>
  <c r="X57" i="38" s="1"/>
  <c r="V57" i="21" a="1"/>
  <c r="V57" i="21" s="1"/>
  <c r="AN57" i="38" a="1"/>
  <c r="AN57" i="38" s="1"/>
  <c r="V57" i="38" a="1"/>
  <c r="V57" i="38" s="1"/>
  <c r="R57" i="38" a="1"/>
  <c r="R57" i="38" s="1"/>
  <c r="AD57" i="21" a="1"/>
  <c r="AD57" i="21" s="1"/>
  <c r="Z57" i="21" a="1"/>
  <c r="Z57" i="21" s="1"/>
  <c r="AF57" i="22" a="1"/>
  <c r="AF57" i="22" s="1"/>
  <c r="D57" i="22" a="1"/>
  <c r="D57" i="22" s="1"/>
  <c r="T57" i="18" a="1"/>
  <c r="T57" i="18" s="1"/>
  <c r="AL57" i="38" a="1"/>
  <c r="AL57" i="38" s="1"/>
  <c r="X57" i="21" a="1"/>
  <c r="X57" i="21" s="1"/>
  <c r="F57" i="22" a="1"/>
  <c r="F57" i="22" s="1"/>
  <c r="V57" i="18" a="1"/>
  <c r="V57" i="18" s="1"/>
  <c r="T57" i="3" a="1"/>
  <c r="AV57" i="3" a="1"/>
  <c r="N57" i="3" a="1"/>
  <c r="N57" i="3" s="1"/>
  <c r="AR57" i="3" a="1"/>
  <c r="AR57" i="3" s="1"/>
  <c r="J57" i="3" a="1"/>
  <c r="J57" i="3" s="1"/>
  <c r="AN57" i="3" a="1"/>
  <c r="AN57" i="3" s="1"/>
  <c r="AL57" i="3" a="1"/>
  <c r="AJ57" i="3" a="1"/>
  <c r="AJ57" i="3" s="1"/>
  <c r="AH57" i="3" a="1"/>
  <c r="AH57" i="3" s="1"/>
  <c r="Z57" i="3" a="1"/>
  <c r="X57" i="3" a="1"/>
  <c r="X57" i="3" s="1"/>
  <c r="R57" i="3" a="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R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F53" i="12" l="1"/>
  <c r="AF83" i="12" s="1"/>
  <c r="P53" i="12"/>
  <c r="P83" i="12" s="1"/>
  <c r="D53" i="12"/>
  <c r="D83" i="12" s="1"/>
  <c r="AL53" i="12"/>
  <c r="AL83" i="12" s="1"/>
  <c r="AV53" i="12"/>
  <c r="AV83" i="12" s="1"/>
  <c r="AJ53" i="12"/>
  <c r="AJ83" i="12" s="1"/>
  <c r="T53" i="12"/>
  <c r="T83" i="12" s="1"/>
  <c r="X53" i="12"/>
  <c r="X83" i="12" s="1"/>
  <c r="F53" i="12"/>
  <c r="F83" i="12" s="1"/>
  <c r="Z53" i="12"/>
  <c r="Z83" i="12" s="1"/>
  <c r="AP53" i="12"/>
  <c r="AP83" i="12" s="1"/>
  <c r="AB53" i="12"/>
  <c r="AB83" i="12" s="1"/>
  <c r="AT53" i="12"/>
  <c r="AT83" i="12" s="1"/>
  <c r="J53" i="12"/>
  <c r="J83" i="12" s="1"/>
  <c r="H53" i="12"/>
  <c r="H83" i="12" s="1"/>
  <c r="AR53" i="12"/>
  <c r="AR83" i="12" s="1"/>
  <c r="R53" i="12"/>
  <c r="R83" i="12" s="1"/>
  <c r="AD53" i="12"/>
  <c r="AD83" i="12" s="1"/>
  <c r="L53" i="12"/>
  <c r="L83" i="12" s="1"/>
  <c r="B53" i="12"/>
  <c r="B83" i="12" s="1"/>
  <c r="AH53" i="12"/>
  <c r="AH83" i="12" s="1"/>
  <c r="N53" i="12"/>
  <c r="N83" i="12" s="1"/>
  <c r="AN53" i="12"/>
  <c r="AN83" i="12" s="1"/>
  <c r="V53" i="12"/>
  <c r="V83" i="12" s="1"/>
  <c r="AP53" i="11"/>
  <c r="AP83" i="11" s="1"/>
  <c r="X53" i="11"/>
  <c r="X83" i="11" s="1"/>
  <c r="F53" i="11"/>
  <c r="F83" i="11" s="1"/>
  <c r="AL53" i="11"/>
  <c r="AL83" i="11" s="1"/>
  <c r="V53" i="11"/>
  <c r="V83" i="11" s="1"/>
  <c r="T53" i="11"/>
  <c r="T83" i="11" s="1"/>
  <c r="AN53" i="11"/>
  <c r="AN83" i="11" s="1"/>
  <c r="D53" i="11"/>
  <c r="D83" i="11" s="1"/>
  <c r="R53" i="11"/>
  <c r="R83" i="11" s="1"/>
  <c r="AJ53" i="11"/>
  <c r="AJ83" i="11" s="1"/>
  <c r="AH53" i="11"/>
  <c r="AH83" i="11" s="1"/>
  <c r="P53" i="11"/>
  <c r="P83" i="11" s="1"/>
  <c r="AF53" i="11"/>
  <c r="AF83" i="11" s="1"/>
  <c r="AV53" i="11"/>
  <c r="AV83" i="11" s="1"/>
  <c r="J53" i="11"/>
  <c r="J83" i="11" s="1"/>
  <c r="B53" i="11"/>
  <c r="B83" i="11" s="1"/>
  <c r="Z53" i="11"/>
  <c r="Z83" i="11" s="1"/>
  <c r="H53" i="11"/>
  <c r="H83" i="11" s="1"/>
  <c r="N53" i="11"/>
  <c r="N83" i="11" s="1"/>
  <c r="AR53" i="11"/>
  <c r="AR83" i="11" s="1"/>
  <c r="AT53" i="11"/>
  <c r="AT83" i="11" s="1"/>
  <c r="AB53" i="11"/>
  <c r="AB83" i="11" s="1"/>
  <c r="L53" i="11"/>
  <c r="L83" i="11" s="1"/>
  <c r="AD53" i="11"/>
  <c r="AD83" i="11" s="1"/>
  <c r="AP53" i="22" a="1"/>
  <c r="J53" i="22" a="1"/>
  <c r="AB53" i="18" a="1"/>
  <c r="AD53" i="38" a="1"/>
  <c r="AD53" i="21" a="1"/>
  <c r="AB53" i="21" a="1"/>
  <c r="V53" i="21" a="1"/>
  <c r="AN53" i="22" a="1"/>
  <c r="H53" i="22" a="1"/>
  <c r="Z53" i="18" a="1"/>
  <c r="AB53" i="38" a="1"/>
  <c r="AL53" i="22" a="1"/>
  <c r="F53" i="22" a="1"/>
  <c r="X53" i="18" a="1"/>
  <c r="Z53" i="38" a="1"/>
  <c r="Z53" i="21" a="1"/>
  <c r="B53" i="22" a="1"/>
  <c r="V53" i="38" a="1"/>
  <c r="AJ53" i="22" a="1"/>
  <c r="D53" i="22" a="1"/>
  <c r="V53" i="18" a="1"/>
  <c r="X53" i="38" a="1"/>
  <c r="X53" i="21" a="1"/>
  <c r="AH53" i="22" a="1"/>
  <c r="T53" i="18" a="1"/>
  <c r="R53" i="38" a="1"/>
  <c r="R53" i="21" a="1"/>
  <c r="N53" i="18" a="1"/>
  <c r="AF53" i="22" a="1"/>
  <c r="R53" i="18" a="1"/>
  <c r="T53" i="38" a="1"/>
  <c r="T53" i="21" a="1"/>
  <c r="AD53" i="22" a="1"/>
  <c r="AV53" i="18" a="1"/>
  <c r="AB53" i="22" a="1"/>
  <c r="AT53" i="18" a="1"/>
  <c r="P53" i="18" a="1"/>
  <c r="Z53" i="22" a="1"/>
  <c r="AR53" i="18" a="1"/>
  <c r="L53" i="18" a="1"/>
  <c r="AT53" i="38" a="1"/>
  <c r="N53" i="38" a="1"/>
  <c r="AT53" i="21" a="1"/>
  <c r="N53" i="21" a="1"/>
  <c r="X53" i="22" a="1"/>
  <c r="AP53" i="18" a="1"/>
  <c r="J53" i="18" a="1"/>
  <c r="AR53" i="38" a="1"/>
  <c r="AR53" i="38" s="1"/>
  <c r="AR83" i="38" s="1"/>
  <c r="L53" i="38" a="1"/>
  <c r="R53" i="22" a="1"/>
  <c r="AJ53" i="18" a="1"/>
  <c r="D53" i="18" a="1"/>
  <c r="AL53" i="38" a="1"/>
  <c r="F53" i="38" a="1"/>
  <c r="AL53" i="21" a="1"/>
  <c r="F53" i="21" a="1"/>
  <c r="AJ53" i="38" a="1"/>
  <c r="AJ53" i="38" s="1"/>
  <c r="AJ83" i="38" s="1"/>
  <c r="D53" i="38" a="1"/>
  <c r="AJ53" i="21" a="1"/>
  <c r="AH53" i="38" a="1"/>
  <c r="B53" i="38" a="1"/>
  <c r="AH53" i="21" a="1"/>
  <c r="AV53" i="22" a="1"/>
  <c r="P53" i="22" a="1"/>
  <c r="AH53" i="18" a="1"/>
  <c r="B53" i="18" a="1"/>
  <c r="D53" i="21" a="1"/>
  <c r="B53" i="21" a="1"/>
  <c r="AT53" i="22" a="1"/>
  <c r="N53" i="22" a="1"/>
  <c r="N53" i="22" s="1"/>
  <c r="N83" i="22" s="1"/>
  <c r="AF53" i="18" a="1"/>
  <c r="AR53" i="22" a="1"/>
  <c r="L53" i="22" a="1"/>
  <c r="L53" i="22" s="1"/>
  <c r="L83" i="22" s="1"/>
  <c r="AD53" i="18" a="1"/>
  <c r="AF53" i="38" a="1"/>
  <c r="AF53" i="21" a="1"/>
  <c r="AP53" i="38" a="1"/>
  <c r="AN53" i="38" a="1"/>
  <c r="AN53" i="38" s="1"/>
  <c r="AN83" i="38" s="1"/>
  <c r="AV53" i="21" a="1"/>
  <c r="P53" i="38" a="1"/>
  <c r="P53" i="38" s="1"/>
  <c r="P83" i="38" s="1"/>
  <c r="AR53" i="21" a="1"/>
  <c r="J53" i="38" a="1"/>
  <c r="AP53" i="21" a="1"/>
  <c r="AN53" i="18" a="1"/>
  <c r="T53" i="22" a="1"/>
  <c r="AV53" i="38" a="1"/>
  <c r="H53" i="38" a="1"/>
  <c r="AN53" i="21" a="1"/>
  <c r="P53" i="21" a="1"/>
  <c r="L53" i="21" a="1"/>
  <c r="J53" i="21" a="1"/>
  <c r="J53" i="21" s="1"/>
  <c r="J83" i="21" s="1"/>
  <c r="V53" i="22" a="1"/>
  <c r="V53" i="22" s="1"/>
  <c r="V83" i="22" s="1"/>
  <c r="AL53" i="18" a="1"/>
  <c r="H53" i="18" a="1"/>
  <c r="H53" i="18" s="1"/>
  <c r="H83" i="18" s="1"/>
  <c r="F53" i="18" a="1"/>
  <c r="F53" i="18" s="1"/>
  <c r="F83" i="18" s="1"/>
  <c r="H53" i="21" a="1"/>
  <c r="H53" i="21" s="1"/>
  <c r="H83" i="21" s="1"/>
  <c r="AF53" i="18"/>
  <c r="AF83" i="18" s="1"/>
  <c r="J53" i="38"/>
  <c r="J83" i="38" s="1"/>
  <c r="P53" i="22"/>
  <c r="P83" i="22" s="1"/>
  <c r="D53" i="18"/>
  <c r="D83" i="18" s="1"/>
  <c r="AF53" i="38"/>
  <c r="AF83" i="38" s="1"/>
  <c r="AV53" i="18"/>
  <c r="AV83" i="18" s="1"/>
  <c r="H53" i="38"/>
  <c r="H83" i="38" s="1"/>
  <c r="AF53" i="22"/>
  <c r="AF83" i="22" s="1"/>
  <c r="T53" i="18"/>
  <c r="T83" i="18" s="1"/>
  <c r="AV53" i="38"/>
  <c r="AV83" i="38" s="1"/>
  <c r="Z53" i="38"/>
  <c r="Z83" i="38" s="1"/>
  <c r="AP53" i="38"/>
  <c r="AP83" i="38" s="1"/>
  <c r="D53" i="38"/>
  <c r="D83" i="38" s="1"/>
  <c r="T53" i="38"/>
  <c r="T83" i="38" s="1"/>
  <c r="P53" i="18"/>
  <c r="P83" i="18" s="1"/>
  <c r="B53" i="22"/>
  <c r="B83" i="22" s="1"/>
  <c r="AJ53" i="18"/>
  <c r="AJ83" i="18" s="1"/>
  <c r="X53" i="18"/>
  <c r="X83" i="18" s="1"/>
  <c r="AV53" i="22"/>
  <c r="AV83" i="22" s="1"/>
  <c r="X53" i="38"/>
  <c r="X83" i="38" s="1"/>
  <c r="R53" i="18"/>
  <c r="R83" i="18" s="1"/>
  <c r="X53" i="22"/>
  <c r="X83" i="22" s="1"/>
  <c r="AN53" i="18"/>
  <c r="AN83" i="18" s="1"/>
  <c r="B53" i="38"/>
  <c r="B83" i="38" s="1"/>
  <c r="AT53" i="22"/>
  <c r="AT83" i="22" s="1"/>
  <c r="AB53" i="18"/>
  <c r="AB83" i="18" s="1"/>
  <c r="Z53" i="18"/>
  <c r="Z83" i="18" s="1"/>
  <c r="R53" i="22"/>
  <c r="R83" i="22" s="1"/>
  <c r="D53" i="22"/>
  <c r="D83" i="22" s="1"/>
  <c r="F53" i="22"/>
  <c r="F83" i="22" s="1"/>
  <c r="AN53" i="22"/>
  <c r="AN83" i="22" s="1"/>
  <c r="J53" i="22"/>
  <c r="J83" i="22" s="1"/>
  <c r="Z53" i="22"/>
  <c r="Z83" i="22" s="1"/>
  <c r="AL53" i="38"/>
  <c r="AL83" i="38" s="1"/>
  <c r="L53" i="38"/>
  <c r="L83" i="38" s="1"/>
  <c r="AB53" i="38"/>
  <c r="AB83" i="38" s="1"/>
  <c r="AH53" i="18"/>
  <c r="AH83" i="18" s="1"/>
  <c r="AH53" i="38"/>
  <c r="AH83" i="38" s="1"/>
  <c r="AR53" i="22"/>
  <c r="AR83" i="22" s="1"/>
  <c r="F53" i="38"/>
  <c r="F83" i="38" s="1"/>
  <c r="AJ53" i="22"/>
  <c r="AJ83" i="22" s="1"/>
  <c r="AD53" i="18"/>
  <c r="AD83" i="18" s="1"/>
  <c r="AR53" i="18"/>
  <c r="AR83" i="18" s="1"/>
  <c r="AT53" i="38"/>
  <c r="AT83" i="38" s="1"/>
  <c r="R53" i="38"/>
  <c r="R83" i="38" s="1"/>
  <c r="AH53" i="22"/>
  <c r="AH83" i="22" s="1"/>
  <c r="J53" i="18"/>
  <c r="J83" i="18" s="1"/>
  <c r="N53" i="38"/>
  <c r="N83" i="38" s="1"/>
  <c r="L53" i="18"/>
  <c r="L83" i="18" s="1"/>
  <c r="AD53" i="38"/>
  <c r="AD83" i="38" s="1"/>
  <c r="B53" i="18"/>
  <c r="B83" i="18" s="1"/>
  <c r="V53" i="18"/>
  <c r="V83" i="18" s="1"/>
  <c r="V53" i="38"/>
  <c r="V83" i="38" s="1"/>
  <c r="H53" i="22"/>
  <c r="H83" i="22" s="1"/>
  <c r="AD53" i="22"/>
  <c r="AD83" i="22" s="1"/>
  <c r="AL53" i="18"/>
  <c r="AL83" i="18" s="1"/>
  <c r="AB53" i="22"/>
  <c r="AB83" i="22" s="1"/>
  <c r="AT53" i="18"/>
  <c r="AT83" i="18" s="1"/>
  <c r="AP53" i="22"/>
  <c r="AP83" i="22" s="1"/>
  <c r="T53" i="22"/>
  <c r="T83" i="22" s="1"/>
  <c r="AP53" i="18"/>
  <c r="AP83" i="18" s="1"/>
  <c r="AL53" i="22"/>
  <c r="AL83" i="22" s="1"/>
  <c r="N53" i="18"/>
  <c r="N83" i="18" s="1"/>
  <c r="P53" i="21"/>
  <c r="P83" i="21" s="1"/>
  <c r="AF53" i="21"/>
  <c r="AF83" i="21" s="1"/>
  <c r="R53" i="21"/>
  <c r="R83" i="21" s="1"/>
  <c r="AV53" i="21"/>
  <c r="AV83" i="21" s="1"/>
  <c r="V53" i="21"/>
  <c r="V83" i="21" s="1"/>
  <c r="B53" i="21"/>
  <c r="B83" i="21" s="1"/>
  <c r="N53" i="21"/>
  <c r="N83" i="21" s="1"/>
  <c r="AN53" i="21"/>
  <c r="AN83" i="21" s="1"/>
  <c r="AR53" i="21"/>
  <c r="AR83" i="21" s="1"/>
  <c r="AL53" i="21"/>
  <c r="AL83" i="21" s="1"/>
  <c r="D53" i="21"/>
  <c r="D83" i="21" s="1"/>
  <c r="Z53" i="21"/>
  <c r="Z83" i="21" s="1"/>
  <c r="AH53" i="21"/>
  <c r="AH83" i="21" s="1"/>
  <c r="AP53" i="21"/>
  <c r="AP83" i="21" s="1"/>
  <c r="T53" i="21"/>
  <c r="T83" i="21" s="1"/>
  <c r="X53" i="21"/>
  <c r="X83" i="21" s="1"/>
  <c r="AT53" i="21"/>
  <c r="AT83" i="21" s="1"/>
  <c r="L53" i="21"/>
  <c r="L83" i="21" s="1"/>
  <c r="AB53" i="21"/>
  <c r="AB83" i="21" s="1"/>
  <c r="AD53" i="21"/>
  <c r="AD83" i="21" s="1"/>
  <c r="F53" i="21"/>
  <c r="F83" i="21" s="1"/>
  <c r="AJ53" i="21"/>
  <c r="AJ83" i="2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D28" i="2" l="1"/>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5782EAFA-8EF0-4E14-9127-53878B36FFB1}">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<sst xmlns="http://schemas.openxmlformats.org/spreadsheetml/2006/main" count="1152" uniqueCount="199">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</sst>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A6A7A93D-575D-4997-90AD-7B9CFDDA0D6A}"/>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hartsheet" Target="chart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hartsheet" Target="chartsheets/sheet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1.0000000000000013</c:v>
                </c:pt>
                <c:pt idx="1">
                  <c:v>0.98919286403358853</c:v>
                </c:pt>
                <c:pt idx="2">
                  <c:v>0.97734941373723538</c:v>
                </c:pt>
                <c:pt idx="3">
                  <c:v>0.96429178746957189</c:v>
                </c:pt>
                <c:pt idx="4">
                  <c:v>0.94980039074182132</c:v>
                </c:pt>
                <c:pt idx="5">
                  <c:v>0.93360106126487385</c:v>
                </c:pt>
                <c:pt idx="6">
                  <c:v>0.91534741856385893</c:v>
                </c:pt>
                <c:pt idx="7">
                  <c:v>0.89459574932925701</c:v>
                </c:pt>
                <c:pt idx="8">
                  <c:v>0.87076911483518726</c:v>
                </c:pt>
                <c:pt idx="9">
                  <c:v>0.84310299392935606</c:v>
                </c:pt>
                <c:pt idx="10">
                  <c:v>0.81056383268256338</c:v>
                </c:pt>
                <c:pt idx="11">
                  <c:v>0.77172068273337679</c:v>
                </c:pt>
                <c:pt idx="12">
                  <c:v>0.72454183837004904</c:v>
                </c:pt>
                <c:pt idx="13">
                  <c:v>0.66607453338840139</c:v>
                </c:pt>
                <c:pt idx="14">
                  <c:v>0.59198272830443799</c:v>
                </c:pt>
                <c:pt idx="15">
                  <c:v>0.49613389017956699</c:v>
                </c:pt>
                <c:pt idx="16">
                  <c:v>0.37163142719847547</c:v>
                </c:pt>
                <c:pt idx="17">
                  <c:v>0.21935799834085129</c:v>
                </c:pt>
                <c:pt idx="18">
                  <c:v>7.4667393921473771E-2</c:v>
                </c:pt>
                <c:pt idx="19">
                  <c:v>6.3143372801611718E-3</c:v>
                </c:pt>
                <c:pt idx="20">
                  <c:v>2.6515095955367478E-3</c:v>
                </c:pt>
                <c:pt idx="21">
                  <c:v>8.5195107496813575E-4</c:v>
                </c:pt>
                <c:pt idx="22">
                  <c:v>1.6962778913232266E-4</c:v>
                </c:pt>
                <c:pt idx="23">
                  <c:v>1.0632028678916424E-5</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1.0000000000000013</c:v>
                </c:pt>
                <c:pt idx="1">
                  <c:v>0.99678956878842817</c:v>
                </c:pt>
                <c:pt idx="2">
                  <c:v>0.99288156068627331</c:v>
                </c:pt>
                <c:pt idx="3">
                  <c:v>0.98815943137863127</c:v>
                </c:pt>
                <c:pt idx="4">
                  <c:v>0.98247920910041198</c:v>
                </c:pt>
                <c:pt idx="5">
                  <c:v>0.9756609572818139</c:v>
                </c:pt>
                <c:pt idx="6">
                  <c:v>0.96747677567927037</c:v>
                </c:pt>
                <c:pt idx="7">
                  <c:v>0.9576338686332958</c:v>
                </c:pt>
                <c:pt idx="8">
                  <c:v>0.94574959084229204</c:v>
                </c:pt>
                <c:pt idx="9">
                  <c:v>0.9313143102111564</c:v>
                </c:pt>
                <c:pt idx="10">
                  <c:v>0.91363332056245761</c:v>
                </c:pt>
                <c:pt idx="11">
                  <c:v>0.89173480508155878</c:v>
                </c:pt>
                <c:pt idx="12">
                  <c:v>0.86421823316760449</c:v>
                </c:pt>
                <c:pt idx="13">
                  <c:v>0.8289996817388634</c:v>
                </c:pt>
                <c:pt idx="14">
                  <c:v>0.7828852572545848</c:v>
                </c:pt>
                <c:pt idx="15">
                  <c:v>0</c:v>
                </c:pt>
                <c:pt idx="16">
                  <c:v>0</c:v>
                </c:pt>
                <c:pt idx="17">
                  <c:v>0</c:v>
                </c:pt>
                <c:pt idx="18">
                  <c:v>0</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1.0000000000000013</c:v>
                </c:pt>
                <c:pt idx="1">
                  <c:v>0.99681571962465543</c:v>
                </c:pt>
                <c:pt idx="2">
                  <c:v>0.99293483827626861</c:v>
                </c:pt>
                <c:pt idx="3">
                  <c:v>0.98824098263734561</c:v>
                </c:pt>
                <c:pt idx="4">
                  <c:v>0.9825903432946993</c:v>
                </c:pt>
                <c:pt idx="5">
                  <c:v>0.97580316130964351</c:v>
                </c:pt>
                <c:pt idx="6">
                  <c:v>0.96765167973738031</c:v>
                </c:pt>
                <c:pt idx="7">
                  <c:v>0.95784323144723205</c:v>
                </c:pt>
                <c:pt idx="8">
                  <c:v>0.94599518687526796</c:v>
                </c:pt>
                <c:pt idx="9">
                  <c:v>0.93159740399197788</c:v>
                </c:pt>
                <c:pt idx="10">
                  <c:v>0.9139542248171445</c:v>
                </c:pt>
                <c:pt idx="11">
                  <c:v>0.89209177309842602</c:v>
                </c:pt>
                <c:pt idx="12">
                  <c:v>0.86460575968212949</c:v>
                </c:pt>
                <c:pt idx="13">
                  <c:v>0.82940606043189269</c:v>
                </c:pt>
                <c:pt idx="14">
                  <c:v>0.78329014378477457</c:v>
                </c:pt>
                <c:pt idx="15">
                  <c:v>0.72129041630413504</c:v>
                </c:pt>
                <c:pt idx="16">
                  <c:v>0.63603996796458306</c:v>
                </c:pt>
                <c:pt idx="17">
                  <c:v>0.51879980000162085</c:v>
                </c:pt>
                <c:pt idx="18">
                  <c:v>0.36592539631425702</c:v>
                </c:pt>
                <c:pt idx="19">
                  <c:v>0.18739103396881041</c:v>
                </c:pt>
                <c:pt idx="20">
                  <c:v>0.15017300431364247</c:v>
                </c:pt>
                <c:pt idx="21">
                  <c:v>0.11274873692666064</c:v>
                </c:pt>
                <c:pt idx="22">
                  <c:v>7.5206678411812E-2</c:v>
                </c:pt>
                <c:pt idx="23">
                  <c:v>3.7610874875399575E-2</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1.0000000000000013</c:v>
                </c:pt>
                <c:pt idx="1">
                  <c:v>1.0045152573584284</c:v>
                </c:pt>
                <c:pt idx="2">
                  <c:v>1.0072727008852038</c:v>
                </c:pt>
                <c:pt idx="3">
                  <c:v>1.0082509249602765</c:v>
                </c:pt>
                <c:pt idx="4">
                  <c:v>1.0073531670117302</c:v>
                </c:pt>
                <c:pt idx="5">
                  <c:v>1.0044053815843976</c:v>
                </c:pt>
                <c:pt idx="6">
                  <c:v>0.99914690525422278</c:v>
                </c:pt>
                <c:pt idx="7">
                  <c:v>0.99120942212829644</c:v>
                </c:pt>
                <c:pt idx="8">
                  <c:v>0.9800851733439998</c:v>
                </c:pt>
                <c:pt idx="9">
                  <c:v>0.96507675696208428</c:v>
                </c:pt>
                <c:pt idx="10">
                  <c:v>0.9452191256220891</c:v>
                </c:pt>
                <c:pt idx="11">
                  <c:v>0.91915869364697445</c:v>
                </c:pt>
                <c:pt idx="12">
                  <c:v>0.88496515992549052</c:v>
                </c:pt>
                <c:pt idx="13">
                  <c:v>0.8398463607559592</c:v>
                </c:pt>
                <c:pt idx="14">
                  <c:v>0.7797646984006994</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1.0000000000000013</c:v>
                </c:pt>
                <c:pt idx="1">
                  <c:v>1.0052197694747844</c:v>
                </c:pt>
                <c:pt idx="2">
                  <c:v>1.0099380218966836</c:v>
                </c:pt>
                <c:pt idx="3">
                  <c:v>1.0140773656668653</c:v>
                </c:pt>
                <c:pt idx="4">
                  <c:v>1.0175361208923994</c:v>
                </c:pt>
                <c:pt idx="5">
                  <c:v>1.0201788026762575</c:v>
                </c:pt>
                <c:pt idx="6">
                  <c:v>1.0218225381459374</c:v>
                </c:pt>
                <c:pt idx="7">
                  <c:v>1.0222155797930879</c:v>
                </c:pt>
                <c:pt idx="8">
                  <c:v>1.0210034708544975</c:v>
                </c:pt>
                <c:pt idx="9">
                  <c:v>1.0176732709979048</c:v>
                </c:pt>
                <c:pt idx="10">
                  <c:v>1.0114543952710853</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1.0000000000000013</c:v>
                </c:pt>
                <c:pt idx="1">
                  <c:v>0.97045746070851324</c:v>
                </c:pt>
                <c:pt idx="2">
                  <c:v>0.93588646389055141</c:v>
                </c:pt>
                <c:pt idx="3">
                  <c:v>0.89648501124606117</c:v>
                </c:pt>
                <c:pt idx="4">
                  <c:v>0.85282446536191903</c:v>
                </c:pt>
                <c:pt idx="5">
                  <c:v>0.80582220691359208</c:v>
                </c:pt>
                <c:pt idx="6">
                  <c:v>0.75681746463460409</c:v>
                </c:pt>
                <c:pt idx="7">
                  <c:v>0.70849453836529663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1.0000000000000013</c:v>
                </c:pt>
                <c:pt idx="1">
                  <c:v>0.97218839469782525</c:v>
                </c:pt>
                <c:pt idx="2">
                  <c:v>0.94082277018003868</c:v>
                </c:pt>
                <c:pt idx="3">
                  <c:v>0.90584493084174522</c:v>
                </c:pt>
                <c:pt idx="4">
                  <c:v>0.86743005031216813</c:v>
                </c:pt>
                <c:pt idx="5">
                  <c:v>0.82602117580257839</c:v>
                </c:pt>
                <c:pt idx="6">
                  <c:v>0.78232895642627376</c:v>
                </c:pt>
                <c:pt idx="7">
                  <c:v>0.73728040739948775</c:v>
                </c:pt>
                <c:pt idx="8">
                  <c:v>0.69191648879904832</c:v>
                </c:pt>
                <c:pt idx="9">
                  <c:v>0.64723885235900769</c:v>
                </c:pt>
                <c:pt idx="10">
                  <c:v>0.60404231960048405</c:v>
                </c:pt>
                <c:pt idx="11">
                  <c:v>0.56278281205438319</c:v>
                </c:pt>
                <c:pt idx="12">
                  <c:v>0.52352813976659829</c:v>
                </c:pt>
                <c:pt idx="13">
                  <c:v>0.48597694300063737</c:v>
                </c:pt>
                <c:pt idx="14">
                  <c:v>0.44947858689503706</c:v>
                </c:pt>
                <c:pt idx="15">
                  <c:v>0.4129505048342928</c:v>
                </c:pt>
                <c:pt idx="16">
                  <c:v>0.37447182361472253</c:v>
                </c:pt>
                <c:pt idx="17">
                  <c:v>0.32983834477939744</c:v>
                </c:pt>
                <c:pt idx="18">
                  <c:v>0.2689207748427706</c:v>
                </c:pt>
                <c:pt idx="19">
                  <c:v>0.17657064475293521</c:v>
                </c:pt>
                <c:pt idx="20">
                  <c:v>0.1524799911077801</c:v>
                </c:pt>
                <c:pt idx="21">
                  <c:v>0</c:v>
                </c:pt>
                <c:pt idx="22">
                  <c:v>0</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1.0000000000000013</c:v>
                </c:pt>
                <c:pt idx="1">
                  <c:v>0.97688955908214481</c:v>
                </c:pt>
                <c:pt idx="2">
                  <c:v>0.95126752914313961</c:v>
                </c:pt>
                <c:pt idx="3">
                  <c:v>0.92289922165572558</c:v>
                </c:pt>
                <c:pt idx="4">
                  <c:v>0.8915738874354604</c:v>
                </c:pt>
                <c:pt idx="5">
                  <c:v>0.85711903098205799</c:v>
                </c:pt>
                <c:pt idx="6">
                  <c:v>0.81941425115386968</c:v>
                </c:pt>
                <c:pt idx="7">
                  <c:v>0.77840149953168258</c:v>
                </c:pt>
                <c:pt idx="8">
                  <c:v>0.73408775218028155</c:v>
                </c:pt>
                <c:pt idx="9">
                  <c:v>0.68654260585672944</c:v>
                </c:pt>
                <c:pt idx="10">
                  <c:v>0.63588934143402642</c:v>
                </c:pt>
                <c:pt idx="11">
                  <c:v>0.58229252433607759</c:v>
                </c:pt>
                <c:pt idx="12">
                  <c:v>0.52594405541639222</c:v>
                </c:pt>
                <c:pt idx="13">
                  <c:v>0.46705001675430063</c:v>
                </c:pt>
                <c:pt idx="14">
                  <c:v>0.40582080632892548</c:v>
                </c:pt>
                <c:pt idx="15">
                  <c:v>0.34246062754084022</c:v>
                </c:pt>
                <c:pt idx="16">
                  <c:v>0.27716438703973661</c:v>
                </c:pt>
                <c:pt idx="17">
                  <c:v>0.21011259914170588</c:v>
                </c:pt>
                <c:pt idx="18">
                  <c:v>0.14147073926515435</c:v>
                </c:pt>
                <c:pt idx="19">
                  <c:v>7.1388421859796547E-2</c:v>
                </c:pt>
                <c:pt idx="20">
                  <c:v>5.7211166604077296E-2</c:v>
                </c:pt>
                <c:pt idx="21">
                  <c:v>4.2982749638457933E-2</c:v>
                </c:pt>
                <c:pt idx="22">
                  <c:v>2.8704107620616537E-2</c:v>
                </c:pt>
                <c:pt idx="23">
                  <c:v>1.4376210460456951E-2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0.56058995943839085</c:v>
                </c:pt>
                <c:pt idx="1">
                  <c:v>0.56448403763661104</c:v>
                </c:pt>
                <c:pt idx="2">
                  <c:v>0.5617616816694353</c:v>
                </c:pt>
                <c:pt idx="3">
                  <c:v>0.55903372794973993</c:v>
                </c:pt>
                <c:pt idx="4">
                  <c:v>0.55630047463522736</c:v>
                </c:pt>
                <c:pt idx="5">
                  <c:v>0.5535623084973138</c:v>
                </c:pt>
                <c:pt idx="6">
                  <c:v>0.55081985049006976</c:v>
                </c:pt>
                <c:pt idx="7">
                  <c:v>0.54807416433650158</c:v>
                </c:pt>
                <c:pt idx="8">
                  <c:v>0.54532715895045847</c:v>
                </c:pt>
                <c:pt idx="9">
                  <c:v>0.54258234836523933</c:v>
                </c:pt>
                <c:pt idx="10">
                  <c:v>0.53984619727021621</c:v>
                </c:pt>
                <c:pt idx="11">
                  <c:v>0.53713037810406561</c:v>
                </c:pt>
                <c:pt idx="12">
                  <c:v>0.53445563802369822</c:v>
                </c:pt>
                <c:pt idx="13">
                  <c:v>0.53185816863592117</c:v>
                </c:pt>
                <c:pt idx="14">
                  <c:v>0.52939944347528956</c:v>
                </c:pt>
                <c:pt idx="15">
                  <c:v>0.52717920309263488</c:v>
                </c:pt>
                <c:pt idx="16">
                  <c:v>0.52534299445108079</c:v>
                </c:pt>
                <c:pt idx="17">
                  <c:v>0.52404971356876129</c:v>
                </c:pt>
                <c:pt idx="18">
                  <c:v>0.52334718437723526</c:v>
                </c:pt>
                <c:pt idx="19">
                  <c:v>0.52305503787689578</c:v>
                </c:pt>
                <c:pt idx="20">
                  <c:v>0.52301919080834924</c:v>
                </c:pt>
                <c:pt idx="21">
                  <c:v>0.5229843023720766</c:v>
                </c:pt>
                <c:pt idx="22">
                  <c:v>0.52294699545535106</c:v>
                </c:pt>
                <c:pt idx="23">
                  <c:v>0.52290080507642078</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0.56058995943839085</c:v>
                </c:pt>
                <c:pt idx="1">
                  <c:v>0.55801240965962196</c:v>
                </c:pt>
                <c:pt idx="2">
                  <c:v>0.54798952978394289</c:v>
                </c:pt>
                <c:pt idx="3">
                  <c:v>0.53693921184863047</c:v>
                </c:pt>
                <c:pt idx="4">
                  <c:v>0.52460743048148106</c:v>
                </c:pt>
                <c:pt idx="5">
                  <c:v>0.51065215247636431</c:v>
                </c:pt>
                <c:pt idx="6">
                  <c:v>0.49460185102140974</c:v>
                </c:pt>
                <c:pt idx="7">
                  <c:v>0.47578955311913584</c:v>
                </c:pt>
                <c:pt idx="8">
                  <c:v>0.45324024651568923</c:v>
                </c:pt>
                <c:pt idx="9">
                  <c:v>0.42547113329057484</c:v>
                </c:pt>
                <c:pt idx="10">
                  <c:v>0.39011345005273762</c:v>
                </c:pt>
                <c:pt idx="11">
                  <c:v>0.34313894794893718</c:v>
                </c:pt>
                <c:pt idx="12">
                  <c:v>0.27712179060639025</c:v>
                </c:pt>
                <c:pt idx="13">
                  <c:v>0.17681209851505822</c:v>
                </c:pt>
                <c:pt idx="14">
                  <c:v>5.7553559907766007E-3</c:v>
                </c:pt>
                <c:pt idx="15">
                  <c:v>0</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0.56058995943839085</c:v>
                </c:pt>
                <c:pt idx="1">
                  <c:v>0.56445432904115878</c:v>
                </c:pt>
                <c:pt idx="2">
                  <c:v>0.56170134625276147</c:v>
                </c:pt>
                <c:pt idx="3">
                  <c:v>0.55894176892916581</c:v>
                </c:pt>
                <c:pt idx="4">
                  <c:v>0.55617579392982763</c:v>
                </c:pt>
                <c:pt idx="5">
                  <c:v>0.55340369899187658</c:v>
                </c:pt>
                <c:pt idx="6">
                  <c:v>0.55062603194889059</c:v>
                </c:pt>
                <c:pt idx="7">
                  <c:v>0.54784380451159187</c:v>
                </c:pt>
                <c:pt idx="8">
                  <c:v>0.54505912797836331</c:v>
                </c:pt>
                <c:pt idx="9">
                  <c:v>0.54227600955021071</c:v>
                </c:pt>
                <c:pt idx="10">
                  <c:v>0.53950208149305612</c:v>
                </c:pt>
                <c:pt idx="11">
                  <c:v>0.53675130876640942</c:v>
                </c:pt>
                <c:pt idx="12">
                  <c:v>0.53404859259757043</c:v>
                </c:pt>
                <c:pt idx="13">
                  <c:v>0.53143719658050403</c:v>
                </c:pt>
                <c:pt idx="14">
                  <c:v>0.52898975524523961</c:v>
                </c:pt>
                <c:pt idx="15">
                  <c:v>0.5268210743570455</c:v>
                </c:pt>
                <c:pt idx="16">
                  <c:v>0.52508825881270249</c:v>
                </c:pt>
                <c:pt idx="17">
                  <c:v>0.52393265378798648</c:v>
                </c:pt>
                <c:pt idx="18">
                  <c:v>0.52333705469242797</c:v>
                </c:pt>
                <c:pt idx="19">
                  <c:v>0.52307783128462226</c:v>
                </c:pt>
                <c:pt idx="20">
                  <c:v>0.52304154287889992</c:v>
                </c:pt>
                <c:pt idx="21">
                  <c:v>0.52300470773160379</c:v>
                </c:pt>
                <c:pt idx="22">
                  <c:v>0.52296407145775547</c:v>
                </c:pt>
                <c:pt idx="23">
                  <c:v>0.52291300346897762</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0.56058995943839085</c:v>
                </c:pt>
                <c:pt idx="1">
                  <c:v>0.55666030425497492</c:v>
                </c:pt>
                <c:pt idx="2">
                  <c:v>0.54530261045316231</c:v>
                </c:pt>
                <c:pt idx="3">
                  <c:v>0.53289279131231748</c:v>
                </c:pt>
                <c:pt idx="4">
                  <c:v>0.51913492996285349</c:v>
                </c:pt>
                <c:pt idx="5">
                  <c:v>0.50364337325667985</c:v>
                </c:pt>
                <c:pt idx="6">
                  <c:v>0.48589883004422713</c:v>
                </c:pt>
                <c:pt idx="7">
                  <c:v>0.46518317895343164</c:v>
                </c:pt>
                <c:pt idx="8">
                  <c:v>0.44047088225727188</c:v>
                </c:pt>
                <c:pt idx="9">
                  <c:v>0.41024682490867226</c:v>
                </c:pt>
                <c:pt idx="10">
                  <c:v>0.37218402055530581</c:v>
                </c:pt>
                <c:pt idx="11">
                  <c:v>0.32255245773296032</c:v>
                </c:pt>
                <c:pt idx="12">
                  <c:v>0.25509575727558986</c:v>
                </c:pt>
                <c:pt idx="13">
                  <c:v>0.15890756075857373</c:v>
                </c:pt>
                <c:pt idx="14">
                  <c:v>1.4955384453835428E-2</c:v>
                </c:pt>
                <c:pt idx="15">
                  <c:v>0</c:v>
                </c:pt>
                <c:pt idx="16">
                  <c:v>0</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0.56058995943839085</c:v>
                </c:pt>
                <c:pt idx="1">
                  <c:v>0.58794434838116505</c:v>
                </c:pt>
                <c:pt idx="2">
                  <c:v>0.61043596589907523</c:v>
                </c:pt>
                <c:pt idx="3">
                  <c:v>0.63508523045338994</c:v>
                </c:pt>
                <c:pt idx="4">
                  <c:v>0.66242625421563628</c:v>
                </c:pt>
                <c:pt idx="5">
                  <c:v>0.6931682488371359</c:v>
                </c:pt>
                <c:pt idx="6">
                  <c:v>0.72827478177537996</c:v>
                </c:pt>
                <c:pt idx="7">
                  <c:v>0.76908936262369709</c:v>
                </c:pt>
                <c:pt idx="8">
                  <c:v>0.81754517501923774</c:v>
                </c:pt>
                <c:pt idx="9">
                  <c:v>0.87652950806433017</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0.56058995943839085</c:v>
                </c:pt>
                <c:pt idx="1">
                  <c:v>0.57615000830040608</c:v>
                </c:pt>
                <c:pt idx="2">
                  <c:v>0.58399989027557619</c:v>
                </c:pt>
                <c:pt idx="3">
                  <c:v>0.59062160480582204</c:v>
                </c:pt>
                <c:pt idx="4">
                  <c:v>0.59598259084201499</c:v>
                </c:pt>
                <c:pt idx="5">
                  <c:v>0.60013757236051468</c:v>
                </c:pt>
                <c:pt idx="6">
                  <c:v>0.6031879666766814</c:v>
                </c:pt>
                <c:pt idx="7">
                  <c:v>0.60515634380431527</c:v>
                </c:pt>
                <c:pt idx="8">
                  <c:v>0</c:v>
                </c:pt>
                <c:pt idx="9">
                  <c:v>0</c:v>
                </c:pt>
                <c:pt idx="10">
                  <c:v>0</c:v>
                </c:pt>
                <c:pt idx="11">
                  <c:v>0</c:v>
                </c:pt>
                <c:pt idx="12">
                  <c:v>0</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0.56058995943839085</c:v>
                </c:pt>
                <c:pt idx="1">
                  <c:v>0.56676241217920698</c:v>
                </c:pt>
                <c:pt idx="2">
                  <c:v>0.56630011484243348</c:v>
                </c:pt>
                <c:pt idx="3">
                  <c:v>0.56581172432679183</c:v>
                </c:pt>
                <c:pt idx="4">
                  <c:v>0.56529677138306977</c:v>
                </c:pt>
                <c:pt idx="5">
                  <c:v>0.56475635761981657</c:v>
                </c:pt>
                <c:pt idx="6">
                  <c:v>0.56419326654974522</c:v>
                </c:pt>
                <c:pt idx="7">
                  <c:v>0.56361164024026289</c:v>
                </c:pt>
                <c:pt idx="8">
                  <c:v>0.56301669439785307</c:v>
                </c:pt>
                <c:pt idx="9">
                  <c:v>0.56241414535394574</c:v>
                </c:pt>
                <c:pt idx="10">
                  <c:v>0.5618097095279484</c:v>
                </c:pt>
                <c:pt idx="11">
                  <c:v>0.5612086873806772</c:v>
                </c:pt>
                <c:pt idx="12">
                  <c:v>0.56061564851320345</c:v>
                </c:pt>
                <c:pt idx="13">
                  <c:v>0.56003431322478514</c:v>
                </c:pt>
                <c:pt idx="14">
                  <c:v>0.55946748752395503</c:v>
                </c:pt>
                <c:pt idx="15">
                  <c:v>0.55891719792137862</c:v>
                </c:pt>
                <c:pt idx="16">
                  <c:v>0.55838470731680967</c:v>
                </c:pt>
                <c:pt idx="17">
                  <c:v>0.55787072447994623</c:v>
                </c:pt>
                <c:pt idx="18">
                  <c:v>0.55737547301593315</c:v>
                </c:pt>
                <c:pt idx="19">
                  <c:v>0.55689883658533934</c:v>
                </c:pt>
                <c:pt idx="20">
                  <c:v>0.55680572499943093</c:v>
                </c:pt>
                <c:pt idx="21">
                  <c:v>0.55671332198900492</c:v>
                </c:pt>
                <c:pt idx="22">
                  <c:v>0.5566216485241986</c:v>
                </c:pt>
                <c:pt idx="23">
                  <c:v>0.55653069648219478</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0.56058995943839085</c:v>
                </c:pt>
                <c:pt idx="1">
                  <c:v>0.56808244850039702</c:v>
                </c:pt>
                <c:pt idx="2">
                  <c:v>0.56903312149697405</c:v>
                </c:pt>
                <c:pt idx="3">
                  <c:v>0.57003543540800738</c:v>
                </c:pt>
                <c:pt idx="4">
                  <c:v>0.57106499362878038</c:v>
                </c:pt>
                <c:pt idx="5">
                  <c:v>0.57208909423310461</c:v>
                </c:pt>
                <c:pt idx="6">
                  <c:v>0.57306545556919386</c:v>
                </c:pt>
                <c:pt idx="7">
                  <c:v>0.57394099392195208</c:v>
                </c:pt>
                <c:pt idx="8">
                  <c:v>0.57465186591852768</c:v>
                </c:pt>
                <c:pt idx="9">
                  <c:v>0.5751258039744408</c:v>
                </c:pt>
                <c:pt idx="10">
                  <c:v>0.57528573923299575</c:v>
                </c:pt>
                <c:pt idx="11">
                  <c:v>0.57505132183034091</c:v>
                </c:pt>
                <c:pt idx="12">
                  <c:v>0.57433270966928585</c:v>
                </c:pt>
                <c:pt idx="13">
                  <c:v>0.57301079072542627</c:v>
                </c:pt>
                <c:pt idx="14">
                  <c:v>0.570893297639405</c:v>
                </c:pt>
                <c:pt idx="15">
                  <c:v>0.56761283819254171</c:v>
                </c:pt>
                <c:pt idx="16">
                  <c:v>0.56233949896350066</c:v>
                </c:pt>
                <c:pt idx="17">
                  <c:v>0.5527564258965092</c:v>
                </c:pt>
                <c:pt idx="18">
                  <c:v>0.53129674248312952</c:v>
                </c:pt>
                <c:pt idx="19">
                  <c:v>0.47420980597047752</c:v>
                </c:pt>
                <c:pt idx="20">
                  <c:v>0.45198616638940381</c:v>
                </c:pt>
                <c:pt idx="21">
                  <c:v>0</c:v>
                </c:pt>
                <c:pt idx="22">
                  <c:v>0</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7.7456999506801946E-2</c:v>
                </c:pt>
                <c:pt idx="2">
                  <c:v>0.15701486355382602</c:v>
                </c:pt>
                <c:pt idx="3">
                  <c:v>0.24565160259167956</c:v>
                </c:pt>
                <c:pt idx="4">
                  <c:v>0.34483352092445985</c:v>
                </c:pt>
                <c:pt idx="5">
                  <c:v>0.45637135858521649</c:v>
                </c:pt>
                <c:pt idx="6">
                  <c:v>0.58254476447318948</c:v>
                </c:pt>
                <c:pt idx="7">
                  <c:v>0.7262949077138241</c:v>
                </c:pt>
                <c:pt idx="8">
                  <c:v>0.89153212132553439</c:v>
                </c:pt>
                <c:pt idx="9">
                  <c:v>1.083651388374655</c:v>
                </c:pt>
                <c:pt idx="10">
                  <c:v>1.3104238433767894</c:v>
                </c:pt>
                <c:pt idx="11">
                  <c:v>1.5836180929744104</c:v>
                </c:pt>
                <c:pt idx="12">
                  <c:v>1.9220754484441471</c:v>
                </c:pt>
                <c:pt idx="13">
                  <c:v>2.3578329180669262</c:v>
                </c:pt>
                <c:pt idx="14">
                  <c:v>2.9488710844057611</c:v>
                </c:pt>
                <c:pt idx="15">
                  <c:v>3.8061317405656325</c:v>
                </c:pt>
                <c:pt idx="16">
                  <c:v>5.1452305527836799</c:v>
                </c:pt>
                <c:pt idx="17">
                  <c:v>7.3229752147538365</c:v>
                </c:pt>
                <c:pt idx="18">
                  <c:v>10.448881323215055</c:v>
                </c:pt>
                <c:pt idx="19">
                  <c:v>13.021152217325033</c:v>
                </c:pt>
                <c:pt idx="20">
                  <c:v>13.269513589708462</c:v>
                </c:pt>
                <c:pt idx="21">
                  <c:v>13.426427188719124</c:v>
                </c:pt>
                <c:pt idx="22">
                  <c:v>13.508925664065851</c:v>
                </c:pt>
                <c:pt idx="23">
                  <c:v>13.539648588010913</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8.4163688595046235E-2</c:v>
                </c:pt>
                <c:pt idx="2">
                  <c:v>0.17133023591262547</c:v>
                </c:pt>
                <c:pt idx="3">
                  <c:v>0.26860600590109218</c:v>
                </c:pt>
                <c:pt idx="4">
                  <c:v>0.37760752664307495</c:v>
                </c:pt>
                <c:pt idx="5">
                  <c:v>0.5003264951236438</c:v>
                </c:pt>
                <c:pt idx="6">
                  <c:v>0.63926903924058043</c:v>
                </c:pt>
                <c:pt idx="7">
                  <c:v>0.79767074079111611</c:v>
                </c:pt>
                <c:pt idx="8">
                  <c:v>0.97984912373067801</c:v>
                </c:pt>
                <c:pt idx="9">
                  <c:v>1.191800705201413</c:v>
                </c:pt>
                <c:pt idx="10">
                  <c:v>1.4422478248964674</c:v>
                </c:pt>
                <c:pt idx="11">
                  <c:v>1.7445611838056605</c:v>
                </c:pt>
                <c:pt idx="12">
                  <c:v>2.1204236599043731</c:v>
                </c:pt>
                <c:pt idx="13">
                  <c:v>2.6071111616085711</c:v>
                </c:pt>
                <c:pt idx="14">
                  <c:v>3.2723577481742501</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8.1904686662904153E-2</c:v>
                </c:pt>
                <c:pt idx="2">
                  <c:v>0.16646224574715474</c:v>
                </c:pt>
                <c:pt idx="3">
                  <c:v>0.26073310133801625</c:v>
                </c:pt>
                <c:pt idx="4">
                  <c:v>0.36628556123308209</c:v>
                </c:pt>
                <c:pt idx="5">
                  <c:v>0.48506195085474318</c:v>
                </c:pt>
                <c:pt idx="6">
                  <c:v>0.61951864553686842</c:v>
                </c:pt>
                <c:pt idx="7">
                  <c:v>0.77284717843049755</c:v>
                </c:pt>
                <c:pt idx="8">
                  <c:v>0.94932939667664495</c:v>
                </c:pt>
                <c:pt idx="9">
                  <c:v>1.1549440011012087</c:v>
                </c:pt>
                <c:pt idx="10">
                  <c:v>1.3984213695796845</c:v>
                </c:pt>
                <c:pt idx="11">
                  <c:v>1.6931786644963025</c:v>
                </c:pt>
                <c:pt idx="12">
                  <c:v>2.0610032359315995</c:v>
                </c:pt>
                <c:pt idx="13">
                  <c:v>2.5393655196966551</c:v>
                </c:pt>
                <c:pt idx="14">
                  <c:v>3.1963589582455687</c:v>
                </c:pt>
                <c:pt idx="15">
                  <c:v>4.1602823248980201</c:v>
                </c:pt>
                <c:pt idx="16">
                  <c:v>5.662806046774107</c:v>
                </c:pt>
                <c:pt idx="17">
                  <c:v>7.9899152464399377</c:v>
                </c:pt>
                <c:pt idx="18">
                  <c:v>10.892795123167994</c:v>
                </c:pt>
                <c:pt idx="19">
                  <c:v>12.857819227616822</c:v>
                </c:pt>
                <c:pt idx="20">
                  <c:v>13.028496343992938</c:v>
                </c:pt>
                <c:pt idx="21">
                  <c:v>13.134690464746724</c:v>
                </c:pt>
                <c:pt idx="22">
                  <c:v>13.190018479221951</c:v>
                </c:pt>
                <c:pt idx="23">
                  <c:v>13.210534512664175</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9.5789084715243486E-2</c:v>
                </c:pt>
                <c:pt idx="2">
                  <c:v>0.19469904448168196</c:v>
                </c:pt>
                <c:pt idx="3">
                  <c:v>0.30391861833573797</c:v>
                </c:pt>
                <c:pt idx="4">
                  <c:v>0.42510164543286805</c:v>
                </c:pt>
                <c:pt idx="5">
                  <c:v>0.56022480645674988</c:v>
                </c:pt>
                <c:pt idx="6">
                  <c:v>0.71171900884881101</c:v>
                </c:pt>
                <c:pt idx="7">
                  <c:v>0.8826504821801896</c:v>
                </c:pt>
                <c:pt idx="8">
                  <c:v>1.0770129999184945</c:v>
                </c:pt>
                <c:pt idx="9">
                  <c:v>1.3001813177667549</c:v>
                </c:pt>
                <c:pt idx="10">
                  <c:v>1.5596165819632959</c:v>
                </c:pt>
                <c:pt idx="11">
                  <c:v>1.8659214727085738</c:v>
                </c:pt>
                <c:pt idx="12">
                  <c:v>2.2342183008288981</c:v>
                </c:pt>
                <c:pt idx="13">
                  <c:v>2.6850514877017511</c:v>
                </c:pt>
                <c:pt idx="14">
                  <c:v>3.2406998599125321</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8.5548224814154666E-2</c:v>
                </c:pt>
                <c:pt idx="2">
                  <c:v>0.17488472567352645</c:v>
                </c:pt>
                <c:pt idx="3">
                  <c:v>0.27545982506051692</c:v>
                </c:pt>
                <c:pt idx="4">
                  <c:v>0.3893917378851261</c:v>
                </c:pt>
                <c:pt idx="5">
                  <c:v>0.51941738358932632</c:v>
                </c:pt>
                <c:pt idx="6">
                  <c:v>0.66918066311881097</c:v>
                </c:pt>
                <c:pt idx="7">
                  <c:v>0.84370969862639955</c:v>
                </c:pt>
                <c:pt idx="8">
                  <c:v>1.0502463106606832</c:v>
                </c:pt>
                <c:pt idx="9">
                  <c:v>1.299745869038712</c:v>
                </c:pt>
                <c:pt idx="10">
                  <c:v>1.6096584608951114</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3.9902160681032556E-2</c:v>
                </c:pt>
                <c:pt idx="2">
                  <c:v>7.0436499753707332E-2</c:v>
                </c:pt>
                <c:pt idx="3">
                  <c:v>9.6660977317731434E-2</c:v>
                </c:pt>
                <c:pt idx="4">
                  <c:v>0.11824301775949479</c:v>
                </c:pt>
                <c:pt idx="5">
                  <c:v>0.13520539627668021</c:v>
                </c:pt>
                <c:pt idx="6">
                  <c:v>0.14772196806945284</c:v>
                </c:pt>
                <c:pt idx="7">
                  <c:v>0.15539427325787961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4.3347278632492416E-2</c:v>
                </c:pt>
                <c:pt idx="2">
                  <c:v>7.8836562175367705E-2</c:v>
                </c:pt>
                <c:pt idx="3">
                  <c:v>0.11160353632484372</c:v>
                </c:pt>
                <c:pt idx="4">
                  <c:v>0.14135279255606051</c:v>
                </c:pt>
                <c:pt idx="5">
                  <c:v>0.16834845456716971</c:v>
                </c:pt>
                <c:pt idx="6">
                  <c:v>0.1936539649578233</c:v>
                </c:pt>
                <c:pt idx="7">
                  <c:v>0.21936257717732499</c:v>
                </c:pt>
                <c:pt idx="8">
                  <c:v>0.24880787635849169</c:v>
                </c:pt>
                <c:pt idx="9">
                  <c:v>0.28674616213537124</c:v>
                </c:pt>
                <c:pt idx="10">
                  <c:v>0.339617470548218</c:v>
                </c:pt>
                <c:pt idx="11">
                  <c:v>0.41620239104829926</c:v>
                </c:pt>
                <c:pt idx="12">
                  <c:v>0.52940040618123629</c:v>
                </c:pt>
                <c:pt idx="13">
                  <c:v>0.70073512878194311</c:v>
                </c:pt>
                <c:pt idx="14">
                  <c:v>0.9722117381763663</c:v>
                </c:pt>
                <c:pt idx="15">
                  <c:v>1.4429458083909219</c:v>
                </c:pt>
                <c:pt idx="16">
                  <c:v>2.4181233104441771</c:v>
                </c:pt>
                <c:pt idx="17">
                  <c:v>5.3537323627629849</c:v>
                </c:pt>
                <c:pt idx="18">
                  <c:v>25.448296046134697</c:v>
                </c:pt>
                <c:pt idx="19">
                  <c:v>1006.3584564894011</c:v>
                </c:pt>
                <c:pt idx="20">
                  <c:v>3996.4871475383779</c:v>
                </c:pt>
                <c:pt idx="21">
                  <c:v>0</c:v>
                </c:pt>
                <c:pt idx="22">
                  <c:v>0</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5.3529323205677298E-2</c:v>
                </c:pt>
                <c:pt idx="2">
                  <c:v>0.1027202462731281</c:v>
                </c:pt>
                <c:pt idx="3">
                  <c:v>0.15300482499341639</c:v>
                </c:pt>
                <c:pt idx="4">
                  <c:v>0.20398321246897699</c:v>
                </c:pt>
                <c:pt idx="5">
                  <c:v>0.25520666661394764</c:v>
                </c:pt>
                <c:pt idx="6">
                  <c:v>0.30621056241061811</c:v>
                </c:pt>
                <c:pt idx="7">
                  <c:v>0.3565355051045756</c:v>
                </c:pt>
                <c:pt idx="8">
                  <c:v>0.40576532515271035</c:v>
                </c:pt>
                <c:pt idx="9">
                  <c:v>0.45354620162225967</c:v>
                </c:pt>
                <c:pt idx="10">
                  <c:v>0.49960233693927764</c:v>
                </c:pt>
                <c:pt idx="11">
                  <c:v>0.54373977893459624</c:v>
                </c:pt>
                <c:pt idx="12">
                  <c:v>0.58584369372127687</c:v>
                </c:pt>
                <c:pt idx="13">
                  <c:v>0.62586681728579774</c:v>
                </c:pt>
                <c:pt idx="14">
                  <c:v>0.66381704147953513</c:v>
                </c:pt>
                <c:pt idx="15">
                  <c:v>0.69974341689044217</c:v>
                </c:pt>
                <c:pt idx="16">
                  <c:v>0.73372370534632803</c:v>
                </c:pt>
                <c:pt idx="17">
                  <c:v>0.7658543745548293</c:v>
                </c:pt>
                <c:pt idx="18">
                  <c:v>0.79624169690128699</c:v>
                </c:pt>
                <c:pt idx="19">
                  <c:v>0.82499607295179267</c:v>
                </c:pt>
                <c:pt idx="20">
                  <c:v>0.8305607326658172</c:v>
                </c:pt>
                <c:pt idx="21">
                  <c:v>0.83606534052001746</c:v>
                </c:pt>
                <c:pt idx="22">
                  <c:v>0.84151078259670964</c:v>
                </c:pt>
                <c:pt idx="23">
                  <c:v>0.84689790971568779</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13940118" cy="9099176"/>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13940118" cy="9099176"/>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zoomScaleNormal="100" workbookViewId="0">
      <selection activeCell="C3" sqref="C3"/>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1000.0000000000006</v>
      </c>
      <c r="I21">
        <v>999.99999999999898</v>
      </c>
      <c r="K21" s="120">
        <f t="array" ref="K21:L21">H21:I21-pY</f>
        <v>0</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999.99999999999932</v>
      </c>
      <c r="I24" s="29">
        <v>999.99999999999898</v>
      </c>
      <c r="K24" s="120">
        <f t="array" ref="K24:L24">H24:I24-pD</f>
        <v>0</v>
      </c>
      <c r="L24" s="120">
        <v>-1.0231815394945443E-12</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1457.0034251455254</v>
      </c>
      <c r="O32" s="29">
        <v>1457.0034251455224</v>
      </c>
      <c r="P32" t="s">
        <v>133</v>
      </c>
    </row>
    <row r="33" spans="2:16" x14ac:dyDescent="0.2">
      <c r="B33" t="s">
        <v>18</v>
      </c>
      <c r="C33" s="178">
        <v>1000</v>
      </c>
      <c r="D33" s="179">
        <v>1000</v>
      </c>
      <c r="E33" t="s">
        <v>56</v>
      </c>
      <c r="K33" s="125"/>
      <c r="L33" s="125"/>
      <c r="N33" s="29">
        <f t="array" ref="N33:O33">aKL*(K/KL)^(rhoKL-1)*pKL</f>
        <v>999.99999999999864</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999.99999999999886</v>
      </c>
      <c r="K34" s="120">
        <f t="array" ref="K34:L34">H34:I34-pKL</f>
        <v>0</v>
      </c>
      <c r="L34" s="120">
        <v>-1.1368683772161603E-12</v>
      </c>
    </row>
    <row r="35" spans="2:16" x14ac:dyDescent="0.2">
      <c r="B35" t="s">
        <v>62</v>
      </c>
      <c r="C35" s="170">
        <v>1000</v>
      </c>
      <c r="D35" s="171">
        <v>1000</v>
      </c>
      <c r="H35" s="29">
        <f t="array" ref="H35:I35">(aKLE^sigmaKLE*pKL^(1-sigmaKLE)+bKLE^sigmaKLE*pEY^(1-sigmaKLE))^(1/(1-sigmaKLE))</f>
        <v>999.99999999999977</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1886.3937400000138</v>
      </c>
      <c r="I38" s="29">
        <v>262.78711299999782</v>
      </c>
      <c r="K38" s="120">
        <f t="array" ref="K38:L38">H38:I38-M</f>
        <v>1.7280399333685637E-11</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24661.96253000023</v>
      </c>
      <c r="I40" s="29">
        <v>1145.7547579999959</v>
      </c>
      <c r="K40" s="120">
        <f t="array" ref="K40:L40">H40:I40-D</f>
        <v>2.3646862246096134E-10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379.90788307663428</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3195.0476040000021</v>
      </c>
      <c r="I44" s="29">
        <v>91.012690000004199</v>
      </c>
      <c r="K44" s="120">
        <f t="array" ref="K44:L44">H44:I44-X</f>
        <v>0</v>
      </c>
      <c r="L44" s="120">
        <v>1.2789769243681803E-13</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13763.097676000001</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14362.768558000003</v>
      </c>
      <c r="I48" s="29">
        <v>817.26650999999993</v>
      </c>
      <c r="K48" s="120">
        <f t="array" ref="K48:L48">H48:I48-KLE</f>
        <v>0</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0.4719576767198812</v>
      </c>
      <c r="I70" s="38">
        <v>0.31738834428178975</v>
      </c>
      <c r="K70" s="120">
        <f t="array" ref="K70:L71">H70:I71-C70:D71</f>
        <v>0</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0.3496246130199252</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0.18079094942242824</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0.22092201281804763</v>
      </c>
      <c r="K73" s="120">
        <f t="array" ref="K73:L73">H73:I73-kappa</f>
        <v>0</v>
      </c>
      <c r="L73" s="120">
        <v>0</v>
      </c>
    </row>
    <row r="75" spans="2:14" x14ac:dyDescent="0.2">
      <c r="F75" t="s">
        <v>42</v>
      </c>
    </row>
    <row r="77" spans="2:14" x14ac:dyDescent="0.2">
      <c r="B77" t="s">
        <v>129</v>
      </c>
      <c r="C77" s="183">
        <f t="array" ref="C77:D77">(S/D)^rhoS*pD*D/(pD*D+pW*M)</f>
        <v>0.92962314353797759</v>
      </c>
      <c r="D77" s="184">
        <v>0.90190533091929581</v>
      </c>
      <c r="E77" s="62" t="s">
        <v>127</v>
      </c>
      <c r="F77" s="63">
        <f t="array" ref="F77:G77">(aS*D^rhoS+bS*M^rhoS)^(1/rhoS)</f>
        <v>26548.356270000026</v>
      </c>
      <c r="G77" s="64">
        <v>1408.541870999994</v>
      </c>
      <c r="J77">
        <v>0.95656838134985123</v>
      </c>
      <c r="K77">
        <v>0.88500540761921231</v>
      </c>
      <c r="M77">
        <v>0.97096440194717171</v>
      </c>
      <c r="N77">
        <v>0.94099850948718067</v>
      </c>
    </row>
    <row r="78" spans="2:14" x14ac:dyDescent="0.2">
      <c r="B78" t="s">
        <v>130</v>
      </c>
      <c r="C78" s="185">
        <f t="array" ref="C78:D78">(S/M)^rhoS*pW*M/(pD*D+pW*M)</f>
        <v>7.2939882415463342E-2</v>
      </c>
      <c r="D78" s="186">
        <v>0.43193376119418536</v>
      </c>
      <c r="F78" s="129">
        <f t="array" ref="F78:G78">F77:G77-S</f>
        <v>3.2741809263825417E-11</v>
      </c>
      <c r="G78" s="130">
        <v>0</v>
      </c>
      <c r="J78">
        <v>0.29150803042407891</v>
      </c>
      <c r="K78">
        <v>0.76679688485558739</v>
      </c>
      <c r="M78">
        <v>0.23922401666925366</v>
      </c>
      <c r="N78">
        <v>0.68167509101198809</v>
      </c>
    </row>
    <row r="79" spans="2:14" x14ac:dyDescent="0.2">
      <c r="B79" t="s">
        <v>131</v>
      </c>
      <c r="C79" s="187">
        <v>1.01</v>
      </c>
      <c r="D79" s="188">
        <v>2</v>
      </c>
      <c r="J79">
        <v>2</v>
      </c>
      <c r="K79">
        <v>3.7610000000000001</v>
      </c>
      <c r="M79">
        <v>2</v>
      </c>
      <c r="N79">
        <v>4</v>
      </c>
    </row>
    <row r="80" spans="2:14" x14ac:dyDescent="0.2">
      <c r="B80" t="s">
        <v>132</v>
      </c>
      <c r="C80" s="189">
        <f t="array" ref="C80:D80">(sigmaS-1)/sigmaS</f>
        <v>9.9009900990099098E-3</v>
      </c>
      <c r="D80" s="190">
        <v>0.5</v>
      </c>
      <c r="J80">
        <v>0.5</v>
      </c>
      <c r="K80">
        <v>0.73411326774793939</v>
      </c>
      <c r="M80">
        <v>0.5</v>
      </c>
      <c r="N80">
        <v>0.75</v>
      </c>
    </row>
    <row r="81" spans="2:14" x14ac:dyDescent="0.2">
      <c r="C81" s="191"/>
      <c r="D81" s="191"/>
    </row>
    <row r="82" spans="2:14" x14ac:dyDescent="0.2">
      <c r="B82" t="s">
        <v>31</v>
      </c>
      <c r="C82" s="183">
        <f t="array" ref="C82:D82">(KL/K)^rhoKL*pK*K/(pK*K+pL*Labour)</f>
        <v>6.2297252684317761E-3</v>
      </c>
      <c r="D82" s="184">
        <v>1.1323039100895927E-2</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1.7896188409690724E-3</v>
      </c>
      <c r="D83" s="186">
        <v>5.295408999879611E-10</v>
      </c>
      <c r="F83" s="129">
        <f t="array" ref="F83:G83">F82:G82-KL</f>
        <v>0</v>
      </c>
      <c r="G83" s="130">
        <v>0</v>
      </c>
      <c r="J83">
        <v>0.1069127767935206</v>
      </c>
      <c r="K83">
        <v>2.4476064673301264E-2</v>
      </c>
      <c r="M83">
        <v>5.4594777174641881E-2</v>
      </c>
      <c r="N83">
        <v>1.1890509449475719E-4</v>
      </c>
    </row>
    <row r="84" spans="2:14" x14ac:dyDescent="0.2">
      <c r="B84" t="s">
        <v>33</v>
      </c>
      <c r="C84" s="187">
        <v>0.15</v>
      </c>
      <c r="D84" s="188">
        <v>7.4999999999999997E-2</v>
      </c>
      <c r="J84">
        <v>0.42</v>
      </c>
      <c r="K84">
        <v>0.45010780507311415</v>
      </c>
      <c r="M84">
        <v>0.3</v>
      </c>
      <c r="N84">
        <v>0.15</v>
      </c>
    </row>
    <row r="85" spans="2:14" x14ac:dyDescent="0.2">
      <c r="B85" t="s">
        <v>34</v>
      </c>
      <c r="C85" s="189">
        <f t="array" ref="C85:D85">(sigmaKL-1)/sigmaKL</f>
        <v>-5.666666666666667</v>
      </c>
      <c r="D85" s="190">
        <v>-12.333333333333334</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0.84316412332790835</v>
      </c>
      <c r="D87" s="184">
        <v>2.2957726261613799E-3</v>
      </c>
      <c r="E87" s="62" t="s">
        <v>53</v>
      </c>
      <c r="F87" s="63">
        <f t="array" ref="F87:G87">(aKLE*KL^rhoKLE+bKLE*(alphaEY*Y)^rhoKLE)^(1/rhoKLE)</f>
        <v>14362.768557999996</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2.9867647344691365E-6</v>
      </c>
      <c r="D88" s="186">
        <v>6.1760404177872898E-3</v>
      </c>
      <c r="F88" s="129">
        <f t="array" ref="F88:G88">F87:G87-KLE</f>
        <v>0</v>
      </c>
      <c r="G88" s="130">
        <v>0</v>
      </c>
      <c r="J88">
        <v>1.757694977252001E-4</v>
      </c>
      <c r="K88">
        <v>0.13475758340934371</v>
      </c>
      <c r="M88">
        <v>2.214314390241483E-3</v>
      </c>
      <c r="N88">
        <v>6.1425571228765741E-2</v>
      </c>
    </row>
    <row r="89" spans="2:14" x14ac:dyDescent="0.2">
      <c r="B89" t="s">
        <v>51</v>
      </c>
      <c r="C89" s="187">
        <v>0.25</v>
      </c>
      <c r="D89" s="188">
        <v>0.125</v>
      </c>
      <c r="J89">
        <v>0.3518</v>
      </c>
      <c r="K89">
        <v>0.23739378994633001</v>
      </c>
      <c r="M89">
        <v>0.5</v>
      </c>
      <c r="N89">
        <v>0.25</v>
      </c>
    </row>
    <row r="90" spans="2:14" x14ac:dyDescent="0.2">
      <c r="B90" t="s">
        <v>52</v>
      </c>
      <c r="C90" s="189">
        <f t="array" ref="C90:D90">(sigmaKLE-1)/sigmaKLE</f>
        <v>-3</v>
      </c>
      <c r="D90" s="190">
        <v>-7</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0.15141286857026257</v>
      </c>
      <c r="D92" s="184">
        <v>9.5323115800082098E-2</v>
      </c>
      <c r="E92" s="62" t="s">
        <v>19</v>
      </c>
      <c r="F92" s="63">
        <f t="array" ref="F92:G92">(aY*KLE^rhoY+bY*(alphaMY*Y)^rhoY)^(1/rhoY)</f>
        <v>27857.010133999996</v>
      </c>
      <c r="G92" s="64">
        <v>1236.7674480000003</v>
      </c>
      <c r="J92">
        <v>0.34302659523177403</v>
      </c>
      <c r="K92">
        <v>0.42557690792009023</v>
      </c>
      <c r="M92">
        <v>0.42285434707953978</v>
      </c>
      <c r="N92">
        <v>0.3208524508888656</v>
      </c>
    </row>
    <row r="93" spans="2:14" x14ac:dyDescent="0.2">
      <c r="B93" t="s">
        <v>38</v>
      </c>
      <c r="C93" s="185">
        <f t="array" ref="C93:D93">(Y/(alphaMY*Y))^rhoY*pMY*alphaMY*Y/(pMY*alphaMY*Y+pK*K+pL*Labour+pEY*alphaEY*Y)</f>
        <v>0.11948206672181409</v>
      </c>
      <c r="D93" s="186">
        <v>1.4660261259133902E-3</v>
      </c>
      <c r="F93" s="129">
        <f t="array" ref="F93:G93">F92:G92-Y</f>
        <v>0</v>
      </c>
      <c r="G93" s="130">
        <v>0</v>
      </c>
      <c r="J93">
        <v>0.35296646929548525</v>
      </c>
      <c r="K93">
        <v>6.2733891927605194E-4</v>
      </c>
      <c r="M93">
        <v>0.3176642154488255</v>
      </c>
      <c r="N93">
        <v>3.8708344241683464E-2</v>
      </c>
    </row>
    <row r="94" spans="2:14" x14ac:dyDescent="0.2">
      <c r="B94" t="s">
        <v>39</v>
      </c>
      <c r="C94" s="187">
        <v>0.35</v>
      </c>
      <c r="D94" s="188">
        <v>0.17499999999999999</v>
      </c>
      <c r="J94">
        <v>0.6678438215200766</v>
      </c>
      <c r="K94">
        <v>0.23777313182546062</v>
      </c>
      <c r="M94">
        <v>0.7</v>
      </c>
      <c r="N94">
        <v>0.35</v>
      </c>
    </row>
    <row r="95" spans="2:14" x14ac:dyDescent="0.2">
      <c r="B95" t="s">
        <v>40</v>
      </c>
      <c r="C95" s="189">
        <f t="array" ref="C95:D95">(sigmaY-1)/sigmaY</f>
        <v>-1.8571428571428574</v>
      </c>
      <c r="D95" s="190">
        <v>-4.7142857142857144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1.1281920581968763</v>
      </c>
      <c r="D97" s="184">
        <v>1.0786180895267063</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8.5338638898191075</v>
      </c>
      <c r="D98" s="186">
        <v>13.242391734844261</v>
      </c>
      <c r="F98" s="129">
        <f t="array" ref="F98:G98">F97:G97-Y</f>
        <v>-4.7293724492192268E-11</v>
      </c>
      <c r="G98" s="130">
        <v>0</v>
      </c>
      <c r="J98">
        <v>3.0519891458809019</v>
      </c>
      <c r="K98">
        <v>3.6665272372954751</v>
      </c>
      <c r="M98">
        <v>3.09096156361904</v>
      </c>
      <c r="N98">
        <v>2.533120546112305</v>
      </c>
    </row>
    <row r="99" spans="2:14" x14ac:dyDescent="0.2">
      <c r="B99" t="s">
        <v>66</v>
      </c>
      <c r="C99" s="180">
        <v>-1.01</v>
      </c>
      <c r="D99" s="181">
        <v>-1.01</v>
      </c>
      <c r="J99">
        <v>-2</v>
      </c>
      <c r="K99">
        <v>-2</v>
      </c>
      <c r="M99">
        <v>-2</v>
      </c>
      <c r="N99">
        <v>-2</v>
      </c>
    </row>
    <row r="100" spans="2:14" x14ac:dyDescent="0.2">
      <c r="B100" t="s">
        <v>119</v>
      </c>
      <c r="C100" s="189">
        <f t="array" ref="C100:D100">(sigmaX - 1)/sigmaX</f>
        <v>1.9900990099009899</v>
      </c>
      <c r="D100" s="190">
        <v>1.9900990099009899</v>
      </c>
      <c r="J100">
        <v>1.5</v>
      </c>
      <c r="K100">
        <v>1.5</v>
      </c>
      <c r="M100">
        <v>1.5</v>
      </c>
      <c r="N100">
        <v>1.5</v>
      </c>
    </row>
    <row r="102" spans="2:14" x14ac:dyDescent="0.2">
      <c r="B102" t="s">
        <v>110</v>
      </c>
      <c r="C102" s="30">
        <v>-0.05</v>
      </c>
      <c r="J102">
        <v>-0.18</v>
      </c>
      <c r="M102">
        <v>-0.1</v>
      </c>
    </row>
    <row r="104" spans="2:14" x14ac:dyDescent="0.2">
      <c r="B104" t="s">
        <v>43</v>
      </c>
      <c r="C104" s="66">
        <f>(U/CQ)^rhoU*pCQ*CQ/(pCQ*CQ+pCE*CE)</f>
        <v>330.46661434562492</v>
      </c>
      <c r="E104" s="62" t="s">
        <v>47</v>
      </c>
      <c r="F104" s="65">
        <f>(aU*CQ^rhoU+bU*CE^rhoU)^(1/rhoU)</f>
        <v>1</v>
      </c>
      <c r="J104">
        <v>161.80093781026901</v>
      </c>
      <c r="M104">
        <v>236.92129697367815</v>
      </c>
    </row>
    <row r="105" spans="2:14" x14ac:dyDescent="0.2">
      <c r="B105" t="s">
        <v>44</v>
      </c>
      <c r="C105" s="67">
        <f>(U/CE)^rhoU*pCE*CE/(pCQ*CQ+pCE*CE)</f>
        <v>2.8552675295613739</v>
      </c>
      <c r="F105" s="123">
        <f t="array" ref="F105">F104-U</f>
        <v>0</v>
      </c>
      <c r="J105">
        <v>1.8943271858376676</v>
      </c>
      <c r="M105">
        <v>2.5407734799088928</v>
      </c>
    </row>
    <row r="106" spans="2:14" x14ac:dyDescent="0.2">
      <c r="B106" t="s">
        <v>45</v>
      </c>
      <c r="C106" s="238">
        <v>0.6</v>
      </c>
      <c r="J106">
        <v>0.62777368056390725</v>
      </c>
      <c r="M106">
        <v>0.61</v>
      </c>
    </row>
    <row r="107" spans="2:14" x14ac:dyDescent="0.2">
      <c r="B107" t="s">
        <v>46</v>
      </c>
      <c r="C107" s="68">
        <f>(sigmaU-1)/sigmaU</f>
        <v>-0.66666666666666674</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41"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1740586981.4838927</v>
      </c>
      <c r="M3" s="52">
        <v>7.7264336528670423</v>
      </c>
      <c r="N3" s="53">
        <f t="array" ref="N3:N4">TRANSPOSE(pC*Consumption)</f>
        <v>801395510.08690321</v>
      </c>
      <c r="O3" s="54">
        <f t="array" ref="O3:O4">TRANSPOSE(pG*G)</f>
        <v>767223193.24241567</v>
      </c>
      <c r="P3" s="54">
        <f t="array" ref="P3:P4">TRANSPOSE(pI*I)</f>
        <v>2035480912.4378529</v>
      </c>
      <c r="Q3" s="60">
        <f t="array" ref="Q3:Q4">TRANSPOSE(pX*X)</f>
        <v>539.11532091854519</v>
      </c>
      <c r="R3" s="9">
        <f t="array" ref="R3">SUM(L3:Q3)</f>
        <v>5344687144.0928192</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1017509714.1416291</v>
      </c>
      <c r="M4" s="56">
        <v>159.68600766382048</v>
      </c>
      <c r="N4" s="55">
        <v>188987873.9791173</v>
      </c>
      <c r="O4" s="57">
        <v>0</v>
      </c>
      <c r="P4" s="57">
        <v>0</v>
      </c>
      <c r="Q4" s="49">
        <v>2.3639489034505215E-7</v>
      </c>
      <c r="R4" s="11">
        <f t="array" ref="R4">SUM(L4:Q4)</f>
        <v>1206497747.8067544</v>
      </c>
    </row>
    <row r="5" spans="2:18" x14ac:dyDescent="0.2">
      <c r="B5" s="12" t="s">
        <v>1</v>
      </c>
      <c r="C5" s="51">
        <v>5036295.3101960644</v>
      </c>
      <c r="D5" s="52">
        <v>74905.331803938272</v>
      </c>
      <c r="E5" s="13"/>
      <c r="F5" s="13"/>
      <c r="G5" s="13"/>
      <c r="H5" s="13"/>
      <c r="I5" s="1"/>
      <c r="K5" s="12" t="s">
        <v>1</v>
      </c>
      <c r="L5" s="51">
        <f t="array" ref="L5:M5">w*Labour</f>
        <v>911638818.38557863</v>
      </c>
      <c r="M5" s="52">
        <v>0.95787638278324383</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416622062.49782711</v>
      </c>
      <c r="M6" s="58">
        <v>0.43775278779794696</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24037514.37788526</v>
      </c>
      <c r="M7" s="58">
        <v>2.9797291992585002</v>
      </c>
      <c r="N7" s="13"/>
      <c r="O7" s="13"/>
      <c r="P7" s="13"/>
      <c r="Q7" s="13"/>
      <c r="R7" s="1"/>
    </row>
    <row r="8" spans="2:18" x14ac:dyDescent="0.2">
      <c r="B8" s="14" t="s">
        <v>2</v>
      </c>
      <c r="C8" s="53">
        <v>6425198.1590000018</v>
      </c>
      <c r="D8" s="58">
        <v>273229.1540000001</v>
      </c>
      <c r="E8" s="13"/>
      <c r="F8" s="13"/>
      <c r="G8" s="13"/>
      <c r="H8" s="13"/>
      <c r="I8" s="1"/>
      <c r="K8" s="14" t="s">
        <v>2</v>
      </c>
      <c r="L8" s="53">
        <f t="array" ref="L8:M8">pK*kappa*Y</f>
        <v>751893670.91707337</v>
      </c>
      <c r="M8" s="58" t="e">
        <v>#NUM!</v>
      </c>
      <c r="N8" s="13"/>
      <c r="O8" s="13"/>
      <c r="P8" s="13"/>
      <c r="Q8" s="13"/>
      <c r="R8" s="1"/>
    </row>
    <row r="9" spans="2:18" x14ac:dyDescent="0.2">
      <c r="B9" s="2" t="s">
        <v>3</v>
      </c>
      <c r="C9" s="127">
        <v>1886393.7399999965</v>
      </c>
      <c r="D9" s="128">
        <v>262787.11299999768</v>
      </c>
      <c r="E9" s="13"/>
      <c r="F9" s="13"/>
      <c r="G9" s="13"/>
      <c r="H9" s="13"/>
      <c r="I9" s="1"/>
      <c r="K9" s="2" t="s">
        <v>3</v>
      </c>
      <c r="L9" s="127">
        <f t="array" ref="L9:M9">pW*M</f>
        <v>398687408.7142306</v>
      </c>
      <c r="M9" s="128">
        <v>301636.17726307007</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83710974.103103191</v>
      </c>
      <c r="M10" s="60">
        <v>1206195933.903954</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5344687144.6212206</v>
      </c>
      <c r="M12" s="18" t="e">
        <f>SUM(M3:M11)</f>
        <v>#NUM!</v>
      </c>
      <c r="N12" s="19"/>
      <c r="O12" s="20">
        <f t="array" ref="O12:P12">pY*Y</f>
        <v>4862288761.7309742</v>
      </c>
      <c r="P12" s="21">
        <v>177.86329209568453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-0.52840137481689453</v>
      </c>
      <c r="M14" s="24" t="e">
        <f t="array" ref="M14">R4-M12</f>
        <v>#NUM!</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t="e">
        <f>MAX(ERROR1,ERROR2,ERROR3,ERROR4,ERROR5,ERROR6,ERROR7,ERROR8,ERROR9,ERROR10,ERROR11,ABS(MIN(ERROR1,ERROR2,ERROR3,ERROR4,ERROR5,ERROR6,ERROR7,ERROR8,ERROR9,ERROR10,ERROR11)))</f>
        <v>#NUM!</v>
      </c>
    </row>
    <row r="19" spans="2:21" ht="10.5" x14ac:dyDescent="0.25">
      <c r="B19" s="96" t="s">
        <v>79</v>
      </c>
      <c r="C19" s="112" t="s">
        <v>87</v>
      </c>
      <c r="H19" s="96" t="s">
        <v>60</v>
      </c>
      <c r="K19" s="96" t="s">
        <v>59</v>
      </c>
      <c r="Q19" s="96" t="s">
        <v>42</v>
      </c>
    </row>
    <row r="21" spans="2:21" ht="10.5" x14ac:dyDescent="0.25">
      <c r="B21" t="s">
        <v>12</v>
      </c>
      <c r="C21" s="84">
        <f t="array" ref="C21:D21">ABS(C80:D80)</f>
        <v>982627.71002597455</v>
      </c>
      <c r="D21" s="85">
        <v>7118184.2770010652</v>
      </c>
      <c r="H21" s="63">
        <f t="array" ref="H21:I21">(aY^sigmaY*pKLE^(1-sigmaY)+bY^sigmaY*pMY^(1-sigmaY))^(1/(1-sigmaY))*(1+tauY)</f>
        <v>982627.71004042146</v>
      </c>
      <c r="I21" s="64">
        <v>7118184.2772084456</v>
      </c>
      <c r="J21" s="113" t="s">
        <v>69</v>
      </c>
      <c r="K21" s="120">
        <f t="array" ref="K21:L21">H21:I21/pY-1</f>
        <v>1.4702239425901098E-11</v>
      </c>
      <c r="L21" s="120">
        <v>2.9133806478398583E-11</v>
      </c>
      <c r="N21" s="71">
        <f t="array" ref="N21:O35">PRICES/Calibration!PRICES-1</f>
        <v>981.62771002597458</v>
      </c>
      <c r="O21" s="72">
        <v>7117.1842770010653</v>
      </c>
      <c r="Q21" s="120">
        <f t="array" ref="Q21:R21">(pKLE*KLE+pMY*alphaMY*Y)*(1+tauY)/Y-pY</f>
        <v>1.4447839930653572E-5</v>
      </c>
      <c r="R21" s="120">
        <v>2.0739901810884476E-4</v>
      </c>
      <c r="T21" s="120">
        <f t="array" ref="T21:U21">(aX^sigmaX*pD^(1-sigmaX)+bX^sigmaX*pW^(1-sigmaX))^(1/(1-sigmaX))-pY</f>
        <v>0</v>
      </c>
      <c r="U21" s="120">
        <v>1.7695128917694092E-8</v>
      </c>
    </row>
    <row r="22" spans="2:21" x14ac:dyDescent="0.2">
      <c r="B22" t="s">
        <v>116</v>
      </c>
      <c r="C22" s="101">
        <f t="array" ref="C22:D22">Calibration!pW</f>
        <v>1000</v>
      </c>
      <c r="D22" s="102">
        <v>1000</v>
      </c>
      <c r="N22" s="73">
        <v>0</v>
      </c>
      <c r="O22" s="74">
        <v>0</v>
      </c>
    </row>
    <row r="23" spans="2:21" ht="10.5" x14ac:dyDescent="0.25">
      <c r="B23" t="s">
        <v>128</v>
      </c>
      <c r="C23" s="97">
        <f t="array" ref="C23:D23">ABS(C81:D81)</f>
        <v>626833.27836016635</v>
      </c>
      <c r="D23" s="98">
        <v>5356.852478771546</v>
      </c>
      <c r="H23" s="63">
        <f t="array" ref="H23:I23">(aS^sigmaS*pD^(1-sigmaS)+bS^sigmaS*pW^(1-sigmaS))^(1/(1-sigmaS))</f>
        <v>626833.27840462257</v>
      </c>
      <c r="I23" s="64">
        <v>5356.852478369633</v>
      </c>
      <c r="J23" s="113" t="s">
        <v>121</v>
      </c>
      <c r="K23" s="120">
        <f t="array" ref="K23:L23">(pY*Y+pW*M)/(pS*S+pW*X)-1</f>
        <v>9.2563068321283026E-11</v>
      </c>
      <c r="L23" s="120">
        <v>9.9857677682280155E-11</v>
      </c>
      <c r="N23" s="73">
        <v>625.83327836016633</v>
      </c>
      <c r="O23" s="74">
        <v>4.3568524787715459</v>
      </c>
      <c r="Q23" s="120">
        <f t="array" ref="Q23:R23">pS*S-pD*D-pW*M</f>
        <v>-0.3731117844581604</v>
      </c>
      <c r="R23" s="120">
        <v>2.2644468117505312E-5</v>
      </c>
    </row>
    <row r="24" spans="2:21" x14ac:dyDescent="0.2">
      <c r="B24" t="s">
        <v>77</v>
      </c>
      <c r="C24" s="116">
        <f t="array" ref="C24:D24">aX^(sigmaX/(sigmaX-1))*(pY^(1-sigmaX)-bX^sigmaX*pW^(1-sigmaX))^(1/(1-sigmaX))</f>
        <v>1044024.7835222878</v>
      </c>
      <c r="D24" s="174">
        <v>7394091.7776908176</v>
      </c>
      <c r="N24" s="73">
        <v>1043.0247835222879</v>
      </c>
      <c r="O24" s="74">
        <v>7393.0917776908173</v>
      </c>
    </row>
    <row r="25" spans="2:21" x14ac:dyDescent="0.2">
      <c r="B25" t="s">
        <v>13</v>
      </c>
      <c r="C25" s="33">
        <f t="array" ref="C25:D26">TRANSPOSE(pS*(1+tauTS))</f>
        <v>636807.25049266301</v>
      </c>
      <c r="D25" s="34">
        <v>636807.25049266301</v>
      </c>
      <c r="E25" t="s">
        <v>63</v>
      </c>
      <c r="N25" s="73">
        <v>625.83327836016633</v>
      </c>
      <c r="O25" s="74">
        <v>625.83327836016633</v>
      </c>
    </row>
    <row r="26" spans="2:21" x14ac:dyDescent="0.2">
      <c r="C26" s="35">
        <v>21413948.935148358</v>
      </c>
      <c r="D26" s="36">
        <v>21413948.935148358</v>
      </c>
      <c r="E26" t="s">
        <v>41</v>
      </c>
      <c r="N26" s="73">
        <v>21290.064163475898</v>
      </c>
      <c r="O26" s="74">
        <v>21290.064163475894</v>
      </c>
    </row>
    <row r="27" spans="2:21" ht="10.5" x14ac:dyDescent="0.25">
      <c r="B27" t="s">
        <v>14</v>
      </c>
      <c r="C27" s="41">
        <f t="array" ref="C27:D27">pS*(1+tauTS)</f>
        <v>636807.25049266301</v>
      </c>
      <c r="D27" s="42">
        <v>21413948.935148358</v>
      </c>
      <c r="J27" s="96"/>
      <c r="N27" s="73">
        <v>625.83327836016633</v>
      </c>
      <c r="O27" s="74">
        <v>21290.064163475898</v>
      </c>
    </row>
    <row r="28" spans="2:21" ht="10.5" x14ac:dyDescent="0.25">
      <c r="B28" t="s">
        <v>15</v>
      </c>
      <c r="C28" s="41">
        <f t="array" ref="C28:D28">pS*(1+tauTS)</f>
        <v>636807.25049266301</v>
      </c>
      <c r="D28" s="42">
        <v>21413948.935148358</v>
      </c>
      <c r="J28" s="96"/>
      <c r="N28" s="73">
        <v>625.83327836016645</v>
      </c>
      <c r="O28" s="74">
        <v>21290.064163475898</v>
      </c>
    </row>
    <row r="29" spans="2:21" ht="10.5" x14ac:dyDescent="0.25">
      <c r="B29" t="s">
        <v>29</v>
      </c>
      <c r="C29" s="41">
        <f t="array" ref="C29:D29">pS*(1+tauTS)</f>
        <v>636807.25049266301</v>
      </c>
      <c r="D29" s="42">
        <v>21413948.935148358</v>
      </c>
      <c r="J29" s="96"/>
      <c r="N29" s="73">
        <v>625.83327836016633</v>
      </c>
      <c r="O29" s="74">
        <v>21290.064163475898</v>
      </c>
    </row>
    <row r="30" spans="2:21" ht="10.5" x14ac:dyDescent="0.25">
      <c r="B30" t="s">
        <v>16</v>
      </c>
      <c r="C30" s="41">
        <f t="array" ref="C30:D30">pW</f>
        <v>1000</v>
      </c>
      <c r="D30" s="42">
        <v>1000</v>
      </c>
      <c r="J30" s="96"/>
      <c r="N30" s="73">
        <v>0</v>
      </c>
      <c r="O30" s="74">
        <v>0</v>
      </c>
    </row>
    <row r="31" spans="2:21" x14ac:dyDescent="0.2">
      <c r="B31" t="s">
        <v>17</v>
      </c>
      <c r="C31" s="97">
        <f>ABS(C82)</f>
        <v>1047187.9967453399</v>
      </c>
      <c r="D31" s="174">
        <f>wQ</f>
        <v>1047187.9967453399</v>
      </c>
      <c r="N31" s="73">
        <v>1046.1879967453399</v>
      </c>
      <c r="O31" s="74">
        <v>1046.1879967453399</v>
      </c>
    </row>
    <row r="32" spans="2:21" x14ac:dyDescent="0.2">
      <c r="B32" t="s">
        <v>36</v>
      </c>
      <c r="C32" s="41">
        <f t="array" ref="C32:D32">w*(1+tauL)</f>
        <v>1525756.4980292395</v>
      </c>
      <c r="D32" s="42">
        <v>1525756.4980292397</v>
      </c>
      <c r="N32" s="73">
        <v>1046.1879967453399</v>
      </c>
      <c r="O32" s="74">
        <v>1046.1879967453399</v>
      </c>
      <c r="Q32" s="120">
        <f t="array" ref="Q32:R32">bKL*(Labour/KL)^(rhoKL-1)*pKL/pL-1</f>
        <v>-1.4089840405517862E-11</v>
      </c>
      <c r="R32" s="120">
        <v>18948.190115479541</v>
      </c>
      <c r="S32" t="s">
        <v>135</v>
      </c>
    </row>
    <row r="33" spans="2:19" x14ac:dyDescent="0.2">
      <c r="B33" t="s">
        <v>18</v>
      </c>
      <c r="C33" s="154">
        <f>ABS(C83)</f>
        <v>626833.27836016635</v>
      </c>
      <c r="D33" s="175">
        <f>C33</f>
        <v>626833.27836016635</v>
      </c>
      <c r="E33" t="s">
        <v>56</v>
      </c>
      <c r="N33" s="73">
        <v>625.83327836016633</v>
      </c>
      <c r="O33" s="74">
        <v>625.83327836016633</v>
      </c>
      <c r="Q33" s="120">
        <f t="array" ref="Q33:R33">aKL*(K/KL)^(rhoKL-1)*pKL/pK-1</f>
        <v>2.2540636024359628E-11</v>
      </c>
      <c r="R33" s="120" t="e">
        <v>#NUM!</v>
      </c>
      <c r="S33" t="s">
        <v>135</v>
      </c>
    </row>
    <row r="34" spans="2:19" ht="10.5" x14ac:dyDescent="0.25">
      <c r="B34" t="s">
        <v>61</v>
      </c>
      <c r="C34" s="97">
        <f t="array" ref="C34:D34">ABS(C84:D84)</f>
        <v>846972.11806021002</v>
      </c>
      <c r="D34" s="98">
        <v>745126.51456168958</v>
      </c>
      <c r="J34" s="113" t="s">
        <v>134</v>
      </c>
      <c r="K34" s="120">
        <f t="array" ref="K34:L34">pKL*KL/(pK*K+pL*Labour)-1</f>
        <v>-8.5020879225794488E-13</v>
      </c>
      <c r="L34" s="120" t="e">
        <v>#NUM!</v>
      </c>
      <c r="N34" s="73">
        <v>845.97211806021005</v>
      </c>
      <c r="O34" s="74">
        <v>744.12651456168953</v>
      </c>
      <c r="Q34" s="120">
        <f t="array" ref="Q34:R34">(aKL^sigmaKL*pK^(1-sigmaKL)+bKL^sigmaKL*pL^(1-sigmaKL))^((rhoKL-1)/rhoKL)-pKL</f>
        <v>7.1979593485593796E-7</v>
      </c>
      <c r="R34" s="120">
        <v>1.7683487385511398E-7</v>
      </c>
      <c r="S34" t="s">
        <v>135</v>
      </c>
    </row>
    <row r="35" spans="2:19" x14ac:dyDescent="0.2">
      <c r="B35" t="s">
        <v>62</v>
      </c>
      <c r="C35" s="35">
        <f t="array" ref="C35:D35">(aKLE^sigmaKLE*pKL^(1-sigmaKLE)+bKLE^sigmaKLE*pEY^(1-sigmaKLE))^(1/(1-sigmaKLE))</f>
        <v>1360686.7109168677</v>
      </c>
      <c r="D35" s="36">
        <v>10908846.426358528</v>
      </c>
      <c r="N35" s="75">
        <v>1359.6867109168677</v>
      </c>
      <c r="O35" s="76">
        <v>10907.846426358528</v>
      </c>
      <c r="Q35" s="120">
        <f t="array" ref="Q35:R35">(pKL*KL+pEY*alphaEY*Y)/KLE-pKLE</f>
        <v>2.5611370801925659E-9</v>
      </c>
      <c r="R35" s="120">
        <v>4.6566128730773926E-8</v>
      </c>
    </row>
    <row r="37" spans="2:19" ht="10.5" x14ac:dyDescent="0.25">
      <c r="B37" t="s">
        <v>19</v>
      </c>
      <c r="C37" s="84">
        <f t="array" ref="C37:D37">ABS(C89:D89)</f>
        <v>4948.251216732373</v>
      </c>
      <c r="D37" s="85">
        <v>2.4987171612058833E-5</v>
      </c>
      <c r="H37" s="63">
        <f t="array" ref="H37:I37">(aX*D^rhoX+bX*X^rhoX)^(1/rhoX)</f>
        <v>4948.2512166164997</v>
      </c>
      <c r="I37" s="64">
        <v>2.49871641968281E-5</v>
      </c>
      <c r="J37" s="113" t="s">
        <v>120</v>
      </c>
      <c r="K37" s="120">
        <f t="array" ref="K37:L37">H37:I37/Y-1</f>
        <v>-2.3417046079998727E-11</v>
      </c>
      <c r="L37" s="120">
        <v>-2.967615081450603E-7</v>
      </c>
      <c r="N37" s="71">
        <f t="array" ref="N37:O48">VOLUMES/Calibration!VOLUMES-1</f>
        <v>-0.82236962283712778</v>
      </c>
      <c r="O37" s="72">
        <v>-0.99999997979638644</v>
      </c>
      <c r="Q37" s="120">
        <f t="array" ref="Q37:R37">(aY*KLE^rhoY+bY*(alphaMY*Y)^rhoY)^(1/rhoY)-Y</f>
        <v>0</v>
      </c>
      <c r="R37" s="120">
        <v>-4.0657581468206416E-20</v>
      </c>
    </row>
    <row r="38" spans="2:19" x14ac:dyDescent="0.2">
      <c r="B38" t="s">
        <v>3</v>
      </c>
      <c r="C38" s="41">
        <f t="array" ref="C38:D38">(bS/pW)^sigmaS*(aS^sigmaS*pD^(1-sigmaS)+bS^sigmaS*pW^(1-sigmaS))^(-1/rhoS)*S</f>
        <v>398687.40871423058</v>
      </c>
      <c r="D38" s="42">
        <v>301.63617726307007</v>
      </c>
      <c r="N38" s="73">
        <v>210.34898842180812</v>
      </c>
      <c r="O38" s="74">
        <v>0.14783473900058675</v>
      </c>
      <c r="Q38" s="120">
        <f t="array" ref="Q38:R38">pD*D+pW*M-pS*S</f>
        <v>0.37311172485351563</v>
      </c>
      <c r="R38" s="120">
        <v>-2.2644468117505312E-5</v>
      </c>
    </row>
    <row r="39" spans="2:19" ht="10.5" x14ac:dyDescent="0.25">
      <c r="B39" t="s">
        <v>127</v>
      </c>
      <c r="C39" s="82">
        <f t="array" ref="C39:D39">ABS(C85:D85)</f>
        <v>8392.9424497147647</v>
      </c>
      <c r="D39" s="83">
        <v>56.341674839999335</v>
      </c>
      <c r="E39" t="s">
        <v>122</v>
      </c>
      <c r="H39" s="63">
        <f t="array" ref="H39:I39">MMULT(Y,TRANSPOSE(alpha))+Consumption+G+I</f>
        <v>8392.942449764203</v>
      </c>
      <c r="I39" s="64">
        <v>56.341674833567794</v>
      </c>
      <c r="J39" s="113" t="s">
        <v>72</v>
      </c>
      <c r="K39" s="120">
        <f t="array" ref="K39:L39">H39:I39/S-1</f>
        <v>5.8903992794512305E-12</v>
      </c>
      <c r="L39" s="120">
        <v>-1.1415246525814382E-10</v>
      </c>
      <c r="N39" s="73">
        <v>-0.68386206798049853</v>
      </c>
      <c r="O39" s="74">
        <v>-0.9600000000000003</v>
      </c>
    </row>
    <row r="40" spans="2:19" x14ac:dyDescent="0.2">
      <c r="B40" t="s">
        <v>76</v>
      </c>
      <c r="C40" s="41">
        <f t="array" ref="C40:D40">(aS/pD)^sigmaS*(aS^sigmaS*pD^(1-sigmaS)+bS^sigmaS*pW^(1-sigmaS))^(-1/rhoS)*S</f>
        <v>4657.253639226461</v>
      </c>
      <c r="D40" s="42">
        <v>2.4054778385758373E-5</v>
      </c>
      <c r="F40" s="166"/>
      <c r="N40" s="75">
        <v>-0.81115640600130035</v>
      </c>
      <c r="O40" s="76">
        <v>-0.99999997900529913</v>
      </c>
    </row>
    <row r="41" spans="2:19" ht="10.5" x14ac:dyDescent="0.25">
      <c r="B41" t="s">
        <v>28</v>
      </c>
      <c r="C41" s="41">
        <f>(aU/pCQ)^sigmaU/(aU^sigmaU*pCQ^(1-sigmaU)+bU^sigmaU*pCE^(1-sigmaU))*Revenue</f>
        <v>1258.4585201674561</v>
      </c>
      <c r="D41" s="42">
        <f>(bU/pCE)^sigmaU/(aU^sigmaU*pCQ^(1-sigmaU)+bU^sigmaU*pCE^(1-sigmaU))*Revenue</f>
        <v>8.8254564607145856</v>
      </c>
      <c r="E41" t="s">
        <v>57</v>
      </c>
      <c r="H41" s="62" t="s">
        <v>67</v>
      </c>
      <c r="I41" s="94">
        <v>0.97000000000000031</v>
      </c>
      <c r="J41" s="113" t="s">
        <v>73</v>
      </c>
      <c r="K41" s="120">
        <f>Model!SE/(1-I41)/Calibration!SE-1</f>
        <v>0.33333333333333726</v>
      </c>
      <c r="N41" s="73">
        <v>-0.80738679144554726</v>
      </c>
      <c r="O41" s="74">
        <v>-0.9767694831988144</v>
      </c>
    </row>
    <row r="42" spans="2:19" x14ac:dyDescent="0.2">
      <c r="B42" t="s">
        <v>7</v>
      </c>
      <c r="C42" s="116">
        <f t="array" ref="C42">omegaG*GDP/pG</f>
        <v>1204.7965732941277</v>
      </c>
      <c r="D42" s="8">
        <v>0</v>
      </c>
      <c r="N42" s="73">
        <v>-0.63251611746904357</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0.53911532091854519</v>
      </c>
      <c r="D44" s="169">
        <v>2.3639489034505215E-10</v>
      </c>
      <c r="N44" s="73">
        <v>-0.99983126532442157</v>
      </c>
      <c r="O44" s="74">
        <v>-0.99999999999740263</v>
      </c>
    </row>
    <row r="45" spans="2:19" x14ac:dyDescent="0.2">
      <c r="B45" t="s">
        <v>27</v>
      </c>
      <c r="C45" s="84">
        <f t="array" ref="C45:D45">ABS(C88:D88)</f>
        <v>870.55888839344209</v>
      </c>
      <c r="D45" s="85">
        <v>9.1471291282971487E-7</v>
      </c>
      <c r="H45" s="29"/>
      <c r="N45" s="73">
        <v>-0.82714300199375101</v>
      </c>
      <c r="O45" s="74">
        <v>-0.99999998778841381</v>
      </c>
      <c r="Q45" s="120">
        <f t="array" ref="Q45:R45">(bKL/pL)^sigmaKL*(aKL^sigmaKL*pK^(1-sigmaKL)+bKL^sigmaKL*pL^(1-sigmaKL))^(-1/rhoKL)*KL/Labour-1</f>
        <v>-1.9858559241470175E-12</v>
      </c>
      <c r="R45" s="120">
        <v>1.0932413198748026</v>
      </c>
      <c r="S45" t="s">
        <v>135</v>
      </c>
    </row>
    <row r="46" spans="2:19" x14ac:dyDescent="0.2">
      <c r="B46" t="s">
        <v>2</v>
      </c>
      <c r="C46" s="35">
        <f t="array" ref="C46:D46">(KL^rhoKL/aKL-bKL*Labour^rhoKL/aKL)^(1/rhoKL)</f>
        <v>1199.5114121638092</v>
      </c>
      <c r="D46" s="36" t="e">
        <v>#NUM!</v>
      </c>
      <c r="N46" s="73">
        <v>-0.81331137460972913</v>
      </c>
      <c r="O46" s="74" t="e">
        <v>#NUM!</v>
      </c>
      <c r="Q46" s="120">
        <f t="array" ref="Q46:R46">(aKL/pK)^sigmaKL*(aKL^sigmaKL*pK^(1-sigmaKL)+bKL^sigmaKL*pL^(1-sigmaKL))^(-1/rhoKL)*KL/K-1</f>
        <v>3.5087488470253447E-12</v>
      </c>
      <c r="R46" s="120" t="e">
        <v>#NUM!</v>
      </c>
      <c r="S46" t="s">
        <v>135</v>
      </c>
    </row>
    <row r="47" spans="2:19" x14ac:dyDescent="0.2">
      <c r="B47" t="s">
        <v>35</v>
      </c>
      <c r="C47" s="41">
        <f t="array" ref="C47:D47">(aKLE/pKL)^sigmaKLE*(aKLE^sigmaKLE*pKL^(1-sigmaKLE)+bKLE^sigmaKLE*pEY^(1-sigmaKLE))^(-1/rhoKLE)*KLE</f>
        <v>2455.9894091470378</v>
      </c>
      <c r="D47" s="42">
        <v>1.0026648413161853E-5</v>
      </c>
      <c r="N47" s="73">
        <v>-0.82155256999812076</v>
      </c>
      <c r="O47" s="74">
        <v>-0.99999997377738647</v>
      </c>
      <c r="Q47" s="120">
        <f t="array" ref="Q47:R47">(aKL*K^rhoKL+bKL*Labour^rhoKL)^(1/rhoKL)-KL</f>
        <v>0</v>
      </c>
      <c r="R47" s="120" t="e">
        <v>#NUM!</v>
      </c>
    </row>
    <row r="48" spans="2:19" x14ac:dyDescent="0.2">
      <c r="B48" t="s">
        <v>53</v>
      </c>
      <c r="C48" s="35">
        <f t="array" ref="C48:D48">(aY/pKLE)^sigmaY*(aY^sigmaY*pKLE^(1-sigmaY)+bY^sigmaY*pMY^(1-sigmaY))^(-1/rhoY)*Y</f>
        <v>2276.5448071827227</v>
      </c>
      <c r="D48" s="36">
        <v>1.5323080252075112E-5</v>
      </c>
      <c r="N48" s="75">
        <v>-0.84149679791959775</v>
      </c>
      <c r="O48" s="76">
        <v>-0.99999998125081591</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3996.4871475383779</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1730566488.3002515</v>
      </c>
      <c r="J55" s="113" t="s">
        <v>71</v>
      </c>
      <c r="K55" s="120">
        <f t="array" ref="K55">pK/pI/Calibration!pK*Calibration!pI-1</f>
        <v>0</v>
      </c>
      <c r="N55" s="77">
        <f t="array" ref="N55:N59">AGGREGATES/Calibration!AGGREGATES-1</f>
        <v>590.68105905898597</v>
      </c>
      <c r="T55" s="113" t="s">
        <v>137</v>
      </c>
      <c r="U55" s="120" t="e">
        <f>SUM(K)/SUM(Calibration!K)-1</f>
        <v>#NUM!</v>
      </c>
      <c r="W55" s="120" t="e">
        <f>SUM(K)/SUM(Calibration!K)-1</f>
        <v>#NUM!</v>
      </c>
      <c r="Y55" s="120" t="e">
        <f>SUM(K)/SUM(Calibration!K)-1</f>
        <v>#NUM!</v>
      </c>
      <c r="AA55" s="120" t="e">
        <f>SUM(K)/SUM(Calibration!K)-1</f>
        <v>#NUM!</v>
      </c>
      <c r="AC55" s="120" t="e">
        <f>SUM(K)/SUM(Calibration!K)-1</f>
        <v>#NUM!</v>
      </c>
      <c r="AE55" s="120" t="e">
        <f>SUM(K)/SUM(Calibration!K)-1</f>
        <v>#NUM!</v>
      </c>
      <c r="AG55" s="120" t="e">
        <f t="array" ref="AG55">pK/pI/Calibration!pK*Calibration!pI*20%^sigmaw*(20%+80%*(SUM(Calibration!K)-SUM(K))/SUM(Calibration!K))^-sigmaw-1</f>
        <v>#NUM!</v>
      </c>
      <c r="AI55" s="120">
        <f t="array" ref="AI55">pK/pI/Calibration!pK*Calibration!pI-1</f>
        <v>0</v>
      </c>
      <c r="AK55" s="120" t="e">
        <f>SUM(K)/SUM(Calibration!K)-1</f>
        <v>#NUM!</v>
      </c>
    </row>
    <row r="56" spans="2:38" ht="10.5" x14ac:dyDescent="0.25">
      <c r="B56" t="s">
        <v>47</v>
      </c>
      <c r="C56" s="80">
        <f>(aU*CQ^rhoU+bU*CE^rhoU)^(1/rhoU)</f>
        <v>0.1524799911077801</v>
      </c>
      <c r="J56" s="113" t="s">
        <v>74</v>
      </c>
      <c r="K56" s="120">
        <f t="array" ref="K56">w/CPI/Calibration!w*10.8%^sigmaw*(10.8%+89.2%*(SUM(Calibration!Labour)-SUM(Labour))/SUM(Calibration!Labour))^-sigmaw-1</f>
        <v>-2.6463164992662769E-11</v>
      </c>
      <c r="N56" s="78">
        <v>-0.8475200088922199</v>
      </c>
      <c r="T56" s="113" t="s">
        <v>138</v>
      </c>
      <c r="U56" s="120">
        <f>SUM(Labour)/SUM(Calibration!Labour)-1</f>
        <v>-0.82967624433395226</v>
      </c>
      <c r="W56" s="120">
        <f>SUM(Labour)/SUM(Calibration!Labour)-1</f>
        <v>-0.82967624433395226</v>
      </c>
      <c r="Y56" s="120">
        <f>SUM(Labour)/SUM(Calibration!Labour)-1</f>
        <v>-0.82967624433395226</v>
      </c>
      <c r="AA56" s="120">
        <f t="array" ref="AA56">omegaI*GDP/SUM(pI*I)-1</f>
        <v>-0.63251611746904346</v>
      </c>
      <c r="AC56" s="120">
        <f t="array" ref="AC56">w/CPI/Calibration!w-1</f>
        <v>-9.791061644901855E-2</v>
      </c>
      <c r="AE56" s="120">
        <f t="array" ref="AE56">w/CPI/Calibration!w-1</f>
        <v>-9.791061644901855E-2</v>
      </c>
      <c r="AG56" s="120">
        <f t="array" ref="AG56">w/CPI/Calibration!w*10.8%^sigmaw*(10.8%+89.2%*(SUM(Calibration!Labour)-SUM(Labour))/SUM(Calibration!Labour))^-sigmaw-1</f>
        <v>-2.6463164992662769E-11</v>
      </c>
      <c r="AI56" s="120">
        <f t="array" ref="AI56">w/CPI/Calibration!w*10.8%^sigmaw*(10.8%+89.2%*(SUM(Calibration!Labour)-SUM(Labour))/SUM(Calibration!Labour))^-sigmaw-1</f>
        <v>-2.6463164992662769E-11</v>
      </c>
      <c r="AK56" s="120">
        <f t="array" ref="AK56">w/CPI/Calibration!w-1</f>
        <v>-9.791061644901855E-2</v>
      </c>
    </row>
    <row r="57" spans="2:38" ht="10.5" x14ac:dyDescent="0.25">
      <c r="B57" t="s">
        <v>64</v>
      </c>
      <c r="C57" s="86">
        <f>ABS(C87)</f>
        <v>3394098983.9701166</v>
      </c>
      <c r="J57" s="113" t="s">
        <v>88</v>
      </c>
      <c r="K57" s="120" t="e">
        <f t="array" ref="K57">I/SUM(K)/Calibration!I*SUM(K)-1</f>
        <v>#NUM!</v>
      </c>
      <c r="N57" s="78">
        <v>229.3511268314017</v>
      </c>
      <c r="Q57" s="120">
        <f t="array" ref="Q57">(SUM(pC*Consumption+pG*G+pI*I)+B)/GDP-1</f>
        <v>0</v>
      </c>
      <c r="R57" s="120" t="e">
        <f t="array" ref="R57">SUM(w*Labour,pK*K,T)/GDP-1</f>
        <v>#NUM!</v>
      </c>
      <c r="T57" s="113" t="s">
        <v>139</v>
      </c>
      <c r="U57" s="120">
        <f>B/GDP/Calibration!B*Calibration!GDP-1</f>
        <v>-2.5235462079303463</v>
      </c>
      <c r="W57" s="120">
        <f>B/GDP/Calibration!B*Calibration!GDP-1</f>
        <v>-2.5235462079303463</v>
      </c>
      <c r="Y57" s="120">
        <f>B/GDP/Calibration!B*Calibration!GDP-1</f>
        <v>-2.5235462079303463</v>
      </c>
      <c r="AA57" s="120">
        <f>B/GDP/Calibration!B*Calibration!GDP-1</f>
        <v>-2.5235462079303463</v>
      </c>
      <c r="AC57" s="120">
        <f>B/GDP/Calibration!B*Calibration!GDP-1</f>
        <v>-2.5235462079303463</v>
      </c>
      <c r="AE57" s="120">
        <f>B/GDP/Calibration!B*Calibration!GDP-1</f>
        <v>-2.5235462079303463</v>
      </c>
      <c r="AG57" s="120">
        <f>B/GDP/Calibration!B*Calibration!GDP-1</f>
        <v>-2.5235462079303463</v>
      </c>
      <c r="AI57" s="120" t="e">
        <f t="array" ref="AI57">I/SUM(K)/Calibration!I*SUM(K)-1</f>
        <v>#NUM!</v>
      </c>
      <c r="AK57" s="120">
        <f>B/GDP/Calibration!B*Calibration!GDP-1</f>
        <v>-2.5235462079303463</v>
      </c>
    </row>
    <row r="58" spans="2:38" ht="10.5" x14ac:dyDescent="0.25">
      <c r="B58" t="s">
        <v>54</v>
      </c>
      <c r="C58" s="117">
        <f t="array" ref="C58">GDP-SUM(pG*G,pI*I,B)</f>
        <v>990383384.06602097</v>
      </c>
      <c r="J58" s="113" t="s">
        <v>136</v>
      </c>
      <c r="K58" s="120">
        <f t="array" ref="K58:L58">bKL*(KL/Labour)^(1/sigmaKL)*pKL/pL-1</f>
        <v>-1.4089729383215399E-11</v>
      </c>
      <c r="L58" s="120">
        <v>18948.190115479541</v>
      </c>
      <c r="N58" s="78">
        <v>140.08697303573931</v>
      </c>
      <c r="Q58" s="120">
        <f t="array" ref="Q58">SUM(pC*Consumption)-Revenue</f>
        <v>0</v>
      </c>
      <c r="T58" s="113" t="s">
        <v>140</v>
      </c>
      <c r="U58" s="120">
        <f t="array" ref="U58:V58">bKL*(KL/Labour)^(1/sigmaKL)*pKL/pL-1</f>
        <v>-1.4089729383215399E-11</v>
      </c>
      <c r="V58" s="120">
        <v>18948.190115479541</v>
      </c>
      <c r="W58" s="120">
        <f t="array" ref="W58:X58">bKL*(KL/Labour)^(1/sigmaKL)*pKL/pL-1</f>
        <v>-1.4089729383215399E-11</v>
      </c>
      <c r="X58" s="120">
        <v>18948.190115479541</v>
      </c>
      <c r="Y58" s="120">
        <f t="array" ref="Y58">omegaI*GDP/SUM(pI*I)-1</f>
        <v>-0.63251611746904346</v>
      </c>
      <c r="Z58" s="120">
        <f>Labour_Q/KL_Q/Calibration!Labour_Q*Calibration!KL_Q-Labour_E/KL_E/Calibration!Labour_E*Calibration!KL_E</f>
        <v>0.50298269430453235</v>
      </c>
      <c r="AA58" s="120">
        <f t="array" ref="AA58:AB58">bKL*(KL/Labour)^(1/sigmaKL)*pKL/pL-1</f>
        <v>-1.4089729383215399E-11</v>
      </c>
      <c r="AB58" s="120">
        <v>18948.190115479541</v>
      </c>
      <c r="AC58" s="120">
        <f t="array" ref="AC58">omegaI*GDP/SUM(pI*I)-1</f>
        <v>-0.63251611746904346</v>
      </c>
      <c r="AD58" s="120">
        <f>Labour_Q/KL_Q/Calibration!Labour_Q*Calibration!KL_Q-Labour_E/KL_E/Calibration!Labour_E*Calibration!KL_E</f>
        <v>0.50298269430453235</v>
      </c>
      <c r="AE58" s="120">
        <f t="array" ref="AE58">omegaI*GDP/SUM(pI*I)-1</f>
        <v>-0.63251611746904346</v>
      </c>
      <c r="AF58" s="120">
        <f>Labour_Q/KL_Q/Calibration!Labour_Q*Calibration!KL_Q-Labour_E/KL_E/Calibration!Labour_E*Calibration!KL_E</f>
        <v>0.50298269430453235</v>
      </c>
      <c r="AG58" s="120">
        <f t="array" ref="AG58:AH58">bKL*(KL/Labour)^(1/sigmaKL)*pKL/pL-1</f>
        <v>-1.4089729383215399E-11</v>
      </c>
      <c r="AH58" s="120">
        <v>18948.190115479541</v>
      </c>
      <c r="AI58" s="120">
        <f t="array" ref="AI58:AJ58">bKL*(KL/Labour)^(1/sigmaKL)*pKL/pL-1</f>
        <v>-1.4089729383215399E-11</v>
      </c>
      <c r="AJ58" s="120">
        <v>18948.190115479541</v>
      </c>
      <c r="AK58" s="120">
        <f t="array" ref="AK58">(pI*I)/(Calibration!pI*Calibration!I)-1</f>
        <v>625.83327836016633</v>
      </c>
      <c r="AL58" s="120">
        <f>Labour_Q/KL_Q/Calibration!Labour_Q*Calibration!KL_Q-Labour_E/KL_E/Calibration!Labour_E*Calibration!KL_E</f>
        <v>0.50298269430453235</v>
      </c>
    </row>
    <row r="59" spans="2:38" ht="10.5" x14ac:dyDescent="0.25">
      <c r="B59" t="s">
        <v>75</v>
      </c>
      <c r="C59" s="117">
        <f t="array" ref="C59">SUM(pX*X - pW*M)</f>
        <v>-398988505.77617252</v>
      </c>
      <c r="J59" s="113" t="s">
        <v>70</v>
      </c>
      <c r="K59" s="120" t="e">
        <f t="array" ref="K59">(sL*(SUM(w*Labour))+sG*(T-SUM(pG*G))+sK*SUM(pK*K)-B)/SUM(pI*I)-1</f>
        <v>#NUM!</v>
      </c>
      <c r="N59" s="79">
        <v>-351.95058577646438</v>
      </c>
      <c r="T59" s="113" t="s">
        <v>141</v>
      </c>
      <c r="U59" s="120" t="e">
        <f t="array" ref="U59">(sL*(SUM(w*Labour))+sG*(T-SUM(pG*G))+sK*SUM(pK*K)-B)/SUM(pI*I)-1</f>
        <v>#NUM!</v>
      </c>
      <c r="W59" s="120">
        <f t="array" ref="W59">omegaI*GDP/SUM(pI*I)-1</f>
        <v>-0.63251611746904346</v>
      </c>
      <c r="Y59" s="120" t="e">
        <f t="array" ref="Y59">(sL*(SUM(w*Labour))+sG*(T-SUM(pG*G))+sK*SUM(pK*K)-B)/SUM(pI*I)-1</f>
        <v>#NUM!</v>
      </c>
      <c r="AA59" s="120" t="e">
        <f t="array" ref="AA59">(sL*(SUM(w*Labour))+sG*(T-SUM(pG*G))+sK*SUM(pK*K)-B)/SUM(pI*I)-1</f>
        <v>#NUM!</v>
      </c>
      <c r="AC59" s="120" t="e">
        <f t="array" ref="AC59">(sL*(SUM(w*Labour))+sG*(T-SUM(pG*G))+sK*SUM(pK*K)-B)/SUM(pI*I)-1</f>
        <v>#NUM!</v>
      </c>
      <c r="AE59" s="120" t="e">
        <f t="array" ref="AE59">(sL*(SUM(w*Labour))+sG*(T-SUM(pG*G))+sK*SUM(pK*K)-B)/SUM(pI*I)-1</f>
        <v>#NUM!</v>
      </c>
      <c r="AG59" s="120" t="e">
        <f t="array" ref="AG59">(sL*(SUM(w*Labour))+sG*(T-SUM(pG*G))+sK*SUM(pK*K)-B)/SUM(pI*I)-1</f>
        <v>#NUM!</v>
      </c>
      <c r="AI59" s="120" t="e">
        <f t="array" ref="AI59">(sL*(SUM(w*Labour))+sG*(T-SUM(pG*G))+sK*SUM(pK*K)-B)/SUM(pI*I)-1</f>
        <v>#NUM!</v>
      </c>
      <c r="AK59" s="120" t="e">
        <f t="array" ref="AK59">(sL*(SUM(w*Labour))+sG*(T-SUM(pG*G))+sK*SUM(pK*K)-B)/SUM(pI*I)-1</f>
        <v>#NUM!</v>
      </c>
    </row>
    <row r="60" spans="2:38" ht="10.5" x14ac:dyDescent="0.25">
      <c r="B60" t="s">
        <v>161</v>
      </c>
      <c r="C60" s="232">
        <f t="array" ref="C60">SQRT(SUM(pC*Calibration!Consumption)*SUM(pC*Consumption)/SUM(Calibration!pC*Calibration!Consumption)/SUM(Calibration!pC*Consumption))</f>
        <v>1160.8472683972766</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0.48215812632177751</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0.55237751421375525</v>
      </c>
      <c r="D70" s="38">
        <v>0.48557238567212968</v>
      </c>
      <c r="E70" t="s">
        <v>24</v>
      </c>
      <c r="N70" s="71">
        <f t="array" ref="N70:O73">FACTORS/Calibration!FACTORS-1</f>
        <v>0.1703962907284271</v>
      </c>
      <c r="O70" s="72">
        <v>0.52989986689939617</v>
      </c>
    </row>
    <row r="71" spans="2:15" x14ac:dyDescent="0.2">
      <c r="C71" s="39">
        <f t="array" ref="C71:D71">(bKLE/pEY)^sigmaKLE*(aKLE^sigmaKLE*pKL^(1-sigmaKLE)+bKLE^sigmaKLE*pEY^(1-sigmaKLE))^(-1/rhoKLE)*KLE/Y</f>
        <v>9.6026270362095153E-3</v>
      </c>
      <c r="D71" s="40">
        <v>0.29843723038301267</v>
      </c>
      <c r="E71" t="s">
        <v>25</v>
      </c>
      <c r="N71" s="73">
        <v>-0.55134656625505163</v>
      </c>
      <c r="O71" s="74">
        <v>-0.14640669086416802</v>
      </c>
    </row>
    <row r="72" spans="2:15" x14ac:dyDescent="0.2">
      <c r="B72" t="s">
        <v>22</v>
      </c>
      <c r="C72" s="37">
        <f t="array" ref="C72:D72">Labour/Y</f>
        <v>0.1759326376659438</v>
      </c>
      <c r="D72" s="38">
        <v>3.6607301019546908E-2</v>
      </c>
      <c r="N72" s="73">
        <v>-2.6872538542472846E-2</v>
      </c>
      <c r="O72" s="74">
        <v>-0.39557415781005267</v>
      </c>
    </row>
    <row r="73" spans="2:15" x14ac:dyDescent="0.2">
      <c r="B73" t="s">
        <v>23</v>
      </c>
      <c r="C73" s="39">
        <f t="array" ref="C73:D73">K/Y</f>
        <v>0.24241117914702773</v>
      </c>
      <c r="D73" s="40" t="e">
        <v>#NUM!</v>
      </c>
      <c r="N73" s="75">
        <v>5.0994927624867792E-2</v>
      </c>
      <c r="O73" s="76" t="e">
        <v>#NUM!</v>
      </c>
    </row>
    <row r="79" spans="2:15" ht="10.5" x14ac:dyDescent="0.25">
      <c r="B79" s="96" t="s">
        <v>106</v>
      </c>
    </row>
    <row r="80" spans="2:15" x14ac:dyDescent="0.2">
      <c r="B80" t="s">
        <v>12</v>
      </c>
      <c r="C80" s="84">
        <v>982627.71002597455</v>
      </c>
      <c r="D80" s="85">
        <v>7118184.2770010652</v>
      </c>
    </row>
    <row r="81" spans="2:5" x14ac:dyDescent="0.2">
      <c r="B81" t="s">
        <v>128</v>
      </c>
      <c r="C81" s="97">
        <v>626833.27836016635</v>
      </c>
      <c r="D81" s="98">
        <v>5356.852478771546</v>
      </c>
    </row>
    <row r="82" spans="2:5" x14ac:dyDescent="0.2">
      <c r="B82" t="s">
        <v>17</v>
      </c>
      <c r="C82" s="97">
        <v>1047187.9967453399</v>
      </c>
      <c r="D82" s="98">
        <v>1000</v>
      </c>
    </row>
    <row r="83" spans="2:5" x14ac:dyDescent="0.2">
      <c r="B83" t="s">
        <v>18</v>
      </c>
      <c r="C83" s="156">
        <v>626833.27836016635</v>
      </c>
      <c r="D83" s="157">
        <v>1000</v>
      </c>
    </row>
    <row r="84" spans="2:5" x14ac:dyDescent="0.2">
      <c r="B84" t="s">
        <v>61</v>
      </c>
      <c r="C84" s="156">
        <v>846972.11806021002</v>
      </c>
      <c r="D84" s="157">
        <v>745126.51456168958</v>
      </c>
    </row>
    <row r="85" spans="2:5" x14ac:dyDescent="0.2">
      <c r="B85" t="s">
        <v>127</v>
      </c>
      <c r="C85" s="82">
        <v>8392.9424497147647</v>
      </c>
      <c r="D85" s="83">
        <v>56.341674839999335</v>
      </c>
    </row>
    <row r="86" spans="2:5" x14ac:dyDescent="0.2">
      <c r="B86" t="s">
        <v>8</v>
      </c>
      <c r="C86" s="97">
        <v>3196.3846373657216</v>
      </c>
      <c r="D86" s="224">
        <v>3996.4871475383779</v>
      </c>
      <c r="E86" t="s">
        <v>164</v>
      </c>
    </row>
    <row r="87" spans="2:5" x14ac:dyDescent="0.2">
      <c r="B87" t="s">
        <v>64</v>
      </c>
      <c r="C87" s="159">
        <v>3394098983.9701166</v>
      </c>
      <c r="D87" s="160">
        <v>0</v>
      </c>
    </row>
    <row r="88" spans="2:5" x14ac:dyDescent="0.2">
      <c r="B88" t="s">
        <v>27</v>
      </c>
      <c r="C88" s="159">
        <v>870.55888839344209</v>
      </c>
      <c r="D88" s="167">
        <v>9.1471291282971487E-7</v>
      </c>
    </row>
    <row r="89" spans="2:5" x14ac:dyDescent="0.2">
      <c r="B89" t="s">
        <v>19</v>
      </c>
      <c r="C89" s="158">
        <v>4948.251216732373</v>
      </c>
      <c r="D89" s="161">
        <v>2.4987171612058833E-5</v>
      </c>
    </row>
  </sheetData>
  <conditionalFormatting sqref="K21:L21">
    <cfRule type="cellIs" dxfId="87" priority="1658" stopIfTrue="1" operator="notEqual">
      <formula>0</formula>
    </cfRule>
  </conditionalFormatting>
  <conditionalFormatting sqref="Q48:R48">
    <cfRule type="cellIs" dxfId="86" priority="1647" stopIfTrue="1" operator="notEqual">
      <formula>0</formula>
    </cfRule>
  </conditionalFormatting>
  <conditionalFormatting sqref="K39:L39">
    <cfRule type="cellIs" dxfId="85" priority="1655" stopIfTrue="1" operator="notEqual">
      <formula>0</formula>
    </cfRule>
  </conditionalFormatting>
  <conditionalFormatting sqref="K41">
    <cfRule type="cellIs" dxfId="84" priority="1654" stopIfTrue="1" operator="notEqual">
      <formula>0</formula>
    </cfRule>
  </conditionalFormatting>
  <conditionalFormatting sqref="Q47:R47">
    <cfRule type="cellIs" dxfId="83" priority="1652" stopIfTrue="1" operator="notEqual">
      <formula>0</formula>
    </cfRule>
  </conditionalFormatting>
  <conditionalFormatting sqref="Q37:R37">
    <cfRule type="cellIs" dxfId="82" priority="1649" stopIfTrue="1" operator="notEqual">
      <formula>0</formula>
    </cfRule>
  </conditionalFormatting>
  <conditionalFormatting sqref="R57">
    <cfRule type="cellIs" dxfId="81" priority="1643" stopIfTrue="1" operator="notEqual">
      <formula>0</formula>
    </cfRule>
  </conditionalFormatting>
  <conditionalFormatting sqref="Q57:Q58">
    <cfRule type="cellIs" dxfId="80" priority="1645" stopIfTrue="1" operator="notEqual">
      <formula>0</formula>
    </cfRule>
  </conditionalFormatting>
  <conditionalFormatting sqref="W59">
    <cfRule type="cellIs" dxfId="79" priority="1590" stopIfTrue="1" operator="notEqual">
      <formula>0</formula>
    </cfRule>
  </conditionalFormatting>
  <conditionalFormatting sqref="K37:L37">
    <cfRule type="cellIs" dxfId="78" priority="1224" stopIfTrue="1" operator="notEqual">
      <formula>0</formula>
    </cfRule>
  </conditionalFormatting>
  <conditionalFormatting sqref="Q21:R21">
    <cfRule type="cellIs" dxfId="77" priority="1207" stopIfTrue="1" operator="notEqual">
      <formula>0</formula>
    </cfRule>
  </conditionalFormatting>
  <conditionalFormatting sqref="Q23:R23">
    <cfRule type="cellIs" dxfId="76" priority="1211" stopIfTrue="1" operator="notEqual">
      <formula>0</formula>
    </cfRule>
  </conditionalFormatting>
  <conditionalFormatting sqref="Q38:R38">
    <cfRule type="cellIs" dxfId="75" priority="1210" stopIfTrue="1" operator="notEqual">
      <formula>0</formula>
    </cfRule>
  </conditionalFormatting>
  <conditionalFormatting sqref="Q34:R34">
    <cfRule type="cellIs" dxfId="74" priority="1209" stopIfTrue="1" operator="notEqual">
      <formula>0</formula>
    </cfRule>
  </conditionalFormatting>
  <conditionalFormatting sqref="Q35:R35">
    <cfRule type="cellIs" dxfId="73" priority="1208" stopIfTrue="1" operator="notEqual">
      <formula>0</formula>
    </cfRule>
  </conditionalFormatting>
  <conditionalFormatting sqref="K23:L23">
    <cfRule type="cellIs" dxfId="72" priority="1206" stopIfTrue="1" operator="notEqual">
      <formula>0</formula>
    </cfRule>
  </conditionalFormatting>
  <conditionalFormatting sqref="K34:L34">
    <cfRule type="cellIs" dxfId="71" priority="977" stopIfTrue="1" operator="notEqual">
      <formula>0</formula>
    </cfRule>
  </conditionalFormatting>
  <conditionalFormatting sqref="Q33:R33">
    <cfRule type="cellIs" dxfId="70" priority="971" stopIfTrue="1" operator="notEqual">
      <formula>0</formula>
    </cfRule>
  </conditionalFormatting>
  <conditionalFormatting sqref="Q46:R46">
    <cfRule type="cellIs" dxfId="69" priority="975" stopIfTrue="1" operator="notEqual">
      <formula>0</formula>
    </cfRule>
  </conditionalFormatting>
  <conditionalFormatting sqref="Q45:R45">
    <cfRule type="cellIs" dxfId="68" priority="976" stopIfTrue="1" operator="notEqual">
      <formula>0</formula>
    </cfRule>
  </conditionalFormatting>
  <conditionalFormatting sqref="W58">
    <cfRule type="cellIs" dxfId="67" priority="962" stopIfTrue="1" operator="notEqual">
      <formula>0</formula>
    </cfRule>
  </conditionalFormatting>
  <conditionalFormatting sqref="Q32:R32">
    <cfRule type="cellIs" dxfId="66" priority="972" stopIfTrue="1" operator="notEqual">
      <formula>0</formula>
    </cfRule>
  </conditionalFormatting>
  <conditionalFormatting sqref="X58">
    <cfRule type="cellIs" dxfId="65" priority="961" stopIfTrue="1" operator="notEqual">
      <formula>0</formula>
    </cfRule>
  </conditionalFormatting>
  <conditionalFormatting sqref="W55">
    <cfRule type="cellIs" dxfId="64" priority="920" stopIfTrue="1" operator="notEqual">
      <formula>0</formula>
    </cfRule>
  </conditionalFormatting>
  <conditionalFormatting sqref="W56">
    <cfRule type="cellIs" dxfId="63" priority="919" stopIfTrue="1" operator="notEqual">
      <formula>0</formula>
    </cfRule>
  </conditionalFormatting>
  <conditionalFormatting sqref="Y55">
    <cfRule type="cellIs" dxfId="62" priority="917" stopIfTrue="1" operator="notEqual">
      <formula>0</formula>
    </cfRule>
  </conditionalFormatting>
  <conditionalFormatting sqref="Y56">
    <cfRule type="cellIs" dxfId="61" priority="916" stopIfTrue="1" operator="notEqual">
      <formula>0</formula>
    </cfRule>
  </conditionalFormatting>
  <conditionalFormatting sqref="AA59">
    <cfRule type="cellIs" dxfId="60" priority="913" stopIfTrue="1" operator="notEqual">
      <formula>0</formula>
    </cfRule>
  </conditionalFormatting>
  <conditionalFormatting sqref="AA55">
    <cfRule type="cellIs" dxfId="59" priority="911" stopIfTrue="1" operator="notEqual">
      <formula>0</formula>
    </cfRule>
  </conditionalFormatting>
  <conditionalFormatting sqref="AA58">
    <cfRule type="cellIs" dxfId="58" priority="907" stopIfTrue="1" operator="notEqual">
      <formula>0</formula>
    </cfRule>
  </conditionalFormatting>
  <conditionalFormatting sqref="AB58">
    <cfRule type="cellIs" dxfId="57" priority="906" stopIfTrue="1" operator="notEqual">
      <formula>0</formula>
    </cfRule>
  </conditionalFormatting>
  <conditionalFormatting sqref="U58">
    <cfRule type="cellIs" dxfId="56" priority="884" stopIfTrue="1" operator="notEqual">
      <formula>0</formula>
    </cfRule>
  </conditionalFormatting>
  <conditionalFormatting sqref="V58">
    <cfRule type="cellIs" dxfId="55" priority="883" stopIfTrue="1" operator="notEqual">
      <formula>0</formula>
    </cfRule>
  </conditionalFormatting>
  <conditionalFormatting sqref="U57">
    <cfRule type="cellIs" dxfId="54" priority="881" stopIfTrue="1" operator="notEqual">
      <formula>0</formula>
    </cfRule>
  </conditionalFormatting>
  <conditionalFormatting sqref="U55">
    <cfRule type="cellIs" dxfId="53" priority="885" stopIfTrue="1" operator="notEqual">
      <formula>0</formula>
    </cfRule>
  </conditionalFormatting>
  <conditionalFormatting sqref="U56">
    <cfRule type="cellIs" dxfId="52" priority="882" stopIfTrue="1" operator="notEqual">
      <formula>0</formula>
    </cfRule>
  </conditionalFormatting>
  <conditionalFormatting sqref="U59">
    <cfRule type="cellIs" dxfId="51" priority="880" stopIfTrue="1" operator="notEqual">
      <formula>0</formula>
    </cfRule>
  </conditionalFormatting>
  <conditionalFormatting sqref="Z58">
    <cfRule type="cellIs" dxfId="50" priority="858" stopIfTrue="1" operator="notEqual">
      <formula>0</formula>
    </cfRule>
  </conditionalFormatting>
  <conditionalFormatting sqref="AC59">
    <cfRule type="cellIs" dxfId="49" priority="851" stopIfTrue="1" operator="notEqual">
      <formula>0</formula>
    </cfRule>
  </conditionalFormatting>
  <conditionalFormatting sqref="AC55">
    <cfRule type="cellIs" dxfId="48" priority="850" stopIfTrue="1" operator="notEqual">
      <formula>0</formula>
    </cfRule>
  </conditionalFormatting>
  <conditionalFormatting sqref="AC56">
    <cfRule type="cellIs" dxfId="47" priority="846" stopIfTrue="1" operator="notEqual">
      <formula>0</formula>
    </cfRule>
  </conditionalFormatting>
  <conditionalFormatting sqref="AD58">
    <cfRule type="cellIs" dxfId="46" priority="844" stopIfTrue="1" operator="notEqual">
      <formula>0</formula>
    </cfRule>
  </conditionalFormatting>
  <conditionalFormatting sqref="AE59">
    <cfRule type="cellIs" dxfId="45" priority="837" stopIfTrue="1" operator="notEqual">
      <formula>0</formula>
    </cfRule>
  </conditionalFormatting>
  <conditionalFormatting sqref="AE55">
    <cfRule type="cellIs" dxfId="44" priority="836" stopIfTrue="1" operator="notEqual">
      <formula>0</formula>
    </cfRule>
  </conditionalFormatting>
  <conditionalFormatting sqref="AE56">
    <cfRule type="cellIs" dxfId="43" priority="834" stopIfTrue="1" operator="notEqual">
      <formula>0</formula>
    </cfRule>
  </conditionalFormatting>
  <conditionalFormatting sqref="AF58">
    <cfRule type="cellIs" dxfId="42" priority="832" stopIfTrue="1" operator="notEqual">
      <formula>0</formula>
    </cfRule>
  </conditionalFormatting>
  <conditionalFormatting sqref="AI59">
    <cfRule type="cellIs" dxfId="41" priority="825" stopIfTrue="1" operator="notEqual">
      <formula>0</formula>
    </cfRule>
  </conditionalFormatting>
  <conditionalFormatting sqref="AI57">
    <cfRule type="cellIs" dxfId="40" priority="823" stopIfTrue="1" operator="notEqual">
      <formula>0</formula>
    </cfRule>
  </conditionalFormatting>
  <conditionalFormatting sqref="AI55">
    <cfRule type="cellIs" dxfId="39" priority="824" stopIfTrue="1" operator="notEqual">
      <formula>0</formula>
    </cfRule>
  </conditionalFormatting>
  <conditionalFormatting sqref="AI58">
    <cfRule type="cellIs" dxfId="38" priority="819" stopIfTrue="1" operator="notEqual">
      <formula>0</formula>
    </cfRule>
  </conditionalFormatting>
  <conditionalFormatting sqref="AJ58">
    <cfRule type="cellIs" dxfId="37" priority="818" stopIfTrue="1" operator="notEqual">
      <formula>0</formula>
    </cfRule>
  </conditionalFormatting>
  <conditionalFormatting sqref="W57">
    <cfRule type="cellIs" dxfId="36" priority="720" stopIfTrue="1" operator="notEqual">
      <formula>0</formula>
    </cfRule>
  </conditionalFormatting>
  <conditionalFormatting sqref="Y57">
    <cfRule type="cellIs" dxfId="35" priority="719" stopIfTrue="1" operator="notEqual">
      <formula>0</formula>
    </cfRule>
  </conditionalFormatting>
  <conditionalFormatting sqref="AA57">
    <cfRule type="cellIs" dxfId="34" priority="718" stopIfTrue="1" operator="notEqual">
      <formula>0</formula>
    </cfRule>
  </conditionalFormatting>
  <conditionalFormatting sqref="AC57">
    <cfRule type="cellIs" dxfId="33" priority="717" stopIfTrue="1" operator="notEqual">
      <formula>0</formula>
    </cfRule>
  </conditionalFormatting>
  <conditionalFormatting sqref="AE57">
    <cfRule type="cellIs" dxfId="32" priority="716" stopIfTrue="1" operator="notEqual">
      <formula>0</formula>
    </cfRule>
  </conditionalFormatting>
  <conditionalFormatting sqref="AK57">
    <cfRule type="cellIs" dxfId="31" priority="616" stopIfTrue="1" operator="notEqual">
      <formula>0</formula>
    </cfRule>
  </conditionalFormatting>
  <conditionalFormatting sqref="AK58">
    <cfRule type="cellIs" dxfId="30" priority="615" stopIfTrue="1" operator="notEqual">
      <formula>0</formula>
    </cfRule>
  </conditionalFormatting>
  <conditionalFormatting sqref="Y58">
    <cfRule type="cellIs" dxfId="29" priority="654" stopIfTrue="1" operator="notEqual">
      <formula>0</formula>
    </cfRule>
  </conditionalFormatting>
  <conditionalFormatting sqref="AA56">
    <cfRule type="cellIs" dxfId="28" priority="647" stopIfTrue="1" operator="notEqual">
      <formula>0</formula>
    </cfRule>
  </conditionalFormatting>
  <conditionalFormatting sqref="AC58">
    <cfRule type="cellIs" dxfId="27" priority="640" stopIfTrue="1" operator="notEqual">
      <formula>0</formula>
    </cfRule>
  </conditionalFormatting>
  <conditionalFormatting sqref="AE58">
    <cfRule type="cellIs" dxfId="26" priority="633" stopIfTrue="1" operator="notEqual">
      <formula>0</formula>
    </cfRule>
  </conditionalFormatting>
  <conditionalFormatting sqref="AK59">
    <cfRule type="cellIs" dxfId="25" priority="620" stopIfTrue="1" operator="notEqual">
      <formula>0</formula>
    </cfRule>
  </conditionalFormatting>
  <conditionalFormatting sqref="AK56">
    <cfRule type="cellIs" dxfId="24" priority="618" stopIfTrue="1" operator="notEqual">
      <formula>0</formula>
    </cfRule>
  </conditionalFormatting>
  <conditionalFormatting sqref="AK55">
    <cfRule type="cellIs" dxfId="23" priority="619" stopIfTrue="1" operator="notEqual">
      <formula>0</formula>
    </cfRule>
  </conditionalFormatting>
  <conditionalFormatting sqref="AL58">
    <cfRule type="cellIs" dxfId="22" priority="617" stopIfTrue="1" operator="notEqual">
      <formula>0</formula>
    </cfRule>
  </conditionalFormatting>
  <conditionalFormatting sqref="T21:U21">
    <cfRule type="cellIs" dxfId="21" priority="577" stopIfTrue="1" operator="notEqual">
      <formula>0</formula>
    </cfRule>
  </conditionalFormatting>
  <conditionalFormatting sqref="AG58">
    <cfRule type="cellIs" dxfId="20" priority="554" stopIfTrue="1" operator="notEqual">
      <formula>0</formula>
    </cfRule>
  </conditionalFormatting>
  <conditionalFormatting sqref="AH58">
    <cfRule type="cellIs" dxfId="19" priority="553" stopIfTrue="1" operator="notEqual">
      <formula>0</formula>
    </cfRule>
  </conditionalFormatting>
  <conditionalFormatting sqref="AG57">
    <cfRule type="cellIs" dxfId="18" priority="550" stopIfTrue="1" operator="notEqual">
      <formula>0</formula>
    </cfRule>
  </conditionalFormatting>
  <conditionalFormatting sqref="AG59">
    <cfRule type="cellIs" dxfId="17" priority="557" stopIfTrue="1" operator="notEqual">
      <formula>0</formula>
    </cfRule>
  </conditionalFormatting>
  <conditionalFormatting sqref="AG56">
    <cfRule type="cellIs" dxfId="16" priority="429" stopIfTrue="1" operator="notEqual">
      <formula>0</formula>
    </cfRule>
  </conditionalFormatting>
  <conditionalFormatting sqref="AG55">
    <cfRule type="cellIs" dxfId="15" priority="428" stopIfTrue="1" operator="notEqual">
      <formula>0</formula>
    </cfRule>
  </conditionalFormatting>
  <conditionalFormatting sqref="AI56">
    <cfRule type="cellIs" dxfId="14" priority="427" stopIfTrue="1" operator="notEqual">
      <formula>0</formula>
    </cfRule>
  </conditionalFormatting>
  <conditionalFormatting sqref="Y59">
    <cfRule type="cellIs" dxfId="13" priority="306"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30" activePane="bottomRight" state="frozen"/>
      <selection pane="topRight" activeCell="B1" sqref="B1"/>
      <selection pane="bottomLeft" activeCell="A2" sqref="A2"/>
      <selection pane="bottomRight" activeCell="AP1" sqref="A1:AQ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c r="AT1" s="94"/>
      <c r="AV1" s="94"/>
    </row>
    <row r="2" spans="1:49" x14ac:dyDescent="0.2">
      <c r="A2" s="229" t="s">
        <v>155</v>
      </c>
      <c r="B2" s="226">
        <v>5.7716594496607888E-3</v>
      </c>
      <c r="C2" s="227"/>
      <c r="D2" s="226">
        <v>4.3347278632492416E-2</v>
      </c>
      <c r="E2" s="227"/>
      <c r="F2" s="226">
        <v>7.8836562175367705E-2</v>
      </c>
      <c r="G2" s="227"/>
      <c r="H2" s="226">
        <v>0.11160353632484372</v>
      </c>
      <c r="I2" s="227"/>
      <c r="J2" s="226">
        <v>0.14135279255606051</v>
      </c>
      <c r="K2" s="227"/>
      <c r="L2" s="226">
        <v>0.16834845456716971</v>
      </c>
      <c r="M2" s="227"/>
      <c r="N2" s="226">
        <v>0.1936539649578233</v>
      </c>
      <c r="O2" s="227"/>
      <c r="P2" s="226">
        <v>0.21936257717732499</v>
      </c>
      <c r="Q2" s="227"/>
      <c r="R2" s="226">
        <v>0.24880787635849169</v>
      </c>
      <c r="S2" s="227"/>
      <c r="T2" s="226">
        <v>0.28674616213537124</v>
      </c>
      <c r="U2" s="227"/>
      <c r="V2" s="226">
        <v>0.339617470548218</v>
      </c>
      <c r="W2" s="227"/>
      <c r="X2" s="226">
        <v>0.41620239104829926</v>
      </c>
      <c r="Y2" s="227"/>
      <c r="Z2" s="226">
        <v>0.52940040618123629</v>
      </c>
      <c r="AA2" s="227"/>
      <c r="AB2" s="226">
        <v>0.70073512878194311</v>
      </c>
      <c r="AC2" s="227"/>
      <c r="AD2" s="226">
        <v>0.9722117381763663</v>
      </c>
      <c r="AE2" s="227"/>
      <c r="AF2" s="226">
        <v>1.4429458083909219</v>
      </c>
      <c r="AG2" s="227"/>
      <c r="AH2" s="226">
        <v>2.4181233104441771</v>
      </c>
      <c r="AI2" s="227"/>
      <c r="AJ2" s="226">
        <v>5.3537323627629849</v>
      </c>
      <c r="AK2" s="227"/>
      <c r="AL2" s="226">
        <v>25.448296046134697</v>
      </c>
      <c r="AM2" s="227"/>
      <c r="AN2" s="226">
        <v>1006.3584564894011</v>
      </c>
      <c r="AO2" s="227"/>
      <c r="AP2" s="226">
        <v>3996.4871475383779</v>
      </c>
      <c r="AQ2" s="227"/>
      <c r="AR2" s="226"/>
      <c r="AS2" s="227"/>
      <c r="AT2" s="226"/>
      <c r="AU2" s="227"/>
      <c r="AV2" s="226"/>
      <c r="AW2" s="227"/>
    </row>
    <row r="3" spans="1:49" x14ac:dyDescent="0.2">
      <c r="A3" t="s">
        <v>12</v>
      </c>
      <c r="B3" s="84">
        <v>1000</v>
      </c>
      <c r="C3" s="85">
        <v>1000</v>
      </c>
      <c r="D3" s="84">
        <v>1005.7591072514898</v>
      </c>
      <c r="E3" s="85">
        <v>1024.7112160682991</v>
      </c>
      <c r="F3" s="84">
        <v>1014.7549599162314</v>
      </c>
      <c r="G3" s="85">
        <v>1052.0548547063088</v>
      </c>
      <c r="H3" s="84">
        <v>1027.8528942493845</v>
      </c>
      <c r="I3" s="85">
        <v>1082.5415185188658</v>
      </c>
      <c r="J3" s="84">
        <v>1046.1087230729877</v>
      </c>
      <c r="K3" s="85">
        <v>1117.014844382657</v>
      </c>
      <c r="L3" s="84">
        <v>1070.8134665948426</v>
      </c>
      <c r="M3" s="85">
        <v>1156.8265476455088</v>
      </c>
      <c r="N3" s="84">
        <v>1103.5534691934458</v>
      </c>
      <c r="O3" s="85">
        <v>1204.057944725625</v>
      </c>
      <c r="P3" s="84">
        <v>1146.2815953188485</v>
      </c>
      <c r="Q3" s="85">
        <v>1261.7793397954003</v>
      </c>
      <c r="R3" s="84">
        <v>1201.4242312778056</v>
      </c>
      <c r="S3" s="85">
        <v>1334.391206051565</v>
      </c>
      <c r="T3" s="84">
        <v>1272.0805226587656</v>
      </c>
      <c r="U3" s="85">
        <v>1428.1406759405706</v>
      </c>
      <c r="V3" s="84">
        <v>1362.4652439836366</v>
      </c>
      <c r="W3" s="85">
        <v>1552.0945225423075</v>
      </c>
      <c r="X3" s="84">
        <v>1478.8471003271202</v>
      </c>
      <c r="Y3" s="85">
        <v>1720.1525830255891</v>
      </c>
      <c r="Z3" s="84">
        <v>1631.4889468895756</v>
      </c>
      <c r="AA3" s="85">
        <v>1955.4285396220598</v>
      </c>
      <c r="AB3" s="84">
        <v>1838.800589232927</v>
      </c>
      <c r="AC3" s="85">
        <v>2300.3185417545578</v>
      </c>
      <c r="AD3" s="84">
        <v>2137.326865663269</v>
      </c>
      <c r="AE3" s="85">
        <v>2842.3508102853102</v>
      </c>
      <c r="AF3" s="84">
        <v>2610.5233267528829</v>
      </c>
      <c r="AG3" s="85">
        <v>3793.5432727232765</v>
      </c>
      <c r="AH3" s="84">
        <v>3495.7674955745324</v>
      </c>
      <c r="AI3" s="85">
        <v>5809.3059539287315</v>
      </c>
      <c r="AJ3" s="84">
        <v>5772.0273131931917</v>
      </c>
      <c r="AK3" s="85">
        <v>11957.499748697353</v>
      </c>
      <c r="AL3" s="84">
        <v>17113.804491070954</v>
      </c>
      <c r="AM3" s="85">
        <v>52562.452268539178</v>
      </c>
      <c r="AN3" s="84">
        <v>306620.47176075162</v>
      </c>
      <c r="AO3" s="85">
        <v>1840758.1257524497</v>
      </c>
      <c r="AP3" s="84">
        <v>982627.71002597455</v>
      </c>
      <c r="AQ3" s="85">
        <v>7118184.2770010652</v>
      </c>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c r="AS4" s="102"/>
      <c r="AT4" s="101"/>
      <c r="AU4" s="102"/>
      <c r="AV4" s="101"/>
      <c r="AW4" s="102"/>
    </row>
    <row r="5" spans="1:49" x14ac:dyDescent="0.2">
      <c r="A5" t="s">
        <v>128</v>
      </c>
      <c r="B5" s="41">
        <v>1000</v>
      </c>
      <c r="C5" s="42">
        <v>1000</v>
      </c>
      <c r="D5" s="41">
        <v>1006.0393192949482</v>
      </c>
      <c r="E5" s="42">
        <v>1021.5694388629681</v>
      </c>
      <c r="F5" s="41">
        <v>1015.4583918518728</v>
      </c>
      <c r="G5" s="42">
        <v>1045.143994279513</v>
      </c>
      <c r="H5" s="41">
        <v>1029.1417055487993</v>
      </c>
      <c r="I5" s="42">
        <v>1071.0772001223777</v>
      </c>
      <c r="J5" s="41">
        <v>1048.1545537901982</v>
      </c>
      <c r="K5" s="42">
        <v>1099.9704460993369</v>
      </c>
      <c r="L5" s="41">
        <v>1073.7796628771082</v>
      </c>
      <c r="M5" s="42">
        <v>1132.7891718592166</v>
      </c>
      <c r="N5" s="41">
        <v>1107.5659089368835</v>
      </c>
      <c r="O5" s="42">
        <v>1170.9911520947571</v>
      </c>
      <c r="P5" s="41">
        <v>1151.3843360478736</v>
      </c>
      <c r="Q5" s="42">
        <v>1216.6449332383022</v>
      </c>
      <c r="R5" s="41">
        <v>1207.5156327180462</v>
      </c>
      <c r="S5" s="42">
        <v>1272.5438850402741</v>
      </c>
      <c r="T5" s="41">
        <v>1278.8245019180501</v>
      </c>
      <c r="U5" s="42">
        <v>1342.3391752746904</v>
      </c>
      <c r="V5" s="41">
        <v>1369.1650498197041</v>
      </c>
      <c r="W5" s="42">
        <v>1430.7980064267108</v>
      </c>
      <c r="X5" s="41">
        <v>1484.2463478845327</v>
      </c>
      <c r="Y5" s="42">
        <v>1544.3681696758249</v>
      </c>
      <c r="Z5" s="41">
        <v>1633.405243077264</v>
      </c>
      <c r="AA5" s="42">
        <v>1692.3455781512853</v>
      </c>
      <c r="AB5" s="41">
        <v>1833.3467204535004</v>
      </c>
      <c r="AC5" s="42">
        <v>1889.110440078854</v>
      </c>
      <c r="AD5" s="41">
        <v>2117.0209150994324</v>
      </c>
      <c r="AE5" s="42">
        <v>2158.3578180810578</v>
      </c>
      <c r="AF5" s="41">
        <v>2558.8650013547708</v>
      </c>
      <c r="AG5" s="42">
        <v>2541.2218323277148</v>
      </c>
      <c r="AH5" s="41">
        <v>3367.1125518611598</v>
      </c>
      <c r="AI5" s="42">
        <v>3110.3398883101399</v>
      </c>
      <c r="AJ5" s="41">
        <v>5376.8827345716772</v>
      </c>
      <c r="AK5" s="42">
        <v>3967.1239762980395</v>
      </c>
      <c r="AL5" s="41">
        <v>14752.666035054901</v>
      </c>
      <c r="AM5" s="42">
        <v>4963.6399606386249</v>
      </c>
      <c r="AN5" s="41">
        <v>213544.30926259767</v>
      </c>
      <c r="AO5" s="42">
        <v>5347.817048269887</v>
      </c>
      <c r="AP5" s="41">
        <v>626833.27836016635</v>
      </c>
      <c r="AQ5" s="42">
        <v>5356.852478771546</v>
      </c>
      <c r="AR5" s="41"/>
      <c r="AS5" s="42"/>
      <c r="AT5" s="41"/>
      <c r="AU5" s="42"/>
      <c r="AV5" s="41"/>
      <c r="AW5" s="42"/>
    </row>
    <row r="6" spans="1:49" x14ac:dyDescent="0.2">
      <c r="A6" t="s">
        <v>77</v>
      </c>
      <c r="B6" s="41">
        <v>999.99999999999932</v>
      </c>
      <c r="C6" s="42">
        <v>999.99999999999898</v>
      </c>
      <c r="D6" s="41">
        <v>1006.5027855094614</v>
      </c>
      <c r="E6" s="42">
        <v>1026.6483917538135</v>
      </c>
      <c r="F6" s="41">
        <v>1016.6506948125279</v>
      </c>
      <c r="G6" s="42">
        <v>1056.0787413026117</v>
      </c>
      <c r="H6" s="41">
        <v>1031.4057613947978</v>
      </c>
      <c r="I6" s="42">
        <v>1088.8273472083508</v>
      </c>
      <c r="J6" s="41">
        <v>1051.9329582259368</v>
      </c>
      <c r="K6" s="42">
        <v>1125.7835696467498</v>
      </c>
      <c r="L6" s="41">
        <v>1079.6445201019742</v>
      </c>
      <c r="M6" s="42">
        <v>1168.3733620343032</v>
      </c>
      <c r="N6" s="41">
        <v>1116.2597833161165</v>
      </c>
      <c r="O6" s="42">
        <v>1218.7897475331674</v>
      </c>
      <c r="P6" s="41">
        <v>1163.8757471463114</v>
      </c>
      <c r="Q6" s="42">
        <v>1280.2599400118715</v>
      </c>
      <c r="R6" s="41">
        <v>1225.0762419397599</v>
      </c>
      <c r="S6" s="42">
        <v>1357.3947397287207</v>
      </c>
      <c r="T6" s="41">
        <v>1303.1420341432479</v>
      </c>
      <c r="U6" s="42">
        <v>1456.717917486199</v>
      </c>
      <c r="V6" s="41">
        <v>1402.5262188985639</v>
      </c>
      <c r="W6" s="42">
        <v>1587.670561574703</v>
      </c>
      <c r="X6" s="41">
        <v>1529.8625694219861</v>
      </c>
      <c r="Y6" s="42">
        <v>1764.6996657754394</v>
      </c>
      <c r="Z6" s="41">
        <v>1696.0421417916068</v>
      </c>
      <c r="AA6" s="42">
        <v>2011.8103455657274</v>
      </c>
      <c r="AB6" s="41">
        <v>1920.6403223907712</v>
      </c>
      <c r="AC6" s="42">
        <v>2373.0282292037873</v>
      </c>
      <c r="AD6" s="41">
        <v>2242.5427958964892</v>
      </c>
      <c r="AE6" s="42">
        <v>2939.2519272880841</v>
      </c>
      <c r="AF6" s="41">
        <v>2750.5360230491756</v>
      </c>
      <c r="AG6" s="42">
        <v>3930.6796833311191</v>
      </c>
      <c r="AH6" s="41">
        <v>3697.0246875001189</v>
      </c>
      <c r="AI6" s="42">
        <v>6028.0443158555645</v>
      </c>
      <c r="AJ6" s="41">
        <v>6122.3486595404511</v>
      </c>
      <c r="AK6" s="42">
        <v>12417.88073907965</v>
      </c>
      <c r="AL6" s="41">
        <v>18179.675700123389</v>
      </c>
      <c r="AM6" s="42">
        <v>54599.126836700809</v>
      </c>
      <c r="AN6" s="41">
        <v>325778.72836794425</v>
      </c>
      <c r="AO6" s="42">
        <v>1912107.6197629506</v>
      </c>
      <c r="AP6" s="41">
        <v>1044024.7835222878</v>
      </c>
      <c r="AQ6" s="42">
        <v>7394091.7776908176</v>
      </c>
      <c r="AR6" s="41"/>
      <c r="AS6" s="42"/>
      <c r="AT6" s="41"/>
      <c r="AU6" s="42"/>
      <c r="AV6" s="41"/>
      <c r="AW6" s="42"/>
    </row>
    <row r="7" spans="1:49" x14ac:dyDescent="0.2">
      <c r="A7" t="s">
        <v>13</v>
      </c>
      <c r="B7" s="33">
        <v>1015.9116825427475</v>
      </c>
      <c r="C7" s="34">
        <v>1015.9116825427475</v>
      </c>
      <c r="D7" s="33">
        <v>1022.0470975690912</v>
      </c>
      <c r="E7" s="34">
        <v>1022.0470975690912</v>
      </c>
      <c r="F7" s="33">
        <v>1031.6160434183887</v>
      </c>
      <c r="G7" s="34">
        <v>1031.6160434183887</v>
      </c>
      <c r="H7" s="33">
        <v>1045.5170816589934</v>
      </c>
      <c r="I7" s="34">
        <v>1045.5170816589934</v>
      </c>
      <c r="J7" s="33">
        <v>1064.8324563058429</v>
      </c>
      <c r="K7" s="34">
        <v>1064.8324563058429</v>
      </c>
      <c r="L7" s="33">
        <v>1090.8653039936671</v>
      </c>
      <c r="M7" s="34">
        <v>1090.8653039936671</v>
      </c>
      <c r="N7" s="33">
        <v>1125.1891460750567</v>
      </c>
      <c r="O7" s="34">
        <v>1125.1891460750567</v>
      </c>
      <c r="P7" s="33">
        <v>1169.7047980877594</v>
      </c>
      <c r="Q7" s="34">
        <v>1169.7047980877594</v>
      </c>
      <c r="R7" s="33">
        <v>1226.7292381312604</v>
      </c>
      <c r="S7" s="34">
        <v>1226.7292381312604</v>
      </c>
      <c r="T7" s="33">
        <v>1299.1727514204572</v>
      </c>
      <c r="U7" s="34">
        <v>1299.1727514204572</v>
      </c>
      <c r="V7" s="33">
        <v>1390.9507694410602</v>
      </c>
      <c r="W7" s="34">
        <v>1390.9507694410602</v>
      </c>
      <c r="X7" s="33">
        <v>1507.8632045873037</v>
      </c>
      <c r="Y7" s="34">
        <v>1507.8632045873037</v>
      </c>
      <c r="Z7" s="33">
        <v>1659.3954687687688</v>
      </c>
      <c r="AA7" s="34">
        <v>1659.3954687687688</v>
      </c>
      <c r="AB7" s="33">
        <v>1862.5183514601438</v>
      </c>
      <c r="AC7" s="34">
        <v>1862.5183514601438</v>
      </c>
      <c r="AD7" s="33">
        <v>2150.7062798368511</v>
      </c>
      <c r="AE7" s="34">
        <v>2150.7062798368511</v>
      </c>
      <c r="AF7" s="33">
        <v>2599.5808489260749</v>
      </c>
      <c r="AG7" s="34">
        <v>2599.5808489260749</v>
      </c>
      <c r="AH7" s="33">
        <v>3420.6889778720747</v>
      </c>
      <c r="AI7" s="34">
        <v>3420.6889778720747</v>
      </c>
      <c r="AJ7" s="33">
        <v>5462.4379857137619</v>
      </c>
      <c r="AK7" s="34">
        <v>5462.4379857137619</v>
      </c>
      <c r="AL7" s="33">
        <v>14987.405773663868</v>
      </c>
      <c r="AM7" s="34">
        <v>14987.405773663868</v>
      </c>
      <c r="AN7" s="33">
        <v>216942.15852039441</v>
      </c>
      <c r="AO7" s="34">
        <v>216942.15852039441</v>
      </c>
      <c r="AP7" s="33">
        <v>636807.25049266301</v>
      </c>
      <c r="AQ7" s="34">
        <v>636807.25049266301</v>
      </c>
      <c r="AR7" s="33"/>
      <c r="AS7" s="34"/>
      <c r="AT7" s="33"/>
      <c r="AU7" s="34"/>
      <c r="AV7" s="33"/>
      <c r="AW7" s="34"/>
    </row>
    <row r="8" spans="1:49" x14ac:dyDescent="0.2">
      <c r="B8" s="35">
        <v>1005.7716594496609</v>
      </c>
      <c r="C8" s="36">
        <v>1005.7716594496609</v>
      </c>
      <c r="D8" s="35">
        <v>1065.8516939718002</v>
      </c>
      <c r="E8" s="36">
        <v>1065.8516939718002</v>
      </c>
      <c r="F8" s="35">
        <v>1127.5395537667421</v>
      </c>
      <c r="G8" s="36">
        <v>1127.5395537667421</v>
      </c>
      <c r="H8" s="35">
        <v>1190.6132033329475</v>
      </c>
      <c r="I8" s="36">
        <v>1190.6132033329475</v>
      </c>
      <c r="J8" s="35">
        <v>1255.4543403846137</v>
      </c>
      <c r="K8" s="36">
        <v>1255.4543403846137</v>
      </c>
      <c r="L8" s="35">
        <v>1323.4924782921396</v>
      </c>
      <c r="M8" s="36">
        <v>1323.4924782921396</v>
      </c>
      <c r="N8" s="35">
        <v>1397.7582316284363</v>
      </c>
      <c r="O8" s="36">
        <v>1397.7582316284363</v>
      </c>
      <c r="P8" s="35">
        <v>1483.5313013031905</v>
      </c>
      <c r="Q8" s="36">
        <v>1483.5313013031905</v>
      </c>
      <c r="R8" s="35">
        <v>1589.1628266501293</v>
      </c>
      <c r="S8" s="36">
        <v>1589.1628266501293</v>
      </c>
      <c r="T8" s="35">
        <v>1727.2497820686674</v>
      </c>
      <c r="U8" s="36">
        <v>1727.2497820686674</v>
      </c>
      <c r="V8" s="35">
        <v>1916.7220062347833</v>
      </c>
      <c r="W8" s="36">
        <v>1916.7220062347833</v>
      </c>
      <c r="X8" s="35">
        <v>2187.1378945537886</v>
      </c>
      <c r="Y8" s="36">
        <v>2187.1378945537886</v>
      </c>
      <c r="Z8" s="35">
        <v>2588.2740146235947</v>
      </c>
      <c r="AA8" s="36">
        <v>2588.2740146235947</v>
      </c>
      <c r="AB8" s="35">
        <v>3212.8764875908232</v>
      </c>
      <c r="AC8" s="36">
        <v>3212.8764875908232</v>
      </c>
      <c r="AD8" s="35">
        <v>4256.7386240041924</v>
      </c>
      <c r="AE8" s="36">
        <v>4256.7386240041924</v>
      </c>
      <c r="AF8" s="35">
        <v>6208.0672234764897</v>
      </c>
      <c r="AG8" s="36">
        <v>6208.0672234764897</v>
      </c>
      <c r="AH8" s="35">
        <v>10631.525275637228</v>
      </c>
      <c r="AI8" s="36">
        <v>10631.525275637228</v>
      </c>
      <c r="AJ8" s="35">
        <v>25206.04399529783</v>
      </c>
      <c r="AK8" s="36">
        <v>25206.04399529783</v>
      </c>
      <c r="AL8" s="35">
        <v>131279.81914539472</v>
      </c>
      <c r="AM8" s="36">
        <v>131279.81914539472</v>
      </c>
      <c r="AN8" s="35">
        <v>5387168.7273328584</v>
      </c>
      <c r="AO8" s="36">
        <v>5387168.7273328584</v>
      </c>
      <c r="AP8" s="35">
        <v>21413948.935148358</v>
      </c>
      <c r="AQ8" s="36">
        <v>21413948.935148358</v>
      </c>
      <c r="AR8" s="35"/>
      <c r="AS8" s="36"/>
      <c r="AT8" s="35"/>
      <c r="AU8" s="36"/>
      <c r="AV8" s="35"/>
      <c r="AW8" s="36"/>
    </row>
    <row r="9" spans="1:49" x14ac:dyDescent="0.2">
      <c r="A9" t="s">
        <v>14</v>
      </c>
      <c r="B9" s="41">
        <v>1015.9116825427475</v>
      </c>
      <c r="C9" s="42">
        <v>1005.7716594496609</v>
      </c>
      <c r="D9" s="41">
        <v>1022.0470975690912</v>
      </c>
      <c r="E9" s="42">
        <v>1065.8516939718002</v>
      </c>
      <c r="F9" s="41">
        <v>1031.6160434183887</v>
      </c>
      <c r="G9" s="42">
        <v>1127.5395537667421</v>
      </c>
      <c r="H9" s="41">
        <v>1045.5170816589934</v>
      </c>
      <c r="I9" s="42">
        <v>1190.6132033329475</v>
      </c>
      <c r="J9" s="41">
        <v>1064.8324563058429</v>
      </c>
      <c r="K9" s="42">
        <v>1255.4543403846137</v>
      </c>
      <c r="L9" s="41">
        <v>1090.8653039936671</v>
      </c>
      <c r="M9" s="42">
        <v>1323.4924782921396</v>
      </c>
      <c r="N9" s="41">
        <v>1125.1891460750567</v>
      </c>
      <c r="O9" s="42">
        <v>1397.7582316284363</v>
      </c>
      <c r="P9" s="41">
        <v>1169.7047980877594</v>
      </c>
      <c r="Q9" s="42">
        <v>1483.5313013031905</v>
      </c>
      <c r="R9" s="41">
        <v>1226.7292381312604</v>
      </c>
      <c r="S9" s="42">
        <v>1589.1628266501293</v>
      </c>
      <c r="T9" s="41">
        <v>1299.1727514204572</v>
      </c>
      <c r="U9" s="42">
        <v>1727.2497820686674</v>
      </c>
      <c r="V9" s="41">
        <v>1390.9507694410602</v>
      </c>
      <c r="W9" s="42">
        <v>1916.7220062347833</v>
      </c>
      <c r="X9" s="41">
        <v>1507.8632045873037</v>
      </c>
      <c r="Y9" s="42">
        <v>2187.1378945537886</v>
      </c>
      <c r="Z9" s="41">
        <v>1659.3954687687688</v>
      </c>
      <c r="AA9" s="42">
        <v>2588.2740146235947</v>
      </c>
      <c r="AB9" s="41">
        <v>1862.5183514601438</v>
      </c>
      <c r="AC9" s="42">
        <v>3212.8764875908232</v>
      </c>
      <c r="AD9" s="41">
        <v>2150.7062798368511</v>
      </c>
      <c r="AE9" s="42">
        <v>4256.7386240041924</v>
      </c>
      <c r="AF9" s="41">
        <v>2599.5808489260749</v>
      </c>
      <c r="AG9" s="42">
        <v>6208.0672234764897</v>
      </c>
      <c r="AH9" s="41">
        <v>3420.6889778720747</v>
      </c>
      <c r="AI9" s="42">
        <v>10631.525275637228</v>
      </c>
      <c r="AJ9" s="41">
        <v>5462.4379857137619</v>
      </c>
      <c r="AK9" s="42">
        <v>25206.04399529783</v>
      </c>
      <c r="AL9" s="41">
        <v>14987.405773663868</v>
      </c>
      <c r="AM9" s="42">
        <v>131279.81914539472</v>
      </c>
      <c r="AN9" s="41">
        <v>216942.15852039441</v>
      </c>
      <c r="AO9" s="42">
        <v>5387168.7273328584</v>
      </c>
      <c r="AP9" s="41">
        <v>636807.25049266301</v>
      </c>
      <c r="AQ9" s="42">
        <v>21413948.935148358</v>
      </c>
      <c r="AR9" s="41"/>
      <c r="AS9" s="42"/>
      <c r="AT9" s="41"/>
      <c r="AU9" s="42"/>
      <c r="AV9" s="41"/>
      <c r="AW9" s="42"/>
    </row>
    <row r="10" spans="1:49" x14ac:dyDescent="0.2">
      <c r="A10" t="s">
        <v>15</v>
      </c>
      <c r="B10" s="41">
        <v>1015.9116825427475</v>
      </c>
      <c r="C10" s="42">
        <v>1005.7716594496609</v>
      </c>
      <c r="D10" s="41">
        <v>1022.0470975690912</v>
      </c>
      <c r="E10" s="42">
        <v>1065.8516939718002</v>
      </c>
      <c r="F10" s="41">
        <v>1031.6160434183887</v>
      </c>
      <c r="G10" s="42">
        <v>1127.5395537667421</v>
      </c>
      <c r="H10" s="41">
        <v>1045.5170816589934</v>
      </c>
      <c r="I10" s="42">
        <v>1190.6132033329475</v>
      </c>
      <c r="J10" s="41">
        <v>1064.8324563058429</v>
      </c>
      <c r="K10" s="42">
        <v>1255.4543403846137</v>
      </c>
      <c r="L10" s="41">
        <v>1090.8653039936671</v>
      </c>
      <c r="M10" s="42">
        <v>1323.4924782921396</v>
      </c>
      <c r="N10" s="41">
        <v>1125.1891460750567</v>
      </c>
      <c r="O10" s="42">
        <v>1397.7582316284363</v>
      </c>
      <c r="P10" s="41">
        <v>1169.7047980877594</v>
      </c>
      <c r="Q10" s="42">
        <v>1483.5313013031905</v>
      </c>
      <c r="R10" s="41">
        <v>1226.7292381312604</v>
      </c>
      <c r="S10" s="42">
        <v>1589.1628266501293</v>
      </c>
      <c r="T10" s="41">
        <v>1299.1727514204572</v>
      </c>
      <c r="U10" s="42">
        <v>1727.2497820686674</v>
      </c>
      <c r="V10" s="41">
        <v>1390.9507694410602</v>
      </c>
      <c r="W10" s="42">
        <v>1916.7220062347833</v>
      </c>
      <c r="X10" s="41">
        <v>1507.8632045873037</v>
      </c>
      <c r="Y10" s="42">
        <v>2187.1378945537886</v>
      </c>
      <c r="Z10" s="41">
        <v>1659.3954687687688</v>
      </c>
      <c r="AA10" s="42">
        <v>2588.2740146235947</v>
      </c>
      <c r="AB10" s="41">
        <v>1862.5183514601438</v>
      </c>
      <c r="AC10" s="42">
        <v>3212.8764875908232</v>
      </c>
      <c r="AD10" s="41">
        <v>2150.7062798368511</v>
      </c>
      <c r="AE10" s="42">
        <v>4256.7386240041924</v>
      </c>
      <c r="AF10" s="41">
        <v>2599.5808489260749</v>
      </c>
      <c r="AG10" s="42">
        <v>6208.0672234764897</v>
      </c>
      <c r="AH10" s="41">
        <v>3420.6889778720747</v>
      </c>
      <c r="AI10" s="42">
        <v>10631.525275637228</v>
      </c>
      <c r="AJ10" s="41">
        <v>5462.4379857137619</v>
      </c>
      <c r="AK10" s="42">
        <v>25206.04399529783</v>
      </c>
      <c r="AL10" s="41">
        <v>14987.405773663868</v>
      </c>
      <c r="AM10" s="42">
        <v>131279.81914539472</v>
      </c>
      <c r="AN10" s="41">
        <v>216942.15852039441</v>
      </c>
      <c r="AO10" s="42">
        <v>5387168.7273328584</v>
      </c>
      <c r="AP10" s="41">
        <v>636807.25049266301</v>
      </c>
      <c r="AQ10" s="42">
        <v>21413948.935148358</v>
      </c>
      <c r="AR10" s="41"/>
      <c r="AS10" s="42"/>
      <c r="AT10" s="41"/>
      <c r="AU10" s="42"/>
      <c r="AV10" s="41"/>
      <c r="AW10" s="42"/>
    </row>
    <row r="11" spans="1:49" x14ac:dyDescent="0.2">
      <c r="A11" t="s">
        <v>29</v>
      </c>
      <c r="B11" s="41">
        <v>1015.9116825427475</v>
      </c>
      <c r="C11" s="42">
        <v>1005.7716594496609</v>
      </c>
      <c r="D11" s="41">
        <v>1022.0470975690912</v>
      </c>
      <c r="E11" s="42">
        <v>1065.8516939718002</v>
      </c>
      <c r="F11" s="41">
        <v>1031.6160434183887</v>
      </c>
      <c r="G11" s="42">
        <v>1127.5395537667421</v>
      </c>
      <c r="H11" s="41">
        <v>1045.5170816589934</v>
      </c>
      <c r="I11" s="42">
        <v>1190.6132033329475</v>
      </c>
      <c r="J11" s="41">
        <v>1064.8324563058429</v>
      </c>
      <c r="K11" s="42">
        <v>1255.4543403846137</v>
      </c>
      <c r="L11" s="41">
        <v>1090.8653039936671</v>
      </c>
      <c r="M11" s="42">
        <v>1323.4924782921396</v>
      </c>
      <c r="N11" s="41">
        <v>1125.1891460750567</v>
      </c>
      <c r="O11" s="42">
        <v>1397.7582316284363</v>
      </c>
      <c r="P11" s="41">
        <v>1169.7047980877594</v>
      </c>
      <c r="Q11" s="42">
        <v>1483.5313013031905</v>
      </c>
      <c r="R11" s="41">
        <v>1226.7292381312604</v>
      </c>
      <c r="S11" s="42">
        <v>1589.1628266501293</v>
      </c>
      <c r="T11" s="41">
        <v>1299.1727514204572</v>
      </c>
      <c r="U11" s="42">
        <v>1727.2497820686674</v>
      </c>
      <c r="V11" s="41">
        <v>1390.9507694410602</v>
      </c>
      <c r="W11" s="42">
        <v>1916.7220062347833</v>
      </c>
      <c r="X11" s="41">
        <v>1507.8632045873037</v>
      </c>
      <c r="Y11" s="42">
        <v>2187.1378945537886</v>
      </c>
      <c r="Z11" s="41">
        <v>1659.3954687687688</v>
      </c>
      <c r="AA11" s="42">
        <v>2588.2740146235947</v>
      </c>
      <c r="AB11" s="41">
        <v>1862.5183514601438</v>
      </c>
      <c r="AC11" s="42">
        <v>3212.8764875908232</v>
      </c>
      <c r="AD11" s="41">
        <v>2150.7062798368511</v>
      </c>
      <c r="AE11" s="42">
        <v>4256.7386240041924</v>
      </c>
      <c r="AF11" s="41">
        <v>2599.5808489260749</v>
      </c>
      <c r="AG11" s="42">
        <v>6208.0672234764897</v>
      </c>
      <c r="AH11" s="41">
        <v>3420.6889778720747</v>
      </c>
      <c r="AI11" s="42">
        <v>10631.525275637228</v>
      </c>
      <c r="AJ11" s="41">
        <v>5462.4379857137619</v>
      </c>
      <c r="AK11" s="42">
        <v>25206.04399529783</v>
      </c>
      <c r="AL11" s="41">
        <v>14987.405773663868</v>
      </c>
      <c r="AM11" s="42">
        <v>131279.81914539472</v>
      </c>
      <c r="AN11" s="41">
        <v>216942.15852039441</v>
      </c>
      <c r="AO11" s="42">
        <v>5387168.7273328584</v>
      </c>
      <c r="AP11" s="41">
        <v>636807.25049266301</v>
      </c>
      <c r="AQ11" s="42">
        <v>21413948.935148358</v>
      </c>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c r="AS12" s="42"/>
      <c r="AT12" s="41"/>
      <c r="AU12" s="42"/>
      <c r="AV12" s="41"/>
      <c r="AW12" s="42"/>
    </row>
    <row r="13" spans="1:49" x14ac:dyDescent="0.2">
      <c r="A13" t="s">
        <v>17</v>
      </c>
      <c r="B13" s="97">
        <v>1000</v>
      </c>
      <c r="C13" s="98">
        <v>1000</v>
      </c>
      <c r="D13" s="97">
        <v>1000.6242309338504</v>
      </c>
      <c r="E13" s="98">
        <v>1000.6242309338504</v>
      </c>
      <c r="F13" s="97">
        <v>1004.2903766727292</v>
      </c>
      <c r="G13" s="98">
        <v>1004.2903766727292</v>
      </c>
      <c r="H13" s="97">
        <v>1011.88842693857</v>
      </c>
      <c r="I13" s="98">
        <v>1011.88842693857</v>
      </c>
      <c r="J13" s="97">
        <v>1024.48976615947</v>
      </c>
      <c r="K13" s="98">
        <v>1024.48976615947</v>
      </c>
      <c r="L13" s="97">
        <v>1043.3852857121906</v>
      </c>
      <c r="M13" s="98">
        <v>1043.3852857121906</v>
      </c>
      <c r="N13" s="97">
        <v>1070.1408605125241</v>
      </c>
      <c r="O13" s="98">
        <v>1070.1408605125241</v>
      </c>
      <c r="P13" s="97">
        <v>1106.6677461021588</v>
      </c>
      <c r="Q13" s="98">
        <v>1106.6677461021588</v>
      </c>
      <c r="R13" s="97">
        <v>1155.33000559936</v>
      </c>
      <c r="S13" s="98">
        <v>1155.33000559936</v>
      </c>
      <c r="T13" s="97">
        <v>1219.1412505511701</v>
      </c>
      <c r="U13" s="98">
        <v>1219.1412505511701</v>
      </c>
      <c r="V13" s="97">
        <v>1302.1958487257141</v>
      </c>
      <c r="W13" s="98">
        <v>1302.1958487257141</v>
      </c>
      <c r="X13" s="97">
        <v>1410.5795541853488</v>
      </c>
      <c r="Y13" s="98">
        <v>1410.5795541853488</v>
      </c>
      <c r="Z13" s="97">
        <v>1554.2576878584307</v>
      </c>
      <c r="AA13" s="98">
        <v>1554.2576878584307</v>
      </c>
      <c r="AB13" s="97">
        <v>1751.1313593747275</v>
      </c>
      <c r="AC13" s="98">
        <v>1751.1313593747275</v>
      </c>
      <c r="AD13" s="97">
        <v>2036.8278885152072</v>
      </c>
      <c r="AE13" s="98">
        <v>2036.8278885152072</v>
      </c>
      <c r="AF13" s="97">
        <v>2493.0168716812536</v>
      </c>
      <c r="AG13" s="98">
        <v>2493.0168716812536</v>
      </c>
      <c r="AH13" s="97">
        <v>3353.2610602453678</v>
      </c>
      <c r="AI13" s="98">
        <v>3353.2610602453678</v>
      </c>
      <c r="AJ13" s="97">
        <v>5589.2485140232629</v>
      </c>
      <c r="AK13" s="98">
        <v>5589.2485140232629</v>
      </c>
      <c r="AL13" s="97">
        <v>16955.351147033365</v>
      </c>
      <c r="AM13" s="98">
        <v>16955.351147033365</v>
      </c>
      <c r="AN13" s="97">
        <v>321132.93291104259</v>
      </c>
      <c r="AO13" s="98">
        <v>321132.93291104259</v>
      </c>
      <c r="AP13" s="97">
        <v>1047187.9967453399</v>
      </c>
      <c r="AQ13" s="98">
        <v>1047187.9967453399</v>
      </c>
      <c r="AR13" s="97"/>
      <c r="AS13" s="98"/>
      <c r="AT13" s="97"/>
      <c r="AU13" s="98"/>
      <c r="AV13" s="97"/>
      <c r="AW13" s="98"/>
    </row>
    <row r="14" spans="1:49" x14ac:dyDescent="0.2">
      <c r="A14" t="s">
        <v>36</v>
      </c>
      <c r="B14" s="41">
        <v>1457.0034251455234</v>
      </c>
      <c r="C14" s="42">
        <v>1457.0034251455236</v>
      </c>
      <c r="D14" s="41">
        <v>1457.9129317542252</v>
      </c>
      <c r="E14" s="42">
        <v>1457.9129317542254</v>
      </c>
      <c r="F14" s="41">
        <v>1463.2545186528541</v>
      </c>
      <c r="G14" s="42">
        <v>1463.2545186528544</v>
      </c>
      <c r="H14" s="41">
        <v>1474.3249039146122</v>
      </c>
      <c r="I14" s="42">
        <v>1474.3249039146124</v>
      </c>
      <c r="J14" s="41">
        <v>1492.685098320884</v>
      </c>
      <c r="K14" s="42">
        <v>1492.6850983208842</v>
      </c>
      <c r="L14" s="41">
        <v>1520.2159350291022</v>
      </c>
      <c r="M14" s="42">
        <v>1520.2159350291024</v>
      </c>
      <c r="N14" s="41">
        <v>1559.1988991549254</v>
      </c>
      <c r="O14" s="42">
        <v>1559.1988991549256</v>
      </c>
      <c r="P14" s="41">
        <v>1612.4186965689219</v>
      </c>
      <c r="Q14" s="42">
        <v>1612.4186965689221</v>
      </c>
      <c r="R14" s="41">
        <v>1683.319775331664</v>
      </c>
      <c r="S14" s="42">
        <v>1683.3197753316645</v>
      </c>
      <c r="T14" s="41">
        <v>1776.2929777892514</v>
      </c>
      <c r="U14" s="42">
        <v>1776.2929777892516</v>
      </c>
      <c r="V14" s="41">
        <v>1897.303811803647</v>
      </c>
      <c r="W14" s="42">
        <v>1897.3038118036475</v>
      </c>
      <c r="X14" s="41">
        <v>2055.2192418882983</v>
      </c>
      <c r="Y14" s="42">
        <v>2055.2192418882987</v>
      </c>
      <c r="Z14" s="41">
        <v>2264.5587747684949</v>
      </c>
      <c r="AA14" s="42">
        <v>2264.5587747684954</v>
      </c>
      <c r="AB14" s="41">
        <v>2551.4043884887142</v>
      </c>
      <c r="AC14" s="42">
        <v>2551.4043884887146</v>
      </c>
      <c r="AD14" s="41">
        <v>2967.6652099985808</v>
      </c>
      <c r="AE14" s="42">
        <v>2967.6652099985813</v>
      </c>
      <c r="AF14" s="41">
        <v>3632.3341209851642</v>
      </c>
      <c r="AG14" s="42">
        <v>3632.3341209851646</v>
      </c>
      <c r="AH14" s="41">
        <v>4885.71285018461</v>
      </c>
      <c r="AI14" s="42">
        <v>4885.7128501846109</v>
      </c>
      <c r="AJ14" s="41">
        <v>8143.55422892142</v>
      </c>
      <c r="AK14" s="42">
        <v>8143.5542289214218</v>
      </c>
      <c r="AL14" s="41">
        <v>24704.004695772688</v>
      </c>
      <c r="AM14" s="42">
        <v>24704.004695772695</v>
      </c>
      <c r="AN14" s="41">
        <v>467891.7831784166</v>
      </c>
      <c r="AO14" s="42">
        <v>467891.78317841666</v>
      </c>
      <c r="AP14" s="41">
        <v>1525756.4980292395</v>
      </c>
      <c r="AQ14" s="42">
        <v>1525756.4980292397</v>
      </c>
      <c r="AR14" s="41"/>
      <c r="AS14" s="42"/>
      <c r="AT14" s="41"/>
      <c r="AU14" s="42"/>
      <c r="AV14" s="41"/>
      <c r="AW14" s="42"/>
    </row>
    <row r="15" spans="1:49" x14ac:dyDescent="0.2">
      <c r="A15" t="s">
        <v>18</v>
      </c>
      <c r="B15" s="154">
        <v>1000</v>
      </c>
      <c r="C15" s="155">
        <v>1000</v>
      </c>
      <c r="D15" s="154">
        <v>1006.0393192949482</v>
      </c>
      <c r="E15" s="155">
        <v>1006.0393192949482</v>
      </c>
      <c r="F15" s="154">
        <v>1015.4583918518728</v>
      </c>
      <c r="G15" s="155">
        <v>1015.4583918518728</v>
      </c>
      <c r="H15" s="154">
        <v>1029.1417055487993</v>
      </c>
      <c r="I15" s="155">
        <v>1029.1417055487993</v>
      </c>
      <c r="J15" s="154">
        <v>1048.1545537901982</v>
      </c>
      <c r="K15" s="155">
        <v>1048.1545537901982</v>
      </c>
      <c r="L15" s="154">
        <v>1073.7796628771082</v>
      </c>
      <c r="M15" s="155">
        <v>1073.7796628771082</v>
      </c>
      <c r="N15" s="154">
        <v>1107.5659089368835</v>
      </c>
      <c r="O15" s="155">
        <v>1107.5659089368835</v>
      </c>
      <c r="P15" s="154">
        <v>1151.3843360478736</v>
      </c>
      <c r="Q15" s="155">
        <v>1151.3843360478736</v>
      </c>
      <c r="R15" s="154">
        <v>1207.5156327180462</v>
      </c>
      <c r="S15" s="155">
        <v>1207.5156327180462</v>
      </c>
      <c r="T15" s="154">
        <v>1278.8245019180501</v>
      </c>
      <c r="U15" s="155">
        <v>1278.8245019180501</v>
      </c>
      <c r="V15" s="154">
        <v>1369.1650498197041</v>
      </c>
      <c r="W15" s="155">
        <v>1369.1650498197041</v>
      </c>
      <c r="X15" s="154">
        <v>1484.2463478845327</v>
      </c>
      <c r="Y15" s="155">
        <v>1484.2463478845327</v>
      </c>
      <c r="Z15" s="154">
        <v>1633.405243077264</v>
      </c>
      <c r="AA15" s="155">
        <v>1633.405243077264</v>
      </c>
      <c r="AB15" s="154">
        <v>1833.3467204535004</v>
      </c>
      <c r="AC15" s="155">
        <v>1833.3467204535004</v>
      </c>
      <c r="AD15" s="154">
        <v>2117.0209150994324</v>
      </c>
      <c r="AE15" s="155">
        <v>2117.0209150994324</v>
      </c>
      <c r="AF15" s="154">
        <v>2558.8650013547708</v>
      </c>
      <c r="AG15" s="155">
        <v>2558.8650013547708</v>
      </c>
      <c r="AH15" s="154">
        <v>3367.1125518611598</v>
      </c>
      <c r="AI15" s="155">
        <v>3367.1125518611598</v>
      </c>
      <c r="AJ15" s="154">
        <v>5376.8827345716772</v>
      </c>
      <c r="AK15" s="155">
        <v>5376.8827345716772</v>
      </c>
      <c r="AL15" s="154">
        <v>14752.666035054901</v>
      </c>
      <c r="AM15" s="155">
        <v>14752.666035054901</v>
      </c>
      <c r="AN15" s="154">
        <v>213544.30926259767</v>
      </c>
      <c r="AO15" s="155">
        <v>213544.30926259767</v>
      </c>
      <c r="AP15" s="154">
        <v>626833.27836016635</v>
      </c>
      <c r="AQ15" s="155">
        <v>626833.27836016635</v>
      </c>
      <c r="AR15" s="154"/>
      <c r="AS15" s="155"/>
      <c r="AT15" s="154"/>
      <c r="AU15" s="155"/>
      <c r="AV15" s="154"/>
      <c r="AW15" s="155"/>
    </row>
    <row r="16" spans="1:49" s="29" customFormat="1" x14ac:dyDescent="0.2">
      <c r="A16" t="s">
        <v>61</v>
      </c>
      <c r="B16" s="41">
        <v>1000</v>
      </c>
      <c r="C16" s="42">
        <v>1000</v>
      </c>
      <c r="D16" s="41">
        <v>1003.1516784603705</v>
      </c>
      <c r="E16" s="42">
        <v>1004.4934889777537</v>
      </c>
      <c r="F16" s="41">
        <v>1009.5017744270299</v>
      </c>
      <c r="G16" s="42">
        <v>1012.2698062424776</v>
      </c>
      <c r="H16" s="41">
        <v>1019.9375437332908</v>
      </c>
      <c r="I16" s="42">
        <v>1024.2149429608896</v>
      </c>
      <c r="J16" s="41">
        <v>1035.5274036170886</v>
      </c>
      <c r="K16" s="42">
        <v>1041.395881190351</v>
      </c>
      <c r="L16" s="41">
        <v>1057.558375704207</v>
      </c>
      <c r="M16" s="42">
        <v>1065.0976547839862</v>
      </c>
      <c r="N16" s="41">
        <v>1087.5884409997791</v>
      </c>
      <c r="O16" s="42">
        <v>1096.8740095015694</v>
      </c>
      <c r="P16" s="41">
        <v>1127.5102741734822</v>
      </c>
      <c r="Q16" s="42">
        <v>1138.6075454728928</v>
      </c>
      <c r="R16" s="41">
        <v>1179.6494211909737</v>
      </c>
      <c r="S16" s="42">
        <v>1192.6029141488559</v>
      </c>
      <c r="T16" s="41">
        <v>1246.9506600375171</v>
      </c>
      <c r="U16" s="42">
        <v>1261.7675992774502</v>
      </c>
      <c r="V16" s="41">
        <v>1333.3972011920312</v>
      </c>
      <c r="W16" s="42">
        <v>1350.0246938164032</v>
      </c>
      <c r="X16" s="41">
        <v>1444.900313178372</v>
      </c>
      <c r="Y16" s="42">
        <v>1463.1913400837816</v>
      </c>
      <c r="Z16" s="41">
        <v>1591.1337184744802</v>
      </c>
      <c r="AA16" s="42">
        <v>1610.7845008166573</v>
      </c>
      <c r="AB16" s="41">
        <v>1789.4425430348463</v>
      </c>
      <c r="AC16" s="42">
        <v>1809.8515524057807</v>
      </c>
      <c r="AD16" s="41">
        <v>2074.2075738411395</v>
      </c>
      <c r="AE16" s="42">
        <v>2094.1081137442802</v>
      </c>
      <c r="AF16" s="41">
        <v>2523.7255215656146</v>
      </c>
      <c r="AG16" s="42">
        <v>2540.0571259585472</v>
      </c>
      <c r="AH16" s="41">
        <v>3359.726458429187</v>
      </c>
      <c r="AI16" s="42">
        <v>3363.1585397256972</v>
      </c>
      <c r="AJ16" s="41">
        <v>5489.9536448755225</v>
      </c>
      <c r="AK16" s="42">
        <v>5437.4343814682497</v>
      </c>
      <c r="AL16" s="41">
        <v>15921.33199872345</v>
      </c>
      <c r="AM16" s="42">
        <v>15379.006765150112</v>
      </c>
      <c r="AN16" s="41">
        <v>270093.59003021923</v>
      </c>
      <c r="AO16" s="42">
        <v>243910.66571289409</v>
      </c>
      <c r="AP16" s="41">
        <v>846972.11806021002</v>
      </c>
      <c r="AQ16" s="42">
        <v>745126.51456168958</v>
      </c>
      <c r="AR16" s="41"/>
      <c r="AS16" s="42"/>
      <c r="AT16" s="41"/>
      <c r="AU16" s="42"/>
      <c r="AV16" s="41"/>
      <c r="AW16" s="42"/>
    </row>
    <row r="17" spans="1:49" x14ac:dyDescent="0.2">
      <c r="A17" t="s">
        <v>62</v>
      </c>
      <c r="B17" s="35">
        <v>999.99999999999977</v>
      </c>
      <c r="C17" s="36">
        <v>999.99999999999977</v>
      </c>
      <c r="D17" s="35">
        <v>1005.4985508173077</v>
      </c>
      <c r="E17" s="36">
        <v>1033.8438408740785</v>
      </c>
      <c r="F17" s="35">
        <v>1014.1009628238344</v>
      </c>
      <c r="G17" s="36">
        <v>1069.9936256439</v>
      </c>
      <c r="H17" s="35">
        <v>1026.6548828831194</v>
      </c>
      <c r="I17" s="36">
        <v>1108.7674803196523</v>
      </c>
      <c r="J17" s="35">
        <v>1044.2074719434306</v>
      </c>
      <c r="K17" s="36">
        <v>1150.8894504279865</v>
      </c>
      <c r="L17" s="35">
        <v>1068.0576556490857</v>
      </c>
      <c r="M17" s="36">
        <v>1197.7357263925517</v>
      </c>
      <c r="N17" s="35">
        <v>1099.8267114743667</v>
      </c>
      <c r="O17" s="36">
        <v>1251.6438173122615</v>
      </c>
      <c r="P17" s="35">
        <v>1141.5434668240591</v>
      </c>
      <c r="Q17" s="36">
        <v>1316.275780384045</v>
      </c>
      <c r="R17" s="35">
        <v>1195.7692597145463</v>
      </c>
      <c r="S17" s="36">
        <v>1397.0878335480265</v>
      </c>
      <c r="T17" s="35">
        <v>1265.820215337865</v>
      </c>
      <c r="U17" s="36">
        <v>1502.0219436623154</v>
      </c>
      <c r="V17" s="35">
        <v>1356.2451395840594</v>
      </c>
      <c r="W17" s="36">
        <v>1642.7731752538568</v>
      </c>
      <c r="X17" s="35">
        <v>1473.8322852861272</v>
      </c>
      <c r="Y17" s="36">
        <v>1837.4045865311605</v>
      </c>
      <c r="Z17" s="35">
        <v>1629.7075878255005</v>
      </c>
      <c r="AA17" s="36">
        <v>2116.1023752857063</v>
      </c>
      <c r="AB17" s="35">
        <v>1843.8774206388448</v>
      </c>
      <c r="AC17" s="36">
        <v>2534.593555001064</v>
      </c>
      <c r="AD17" s="35">
        <v>2156.2709832604892</v>
      </c>
      <c r="AE17" s="36">
        <v>3209.039384409195</v>
      </c>
      <c r="AF17" s="35">
        <v>2658.8858611814321</v>
      </c>
      <c r="AG17" s="36">
        <v>4424.4661120829978</v>
      </c>
      <c r="AH17" s="35">
        <v>3616.9160914131148</v>
      </c>
      <c r="AI17" s="36">
        <v>7076.633648095918</v>
      </c>
      <c r="AJ17" s="35">
        <v>6148.2011079346767</v>
      </c>
      <c r="AK17" s="36">
        <v>15452.722350073383</v>
      </c>
      <c r="AL17" s="35">
        <v>19417.335150632487</v>
      </c>
      <c r="AM17" s="36">
        <v>73381.210079102471</v>
      </c>
      <c r="AN17" s="35">
        <v>403230.68018414034</v>
      </c>
      <c r="AO17" s="36">
        <v>2780714.982590409</v>
      </c>
      <c r="AP17" s="35">
        <v>1360686.7109168677</v>
      </c>
      <c r="AQ17" s="36">
        <v>10908846.426358528</v>
      </c>
      <c r="AR17" s="35"/>
      <c r="AS17" s="36"/>
      <c r="AT17" s="35"/>
      <c r="AU17" s="36"/>
      <c r="AV17" s="35"/>
      <c r="AW17" s="36"/>
    </row>
    <row r="18" spans="1:49" x14ac:dyDescent="0.2">
      <c r="A18" t="s">
        <v>19</v>
      </c>
      <c r="B18" s="33">
        <v>27857.010133999996</v>
      </c>
      <c r="C18" s="34">
        <v>1236.7674480000003</v>
      </c>
      <c r="D18" s="33">
        <v>27238.177380139037</v>
      </c>
      <c r="E18" s="34">
        <v>1161.1158460595873</v>
      </c>
      <c r="F18" s="33">
        <v>26506.057706001935</v>
      </c>
      <c r="G18" s="34">
        <v>1085.9647270974092</v>
      </c>
      <c r="H18" s="33">
        <v>25655.533652642505</v>
      </c>
      <c r="I18" s="34">
        <v>1011.3253268903674</v>
      </c>
      <c r="J18" s="33">
        <v>24689.06078120428</v>
      </c>
      <c r="K18" s="34">
        <v>937.13125397245642</v>
      </c>
      <c r="L18" s="33">
        <v>23618.189490464243</v>
      </c>
      <c r="M18" s="34">
        <v>863.23231051777509</v>
      </c>
      <c r="N18" s="33">
        <v>22463.846436566582</v>
      </c>
      <c r="O18" s="34">
        <v>789.40804351661768</v>
      </c>
      <c r="P18" s="33">
        <v>21254.91273394828</v>
      </c>
      <c r="Q18" s="34">
        <v>715.40994820265712</v>
      </c>
      <c r="R18" s="33">
        <v>20024.952405225496</v>
      </c>
      <c r="S18" s="34">
        <v>641.0257078208424</v>
      </c>
      <c r="T18" s="33">
        <v>18807.223648189491</v>
      </c>
      <c r="U18" s="34">
        <v>566.15327041110095</v>
      </c>
      <c r="V18" s="33">
        <v>17629.109982844297</v>
      </c>
      <c r="W18" s="34">
        <v>490.85522039750174</v>
      </c>
      <c r="X18" s="33">
        <v>16507.721071558233</v>
      </c>
      <c r="Y18" s="34">
        <v>415.38032314977858</v>
      </c>
      <c r="Z18" s="33">
        <v>15448.166207236643</v>
      </c>
      <c r="AA18" s="34">
        <v>340.16044025532176</v>
      </c>
      <c r="AB18" s="33">
        <v>14444.118007110206</v>
      </c>
      <c r="AC18" s="34">
        <v>265.83689177711</v>
      </c>
      <c r="AD18" s="33">
        <v>13478.566062389209</v>
      </c>
      <c r="AE18" s="34">
        <v>193.4095896656346</v>
      </c>
      <c r="AF18" s="33">
        <v>12521.462783985291</v>
      </c>
      <c r="AG18" s="34">
        <v>124.68125206322529</v>
      </c>
      <c r="AH18" s="33">
        <v>11517.082433072293</v>
      </c>
      <c r="AI18" s="34">
        <v>63.440756292230937</v>
      </c>
      <c r="AJ18" s="33">
        <v>10335.86550487824</v>
      </c>
      <c r="AK18" s="34">
        <v>18.224881224394686</v>
      </c>
      <c r="AL18" s="33">
        <v>8628.6451257009285</v>
      </c>
      <c r="AM18" s="34">
        <v>0.98365349498698817</v>
      </c>
      <c r="AN18" s="33">
        <v>5749.530611734217</v>
      </c>
      <c r="AO18" s="34">
        <v>4.654849170590852E-4</v>
      </c>
      <c r="AP18" s="33">
        <v>4948.251216732373</v>
      </c>
      <c r="AQ18" s="34">
        <v>2.4987171612058833E-5</v>
      </c>
      <c r="AR18" s="33"/>
      <c r="AS18" s="34"/>
      <c r="AT18" s="33"/>
      <c r="AU18" s="34"/>
      <c r="AV18" s="33"/>
      <c r="AW18" s="34"/>
    </row>
    <row r="19" spans="1:49" x14ac:dyDescent="0.2">
      <c r="A19" t="s">
        <v>3</v>
      </c>
      <c r="B19" s="41">
        <v>1886.3937400000138</v>
      </c>
      <c r="C19" s="42">
        <v>262.7871129999973</v>
      </c>
      <c r="D19" s="41">
        <v>1857.9893748208619</v>
      </c>
      <c r="E19" s="42">
        <v>260.53343357722628</v>
      </c>
      <c r="F19" s="41">
        <v>1828.5428719652386</v>
      </c>
      <c r="G19" s="42">
        <v>258.34426964298206</v>
      </c>
      <c r="H19" s="41">
        <v>1798.6899914992343</v>
      </c>
      <c r="I19" s="42">
        <v>256.25039578045403</v>
      </c>
      <c r="J19" s="41">
        <v>1769.4801324675884</v>
      </c>
      <c r="K19" s="42">
        <v>254.36429233534102</v>
      </c>
      <c r="L19" s="41">
        <v>1742.4513677377722</v>
      </c>
      <c r="M19" s="42">
        <v>252.90855727654952</v>
      </c>
      <c r="N19" s="41">
        <v>1719.6755243876974</v>
      </c>
      <c r="O19" s="42">
        <v>252.23732423875688</v>
      </c>
      <c r="P19" s="41">
        <v>1703.7438479940326</v>
      </c>
      <c r="Q19" s="42">
        <v>252.83964022967754</v>
      </c>
      <c r="R19" s="41">
        <v>1697.7176309638025</v>
      </c>
      <c r="S19" s="42">
        <v>255.32948850425848</v>
      </c>
      <c r="T19" s="41">
        <v>1705.0853246464935</v>
      </c>
      <c r="U19" s="42">
        <v>260.43022912182602</v>
      </c>
      <c r="V19" s="41">
        <v>1729.8949758632928</v>
      </c>
      <c r="W19" s="42">
        <v>268.98669634273517</v>
      </c>
      <c r="X19" s="41">
        <v>1777.2983408199673</v>
      </c>
      <c r="Y19" s="42">
        <v>282.04499411931386</v>
      </c>
      <c r="Z19" s="41">
        <v>1854.9269295103163</v>
      </c>
      <c r="AA19" s="42">
        <v>301.05255385400534</v>
      </c>
      <c r="AB19" s="41">
        <v>1975.9224372004803</v>
      </c>
      <c r="AC19" s="42">
        <v>328.23659315081181</v>
      </c>
      <c r="AD19" s="41">
        <v>2166.0484884650332</v>
      </c>
      <c r="AE19" s="42">
        <v>367.25887307234501</v>
      </c>
      <c r="AF19" s="41">
        <v>2483.5967151122318</v>
      </c>
      <c r="AG19" s="42">
        <v>424.25730556587735</v>
      </c>
      <c r="AH19" s="41">
        <v>3091.1786292108523</v>
      </c>
      <c r="AI19" s="42">
        <v>508.45181666320434</v>
      </c>
      <c r="AJ19" s="41">
        <v>4631.0291018651833</v>
      </c>
      <c r="AK19" s="42">
        <v>620.36444820752206</v>
      </c>
      <c r="AL19" s="41">
        <v>11623.165090457771</v>
      </c>
      <c r="AM19" s="42">
        <v>647.44756637088722</v>
      </c>
      <c r="AN19" s="41">
        <v>142878.53146035312</v>
      </c>
      <c r="AO19" s="42">
        <v>375.77436636329082</v>
      </c>
      <c r="AP19" s="41">
        <v>398687.40871423058</v>
      </c>
      <c r="AQ19" s="42">
        <v>301.63617726307007</v>
      </c>
      <c r="AR19" s="41"/>
      <c r="AS19" s="42"/>
      <c r="AT19" s="41"/>
      <c r="AU19" s="42"/>
      <c r="AV19" s="41"/>
      <c r="AW19" s="42"/>
    </row>
    <row r="20" spans="1:49" x14ac:dyDescent="0.2">
      <c r="A20" t="s">
        <v>127</v>
      </c>
      <c r="B20" s="82">
        <v>26548.356269999993</v>
      </c>
      <c r="C20" s="83">
        <v>1408.5418709999938</v>
      </c>
      <c r="D20" s="82">
        <v>25990.067681807752</v>
      </c>
      <c r="E20" s="83">
        <v>1338.1147774499941</v>
      </c>
      <c r="F20" s="82">
        <v>25338.545602991668</v>
      </c>
      <c r="G20" s="83">
        <v>1267.6876838999945</v>
      </c>
      <c r="H20" s="82">
        <v>24590.178310074232</v>
      </c>
      <c r="I20" s="83">
        <v>1197.2605903499943</v>
      </c>
      <c r="J20" s="82">
        <v>23747.69132119701</v>
      </c>
      <c r="K20" s="83">
        <v>1126.8334967999951</v>
      </c>
      <c r="L20" s="82">
        <v>22821.365580273778</v>
      </c>
      <c r="M20" s="83">
        <v>1056.4064032499953</v>
      </c>
      <c r="N20" s="82">
        <v>21829.235355871213</v>
      </c>
      <c r="O20" s="83">
        <v>985.97930969999561</v>
      </c>
      <c r="P20" s="82">
        <v>20795.868728594829</v>
      </c>
      <c r="Q20" s="83">
        <v>915.55221614999596</v>
      </c>
      <c r="R20" s="82">
        <v>19749.63371496023</v>
      </c>
      <c r="S20" s="83">
        <v>845.12512259999642</v>
      </c>
      <c r="T20" s="82">
        <v>18718.555883740468</v>
      </c>
      <c r="U20" s="83">
        <v>774.69802904999653</v>
      </c>
      <c r="V20" s="82">
        <v>17725.751646624602</v>
      </c>
      <c r="W20" s="83">
        <v>704.27093549999688</v>
      </c>
      <c r="X20" s="82">
        <v>16785.897580030436</v>
      </c>
      <c r="Y20" s="83">
        <v>633.84384194999711</v>
      </c>
      <c r="Z20" s="82">
        <v>15904.030683173232</v>
      </c>
      <c r="AA20" s="83">
        <v>563.41674839999746</v>
      </c>
      <c r="AB20" s="82">
        <v>15076.416410825614</v>
      </c>
      <c r="AC20" s="83">
        <v>492.98965484999781</v>
      </c>
      <c r="AD20" s="82">
        <v>14291.935979568574</v>
      </c>
      <c r="AE20" s="83">
        <v>422.56256129999809</v>
      </c>
      <c r="AF20" s="82">
        <v>13531.891822992115</v>
      </c>
      <c r="AG20" s="83">
        <v>352.13546774999827</v>
      </c>
      <c r="AH20" s="82">
        <v>12764.364029337539</v>
      </c>
      <c r="AI20" s="83">
        <v>281.70837419999856</v>
      </c>
      <c r="AJ20" s="82">
        <v>11919.195121264816</v>
      </c>
      <c r="AK20" s="83">
        <v>211.28128064999879</v>
      </c>
      <c r="AL20" s="82">
        <v>10793.703412647425</v>
      </c>
      <c r="AM20" s="83">
        <v>140.85418709999905</v>
      </c>
      <c r="AN20" s="82">
        <v>8924.6128485440586</v>
      </c>
      <c r="AO20" s="83">
        <v>70.427093549999285</v>
      </c>
      <c r="AP20" s="82">
        <v>8392.9424497147647</v>
      </c>
      <c r="AQ20" s="83">
        <v>56.341674839999335</v>
      </c>
      <c r="AR20" s="82"/>
      <c r="AS20" s="83"/>
      <c r="AT20" s="82"/>
      <c r="AU20" s="83"/>
      <c r="AV20" s="82"/>
      <c r="AW20" s="83"/>
    </row>
    <row r="21" spans="1:49" x14ac:dyDescent="0.2">
      <c r="A21" t="s">
        <v>76</v>
      </c>
      <c r="B21" s="82">
        <v>24661.962530000252</v>
      </c>
      <c r="C21" s="83">
        <v>1145.7547579999964</v>
      </c>
      <c r="D21" s="82">
        <v>24132.11477292655</v>
      </c>
      <c r="E21" s="83">
        <v>1077.7241293104319</v>
      </c>
      <c r="F21" s="82">
        <v>23510.234169638443</v>
      </c>
      <c r="G21" s="83">
        <v>1009.9359637820746</v>
      </c>
      <c r="H21" s="82">
        <v>22792.279216120172</v>
      </c>
      <c r="I21" s="83">
        <v>942.39746713222212</v>
      </c>
      <c r="J21" s="82">
        <v>21980.270610474621</v>
      </c>
      <c r="K21" s="83">
        <v>875.05215489622844</v>
      </c>
      <c r="L21" s="82">
        <v>21083.48309632012</v>
      </c>
      <c r="M21" s="83">
        <v>807.77021645716945</v>
      </c>
      <c r="N21" s="82">
        <v>20118.651425556494</v>
      </c>
      <c r="O21" s="83">
        <v>740.35390573619839</v>
      </c>
      <c r="P21" s="82">
        <v>19108.821476073863</v>
      </c>
      <c r="Q21" s="83">
        <v>672.56839693998052</v>
      </c>
      <c r="R21" s="82">
        <v>18080.731507023418</v>
      </c>
      <c r="S21" s="83">
        <v>604.19378999243133</v>
      </c>
      <c r="T21" s="82">
        <v>17060.813377752525</v>
      </c>
      <c r="U21" s="83">
        <v>535.09152763598343</v>
      </c>
      <c r="V21" s="82">
        <v>16070.704877095683</v>
      </c>
      <c r="W21" s="83">
        <v>465.26204181788756</v>
      </c>
      <c r="X21" s="82">
        <v>15123.652128984158</v>
      </c>
      <c r="Y21" s="83">
        <v>394.87932428392259</v>
      </c>
      <c r="Z21" s="82">
        <v>14222.995999536031</v>
      </c>
      <c r="AA21" s="83">
        <v>324.30664478821302</v>
      </c>
      <c r="AB21" s="82">
        <v>13362.40643039842</v>
      </c>
      <c r="AC21" s="83">
        <v>254.13752313879459</v>
      </c>
      <c r="AD21" s="82">
        <v>12526.083842269429</v>
      </c>
      <c r="AE21" s="83">
        <v>185.34730671199407</v>
      </c>
      <c r="AF21" s="82">
        <v>11685.972319239201</v>
      </c>
      <c r="AG21" s="83">
        <v>119.72411272298575</v>
      </c>
      <c r="AH21" s="82">
        <v>10789.181899703171</v>
      </c>
      <c r="AI21" s="83">
        <v>61.007683689598309</v>
      </c>
      <c r="AJ21" s="82">
        <v>9711.4830866712382</v>
      </c>
      <c r="AK21" s="83">
        <v>17.540401811709629</v>
      </c>
      <c r="AL21" s="82">
        <v>8119.6573119257864</v>
      </c>
      <c r="AM21" s="83">
        <v>0.9469364056612678</v>
      </c>
      <c r="AN21" s="82">
        <v>5411.4084294180575</v>
      </c>
      <c r="AO21" s="83">
        <v>4.4811563042637469E-4</v>
      </c>
      <c r="AP21" s="82">
        <v>4657.253639226461</v>
      </c>
      <c r="AQ21" s="83">
        <v>2.4054778385758373E-5</v>
      </c>
      <c r="AR21" s="82"/>
      <c r="AS21" s="83"/>
      <c r="AT21" s="82"/>
      <c r="AU21" s="83"/>
      <c r="AV21" s="82"/>
      <c r="AW21" s="83"/>
    </row>
    <row r="22" spans="1:49" x14ac:dyDescent="0.2">
      <c r="A22" t="s">
        <v>28</v>
      </c>
      <c r="B22" s="41">
        <v>6533.6044688320826</v>
      </c>
      <c r="C22" s="42">
        <v>379.90788307663479</v>
      </c>
      <c r="D22" s="41">
        <v>6362.7975567857329</v>
      </c>
      <c r="E22" s="42">
        <v>358.61141752533752</v>
      </c>
      <c r="F22" s="41">
        <v>6167.2368392627641</v>
      </c>
      <c r="G22" s="42">
        <v>337.93559381672509</v>
      </c>
      <c r="H22" s="41">
        <v>5946.2851565879846</v>
      </c>
      <c r="I22" s="42">
        <v>317.90219341523397</v>
      </c>
      <c r="J22" s="41">
        <v>5700.9731901955383</v>
      </c>
      <c r="K22" s="42">
        <v>298.5030290376601</v>
      </c>
      <c r="L22" s="41">
        <v>5434.2764024710186</v>
      </c>
      <c r="M22" s="42">
        <v>279.69393184464087</v>
      </c>
      <c r="N22" s="41">
        <v>5151.1386383374038</v>
      </c>
      <c r="O22" s="42">
        <v>261.3911342621696</v>
      </c>
      <c r="P22" s="41">
        <v>4858.1228257194316</v>
      </c>
      <c r="Q22" s="42">
        <v>243.4712886233628</v>
      </c>
      <c r="R22" s="41">
        <v>4562.686848974281</v>
      </c>
      <c r="S22" s="42">
        <v>225.77735629722417</v>
      </c>
      <c r="T22" s="41">
        <v>4272.0945416555796</v>
      </c>
      <c r="U22" s="42">
        <v>208.13227834818977</v>
      </c>
      <c r="V22" s="41">
        <v>3992.2283415433312</v>
      </c>
      <c r="W22" s="42">
        <v>190.36122053849414</v>
      </c>
      <c r="X22" s="41">
        <v>3726.6665191549137</v>
      </c>
      <c r="Y22" s="42">
        <v>172.31517595572723</v>
      </c>
      <c r="Z22" s="41">
        <v>3476.3678877197276</v>
      </c>
      <c r="AA22" s="42">
        <v>153.88668611686262</v>
      </c>
      <c r="AB22" s="41">
        <v>3239.8760841831599</v>
      </c>
      <c r="AC22" s="42">
        <v>135.00935032881046</v>
      </c>
      <c r="AD22" s="41">
        <v>3013.6071208115818</v>
      </c>
      <c r="AE22" s="42">
        <v>115.63801659704498</v>
      </c>
      <c r="AF22" s="41">
        <v>2791.5982025308558</v>
      </c>
      <c r="AG22" s="42">
        <v>95.704550977116327</v>
      </c>
      <c r="AH22" s="41">
        <v>2563.4834115504736</v>
      </c>
      <c r="AI22" s="42">
        <v>75.033092794831418</v>
      </c>
      <c r="AJ22" s="41">
        <v>2306.4809106763119</v>
      </c>
      <c r="AK22" s="42">
        <v>53.258691427566163</v>
      </c>
      <c r="AL22" s="41">
        <v>1960.4295485311382</v>
      </c>
      <c r="AM22" s="42">
        <v>30.816255526437953</v>
      </c>
      <c r="AN22" s="41">
        <v>1409.9061467157208</v>
      </c>
      <c r="AO22" s="42">
        <v>11.860193115988467</v>
      </c>
      <c r="AP22" s="41">
        <v>1258.4585201674561</v>
      </c>
      <c r="AQ22" s="42">
        <v>8.8254564607145856</v>
      </c>
      <c r="AR22" s="41"/>
      <c r="AS22" s="42"/>
      <c r="AT22" s="41"/>
      <c r="AU22" s="42"/>
      <c r="AV22" s="41"/>
      <c r="AW22" s="42"/>
    </row>
    <row r="23" spans="1:49" x14ac:dyDescent="0.2">
      <c r="A23" t="s">
        <v>7</v>
      </c>
      <c r="B23" s="116">
        <v>3278.5018080150408</v>
      </c>
      <c r="C23" s="8">
        <v>0</v>
      </c>
      <c r="D23" s="116">
        <v>3207.1589909521072</v>
      </c>
      <c r="E23" s="8">
        <v>0</v>
      </c>
      <c r="F23" s="116">
        <v>3121.4056744110808</v>
      </c>
      <c r="G23" s="8">
        <v>0</v>
      </c>
      <c r="H23" s="116">
        <v>3020.6547200164559</v>
      </c>
      <c r="I23" s="8">
        <v>0</v>
      </c>
      <c r="J23" s="116">
        <v>2905.3418596632341</v>
      </c>
      <c r="K23" s="8">
        <v>0</v>
      </c>
      <c r="L23" s="116">
        <v>2777.1304582532243</v>
      </c>
      <c r="M23" s="8">
        <v>0</v>
      </c>
      <c r="N23" s="116">
        <v>2638.9477364870409</v>
      </c>
      <c r="O23" s="8">
        <v>0</v>
      </c>
      <c r="P23" s="116">
        <v>2494.7944997664081</v>
      </c>
      <c r="Q23" s="8">
        <v>0</v>
      </c>
      <c r="R23" s="116">
        <v>2349.3035006769237</v>
      </c>
      <c r="S23" s="8">
        <v>0</v>
      </c>
      <c r="T23" s="116">
        <v>2207.0780230378427</v>
      </c>
      <c r="U23" s="8">
        <v>0</v>
      </c>
      <c r="V23" s="116">
        <v>2071.9690992875217</v>
      </c>
      <c r="W23" s="8">
        <v>0</v>
      </c>
      <c r="X23" s="116">
        <v>1946.5475610356232</v>
      </c>
      <c r="Y23" s="8">
        <v>0</v>
      </c>
      <c r="Z23" s="116">
        <v>1831.9759438755659</v>
      </c>
      <c r="AA23" s="8">
        <v>0</v>
      </c>
      <c r="AB23" s="116">
        <v>1728.2614073862178</v>
      </c>
      <c r="AC23" s="8">
        <v>0</v>
      </c>
      <c r="AD23" s="116">
        <v>1634.7082042208542</v>
      </c>
      <c r="AE23" s="8">
        <v>0</v>
      </c>
      <c r="AF23" s="116">
        <v>1550.4282871418038</v>
      </c>
      <c r="AG23" s="8">
        <v>0</v>
      </c>
      <c r="AH23" s="116">
        <v>1474.9615412004373</v>
      </c>
      <c r="AI23" s="8">
        <v>0</v>
      </c>
      <c r="AJ23" s="116">
        <v>1408.9959969258675</v>
      </c>
      <c r="AK23" s="8">
        <v>0</v>
      </c>
      <c r="AL23" s="116">
        <v>1346.9438787055401</v>
      </c>
      <c r="AM23" s="8">
        <v>0</v>
      </c>
      <c r="AN23" s="116">
        <v>1238.5038982224414</v>
      </c>
      <c r="AO23" s="8">
        <v>0</v>
      </c>
      <c r="AP23" s="116">
        <v>1204.7965732941277</v>
      </c>
      <c r="AQ23" s="8">
        <v>0</v>
      </c>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c r="AS24" s="8"/>
      <c r="AT24" s="97"/>
      <c r="AU24" s="8"/>
      <c r="AV24" s="97"/>
      <c r="AW24" s="8"/>
    </row>
    <row r="25" spans="1:49" x14ac:dyDescent="0.2">
      <c r="A25" t="s">
        <v>0</v>
      </c>
      <c r="B25" s="41">
        <v>3195.0476040000053</v>
      </c>
      <c r="C25" s="42">
        <v>91.012690000004284</v>
      </c>
      <c r="D25" s="41">
        <v>3106.0036462639164</v>
      </c>
      <c r="E25" s="42">
        <v>83.364654000615261</v>
      </c>
      <c r="F25" s="41">
        <v>2995.4575929692901</v>
      </c>
      <c r="G25" s="42">
        <v>75.922562087272695</v>
      </c>
      <c r="H25" s="41">
        <v>2862.0262387643993</v>
      </c>
      <c r="I25" s="42">
        <v>68.693521542271</v>
      </c>
      <c r="J25" s="41">
        <v>2705.6698870291402</v>
      </c>
      <c r="K25" s="42">
        <v>61.670119896378452</v>
      </c>
      <c r="L25" s="41">
        <v>2528.0081586266519</v>
      </c>
      <c r="M25" s="42">
        <v>54.832830273060594</v>
      </c>
      <c r="N25" s="41">
        <v>2332.4139942652955</v>
      </c>
      <c r="O25" s="42">
        <v>48.157240206239607</v>
      </c>
      <c r="P25" s="41">
        <v>2123.8210680961197</v>
      </c>
      <c r="Q25" s="42">
        <v>41.627049889998212</v>
      </c>
      <c r="R25" s="41">
        <v>1908.1871759183196</v>
      </c>
      <c r="S25" s="42">
        <v>35.249531460778918</v>
      </c>
      <c r="T25" s="41">
        <v>1691.6393193945787</v>
      </c>
      <c r="U25" s="42">
        <v>29.068942068915831</v>
      </c>
      <c r="V25" s="41">
        <v>1479.4644417316822</v>
      </c>
      <c r="W25" s="42">
        <v>23.170743574534292</v>
      </c>
      <c r="X25" s="41">
        <v>1275.2855718284191</v>
      </c>
      <c r="Y25" s="42">
        <v>17.674094913938852</v>
      </c>
      <c r="Z25" s="41">
        <v>1080.7115356921352</v>
      </c>
      <c r="AA25" s="42">
        <v>12.715789816095642</v>
      </c>
      <c r="AB25" s="41">
        <v>895.4758509848516</v>
      </c>
      <c r="AC25" s="42">
        <v>8.4337999487853335</v>
      </c>
      <c r="AD25" s="41">
        <v>717.82217163750158</v>
      </c>
      <c r="AE25" s="42">
        <v>4.9553855811118597</v>
      </c>
      <c r="AF25" s="41">
        <v>544.88273104601478</v>
      </c>
      <c r="AG25" s="42">
        <v>2.3865996178358571</v>
      </c>
      <c r="AH25" s="41">
        <v>373.17053146975877</v>
      </c>
      <c r="AI25" s="42">
        <v>0.78961749871628473</v>
      </c>
      <c r="AJ25" s="41">
        <v>201.81247994946548</v>
      </c>
      <c r="AK25" s="42">
        <v>0.10941121153283812</v>
      </c>
      <c r="AL25" s="41">
        <v>56.208941511288373</v>
      </c>
      <c r="AM25" s="42">
        <v>1.3236515395816959E-3</v>
      </c>
      <c r="AN25" s="41">
        <v>2.0309912981613629</v>
      </c>
      <c r="AO25" s="42">
        <v>1.7261273123895366E-8</v>
      </c>
      <c r="AP25" s="41">
        <v>0.53911532091854519</v>
      </c>
      <c r="AQ25" s="42">
        <v>2.3639489034505215E-10</v>
      </c>
      <c r="AR25" s="41"/>
      <c r="AS25" s="42"/>
      <c r="AT25" s="41"/>
      <c r="AU25" s="42"/>
      <c r="AV25" s="41"/>
      <c r="AW25" s="42"/>
    </row>
    <row r="26" spans="1:49" x14ac:dyDescent="0.2">
      <c r="A26" t="s">
        <v>27</v>
      </c>
      <c r="B26" s="33">
        <v>5036.2953101960647</v>
      </c>
      <c r="C26" s="34">
        <v>74.905331803938267</v>
      </c>
      <c r="D26" s="33">
        <v>4929.6054453341731</v>
      </c>
      <c r="E26" s="34">
        <v>70.487981252969973</v>
      </c>
      <c r="F26" s="33">
        <v>4802.3135803974192</v>
      </c>
      <c r="G26" s="34">
        <v>66.072965863877258</v>
      </c>
      <c r="H26" s="33">
        <v>4653.3302415066801</v>
      </c>
      <c r="I26" s="34">
        <v>61.659051925178773</v>
      </c>
      <c r="J26" s="33">
        <v>4482.9320721849544</v>
      </c>
      <c r="K26" s="34">
        <v>57.242010137474225</v>
      </c>
      <c r="L26" s="33">
        <v>4293.055622488042</v>
      </c>
      <c r="M26" s="34">
        <v>52.814532594647247</v>
      </c>
      <c r="N26" s="33">
        <v>4087.3653903812306</v>
      </c>
      <c r="O26" s="34">
        <v>48.367047517213202</v>
      </c>
      <c r="P26" s="33">
        <v>3871.0081810003253</v>
      </c>
      <c r="Q26" s="34">
        <v>43.889881901953778</v>
      </c>
      <c r="R26" s="33">
        <v>3650.0261128004367</v>
      </c>
      <c r="S26" s="34">
        <v>39.376376687022834</v>
      </c>
      <c r="T26" s="33">
        <v>3430.4512492635517</v>
      </c>
      <c r="U26" s="34">
        <v>34.826255564294783</v>
      </c>
      <c r="V26" s="33">
        <v>3217.2866335981817</v>
      </c>
      <c r="W26" s="34">
        <v>30.247680790272874</v>
      </c>
      <c r="X26" s="33">
        <v>3013.6909971663617</v>
      </c>
      <c r="Y26" s="34">
        <v>25.657521630211896</v>
      </c>
      <c r="Z26" s="33">
        <v>2820.6420504124198</v>
      </c>
      <c r="AA26" s="34">
        <v>21.08059583025927</v>
      </c>
      <c r="AB26" s="33">
        <v>2637.0116357513962</v>
      </c>
      <c r="AC26" s="34">
        <v>16.551080170907003</v>
      </c>
      <c r="AD26" s="33">
        <v>2459.6680640217464</v>
      </c>
      <c r="AE26" s="34">
        <v>12.121489541892956</v>
      </c>
      <c r="AF26" s="33">
        <v>2282.9870124370332</v>
      </c>
      <c r="AG26" s="34">
        <v>7.8898566969169126</v>
      </c>
      <c r="AH26" s="33">
        <v>2096.4026964766581</v>
      </c>
      <c r="AI26" s="34">
        <v>4.0745157770322722</v>
      </c>
      <c r="AJ26" s="33">
        <v>1875.2267081694176</v>
      </c>
      <c r="AK26" s="34">
        <v>1.2000656531873199</v>
      </c>
      <c r="AL26" s="33">
        <v>1553.7375827881078</v>
      </c>
      <c r="AM26" s="34">
        <v>6.7820561444057043E-2</v>
      </c>
      <c r="AN26" s="33">
        <v>1017.208466551337</v>
      </c>
      <c r="AO26" s="34">
        <v>3.4828438566402859E-5</v>
      </c>
      <c r="AP26" s="33">
        <v>870.55888839344209</v>
      </c>
      <c r="AQ26" s="34">
        <v>1.9147148275445424E-6</v>
      </c>
      <c r="AR26" s="33"/>
      <c r="AS26" s="34"/>
      <c r="AT26" s="33"/>
      <c r="AU26" s="34"/>
      <c r="AV26" s="33"/>
      <c r="AW26" s="34"/>
    </row>
    <row r="27" spans="1:49" x14ac:dyDescent="0.2">
      <c r="A27" t="s">
        <v>2</v>
      </c>
      <c r="B27" s="35">
        <v>6425.1981590000069</v>
      </c>
      <c r="C27" s="36">
        <v>273.22915400000028</v>
      </c>
      <c r="D27" s="35">
        <v>6283.9961756716602</v>
      </c>
      <c r="E27" s="36">
        <v>257.01210562619298</v>
      </c>
      <c r="F27" s="35">
        <v>6116.5344920116795</v>
      </c>
      <c r="G27" s="36">
        <v>240.81187224935888</v>
      </c>
      <c r="H27" s="35">
        <v>5921.5831501292532</v>
      </c>
      <c r="I27" s="36">
        <v>224.62622303209091</v>
      </c>
      <c r="J27" s="35">
        <v>5699.6717341635622</v>
      </c>
      <c r="K27" s="36">
        <v>208.44205821939192</v>
      </c>
      <c r="L27" s="35">
        <v>5453.4493586922763</v>
      </c>
      <c r="M27" s="36">
        <v>192.2349996902098</v>
      </c>
      <c r="N27" s="35">
        <v>5187.755592739104</v>
      </c>
      <c r="O27" s="36">
        <v>175.97227022253995</v>
      </c>
      <c r="P27" s="35">
        <v>4909.2931755334384</v>
      </c>
      <c r="Q27" s="36">
        <v>159.62043517631753</v>
      </c>
      <c r="R27" s="35">
        <v>4625.8686986788443</v>
      </c>
      <c r="S27" s="36">
        <v>143.1564930398024</v>
      </c>
      <c r="T27" s="35">
        <v>4345.2328144585026</v>
      </c>
      <c r="U27" s="36">
        <v>126.57977684190791</v>
      </c>
      <c r="V27" s="35">
        <v>4073.78558627763</v>
      </c>
      <c r="W27" s="36">
        <v>109.91904070909969</v>
      </c>
      <c r="X27" s="35">
        <v>3815.5556895482723</v>
      </c>
      <c r="Y27" s="36">
        <v>93.233261778521936</v>
      </c>
      <c r="Z27" s="35">
        <v>3571.8044507710015</v>
      </c>
      <c r="AA27" s="36">
        <v>76.608926645926445</v>
      </c>
      <c r="AB27" s="35">
        <v>3341.1694356228845</v>
      </c>
      <c r="AC27" s="36">
        <v>60.165318468504367</v>
      </c>
      <c r="AD27" s="35">
        <v>3119.867984322821</v>
      </c>
      <c r="AE27" s="36">
        <v>44.087197363071972</v>
      </c>
      <c r="AF27" s="35">
        <v>2901.2186128907451</v>
      </c>
      <c r="AG27" s="36">
        <v>28.723294489518974</v>
      </c>
      <c r="AH27" s="35">
        <v>2672.8925934172739</v>
      </c>
      <c r="AI27" s="36">
        <v>14.857853335630494</v>
      </c>
      <c r="AJ27" s="35">
        <v>2406.3153775405535</v>
      </c>
      <c r="AK27" s="36">
        <v>4.3901667638345696</v>
      </c>
      <c r="AL27" s="35">
        <v>2024.0370176696199</v>
      </c>
      <c r="AM27" s="36">
        <v>0.24998181861750124</v>
      </c>
      <c r="AN27" s="35">
        <v>1379.6369944481633</v>
      </c>
      <c r="AO27" s="36">
        <v>1.3098997682925388E-4</v>
      </c>
      <c r="AP27" s="35">
        <v>1199.5114121638092</v>
      </c>
      <c r="AQ27" s="36">
        <v>7.2582824682504405E-6</v>
      </c>
      <c r="AR27" s="35"/>
      <c r="AS27" s="36"/>
      <c r="AT27" s="35"/>
      <c r="AU27" s="36"/>
      <c r="AV27" s="35"/>
      <c r="AW27" s="36"/>
    </row>
    <row r="28" spans="1:49" x14ac:dyDescent="0.2">
      <c r="A28" t="s">
        <v>35</v>
      </c>
      <c r="B28" s="41">
        <v>13763.097676000001</v>
      </c>
      <c r="C28" s="42">
        <v>382.36647900000003</v>
      </c>
      <c r="D28" s="41">
        <v>13466.440871104136</v>
      </c>
      <c r="E28" s="42">
        <v>359.71325565276248</v>
      </c>
      <c r="F28" s="41">
        <v>13113.491883613086</v>
      </c>
      <c r="G28" s="42">
        <v>337.08009494099008</v>
      </c>
      <c r="H28" s="41">
        <v>12701.433458713775</v>
      </c>
      <c r="I28" s="42">
        <v>314.46298679824537</v>
      </c>
      <c r="J28" s="41">
        <v>12231.200005281178</v>
      </c>
      <c r="K28" s="42">
        <v>291.84270223037316</v>
      </c>
      <c r="L28" s="41">
        <v>11708.265818407623</v>
      </c>
      <c r="M28" s="42">
        <v>269.18426298740002</v>
      </c>
      <c r="N28" s="41">
        <v>11142.815056401554</v>
      </c>
      <c r="O28" s="42">
        <v>246.44100627726058</v>
      </c>
      <c r="P28" s="41">
        <v>10549.056182930231</v>
      </c>
      <c r="Q28" s="42">
        <v>223.56547342146712</v>
      </c>
      <c r="R28" s="41">
        <v>9943.6067141248623</v>
      </c>
      <c r="S28" s="42">
        <v>200.52503141913581</v>
      </c>
      <c r="T28" s="41">
        <v>9343.0133429375765</v>
      </c>
      <c r="U28" s="42">
        <v>177.3186705737568</v>
      </c>
      <c r="V28" s="41">
        <v>8760.9716208287246</v>
      </c>
      <c r="W28" s="42">
        <v>153.98707139471381</v>
      </c>
      <c r="X28" s="41">
        <v>8206.1165159271495</v>
      </c>
      <c r="Y28" s="42">
        <v>130.61378591739046</v>
      </c>
      <c r="Z28" s="41">
        <v>7681.1355832674399</v>
      </c>
      <c r="AA28" s="42">
        <v>107.32141427137113</v>
      </c>
      <c r="AB28" s="41">
        <v>7183.0219622766372</v>
      </c>
      <c r="AC28" s="42">
        <v>84.278949661405406</v>
      </c>
      <c r="AD28" s="41">
        <v>6703.4260659281854</v>
      </c>
      <c r="AE28" s="42">
        <v>61.747548210954278</v>
      </c>
      <c r="AF28" s="41">
        <v>6227.4594674387217</v>
      </c>
      <c r="AG28" s="42">
        <v>40.21863431256206</v>
      </c>
      <c r="AH28" s="41">
        <v>5727.356685738956</v>
      </c>
      <c r="AI28" s="42">
        <v>20.7944340784301</v>
      </c>
      <c r="AJ28" s="41">
        <v>5138.3832763122336</v>
      </c>
      <c r="AK28" s="42">
        <v>6.138595752683468</v>
      </c>
      <c r="AL28" s="41">
        <v>4286.2922970581922</v>
      </c>
      <c r="AM28" s="42">
        <v>0.34874409220313612</v>
      </c>
      <c r="AN28" s="41">
        <v>2852.9263215656501</v>
      </c>
      <c r="AO28" s="42">
        <v>1.8149310617463873E-4</v>
      </c>
      <c r="AP28" s="41">
        <v>2455.9894091470378</v>
      </c>
      <c r="AQ28" s="42">
        <v>1.0026648413161853E-5</v>
      </c>
      <c r="AR28" s="41"/>
      <c r="AS28" s="42"/>
      <c r="AT28" s="41"/>
      <c r="AU28" s="42"/>
      <c r="AV28" s="41"/>
      <c r="AW28" s="42"/>
    </row>
    <row r="29" spans="1:49" x14ac:dyDescent="0.2">
      <c r="A29" t="s">
        <v>53</v>
      </c>
      <c r="B29" s="35">
        <v>14362.768558000003</v>
      </c>
      <c r="C29" s="36">
        <v>817.26651000000004</v>
      </c>
      <c r="D29" s="35">
        <v>14044.978785445222</v>
      </c>
      <c r="E29" s="36">
        <v>766.08481782984893</v>
      </c>
      <c r="F29" s="35">
        <v>13669.31636252617</v>
      </c>
      <c r="G29" s="36">
        <v>715.4946405262873</v>
      </c>
      <c r="H29" s="35">
        <v>13233.111838705941</v>
      </c>
      <c r="I29" s="36">
        <v>665.49876584083654</v>
      </c>
      <c r="J29" s="35">
        <v>12737.515867546928</v>
      </c>
      <c r="K29" s="36">
        <v>616.03517342654357</v>
      </c>
      <c r="L29" s="35">
        <v>12188.266933457779</v>
      </c>
      <c r="M29" s="36">
        <v>566.972651193464</v>
      </c>
      <c r="N29" s="35">
        <v>11595.833546436928</v>
      </c>
      <c r="O29" s="36">
        <v>518.1212000389296</v>
      </c>
      <c r="P29" s="35">
        <v>10974.698281057494</v>
      </c>
      <c r="Q29" s="36">
        <v>469.2637646519986</v>
      </c>
      <c r="R29" s="35">
        <v>10341.708750800086</v>
      </c>
      <c r="S29" s="36">
        <v>420.20527827106844</v>
      </c>
      <c r="T29" s="35">
        <v>9713.556035939353</v>
      </c>
      <c r="U29" s="36">
        <v>370.83118086609073</v>
      </c>
      <c r="V29" s="35">
        <v>9103.9440471797807</v>
      </c>
      <c r="W29" s="36">
        <v>321.15424286828198</v>
      </c>
      <c r="X29" s="35">
        <v>8521.3245042036961</v>
      </c>
      <c r="Y29" s="36">
        <v>271.33758137791966</v>
      </c>
      <c r="Z29" s="35">
        <v>7967.9509005806549</v>
      </c>
      <c r="AA29" s="36">
        <v>221.69600846120511</v>
      </c>
      <c r="AB29" s="35">
        <v>7440.045518261315</v>
      </c>
      <c r="AC29" s="36">
        <v>172.71093444492121</v>
      </c>
      <c r="AD29" s="35">
        <v>6927.9702375362785</v>
      </c>
      <c r="AE29" s="36">
        <v>125.12140580533107</v>
      </c>
      <c r="AF29" s="35">
        <v>6414.5838428256629</v>
      </c>
      <c r="AG29" s="36">
        <v>80.201785435582778</v>
      </c>
      <c r="AH29" s="35">
        <v>5867.6955554989545</v>
      </c>
      <c r="AI29" s="36">
        <v>40.499165525655748</v>
      </c>
      <c r="AJ29" s="35">
        <v>5212.5906288810766</v>
      </c>
      <c r="AK29" s="36">
        <v>11.514671534042693</v>
      </c>
      <c r="AL29" s="35">
        <v>4256.4858789859099</v>
      </c>
      <c r="AM29" s="36">
        <v>0.61313862768600658</v>
      </c>
      <c r="AN29" s="35">
        <v>2693.4114586154878</v>
      </c>
      <c r="AO29" s="36">
        <v>2.8617277420151557E-4</v>
      </c>
      <c r="AP29" s="35">
        <v>2276.5448071827227</v>
      </c>
      <c r="AQ29" s="36">
        <v>1.5323080252075112E-5</v>
      </c>
      <c r="AR29" s="35"/>
      <c r="AS29" s="36"/>
      <c r="AT29" s="35"/>
      <c r="AU29" s="36"/>
      <c r="AV29" s="35"/>
      <c r="AW29" s="36"/>
    </row>
    <row r="30" spans="1:49" x14ac:dyDescent="0.2">
      <c r="A30" t="s">
        <v>48</v>
      </c>
      <c r="B30" s="119">
        <v>2924829.9599999995</v>
      </c>
      <c r="D30" s="119">
        <v>2917148.8263038583</v>
      </c>
      <c r="F30" s="119">
        <v>2900388.6453698105</v>
      </c>
      <c r="H30" s="119">
        <v>2874878.2696982711</v>
      </c>
      <c r="J30" s="119">
        <v>2842173.3874605647</v>
      </c>
      <c r="L30" s="119">
        <v>2805380.1388129327</v>
      </c>
      <c r="N30" s="119">
        <v>2769379.8335577915</v>
      </c>
      <c r="P30" s="119">
        <v>2740872.3908166904</v>
      </c>
      <c r="R30" s="119">
        <v>2728278.0780082354</v>
      </c>
      <c r="T30" s="119">
        <v>2741583.8726098984</v>
      </c>
      <c r="V30" s="119">
        <v>2792529.2827937366</v>
      </c>
      <c r="X30" s="119">
        <v>2895787.3462293805</v>
      </c>
      <c r="Z30" s="119">
        <v>3072350.1372607523</v>
      </c>
      <c r="AB30" s="119">
        <v>3357528.811641918</v>
      </c>
      <c r="AD30" s="119">
        <v>3820587.4546645908</v>
      </c>
      <c r="AF30" s="119">
        <v>4621744.4683307465</v>
      </c>
      <c r="AH30" s="119">
        <v>6226741.2135925172</v>
      </c>
      <c r="AJ30" s="119">
        <v>10598687.902305229</v>
      </c>
      <c r="AL30" s="119">
        <v>33096665.209296204</v>
      </c>
      <c r="AN30" s="119">
        <v>567350158.49861336</v>
      </c>
      <c r="AP30" s="119">
        <v>1730566488.778821</v>
      </c>
      <c r="AR30" s="119"/>
      <c r="AT30" s="119"/>
      <c r="AV30" s="119"/>
    </row>
    <row r="31" spans="1:49" x14ac:dyDescent="0.2">
      <c r="A31" t="s">
        <v>47</v>
      </c>
      <c r="B31" s="80">
        <v>1.0000000000000013</v>
      </c>
      <c r="D31" s="80">
        <v>0.97218839469782525</v>
      </c>
      <c r="F31" s="80">
        <v>0.94082277018003868</v>
      </c>
      <c r="H31" s="80">
        <v>0.90584493084174522</v>
      </c>
      <c r="J31" s="80">
        <v>0.86743005031216813</v>
      </c>
      <c r="L31" s="80">
        <v>0.82602117580257839</v>
      </c>
      <c r="N31" s="80">
        <v>0.78232895642627376</v>
      </c>
      <c r="P31" s="80">
        <v>0.73728040739948775</v>
      </c>
      <c r="R31" s="80">
        <v>0.69191648879904832</v>
      </c>
      <c r="T31" s="80">
        <v>0.64723885235900769</v>
      </c>
      <c r="V31" s="80">
        <v>0.60404231960048405</v>
      </c>
      <c r="X31" s="80">
        <v>0.56278281205438319</v>
      </c>
      <c r="Z31" s="80">
        <v>0.52352813976659829</v>
      </c>
      <c r="AB31" s="80">
        <v>0.48597694300063737</v>
      </c>
      <c r="AD31" s="80">
        <v>0.44947858689503706</v>
      </c>
      <c r="AF31" s="80">
        <v>0.4129505048342928</v>
      </c>
      <c r="AH31" s="80">
        <v>0.37447182361472253</v>
      </c>
      <c r="AJ31" s="80">
        <v>0.32983834477939744</v>
      </c>
      <c r="AL31" s="80">
        <v>0.2689207748427706</v>
      </c>
      <c r="AN31" s="80">
        <v>0.17657064475293521</v>
      </c>
      <c r="AP31" s="80">
        <v>0.1524799911077801</v>
      </c>
      <c r="AR31" s="80"/>
      <c r="AT31" s="80"/>
      <c r="AV31" s="80"/>
    </row>
    <row r="32" spans="1:49" x14ac:dyDescent="0.2">
      <c r="A32" t="s">
        <v>64</v>
      </c>
      <c r="B32" s="86">
        <v>14734457.915000005</v>
      </c>
      <c r="D32" s="86">
        <v>14500874.033525299</v>
      </c>
      <c r="F32" s="86">
        <v>14245283.073628942</v>
      </c>
      <c r="H32" s="86">
        <v>13971241.470993042</v>
      </c>
      <c r="J32" s="86">
        <v>13686150.204533335</v>
      </c>
      <c r="L32" s="86">
        <v>13402017.819366008</v>
      </c>
      <c r="N32" s="86">
        <v>13135877.932019338</v>
      </c>
      <c r="P32" s="86">
        <v>12909631.029827878</v>
      </c>
      <c r="R32" s="86">
        <v>12749425.71620629</v>
      </c>
      <c r="T32" s="86">
        <v>12684909.411838738</v>
      </c>
      <c r="V32" s="86">
        <v>12749636.820779646</v>
      </c>
      <c r="X32" s="86">
        <v>12984634.928600369</v>
      </c>
      <c r="Z32" s="86">
        <v>13448456.637519378</v>
      </c>
      <c r="AB32" s="86">
        <v>14240091.283902759</v>
      </c>
      <c r="AD32" s="86">
        <v>15553356.479898738</v>
      </c>
      <c r="AF32" s="86">
        <v>17830264.793224514</v>
      </c>
      <c r="AH32" s="86">
        <v>22320147.761346605</v>
      </c>
      <c r="AJ32" s="86">
        <v>34048584.315570384</v>
      </c>
      <c r="AL32" s="86">
        <v>89305611.228518173</v>
      </c>
      <c r="AN32" s="86">
        <v>1188622961.106708</v>
      </c>
      <c r="AP32" s="86">
        <v>3394098983.9701166</v>
      </c>
      <c r="AR32" s="86"/>
      <c r="AT32" s="86"/>
      <c r="AV32" s="86"/>
    </row>
    <row r="33" spans="1:49 16319:16321" x14ac:dyDescent="0.2">
      <c r="A33" t="s">
        <v>54</v>
      </c>
      <c r="B33" s="117">
        <v>7019665.6910000062</v>
      </c>
      <c r="D33" s="117">
        <v>6885305.3621795718</v>
      </c>
      <c r="F33" s="117">
        <v>6743256.2155983867</v>
      </c>
      <c r="H33" s="117">
        <v>6595441.2524767416</v>
      </c>
      <c r="J33" s="117">
        <v>6445338.2088729562</v>
      </c>
      <c r="L33" s="117">
        <v>6298236.394787496</v>
      </c>
      <c r="N33" s="117">
        <v>6161366.895374734</v>
      </c>
      <c r="P33" s="117">
        <v>6043766.856585063</v>
      </c>
      <c r="R33" s="117">
        <v>5955978.3438006295</v>
      </c>
      <c r="T33" s="117">
        <v>5909685.2524293615</v>
      </c>
      <c r="V33" s="117">
        <v>5917862.6239939444</v>
      </c>
      <c r="X33" s="117">
        <v>5996180.3711406132</v>
      </c>
      <c r="Z33" s="117">
        <v>6166970.0315281842</v>
      </c>
      <c r="AB33" s="117">
        <v>6468097.0305243144</v>
      </c>
      <c r="AD33" s="117">
        <v>6973624.5713423975</v>
      </c>
      <c r="AF33" s="117">
        <v>7851125.5112542361</v>
      </c>
      <c r="AH33" s="117">
        <v>9566595.6734060906</v>
      </c>
      <c r="AJ33" s="117">
        <v>13941449.859057177</v>
      </c>
      <c r="AL33" s="117">
        <v>33427305.586765885</v>
      </c>
      <c r="AN33" s="117">
        <v>369760944.23426187</v>
      </c>
      <c r="AP33" s="117">
        <v>990383384.06602097</v>
      </c>
      <c r="AR33" s="117"/>
      <c r="AT33" s="117"/>
      <c r="AV33" s="117"/>
    </row>
    <row r="34" spans="1:49 16319:16321" x14ac:dyDescent="0.2">
      <c r="A34" t="s">
        <v>75</v>
      </c>
      <c r="B34" s="117">
        <v>1136879.4409999985</v>
      </c>
      <c r="D34" s="117">
        <v>1070845.4918664435</v>
      </c>
      <c r="F34" s="117">
        <v>984493.01344834198</v>
      </c>
      <c r="H34" s="117">
        <v>875779.37302698195</v>
      </c>
      <c r="J34" s="117">
        <v>743495.58212258923</v>
      </c>
      <c r="L34" s="117">
        <v>587481.06388539076</v>
      </c>
      <c r="N34" s="117">
        <v>408658.38584508083</v>
      </c>
      <c r="P34" s="117">
        <v>208864.62976240803</v>
      </c>
      <c r="R34" s="117">
        <v>-9610.4120889626211</v>
      </c>
      <c r="T34" s="117">
        <v>-244807.29230482489</v>
      </c>
      <c r="V34" s="117">
        <v>-496246.48689981143</v>
      </c>
      <c r="X34" s="117">
        <v>-766383.6681969231</v>
      </c>
      <c r="Z34" s="117">
        <v>-1062552.1578560909</v>
      </c>
      <c r="AB34" s="117">
        <v>-1400249.3794176553</v>
      </c>
      <c r="AD34" s="117">
        <v>-1810529.8043187645</v>
      </c>
      <c r="AF34" s="117">
        <v>-2360584.690014258</v>
      </c>
      <c r="AH34" s="117">
        <v>-3225670.2969055814</v>
      </c>
      <c r="AJ34" s="117">
        <v>-5049471.6589117078</v>
      </c>
      <c r="AL34" s="117">
        <v>-12214402.391665831</v>
      </c>
      <c r="AN34" s="117">
        <v>-143252274.83540097</v>
      </c>
      <c r="AP34" s="117">
        <v>-398988505.77617252</v>
      </c>
      <c r="AR34" s="117"/>
      <c r="AT34" s="117"/>
      <c r="AV34" s="117"/>
    </row>
    <row r="35" spans="1:49 16319:16321" x14ac:dyDescent="0.2">
      <c r="A35" t="s">
        <v>78</v>
      </c>
      <c r="B35" s="233">
        <v>1</v>
      </c>
      <c r="D35" s="233">
        <v>1.0089196250056847</v>
      </c>
      <c r="F35" s="233">
        <v>1.0210499292855082</v>
      </c>
      <c r="H35" s="233">
        <v>1.0372370869297072</v>
      </c>
      <c r="J35" s="233">
        <v>1.0585309295213632</v>
      </c>
      <c r="L35" s="233">
        <v>1.0862384641044192</v>
      </c>
      <c r="N35" s="233">
        <v>1.1219940117475868</v>
      </c>
      <c r="P35" s="233">
        <v>1.1678411144068528</v>
      </c>
      <c r="R35" s="233">
        <v>1.2263524899701732</v>
      </c>
      <c r="T35" s="233">
        <v>1.3008467096719496</v>
      </c>
      <c r="V35" s="233">
        <v>1.3958597214915254</v>
      </c>
      <c r="X35" s="233">
        <v>1.5181396762993487</v>
      </c>
      <c r="Z35" s="233">
        <v>1.6787120786057208</v>
      </c>
      <c r="AB35" s="233">
        <v>1.8973277244031608</v>
      </c>
      <c r="AD35" s="233">
        <v>2.2132195548391027</v>
      </c>
      <c r="AF35" s="233">
        <v>2.7162441118856644</v>
      </c>
      <c r="AH35" s="233">
        <v>3.6633720071154432</v>
      </c>
      <c r="AJ35" s="233">
        <v>6.1244594800110219</v>
      </c>
      <c r="AL35" s="233">
        <v>18.65378516262917</v>
      </c>
      <c r="AN35" s="233">
        <v>355.44292618294884</v>
      </c>
      <c r="AP35" s="233">
        <v>1160.8472683972766</v>
      </c>
      <c r="AR35" s="233"/>
      <c r="AT35" s="233"/>
      <c r="AV35" s="233"/>
    </row>
    <row r="36" spans="1:49 16319:16321" x14ac:dyDescent="0.2">
      <c r="A36" t="s">
        <v>21</v>
      </c>
      <c r="B36" s="37">
        <v>0.4719576767198812</v>
      </c>
      <c r="C36" s="38">
        <v>0.31738834428178975</v>
      </c>
      <c r="D36" s="37">
        <v>0.47191166351226366</v>
      </c>
      <c r="E36" s="38">
        <v>0.3184114077716112</v>
      </c>
      <c r="F36" s="37">
        <v>0.47184322327377065</v>
      </c>
      <c r="G36" s="38">
        <v>0.31936095460288338</v>
      </c>
      <c r="H36" s="37">
        <v>0.47175072827697617</v>
      </c>
      <c r="I36" s="38">
        <v>0.32021053461326682</v>
      </c>
      <c r="J36" s="37">
        <v>0.47163505638024916</v>
      </c>
      <c r="K36" s="38">
        <v>0.32094222125252259</v>
      </c>
      <c r="L36" s="37">
        <v>0.47150096068147312</v>
      </c>
      <c r="M36" s="38">
        <v>0.32155314398728363</v>
      </c>
      <c r="N36" s="37">
        <v>0.47135854513948006</v>
      </c>
      <c r="O36" s="38">
        <v>0.32206207655941937</v>
      </c>
      <c r="P36" s="37">
        <v>0.47122454656783286</v>
      </c>
      <c r="Q36" s="38">
        <v>0.322514698901187</v>
      </c>
      <c r="R36" s="37">
        <v>0.4711230171545075</v>
      </c>
      <c r="S36" s="38">
        <v>0.32298643988346459</v>
      </c>
      <c r="T36" s="37">
        <v>0.47108506168408038</v>
      </c>
      <c r="U36" s="38">
        <v>0.32358171561435145</v>
      </c>
      <c r="V36" s="37">
        <v>0.47114807793345448</v>
      </c>
      <c r="W36" s="38">
        <v>0.32443065358297368</v>
      </c>
      <c r="X36" s="37">
        <v>0.47135606922535911</v>
      </c>
      <c r="Y36" s="38">
        <v>0.32568791050942053</v>
      </c>
      <c r="Z36" s="37">
        <v>0.47176380778821453</v>
      </c>
      <c r="AA36" s="38">
        <v>0.32754189975749104</v>
      </c>
      <c r="AB36" s="37">
        <v>0.47244859650435811</v>
      </c>
      <c r="AC36" s="38">
        <v>0.33024484831505396</v>
      </c>
      <c r="AD36" s="37">
        <v>0.47353717908952025</v>
      </c>
      <c r="AE36" s="38">
        <v>0.33418169770691414</v>
      </c>
      <c r="AF36" s="37">
        <v>0.47527079224361612</v>
      </c>
      <c r="AG36" s="38">
        <v>0.34002868899485994</v>
      </c>
      <c r="AH36" s="37">
        <v>0.47819251243281913</v>
      </c>
      <c r="AI36" s="38">
        <v>0.34917458770887899</v>
      </c>
      <c r="AJ36" s="37">
        <v>0.48381829750639893</v>
      </c>
      <c r="AK36" s="38">
        <v>0.36503557449421964</v>
      </c>
      <c r="AL36" s="37">
        <v>0.49712965879744553</v>
      </c>
      <c r="AM36" s="38">
        <v>0.39642119631062933</v>
      </c>
      <c r="AN36" s="37">
        <v>0.53566424095625964</v>
      </c>
      <c r="AO36" s="38">
        <v>0.4627058607596955</v>
      </c>
      <c r="AP36" s="37">
        <v>0.55237751421375525</v>
      </c>
      <c r="AQ36" s="38">
        <v>0.48557238567212968</v>
      </c>
      <c r="AR36" s="37"/>
      <c r="AS36" s="38"/>
      <c r="AT36" s="37"/>
      <c r="AU36" s="38"/>
      <c r="AV36" s="37"/>
      <c r="AW36" s="38"/>
    </row>
    <row r="37" spans="1:49 16319:16321" x14ac:dyDescent="0.2">
      <c r="B37" s="39">
        <v>2.1403217525954435E-2</v>
      </c>
      <c r="C37" s="40">
        <v>0.3496246130199252</v>
      </c>
      <c r="D37" s="39">
        <v>2.1125863278350358E-2</v>
      </c>
      <c r="E37" s="40">
        <v>0.34800448447477161</v>
      </c>
      <c r="F37" s="39">
        <v>2.0878017719531645E-2</v>
      </c>
      <c r="G37" s="40">
        <v>0.34656572360679044</v>
      </c>
      <c r="H37" s="39">
        <v>2.0663059658736868E-2</v>
      </c>
      <c r="I37" s="40">
        <v>0.34532566773348516</v>
      </c>
      <c r="J37" s="39">
        <v>2.0482213623745034E-2</v>
      </c>
      <c r="K37" s="40">
        <v>0.34428883523931408</v>
      </c>
      <c r="L37" s="39">
        <v>2.0333583012713652E-2</v>
      </c>
      <c r="M37" s="40">
        <v>0.34344178292279037</v>
      </c>
      <c r="N37" s="39">
        <v>2.0211156077552143E-2</v>
      </c>
      <c r="O37" s="40">
        <v>0.3427477947211745</v>
      </c>
      <c r="P37" s="39">
        <v>2.0103998887667732E-2</v>
      </c>
      <c r="Q37" s="40">
        <v>0.34214254666970123</v>
      </c>
      <c r="R37" s="39">
        <v>1.9995893301492807E-2</v>
      </c>
      <c r="S37" s="40">
        <v>0.34153226377922352</v>
      </c>
      <c r="T37" s="39">
        <v>1.986589037989488E-2</v>
      </c>
      <c r="U37" s="40">
        <v>0.34079728894331934</v>
      </c>
      <c r="V37" s="39">
        <v>1.9689931842612248E-2</v>
      </c>
      <c r="W37" s="40">
        <v>0.33980230863120164</v>
      </c>
      <c r="X37" s="39">
        <v>1.9442997080515927E-2</v>
      </c>
      <c r="Y37" s="40">
        <v>0.33841053513174807</v>
      </c>
      <c r="Z37" s="39">
        <v>1.9100504062572198E-2</v>
      </c>
      <c r="AA37" s="40">
        <v>0.33649501748688748</v>
      </c>
      <c r="AB37" s="39">
        <v>1.8637786064186236E-2</v>
      </c>
      <c r="AC37" s="40">
        <v>0.33394130242276532</v>
      </c>
      <c r="AD37" s="39">
        <v>1.8026821735181574E-2</v>
      </c>
      <c r="AE37" s="40">
        <v>0.33063942408449143</v>
      </c>
      <c r="AF37" s="39">
        <v>1.7228580386587634E-2</v>
      </c>
      <c r="AG37" s="40">
        <v>0.3264635550915036</v>
      </c>
      <c r="AH37" s="39">
        <v>1.6175624820892655E-2</v>
      </c>
      <c r="AI37" s="40">
        <v>0.32123316851643241</v>
      </c>
      <c r="AJ37" s="39">
        <v>1.4733905054142422E-2</v>
      </c>
      <c r="AK37" s="40">
        <v>0.31467566043770295</v>
      </c>
      <c r="AL37" s="39">
        <v>1.2717646729388549E-2</v>
      </c>
      <c r="AM37" s="40">
        <v>0.30688712367297777</v>
      </c>
      <c r="AN37" s="39">
        <v>1.0186355155780202E-2</v>
      </c>
      <c r="AO37" s="40">
        <v>0.29968220392639511</v>
      </c>
      <c r="AP37" s="39">
        <v>9.6026270362095153E-3</v>
      </c>
      <c r="AQ37" s="40">
        <v>0.29843723038301267</v>
      </c>
      <c r="AR37" s="39"/>
      <c r="AS37" s="40"/>
      <c r="AT37" s="39"/>
      <c r="AU37" s="40"/>
      <c r="AV37" s="39"/>
      <c r="AW37" s="40"/>
    </row>
    <row r="38" spans="1:49 16319:16321" x14ac:dyDescent="0.2">
      <c r="A38" t="s">
        <v>22</v>
      </c>
      <c r="B38" s="37">
        <v>0.18079094942242827</v>
      </c>
      <c r="C38" s="38">
        <v>6.0565413429233668E-2</v>
      </c>
      <c r="D38" s="37">
        <v>0.18098147231130962</v>
      </c>
      <c r="E38" s="38">
        <v>6.0707104714986901E-2</v>
      </c>
      <c r="F38" s="37">
        <v>0.18117796443603157</v>
      </c>
      <c r="G38" s="38">
        <v>6.0842644530894253E-2</v>
      </c>
      <c r="H38" s="37">
        <v>0.18137725390979695</v>
      </c>
      <c r="I38" s="38">
        <v>6.0968563018953162E-2</v>
      </c>
      <c r="J38" s="37">
        <v>0.18157564242370045</v>
      </c>
      <c r="K38" s="38">
        <v>6.1082169541169358E-2</v>
      </c>
      <c r="L38" s="37">
        <v>0.18176903967263652</v>
      </c>
      <c r="M38" s="38">
        <v>6.1182293516062414E-2</v>
      </c>
      <c r="N38" s="37">
        <v>0.1819530507352396</v>
      </c>
      <c r="O38" s="38">
        <v>6.1270021143628027E-2</v>
      </c>
      <c r="P38" s="37">
        <v>0.18212298631636173</v>
      </c>
      <c r="Q38" s="38">
        <v>6.1349275352152233E-2</v>
      </c>
      <c r="R38" s="37">
        <v>0.18227389703298197</v>
      </c>
      <c r="S38" s="38">
        <v>6.1427141231015919E-2</v>
      </c>
      <c r="T38" s="37">
        <v>0.18240072609514535</v>
      </c>
      <c r="U38" s="38">
        <v>6.1513829177399948E-2</v>
      </c>
      <c r="V38" s="37">
        <v>0.1824985286681558</v>
      </c>
      <c r="W38" s="38">
        <v>6.162240826486038E-2</v>
      </c>
      <c r="X38" s="37">
        <v>0.18256251024005743</v>
      </c>
      <c r="Y38" s="38">
        <v>6.1768745894495013E-2</v>
      </c>
      <c r="Z38" s="37">
        <v>0.18258750019734377</v>
      </c>
      <c r="AA38" s="38">
        <v>6.1972508662195815E-2</v>
      </c>
      <c r="AB38" s="37">
        <v>0.18256646992591108</v>
      </c>
      <c r="AC38" s="38">
        <v>6.2260283214506579E-2</v>
      </c>
      <c r="AD38" s="37">
        <v>0.18248736940090687</v>
      </c>
      <c r="AE38" s="38">
        <v>6.2672639773697456E-2</v>
      </c>
      <c r="AF38" s="37">
        <v>0.18232590327680639</v>
      </c>
      <c r="AG38" s="38">
        <v>6.3280217084409798E-2</v>
      </c>
      <c r="AH38" s="37">
        <v>0.1820255006994356</v>
      </c>
      <c r="AI38" s="38">
        <v>6.4225523388523109E-2</v>
      </c>
      <c r="AJ38" s="37">
        <v>0.18142909341112876</v>
      </c>
      <c r="AK38" s="38">
        <v>6.5847652909857488E-2</v>
      </c>
      <c r="AL38" s="37">
        <v>0.18006738719155441</v>
      </c>
      <c r="AM38" s="38">
        <v>6.8947613961310814E-2</v>
      </c>
      <c r="AN38" s="37">
        <v>0.17692026275593981</v>
      </c>
      <c r="AO38" s="38">
        <v>7.4821841245571438E-2</v>
      </c>
      <c r="AP38" s="37">
        <v>0.1759326376659438</v>
      </c>
      <c r="AQ38" s="38">
        <v>7.6627913605896047E-2</v>
      </c>
      <c r="AR38" s="37"/>
      <c r="AS38" s="38"/>
      <c r="AT38" s="37"/>
      <c r="AU38" s="38"/>
      <c r="AV38" s="37"/>
      <c r="AW38" s="38"/>
    </row>
    <row r="39" spans="1:49 16319:16321" x14ac:dyDescent="0.2">
      <c r="A39" t="s">
        <v>23</v>
      </c>
      <c r="B39" s="39">
        <v>0.23064923795098646</v>
      </c>
      <c r="C39" s="40">
        <v>0.22092201281804777</v>
      </c>
      <c r="D39" s="39">
        <v>0.23070545756316621</v>
      </c>
      <c r="E39" s="40">
        <v>0.22134923616657229</v>
      </c>
      <c r="F39" s="39">
        <v>0.23075987232257</v>
      </c>
      <c r="G39" s="40">
        <v>0.22174925781706212</v>
      </c>
      <c r="H39" s="39">
        <v>0.23081114703374464</v>
      </c>
      <c r="I39" s="40">
        <v>0.22211074622522678</v>
      </c>
      <c r="J39" s="39">
        <v>0.23085818390073015</v>
      </c>
      <c r="K39" s="40">
        <v>0.2224256819264277</v>
      </c>
      <c r="L39" s="39">
        <v>0.23090039822460084</v>
      </c>
      <c r="M39" s="40">
        <v>0.22269208108638264</v>
      </c>
      <c r="N39" s="39">
        <v>0.23093799218171698</v>
      </c>
      <c r="O39" s="40">
        <v>0.22291674333419126</v>
      </c>
      <c r="P39" s="39">
        <v>0.23097216332920203</v>
      </c>
      <c r="Q39" s="40">
        <v>0.22311743857816915</v>
      </c>
      <c r="R39" s="39">
        <v>0.23100522813086574</v>
      </c>
      <c r="S39" s="40">
        <v>0.22332410587160509</v>
      </c>
      <c r="T39" s="39">
        <v>0.2310406307566191</v>
      </c>
      <c r="U39" s="40">
        <v>0.22357863754808752</v>
      </c>
      <c r="V39" s="39">
        <v>0.2310828845155552</v>
      </c>
      <c r="W39" s="40">
        <v>0.22393373064278638</v>
      </c>
      <c r="X39" s="39">
        <v>0.23113763995699171</v>
      </c>
      <c r="Y39" s="40">
        <v>0.22445276432823161</v>
      </c>
      <c r="Z39" s="39">
        <v>0.23121219715371791</v>
      </c>
      <c r="AA39" s="40">
        <v>0.22521409776052848</v>
      </c>
      <c r="AB39" s="39">
        <v>0.23131695780788922</v>
      </c>
      <c r="AC39" s="40">
        <v>0.226324187234892</v>
      </c>
      <c r="AD39" s="39">
        <v>0.231468835029013</v>
      </c>
      <c r="AE39" s="40">
        <v>0.22794731863755913</v>
      </c>
      <c r="AF39" s="39">
        <v>0.23169965545889318</v>
      </c>
      <c r="AG39" s="40">
        <v>0.23037380531720619</v>
      </c>
      <c r="AH39" s="39">
        <v>0.23208070350715149</v>
      </c>
      <c r="AI39" s="40">
        <v>0.23420044469819809</v>
      </c>
      <c r="AJ39" s="39">
        <v>0.23281217972552368</v>
      </c>
      <c r="AK39" s="40">
        <v>0.24088863514557049</v>
      </c>
      <c r="AL39" s="39">
        <v>0.23457182305955615</v>
      </c>
      <c r="AM39" s="40">
        <v>0.25413605491312569</v>
      </c>
      <c r="AN39" s="39">
        <v>0.23995645690318826</v>
      </c>
      <c r="AO39" s="40">
        <v>0.28140541622023596</v>
      </c>
      <c r="AP39" s="39">
        <v>0.24241117914702773</v>
      </c>
      <c r="AQ39" s="40">
        <v>0.29048035451709897</v>
      </c>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0.12739028480585943</v>
      </c>
      <c r="E42" s="135"/>
      <c r="F42" s="177">
        <f>10.8%+(1-10.8%)*(1-SUM(F26:G26)/SUM($B$26:$C$26))</f>
        <v>0.15037559598407296</v>
      </c>
      <c r="G42" s="135"/>
      <c r="H42" s="177">
        <f>10.8%+(1-10.8%)*(1-SUM(H26:I26)/SUM($B$26:$C$26))</f>
        <v>0.17714628238591168</v>
      </c>
      <c r="I42" s="135"/>
      <c r="J42" s="177">
        <f>10.8%+(1-10.8%)*(1-SUM(J26:K26)/SUM($B$26:$C$26))</f>
        <v>0.20765480264008698</v>
      </c>
      <c r="K42" s="135"/>
      <c r="L42" s="177">
        <f>10.8%+(1-10.8%)*(1-SUM(L26:M26)/SUM($B$26:$C$26))</f>
        <v>0.24156446794918135</v>
      </c>
      <c r="M42" s="135"/>
      <c r="N42" s="177">
        <f>10.8%+(1-10.8%)*(1-SUM(N26:O26)/SUM($B$26:$C$26))</f>
        <v>0.27823742541206825</v>
      </c>
      <c r="O42" s="135"/>
      <c r="P42" s="177">
        <f>10.8%+(1-10.8%)*(1-SUM(P26:Q26)/SUM($B$26:$C$26))</f>
        <v>0.31677714949918601</v>
      </c>
      <c r="Q42" s="135"/>
      <c r="R42" s="177">
        <f>10.8%+(1-10.8%)*(1-SUM(R26:S26)/SUM($B$26:$C$26))</f>
        <v>0.35613033979134257</v>
      </c>
      <c r="S42" s="135"/>
      <c r="T42" s="177">
        <f>10.8%+(1-10.8%)*(1-SUM(T26:U26)/SUM($B$26:$C$26))</f>
        <v>0.39524433674023696</v>
      </c>
      <c r="U42" s="135"/>
      <c r="V42" s="177">
        <f>10.8%+(1-10.8%)*(1-SUM(V26:W26)/SUM($B$26:$C$26))</f>
        <v>0.43324459137237303</v>
      </c>
      <c r="W42" s="135"/>
      <c r="X42" s="177">
        <f>10.8%+(1-10.8%)*(1-SUM(X26:Y26)/SUM($B$26:$C$26))</f>
        <v>0.46957690205139446</v>
      </c>
      <c r="Y42" s="162"/>
      <c r="Z42" s="177">
        <f>10.8%+(1-10.8%)*(1-SUM(Z26:AA26)/SUM($B$26:$C$26))</f>
        <v>0.50406630887872939</v>
      </c>
      <c r="AA42" s="135"/>
      <c r="AB42" s="177">
        <f>10.8%+(1-10.8%)*(1-SUM(AB26:AC26)/SUM($B$26:$C$26))</f>
        <v>0.53690373194261853</v>
      </c>
      <c r="AC42" s="135"/>
      <c r="AD42" s="177">
        <f>10.8%+(1-10.8%)*(1-SUM(AD26:AE26)/SUM($B$26:$C$26))</f>
        <v>0.56862654467893914</v>
      </c>
      <c r="AE42" s="135"/>
      <c r="AF42" s="177">
        <f>10.8%+(1-10.8%)*(1-SUM(AF26:AG26)/SUM($B$26:$C$26))</f>
        <v>0.60019918794111737</v>
      </c>
      <c r="AG42" s="135"/>
      <c r="AH42" s="177">
        <f>10.8%+(1-10.8%)*(1-SUM(AH26:AI26)/SUM($B$26:$C$26))</f>
        <v>0.63342748513250591</v>
      </c>
      <c r="AI42" s="135"/>
      <c r="AJ42" s="177">
        <f>10.8%+(1-10.8%)*(1-SUM(AJ26:AK26)/SUM($B$26:$C$26))</f>
        <v>0.67252847237184188</v>
      </c>
      <c r="AK42" s="135"/>
      <c r="AL42" s="177">
        <f>10.8%+(1-10.8%)*(1-SUM(AL26:AM26)/SUM($B$26:$C$26))</f>
        <v>0.7288319287646936</v>
      </c>
      <c r="AM42" s="135"/>
      <c r="AN42" s="177">
        <f>10.8%+(1-10.8%)*(1-SUM(AN26:AO26)/SUM($B$26:$C$26))</f>
        <v>0.82247811291639783</v>
      </c>
      <c r="AO42" s="135"/>
      <c r="AP42" s="177">
        <f>10.8%+(1-10.8%)*(1-SUM(AP26:AQ26)/SUM($B$26:$C$26))</f>
        <v>0.84807120977136641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0.56808244850039702</v>
      </c>
      <c r="E43" s="135"/>
      <c r="F43" s="162">
        <f t="array" ref="F43">SUM(F15:G15*F27:G27)/SUM(F15:G15*F27:G27,F13:G13*F26:G26)</f>
        <v>0.56903312149697405</v>
      </c>
      <c r="G43" s="135"/>
      <c r="H43" s="162">
        <f t="array" ref="H43">SUM(H15:I15*H27:I27)/SUM(H15:I15*H27:I27,H13:I13*H26:I26)</f>
        <v>0.57003543540800738</v>
      </c>
      <c r="I43" s="135"/>
      <c r="J43" s="162">
        <f t="array" ref="J43">SUM(J15:K15*J27:K27)/SUM(J15:K15*J27:K27,J13:K13*J26:K26)</f>
        <v>0.57106499362878038</v>
      </c>
      <c r="K43" s="135"/>
      <c r="L43" s="162">
        <f t="array" ref="L43">SUM(L15:M15*L27:M27)/SUM(L15:M15*L27:M27,L13:M13*L26:M26)</f>
        <v>0.57208909423310461</v>
      </c>
      <c r="M43" s="135"/>
      <c r="N43" s="162">
        <f t="array" ref="N43">SUM(N15:O15*N27:O27)/SUM(N15:O15*N27:O27,N13:O13*N26:O26)</f>
        <v>0.57306545556919386</v>
      </c>
      <c r="O43" s="135"/>
      <c r="P43" s="162">
        <f t="array" ref="P43">SUM(P15:Q15*P27:Q27)/SUM(P15:Q15*P27:Q27,P13:Q13*P26:Q26)</f>
        <v>0.57394099392195208</v>
      </c>
      <c r="Q43" s="135"/>
      <c r="R43" s="162">
        <f t="array" ref="R43">SUM(R15:S15*R27:S27)/SUM(R15:S15*R27:S27,R13:S13*R26:S26)</f>
        <v>0.57465186591852768</v>
      </c>
      <c r="S43" s="135"/>
      <c r="T43" s="162">
        <f t="array" ref="T43">SUM(T15:U15*T27:U27)/SUM(T15:U15*T27:U27,T13:U13*T26:U26)</f>
        <v>0.5751258039744408</v>
      </c>
      <c r="U43" s="135"/>
      <c r="V43" s="162">
        <f t="array" ref="V43">SUM(V15:W15*V27:W27)/SUM(V15:W15*V27:W27,V13:W13*V26:W26)</f>
        <v>0.57528573923299575</v>
      </c>
      <c r="W43" s="135"/>
      <c r="X43" s="162">
        <f t="array" ref="X43">SUM(X15:Y15*X27:Y27)/SUM(X15:Y15*X27:Y27,X13:Y13*X26:Y26)</f>
        <v>0.57505132183034091</v>
      </c>
      <c r="Y43" s="135"/>
      <c r="Z43" s="162">
        <f t="array" ref="Z43">SUM(Z15:AA15*Z27:AA27)/SUM(Z15:AA15*Z27:AA27,Z13:AA13*Z26:AA26)</f>
        <v>0.57433270966928585</v>
      </c>
      <c r="AA43" s="135"/>
      <c r="AB43" s="162">
        <f t="array" ref="AB43">SUM(AB15:AC15*AB27:AC27)/SUM(AB15:AC15*AB27:AC27,AB13:AC13*AB26:AC26)</f>
        <v>0.57301079072542627</v>
      </c>
      <c r="AC43" s="135"/>
      <c r="AD43" s="162">
        <f t="array" ref="AD43">SUM(AD15:AE15*AD27:AE27)/SUM(AD15:AE15*AD27:AE27,AD13:AE13*AD26:AE26)</f>
        <v>0.570893297639405</v>
      </c>
      <c r="AE43" s="135"/>
      <c r="AF43" s="162">
        <f t="array" ref="AF43">SUM(AF15:AG15*AF27:AG27)/SUM(AF15:AG15*AF27:AG27,AF13:AG13*AF26:AG26)</f>
        <v>0.56761283819254171</v>
      </c>
      <c r="AG43" s="135"/>
      <c r="AH43" s="162">
        <f t="array" ref="AH43">SUM(AH15:AI15*AH27:AI27)/SUM(AH15:AI15*AH27:AI27,AH13:AI13*AH26:AI26)</f>
        <v>0.56233949896350066</v>
      </c>
      <c r="AI43" s="135"/>
      <c r="AJ43" s="162">
        <f t="array" ref="AJ43">SUM(AJ15:AK15*AJ27:AK27)/SUM(AJ15:AK15*AJ27:AK27,AJ13:AK13*AJ26:AK26)</f>
        <v>0.5527564258965092</v>
      </c>
      <c r="AK43" s="135"/>
      <c r="AL43" s="162">
        <f t="array" ref="AL43">SUM(AL15:AM15*AL27:AM27)/SUM(AL15:AM15*AL27:AM27,AL13:AM13*AL26:AM26)</f>
        <v>0.53129674248312952</v>
      </c>
      <c r="AM43" s="135"/>
      <c r="AN43" s="162">
        <f t="array" ref="AN43">SUM(AN15:AO15*AN27:AO27)/SUM(AN15:AO15*AN27:AO27,AN13:AO13*AN26:AO26)</f>
        <v>0.47420980597047752</v>
      </c>
      <c r="AO43" s="135"/>
      <c r="AP43" s="162">
        <f t="array" ref="AP43">SUM(AP15:AQ15*AP27:AQ27)/SUM(AP15:AQ15*AP27:AQ27,AP13:AQ13*AP26:AQ26)</f>
        <v>0.45198616638940381</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0.29913377105214223</v>
      </c>
      <c r="F44" s="193">
        <f>(SUM(F11:G11*F24:G24)+F34)/F32</f>
        <v>0.30058614238545134</v>
      </c>
      <c r="H44" s="193">
        <f>(SUM(H11:I11*H24:I24)+H34)/H32</f>
        <v>0.30188112629088004</v>
      </c>
      <c r="J44" s="193">
        <f>(SUM(J11:K11*J24:K24)+J34)/J32</f>
        <v>0.30301506448857496</v>
      </c>
      <c r="L44" s="193">
        <f>(SUM(L11:M11*L24:M24)+L34)/L32</f>
        <v>0.30400692029513909</v>
      </c>
      <c r="N44" s="193">
        <f>(SUM(N11:O11*N24:O24)+N34)/N32</f>
        <v>0.30490506285287478</v>
      </c>
      <c r="P44" s="193">
        <f>(SUM(P11:Q11*P24:Q24)+P34)/P32</f>
        <v>0.30579426069590226</v>
      </c>
      <c r="R44" s="193">
        <f>(SUM(R11:S11*R24:S24)+R34)/R32</f>
        <v>0.3067971974540869</v>
      </c>
      <c r="T44" s="193">
        <f>(SUM(T11:U11*T24:U24)+T34)/T32</f>
        <v>0.30807066922941617</v>
      </c>
      <c r="V44" s="193">
        <f>(SUM(V11:W11*V24:W24)+V34)/V32</f>
        <v>0.30979448586615449</v>
      </c>
      <c r="X44" s="193">
        <f>(SUM(X11:Y11*X24:Y24)+X34)/X32</f>
        <v>0.31216334817908464</v>
      </c>
      <c r="Z44" s="193">
        <f>(SUM(Z11:AA11*Z24:AA24)+Z34)/Z32</f>
        <v>0.31539039312492112</v>
      </c>
      <c r="AB44" s="193">
        <f>(SUM(AB11:AC11*AB24:AC24)+AB34)/AB32</f>
        <v>0.31973641005715686</v>
      </c>
      <c r="AD44" s="193">
        <f>(SUM(AD11:AE11*AD24:AE24)+AD34)/AD32</f>
        <v>0.32558597332880646</v>
      </c>
      <c r="AF44" s="193">
        <f>(SUM(AF11:AG11*AF24:AG24)+AF34)/AF32</f>
        <v>0.33362800093376516</v>
      </c>
      <c r="AH44" s="193">
        <f>(SUM(AH11:AI11*AH24:AI24)+AH34)/AH32</f>
        <v>0.34534571561034894</v>
      </c>
      <c r="AJ44" s="193">
        <f>(SUM(AJ11:AK11*AJ24:AK24)+AJ34)/AJ32</f>
        <v>0.36449624707337303</v>
      </c>
      <c r="AL44" s="193">
        <f>(SUM(AL11:AM11*AL24:AM24)+AL34)/AL32</f>
        <v>0.3996513845687934</v>
      </c>
      <c r="AN44" s="193">
        <f>(SUM(AN11:AO11*AN24:AO24)+AN34)/AN32</f>
        <v>0.46287033471394873</v>
      </c>
      <c r="AP44" s="193">
        <f>(SUM(AP11:AQ11*AP24:AQ24)+AP34)/AP32</f>
        <v>0.48215812632177751</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0.22528680918000255</v>
      </c>
      <c r="F45" s="193">
        <f>SUM(F11:G11*F24:G24)/F32</f>
        <v>0.23147603707130363</v>
      </c>
      <c r="H45" s="193">
        <f>SUM(H11:I11*H24:I24)/H32</f>
        <v>0.23919669163664645</v>
      </c>
      <c r="J45" s="193">
        <f>SUM(J11:K11*J24:K24)/J32</f>
        <v>0.24869039531489326</v>
      </c>
      <c r="L45" s="193">
        <f>SUM(L11:M11*L24:M24)/L32</f>
        <v>0.26017165072577048</v>
      </c>
      <c r="N45" s="193">
        <f>SUM(N11:O11*N24:O24)/N32</f>
        <v>0.27379496972016099</v>
      </c>
      <c r="P45" s="193">
        <f>SUM(P11:Q11*P24:Q24)/P32</f>
        <v>0.28961528321158658</v>
      </c>
      <c r="R45" s="193">
        <f>SUM(R11:S11*R24:S24)/R32</f>
        <v>0.30755098921717366</v>
      </c>
      <c r="T45" s="193">
        <f>SUM(T11:U11*T24:U24)/T32</f>
        <v>0.32736976584545885</v>
      </c>
      <c r="V45" s="193">
        <f>SUM(V11:W11*V24:W24)/V32</f>
        <v>0.34871688764712272</v>
      </c>
      <c r="X45" s="193">
        <f>SUM(X11:Y11*X24:Y24)/X32</f>
        <v>0.37118569824214742</v>
      </c>
      <c r="Z45" s="193">
        <f>SUM(Z11:AA11*Z24:AA24)/Z32</f>
        <v>0.39439961972209914</v>
      </c>
      <c r="AB45" s="193">
        <f>SUM(AB11:AC11*AB24:AC24)/AB32</f>
        <v>0.41806789905544167</v>
      </c>
      <c r="AD45" s="193">
        <f>SUM(AD11:AE11*AD24:AE24)/AD32</f>
        <v>0.44199363148662629</v>
      </c>
      <c r="AF45" s="193">
        <f>SUM(AF11:AG11*AF24:AG24)/AF32</f>
        <v>0.4660200162733959</v>
      </c>
      <c r="AH45" s="193">
        <f>SUM(AH11:AI11*AH24:AI24)/AH32</f>
        <v>0.48986403741517609</v>
      </c>
      <c r="AJ45" s="193">
        <f>SUM(AJ11:AK11*AJ24:AK24)/AJ32</f>
        <v>0.51279820324611736</v>
      </c>
      <c r="AL45" s="193">
        <f>SUM(AL11:AM11*AL24:AM24)/AL32</f>
        <v>0.53642221255642353</v>
      </c>
      <c r="AN45" s="193">
        <f>SUM(AN11:AO11*AN24:AO24)/AN32</f>
        <v>0.58338985984748726</v>
      </c>
      <c r="AP45" s="193">
        <f>SUM(AP11:AQ11*AP24:AQ24)/AP32</f>
        <v>0.59971171201876006</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7.384696187213971E-2</v>
      </c>
      <c r="F46" s="193">
        <f>F34/F32</f>
        <v>6.9110105314147713E-2</v>
      </c>
      <c r="H46" s="193">
        <f>H34/H32</f>
        <v>6.2684434654233609E-2</v>
      </c>
      <c r="J46" s="193">
        <f>J34/J32</f>
        <v>5.4324669173681679E-2</v>
      </c>
      <c r="L46" s="193">
        <f>L34/L32</f>
        <v>4.3835269569368618E-2</v>
      </c>
      <c r="N46" s="193">
        <f>N34/N32</f>
        <v>3.1110093132713745E-2</v>
      </c>
      <c r="P46" s="193">
        <f>P34/P32</f>
        <v>1.6178977484315661E-2</v>
      </c>
      <c r="R46" s="193">
        <f>R34/R32</f>
        <v>-7.5379176308674458E-4</v>
      </c>
      <c r="T46" s="193">
        <f>T34/T32</f>
        <v>-1.9299096616042677E-2</v>
      </c>
      <c r="V46" s="193">
        <f>V34/V32</f>
        <v>-3.8922401780968202E-2</v>
      </c>
      <c r="X46" s="193">
        <f>X34/X32</f>
        <v>-5.9022350063062771E-2</v>
      </c>
      <c r="Z46" s="193">
        <f>Z34/Z32</f>
        <v>-7.9009226597177989E-2</v>
      </c>
      <c r="AB46" s="193">
        <f>AB34/AB32</f>
        <v>-9.8331488998284797E-2</v>
      </c>
      <c r="AD46" s="193">
        <f>AD34/AD32</f>
        <v>-0.11640765815781985</v>
      </c>
      <c r="AF46" s="193">
        <f>AF34/AF32</f>
        <v>-0.13239201533963077</v>
      </c>
      <c r="AH46" s="193">
        <f>AH34/AH32</f>
        <v>-0.14451832180482718</v>
      </c>
      <c r="AJ46" s="193">
        <f>AJ34/AJ32</f>
        <v>-0.1483019561727443</v>
      </c>
      <c r="AL46" s="193">
        <f>AL34/AL32</f>
        <v>-0.13677082798763016</v>
      </c>
      <c r="AN46" s="193">
        <f>AN34/AN32</f>
        <v>-0.1205195251335386</v>
      </c>
      <c r="AP46" s="193">
        <f>AP34/AP32</f>
        <v>-0.11755358569698256</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0</v>
      </c>
      <c r="AS48" s="191"/>
      <c r="AT48" s="191">
        <f>AT24/$B$24</f>
        <v>0</v>
      </c>
      <c r="AU48" s="191"/>
      <c r="AV48" s="191">
        <f>AV24/$B$24</f>
        <v>0</v>
      </c>
    </row>
    <row r="49" spans="1:48 16321:16384" x14ac:dyDescent="0.2">
      <c r="A49" t="s">
        <v>160</v>
      </c>
      <c r="B49" s="191">
        <f>B13/B35/$B$13*$B$35</f>
        <v>1</v>
      </c>
      <c r="C49" s="191"/>
      <c r="D49" s="191">
        <f>D13/D35/$B$13*$B$35</f>
        <v>0.99177794358813509</v>
      </c>
      <c r="E49" s="191"/>
      <c r="F49" s="191">
        <f>F13/F35/$B$13*$B$35</f>
        <v>0.98358596173205093</v>
      </c>
      <c r="G49" s="191"/>
      <c r="H49" s="191">
        <f>H13/H35/$B$13*$B$35</f>
        <v>0.97556136363560719</v>
      </c>
      <c r="I49" s="191"/>
      <c r="J49" s="191">
        <f>J13/J35/$B$13*$B$35</f>
        <v>0.96784112545744361</v>
      </c>
      <c r="K49" s="191"/>
      <c r="L49" s="191">
        <f>L13/L35/$B$13*$B$35</f>
        <v>0.96054901404402016</v>
      </c>
      <c r="M49" s="191"/>
      <c r="N49" s="191">
        <f>N13/N35/$B$13*$B$35</f>
        <v>0.95378482354438088</v>
      </c>
      <c r="O49" s="191"/>
      <c r="P49" s="191">
        <f>P13/P35/$B$13*$B$35</f>
        <v>0.94761841525354762</v>
      </c>
      <c r="Q49" s="191"/>
      <c r="R49" s="191">
        <f>R13/R35/$B$13*$B$35</f>
        <v>0.94208640260310428</v>
      </c>
      <c r="S49" s="191"/>
      <c r="T49" s="191">
        <f>T13/T35/$B$13*$B$35</f>
        <v>0.93719055557177511</v>
      </c>
      <c r="U49" s="191"/>
      <c r="V49" s="191">
        <f>V13/V35/$B$13*$B$35</f>
        <v>0.93289879253358776</v>
      </c>
      <c r="W49" s="191"/>
      <c r="X49" s="191">
        <f>X13/X35/$B$13*$B$35</f>
        <v>0.92915004871212459</v>
      </c>
      <c r="Y49" s="191"/>
      <c r="Z49" s="191">
        <f>Z13/Z35/$B$13*$B$35</f>
        <v>0.92586317074059687</v>
      </c>
      <c r="AA49" s="191"/>
      <c r="AB49" s="191">
        <f>AB13/AB35/$B$13*$B$35</f>
        <v>0.9229461715295274</v>
      </c>
      <c r="AC49" s="191"/>
      <c r="AD49" s="191">
        <f>AD13/AD35/$B$13*$B$35</f>
        <v>0.92030087302535191</v>
      </c>
      <c r="AE49" s="191"/>
      <c r="AF49" s="191">
        <f>AF13/AF35/$B$13*$B$35</f>
        <v>0.91781768095598648</v>
      </c>
      <c r="AG49" s="191"/>
      <c r="AH49" s="191">
        <f>AH13/AH35/$B$13*$B$35</f>
        <v>0.91534822391290316</v>
      </c>
      <c r="AI49" s="191"/>
      <c r="AJ49" s="191">
        <f>AJ13/AJ35/$B$13*$B$35</f>
        <v>0.91261090587102789</v>
      </c>
      <c r="AK49" s="191"/>
      <c r="AL49" s="191">
        <f>AL13/AL35/$B$13*$B$35</f>
        <v>0.90894963135962181</v>
      </c>
      <c r="AM49" s="191"/>
      <c r="AN49" s="191">
        <f>AN13/AN35/$B$13*$B$35</f>
        <v>0.90347256691712396</v>
      </c>
      <c r="AO49" s="191"/>
      <c r="AP49" s="191">
        <f>AP13/AP35/$B$13*$B$35</f>
        <v>0.90208938355098145</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-360718.71184135787</v>
      </c>
      <c r="F51" s="29">
        <f>F30-F10*F23</f>
        <v>-319703.52636985574</v>
      </c>
      <c r="H51" s="29">
        <f>H30-H10*H23</f>
        <v>-283267.83787279809</v>
      </c>
      <c r="J51" s="29">
        <f>J30-J10*J23</f>
        <v>-251528.92137282249</v>
      </c>
      <c r="L51" s="29">
        <f>L30-L10*L23</f>
        <v>-224095.12275954289</v>
      </c>
      <c r="N51" s="29">
        <f>N30-N10*N23</f>
        <v>-199935.51659676572</v>
      </c>
      <c r="P51" s="29">
        <f>P30-P10*P23</f>
        <v>-177300.70580302877</v>
      </c>
      <c r="R51" s="29">
        <f>R30-R10*R23</f>
        <v>-153681.21551627014</v>
      </c>
      <c r="T51" s="29">
        <f>T30-T10*T23</f>
        <v>-125791.7551797987</v>
      </c>
      <c r="V51" s="29">
        <f>V30-V10*V23</f>
        <v>-89477.73011834221</v>
      </c>
      <c r="X51" s="29">
        <f>X30-X10*X23</f>
        <v>-39340.097035394516</v>
      </c>
      <c r="Z51" s="29">
        <f>Z30-Z10*Z23</f>
        <v>32377.55710024992</v>
      </c>
      <c r="AB51" s="29">
        <f>AB30-AB10*AB23</f>
        <v>138610.22426475165</v>
      </c>
      <c r="AD51" s="29">
        <f>AD30-AD10*AD23</f>
        <v>304810.25414597802</v>
      </c>
      <c r="AF51" s="29">
        <f>AF30-AF10*AF23</f>
        <v>591280.78544365615</v>
      </c>
      <c r="AH51" s="29">
        <f>AH30-AH10*AH23</f>
        <v>1181356.526822973</v>
      </c>
      <c r="AJ51" s="29">
        <f>AJ30-AJ10*AJ23</f>
        <v>2902134.6469787387</v>
      </c>
      <c r="AL51" s="29">
        <f>AL30-AL10*AL23</f>
        <v>12909470.744783588</v>
      </c>
      <c r="AN51" s="29">
        <f>AN30-AN10*AN23</f>
        <v>298666449.48231405</v>
      </c>
      <c r="AP51" s="29">
        <f>AP30-AP10*AP23</f>
        <v>963343295.53640532</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2005952.6927476751</v>
      </c>
      <c r="F52" s="29">
        <f t="array" ref="F52">Calibration!sL*SUM(F13:G13*F26:G26)</f>
        <v>1960270.0598789176</v>
      </c>
      <c r="H52" s="29">
        <f t="array" ref="H52">Calibration!sL*SUM(H13:I13*H26:I26)</f>
        <v>1912867.5144730366</v>
      </c>
      <c r="J52" s="29">
        <f t="array" ref="J52">Calibration!sL*SUM(J13:K13*J26:K26)</f>
        <v>1864883.3936069608</v>
      </c>
      <c r="L52" s="29">
        <f t="array" ref="L52">Calibration!sL*SUM(L13:M13*L26:M26)</f>
        <v>1817996.3469768853</v>
      </c>
      <c r="N52" s="29">
        <f t="array" ref="N52">Calibration!sL*SUM(N13:O13*N26:O26)</f>
        <v>1774454.7663557986</v>
      </c>
      <c r="P52" s="29">
        <f t="array" ref="P52">Calibration!sL*SUM(P13:Q13*P26:Q26)</f>
        <v>1737037.7741675568</v>
      </c>
      <c r="R52" s="29">
        <f t="array" ref="R52">Calibration!sL*SUM(R13:S13*R26:S26)</f>
        <v>1708966.8606940273</v>
      </c>
      <c r="T52" s="29">
        <f t="array" ref="T52">Calibration!sL*SUM(T13:U13*T26:U26)</f>
        <v>1693805.7291743413</v>
      </c>
      <c r="V52" s="29">
        <f t="array" ref="V52">Calibration!sL*SUM(V13:W13*V26:W26)</f>
        <v>1695514.8863375559</v>
      </c>
      <c r="X52" s="29">
        <f t="array" ref="X52">Calibration!sL*SUM(X13:Y13*X26:Y26)</f>
        <v>1718896.1530612619</v>
      </c>
      <c r="Z52" s="29">
        <f t="array" ref="Z52">Calibration!sL*SUM(Z13:AA13*Z26:AA26)</f>
        <v>1770827.5275031026</v>
      </c>
      <c r="AB52" s="29">
        <f t="array" ref="AB52">Calibration!sL*SUM(AB13:AC13*AB26:AC26)</f>
        <v>1863029.0803572291</v>
      </c>
      <c r="AD52" s="29">
        <f t="array" ref="AD52">Calibration!sL*SUM(AD13:AE13*AD26:AE26)</f>
        <v>2018540.0802944873</v>
      </c>
      <c r="AF52" s="29">
        <f t="array" ref="AF52">Calibration!sL*SUM(AF13:AG13*AF26:AG26)</f>
        <v>2289805.0921011735</v>
      </c>
      <c r="AH52" s="29">
        <f t="array" ref="AH52">Calibration!sL*SUM(AH13:AI13*AH26:AI26)</f>
        <v>2823949.2785848025</v>
      </c>
      <c r="AJ52" s="29">
        <f t="array" ref="AJ52">Calibration!sL*SUM(AJ13:AK13*AJ26:AK26)</f>
        <v>4204908.9183013327</v>
      </c>
      <c r="AL52" s="29">
        <f t="array" ref="AL52">Calibration!sL*SUM(AL13:AM13*AL26:AM26)</f>
        <v>10562700.550704565</v>
      </c>
      <c r="AN52" s="29">
        <f t="array" ref="AN52">Calibration!sL*SUM(AN13:AO13*AN26:AO26)</f>
        <v>130968356.86936496</v>
      </c>
      <c r="AP52" s="29">
        <f t="array" ref="AP52">Calibration!sL*SUM(AP13:AQ13*AP26:AQ26)</f>
        <v>365505875.38471955</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2692468.265851412</v>
      </c>
      <c r="F53" s="29">
        <f t="array" ref="F53">Calibration!sK*SUM(F15:G15*F27:G27)</f>
        <v>2641368.2071890198</v>
      </c>
      <c r="H53" s="29">
        <f t="array" ref="H53">Calibration!sK*SUM(H15:I15*H27:I27)</f>
        <v>2588054.8026454826</v>
      </c>
      <c r="J53" s="29">
        <f t="array" ref="J53">Calibration!sK*SUM(J15:K15*J27:K27)</f>
        <v>2533757.9041903918</v>
      </c>
      <c r="L53" s="29">
        <f t="array" ref="L53">Calibration!sK*SUM(L15:M15*L27:M27)</f>
        <v>2480405.625473151</v>
      </c>
      <c r="N53" s="29">
        <f t="array" ref="N53">Calibration!sK*SUM(N15:O15*N27:O27)</f>
        <v>2430677.0158470296</v>
      </c>
      <c r="P53" s="29">
        <f t="array" ref="P53">Calibration!sK*SUM(P15:Q15*P27:Q27)</f>
        <v>2387955.0419278545</v>
      </c>
      <c r="R53" s="29">
        <f t="array" ref="R53">Calibration!sK*SUM(R15:S15*R27:S27)</f>
        <v>2356206.3282591566</v>
      </c>
      <c r="T53" s="29">
        <f t="array" ref="T53">Calibration!sK*SUM(T15:U15*T27:U27)</f>
        <v>2339836.3454002747</v>
      </c>
      <c r="V53" s="29">
        <f t="array" ref="V53">Calibration!sK*SUM(V15:W15*V27:W27)</f>
        <v>2343730.9739005989</v>
      </c>
      <c r="X53" s="29">
        <f t="array" ref="X53">Calibration!sK*SUM(X15:Y15*X27:Y27)</f>
        <v>2373772.808184186</v>
      </c>
      <c r="Z53" s="29">
        <f t="array" ref="Z53">Calibration!sK*SUM(Z15:AA15*Z27:AA27)</f>
        <v>2438310.0257395855</v>
      </c>
      <c r="AB53" s="29">
        <f t="array" ref="AB53">Calibration!sK*SUM(AB15:AC15*AB27:AC27)</f>
        <v>2551437.4291030644</v>
      </c>
      <c r="AD53" s="29">
        <f t="array" ref="AD53">Calibration!sK*SUM(AD15:AE15*AD27:AE27)</f>
        <v>2740604.7823659694</v>
      </c>
      <c r="AF53" s="29">
        <f t="array" ref="AF53">Calibration!sK*SUM(AF15:AG15*AF27:AG27)</f>
        <v>3067590.0718435077</v>
      </c>
      <c r="AH53" s="29">
        <f t="array" ref="AH53">Calibration!sK*SUM(AH15:AI15*AH27:AI27)</f>
        <v>3702861.9078530492</v>
      </c>
      <c r="AJ53" s="29">
        <f t="array" ref="AJ53">Calibration!sK*SUM(AJ15:AK15*AJ27:AK27)</f>
        <v>5303537.8335054396</v>
      </c>
      <c r="AL53" s="29">
        <f t="array" ref="AL53">Calibration!sK*SUM(AL15:AM15*AL27:AM27)</f>
        <v>12218940.125945613</v>
      </c>
      <c r="AN53" s="29">
        <f t="array" ref="AN53">Calibration!sK*SUM(AN15:AO15*AN27:AO27)</f>
        <v>120543504.83989444</v>
      </c>
      <c r="AP53" s="29">
        <f t="array" ref="AP53">Calibration!sK*SUM(AP15:AQ15*AP27:AQ27)</f>
        <v>307643236.35010147</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0.2011705514825903</v>
      </c>
      <c r="F55" s="193">
        <f>F30/F32</f>
        <v>0.20360344054791363</v>
      </c>
      <c r="H55" s="193">
        <f>H30/H32</f>
        <v>0.2057711389261338</v>
      </c>
      <c r="J55" s="193">
        <f>J30/J32</f>
        <v>0.20766784997866944</v>
      </c>
      <c r="L55" s="193">
        <f>L30/L32</f>
        <v>0.20932520584767011</v>
      </c>
      <c r="N55" s="193">
        <f>N30/N32</f>
        <v>0.21082563707502902</v>
      </c>
      <c r="P55" s="193">
        <f>P30/P32</f>
        <v>0.21231221748196114</v>
      </c>
      <c r="R55" s="193">
        <f>R30/R32</f>
        <v>0.21399223296310635</v>
      </c>
      <c r="T55" s="193">
        <f>T30/T32</f>
        <v>0.2161295586432172</v>
      </c>
      <c r="V55" s="193">
        <f>V30/V32</f>
        <v>0.21902814347169555</v>
      </c>
      <c r="X55" s="193">
        <f>X30/X32</f>
        <v>0.22301646231508807</v>
      </c>
      <c r="Z55" s="193">
        <f>Z30/Z32</f>
        <v>0.22845373413996892</v>
      </c>
      <c r="AB55" s="193">
        <f>AB30/AB32</f>
        <v>0.23578000623053066</v>
      </c>
      <c r="AD55" s="193">
        <f>AD30/AD32</f>
        <v>0.24564391998616786</v>
      </c>
      <c r="AF55" s="193">
        <f>AF30/AF32</f>
        <v>0.2592078425042238</v>
      </c>
      <c r="AH55" s="193">
        <f>AH30/AH32</f>
        <v>0.27897401397923582</v>
      </c>
      <c r="AJ55" s="193">
        <f>AJ30/AJ32</f>
        <v>0.3112813092043436</v>
      </c>
      <c r="AL55" s="193">
        <f>AL30/AL32</f>
        <v>0.37060006369148918</v>
      </c>
      <c r="AN55" s="193">
        <f>AN30/AN32</f>
        <v>0.47731717883891678</v>
      </c>
      <c r="AP55" s="193">
        <f>AP30/AP32</f>
        <v>0.50987507935156251</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3.2777195334668913E-2</v>
      </c>
      <c r="F56" s="193">
        <f>(Model!$C$52*F5*F20+F2*G5*G20)/F32</f>
        <v>3.6072517784970719E-2</v>
      </c>
      <c r="H56" s="193">
        <f>(Model!$C$52*H5*H20+H2*I5*I20)/H32</f>
        <v>3.9065187252638453E-2</v>
      </c>
      <c r="J56" s="193">
        <f>(Model!$C$52*J5*J20+J2*K5*K20)/J32</f>
        <v>4.1740455320363468E-2</v>
      </c>
      <c r="L56" s="193">
        <f>(Model!$C$52*L5*L20+L2*M5*M20)/L32</f>
        <v>4.4126031176924006E-2</v>
      </c>
      <c r="N56" s="193">
        <f>(Model!$C$52*N5*N20+N2*O5*O20)/N32</f>
        <v>4.6307482675374205E-2</v>
      </c>
      <c r="P56" s="193">
        <f>(Model!$C$52*P5*P20+P2*Q5*Q20)/P32</f>
        <v>4.8439674838564387E-2</v>
      </c>
      <c r="R56" s="193">
        <f>(Model!$C$52*R5*R20+R2*S5*S20)/R32</f>
        <v>5.0750857764345347E-2</v>
      </c>
      <c r="T56" s="193">
        <f>(Model!$C$52*T5*T20+T2*U5*U20)/T32</f>
        <v>5.3534425185335237E-2</v>
      </c>
      <c r="V56" s="193">
        <f>(Model!$C$52*V5*V20+V2*W5*W20)/V32</f>
        <v>5.7130286581241356E-2</v>
      </c>
      <c r="X56" s="193">
        <f>(Model!$C$52*X5*X20+X2*Y5*Y20)/X32</f>
        <v>6.1907460171266374E-2</v>
      </c>
      <c r="Z56" s="193">
        <f>(Model!$C$52*Z5*Z20+Z2*AA5*AA20)/Z32</f>
        <v>6.827031964211798E-2</v>
      </c>
      <c r="AB56" s="193">
        <f>(Model!$C$52*AB5*AB20+AB2*AC5*AC20)/AB32</f>
        <v>7.6713456502842337E-2</v>
      </c>
      <c r="AD56" s="193">
        <f>(Model!$C$52*AD5*AD20+AD2*AE5*AE20)/AD32</f>
        <v>8.7963408154208916E-2</v>
      </c>
      <c r="AF56" s="193">
        <f>(Model!$C$52*AF5*AF20+AF2*AG5*AG20)/AF32</f>
        <v>0.10331808210136367</v>
      </c>
      <c r="AH56" s="193">
        <f>(Model!$C$52*AH5*AH20+AH2*AI5*AI20)/AH32</f>
        <v>0.1255659210898433</v>
      </c>
      <c r="AJ56" s="193">
        <f>(Model!$C$52*AJ5*AJ20+AJ2*AK5*AK20)/AJ32</f>
        <v>0.16174346346406202</v>
      </c>
      <c r="AL56" s="193">
        <f>(Model!$C$52*AL5*AL20+AL2*AM5*AM20)/AL32</f>
        <v>0.22759906768169014</v>
      </c>
      <c r="AN56" s="193">
        <f>(Model!$C$52*AN5*AN20+AN2*AO5*AO20)/AN32</f>
        <v>0.34439053194830094</v>
      </c>
      <c r="AP56" s="193">
        <f>(Model!$C$52*AP5*AP20+AP2*AQ5*AQ20)/AP32</f>
        <v>0.38004398637138104</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0.15767920069771574</v>
      </c>
      <c r="F57" s="193">
        <f t="array" ref="F57">SUM(Model!tauL*F13:G13*F26:G26)/F32</f>
        <v>0.15685296266023513</v>
      </c>
      <c r="H57" s="193">
        <f t="array" ref="H57">SUM(Model!tauL*H13:I13*H26:I26)/H32</f>
        <v>0.15606222556250837</v>
      </c>
      <c r="J57" s="193">
        <f t="array" ref="J57">SUM(Model!tauL*J13:K13*J26:K26)/J32</f>
        <v>0.15531674581793567</v>
      </c>
      <c r="L57" s="193">
        <f t="array" ref="L57">SUM(Model!tauL*L13:M13*L26:M26)/L32</f>
        <v>0.15462179768934933</v>
      </c>
      <c r="N57" s="193">
        <f t="array" ref="N57">SUM(Model!tauL*N13:O13*N26:O26)/N32</f>
        <v>0.15397624771604734</v>
      </c>
      <c r="P57" s="193">
        <f t="array" ref="P57">SUM(Model!tauL*P13:Q13*P26:Q26)/P32</f>
        <v>0.15337103064515045</v>
      </c>
      <c r="R57" s="193">
        <f t="array" ref="R57">SUM(Model!tauL*R13:S13*R26:S26)/R32</f>
        <v>0.15278858940274753</v>
      </c>
      <c r="T57" s="193">
        <f t="array" ref="T57">SUM(Model!tauL*T13:U13*T26:U26)/T32</f>
        <v>0.15220332163919184</v>
      </c>
      <c r="V57" s="193">
        <f t="array" ref="V57">SUM(Model!tauL*V13:W13*V26:W26)/V32</f>
        <v>0.15158341825953467</v>
      </c>
      <c r="X57" s="193">
        <f t="array" ref="X57">SUM(Model!tauL*X13:Y13*X26:Y26)/X32</f>
        <v>0.15089255036827129</v>
      </c>
      <c r="Y57" s="193"/>
      <c r="Z57" s="193">
        <f t="array" ref="Z57">SUM(Model!tauL*Z13:AA13*Z26:AA26)/Z32</f>
        <v>0.15008998718052427</v>
      </c>
      <c r="AB57" s="193">
        <f t="array" ref="AB57">SUM(Model!tauL*AB13:AC13*AB26:AC26)/AB32</f>
        <v>0.14912647891629768</v>
      </c>
      <c r="AD57" s="193">
        <f t="array" ref="AD57">SUM(Model!tauL*AD13:AE13*AD26:AE26)/AD32</f>
        <v>0.14793166801541363</v>
      </c>
      <c r="AF57" s="193">
        <f t="array" ref="AF57">SUM(Model!tauL*AF13:AG13*AF26:AG26)/AF32</f>
        <v>0.14638232035833018</v>
      </c>
      <c r="AH57" s="193">
        <f t="array" ref="AH57">SUM(Model!tauL*AH13:AI13*AH26:AI26)/AH32</f>
        <v>0.14421410189851527</v>
      </c>
      <c r="AJ57" s="193">
        <f t="array" ref="AJ57">SUM(Model!tauL*AJ13:AK13*AJ26:AK26)/AJ32</f>
        <v>0.14076848504303816</v>
      </c>
      <c r="AL57" s="193">
        <f t="array" ref="AL57">SUM(Model!tauL*AL13:AM13*AL26:AM26)/AL32</f>
        <v>0.134816833870682</v>
      </c>
      <c r="AN57" s="193">
        <f t="array" ref="AN57">SUM(Model!tauL*AN13:AO13*AN26:AO26)/AN32</f>
        <v>0.12559436846626124</v>
      </c>
      <c r="AP57" s="193">
        <f t="array" ref="AP57">SUM(Model!tauL*AP13:AQ13*AP26:AQ26)/AP32</f>
        <v>0.12274894320460322</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1.0714155450205667E-2</v>
      </c>
      <c r="F58" s="193">
        <f t="array" ref="F58">SUM(Model!tauY/(1+Model!tauY)*F3:G3*F18:G18)/F32</f>
        <v>1.0677960102707761E-2</v>
      </c>
      <c r="H58" s="193">
        <f t="array" ref="H58">SUM(Model!tauY/(1+Model!tauY)*H3:I3*H18:I18)/H32</f>
        <v>1.064372611098699E-2</v>
      </c>
      <c r="J58" s="193">
        <f t="array" ref="J58">SUM(Model!tauY/(1+Model!tauY)*J3:K3*J18:K18)/J32</f>
        <v>1.0610648840370289E-2</v>
      </c>
      <c r="L58" s="193">
        <f t="array" ref="L58">SUM(Model!tauY/(1+Model!tauY)*L3:M3*L18:M18)/L32</f>
        <v>1.057737698139676E-2</v>
      </c>
      <c r="N58" s="193">
        <f t="array" ref="N58">SUM(Model!tauY/(1+Model!tauY)*N3:O3*N18:O18)/N32</f>
        <v>1.0541906683607447E-2</v>
      </c>
      <c r="P58" s="193">
        <f t="array" ref="P58">SUM(Model!tauY/(1+Model!tauY)*P3:Q3*P18:Q18)/P32</f>
        <v>1.0501511998246294E-2</v>
      </c>
      <c r="R58" s="193">
        <f t="array" ref="R58">SUM(Model!tauY/(1+Model!tauY)*R3:S3*R18:S18)/R32</f>
        <v>1.0452785796013457E-2</v>
      </c>
      <c r="T58" s="193">
        <f t="array" ref="T58">SUM(Model!tauY/(1+Model!tauY)*T3:U3*T18:U18)/T32</f>
        <v>1.0391811818690096E-2</v>
      </c>
      <c r="V58" s="193">
        <f t="array" ref="V58">SUM(Model!tauY/(1+Model!tauY)*V3:W3*V18:W18)/V32</f>
        <v>1.0314438630919546E-2</v>
      </c>
      <c r="X58" s="193">
        <f t="array" ref="X58">SUM(Model!tauY/(1+Model!tauY)*X3:Y3*X18:Y18)/X32</f>
        <v>1.0216451775550403E-2</v>
      </c>
      <c r="Y58" s="193"/>
      <c r="Z58" s="193">
        <f t="array" ref="Z58">SUM(Model!tauY/(1+Model!tauY)*Z3:AA3*Z18:AA18)/Z32</f>
        <v>1.0093427317326674E-2</v>
      </c>
      <c r="AB58" s="193">
        <f t="array" ref="AB58">SUM(Model!tauY/(1+Model!tauY)*AB3:AC3*AB18:AC18)/AB32</f>
        <v>9.9400708113906965E-3</v>
      </c>
      <c r="AD58" s="193">
        <f t="array" ref="AD58">SUM(Model!tauY/(1+Model!tauY)*AD3:AE3*AD18:AE18)/AD32</f>
        <v>9.7488438165453072E-3</v>
      </c>
      <c r="AF58" s="193">
        <f t="array" ref="AF58">SUM(Model!tauY/(1+Model!tauY)*AF3:AG3*AF18:AG18)/AF32</f>
        <v>9.5074400445299551E-3</v>
      </c>
      <c r="AH58" s="193">
        <f t="array" ref="AH58">SUM(Model!tauY/(1+Model!tauY)*AH3:AI3*AH18:AI18)/AH32</f>
        <v>9.1939909908772301E-3</v>
      </c>
      <c r="AJ58" s="193">
        <f t="array" ref="AJ58">SUM(Model!tauY/(1+Model!tauY)*AJ3:AK3*AJ18:AK18)/AJ32</f>
        <v>8.76936069724343E-3</v>
      </c>
      <c r="AL58" s="193">
        <f t="array" ref="AL58">SUM(Model!tauY/(1+Model!tauY)*AL3:AM3*AL18:AM18)/AL32</f>
        <v>8.184162139117046E-3</v>
      </c>
      <c r="AN58" s="193">
        <f t="array" ref="AN58">SUM(Model!tauY/(1+Model!tauY)*AN3:AO3*AN18:AO18)/AN32</f>
        <v>7.3322784243545448E-3</v>
      </c>
      <c r="AP58" s="193">
        <f t="array" ref="AP58">SUM(Model!tauY/(1+Model!tauY)*AP3:AQ3*AP18:AQ18)/AP32</f>
        <v>7.0821497755782893E-3</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4.0862874750132025E-3</v>
      </c>
      <c r="F59" s="193">
        <f>(F2*G5*G20)/F32</f>
        <v>7.3323805101052821E-3</v>
      </c>
      <c r="H59" s="193">
        <f>(H2*I5*I20)/H32</f>
        <v>1.0243595464948553E-2</v>
      </c>
      <c r="J59" s="193">
        <f>(J2*K5*K20)/J32</f>
        <v>1.2801588297308434E-2</v>
      </c>
      <c r="L59" s="193">
        <f>(L2*M5*M20)/L32</f>
        <v>1.5032079254929404E-2</v>
      </c>
      <c r="N59" s="193">
        <f>(N2*O5*O20)/N32</f>
        <v>1.7021142378028296E-2</v>
      </c>
      <c r="P59" s="193">
        <f>(P2*Q5*Q20)/P32</f>
        <v>1.8927605690469529E-2</v>
      </c>
      <c r="R59" s="193">
        <f>(R2*S5*S20)/R32</f>
        <v>2.0987817632081681E-2</v>
      </c>
      <c r="T59" s="193">
        <f>(T2*U5*U20)/T32</f>
        <v>2.3507419624568541E-2</v>
      </c>
      <c r="V59" s="193">
        <f>(V2*W5*W20)/V32</f>
        <v>2.6841717512217301E-2</v>
      </c>
      <c r="X59" s="193">
        <f>(X2*Y5*Y20)/X32</f>
        <v>3.1376749068886385E-2</v>
      </c>
      <c r="Z59" s="193">
        <f>(Z2*AA5*AA20)/Z32</f>
        <v>3.7534499317048123E-2</v>
      </c>
      <c r="AB59" s="193">
        <f>(AB2*AC5*AC20)/AB32</f>
        <v>4.5828566253840297E-2</v>
      </c>
      <c r="AD59" s="193">
        <f>(AD2*AE5*AE20)/AD32</f>
        <v>5.7010020253802286E-2</v>
      </c>
      <c r="AF59" s="193">
        <f>(AF2*AG5*AG20)/AF32</f>
        <v>7.2417674776751706E-2</v>
      </c>
      <c r="AH59" s="193">
        <f>(AH2*AI5*AI20)/AH32</f>
        <v>9.4926831586211291E-2</v>
      </c>
      <c r="AJ59" s="193">
        <f>(AJ2*AK5*AK20)/AJ32</f>
        <v>0.13179362112817991</v>
      </c>
      <c r="AL59" s="193">
        <f>(AL2*AM5*AM20)/AL32</f>
        <v>0.19922782557435795</v>
      </c>
      <c r="AN59" s="193">
        <f>(AN2*AO5*AO20)/AN32</f>
        <v>0.31887824576857399</v>
      </c>
      <c r="AP59" s="193">
        <f>(AP2*AQ5*AQ20)/AP32</f>
        <v>0.35538030552457628</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2.8690907859655713E-2</v>
      </c>
      <c r="F60" s="193">
        <f>Model!$C$52*F5*F20/F32</f>
        <v>2.8740137274865442E-2</v>
      </c>
      <c r="H60" s="193">
        <f>Model!$C$52*H5*H20/H32</f>
        <v>2.8821591787689903E-2</v>
      </c>
      <c r="J60" s="193">
        <f>Model!$C$52*J5*J20/J32</f>
        <v>2.8938867023055037E-2</v>
      </c>
      <c r="L60" s="193">
        <f>Model!$C$52*L5*L20/L32</f>
        <v>2.9093951921994602E-2</v>
      </c>
      <c r="N60" s="193">
        <f>Model!$C$52*N5*N20/N32</f>
        <v>2.9286340297345909E-2</v>
      </c>
      <c r="P60" s="193">
        <f>Model!$C$52*P5*P20/P32</f>
        <v>2.9512069148094854E-2</v>
      </c>
      <c r="R60" s="193">
        <f>Model!$C$52*R5*R20/R32</f>
        <v>2.976304013226367E-2</v>
      </c>
      <c r="T60" s="193">
        <f>Model!$C$52*T5*T20/T32</f>
        <v>3.0027005560766692E-2</v>
      </c>
      <c r="V60" s="193">
        <f>Model!$C$52*V5*V20/V32</f>
        <v>3.0288569069024055E-2</v>
      </c>
      <c r="X60" s="193">
        <f>Model!$C$52*X5*X20/X32</f>
        <v>3.0530711102379988E-2</v>
      </c>
      <c r="Z60" s="193">
        <f>Model!$C$52*Z5*Z20/Z32</f>
        <v>3.0735820325069853E-2</v>
      </c>
      <c r="AB60" s="193">
        <f>Model!$C$52*AB5*AB20/AB32</f>
        <v>3.0884890249002029E-2</v>
      </c>
      <c r="AD60" s="193">
        <f>Model!$C$52*AD5*AD20/AD32</f>
        <v>3.095338790040664E-2</v>
      </c>
      <c r="AF60" s="193">
        <f>Model!$C$52*AF5*AF20/AF32</f>
        <v>3.0900407324611971E-2</v>
      </c>
      <c r="AH60" s="193">
        <f>Model!$C$52*AH5*AH20/AH32</f>
        <v>3.0639089503632012E-2</v>
      </c>
      <c r="AJ60" s="193">
        <f>Model!$C$52*AJ5*AJ20/AJ32</f>
        <v>2.9949842335882097E-2</v>
      </c>
      <c r="AL60" s="193">
        <f>Model!$C$52*AL5*AL20/AL32</f>
        <v>2.8371242107332179E-2</v>
      </c>
      <c r="AN60" s="193">
        <f>Model!$C$52*AN5*AN20/AN32</f>
        <v>2.5512286179726926E-2</v>
      </c>
      <c r="AP60" s="193">
        <f>Model!$C$52*AP5*AP20/AP32</f>
        <v>2.4663680846804738E-2</v>
      </c>
      <c r="AR60" s="193" t="e">
        <f>Model!$C$52*AR5*AR20/AR32</f>
        <v>#DIV/0!</v>
      </c>
      <c r="AT60" s="193" t="e">
        <f>Model!$C$52*AT5*AT20/AT32</f>
        <v>#DIV/0!</v>
      </c>
      <c r="AV60" s="193" t="e">
        <f>Model!$C$52*AV5*AV20/AV32</f>
        <v>#DIV/0!</v>
      </c>
      <c r="XFD60" s="193"/>
    </row>
    <row r="62" spans="1:48 16321:16384" x14ac:dyDescent="0.2">
      <c r="A62" t="s">
        <v>175</v>
      </c>
      <c r="B62">
        <f>B13/B15</f>
        <v>1</v>
      </c>
      <c r="D62">
        <f>D13/D15</f>
        <v>0.99461741876560772</v>
      </c>
      <c r="F62">
        <f>F13/F15</f>
        <v>0.98900199627207108</v>
      </c>
      <c r="H62">
        <f>H13/H15</f>
        <v>0.98323527409568068</v>
      </c>
      <c r="J62">
        <f>J13/J15</f>
        <v>0.97742242539980895</v>
      </c>
      <c r="L62">
        <f>L13/L15</f>
        <v>0.97169402791306525</v>
      </c>
      <c r="N62">
        <f>N13/N15</f>
        <v>0.96620964213291605</v>
      </c>
      <c r="P62">
        <f>P13/P15</f>
        <v>0.96116275986591548</v>
      </c>
      <c r="R62">
        <f>R13/R15</f>
        <v>0.95678264884967212</v>
      </c>
      <c r="T62">
        <f>T13/T15</f>
        <v>0.95332959973994558</v>
      </c>
      <c r="V62">
        <f>V13/V15</f>
        <v>0.95108756164729102</v>
      </c>
      <c r="X62">
        <f>X13/X15</f>
        <v>0.95036754255506184</v>
      </c>
      <c r="Z62">
        <f>Z13/Z15</f>
        <v>0.95154444645364133</v>
      </c>
      <c r="AB62">
        <f>AB13/AB15</f>
        <v>0.95515558505025389</v>
      </c>
      <c r="AD62">
        <f>AD13/AD15</f>
        <v>0.96211987042156422</v>
      </c>
      <c r="AF62">
        <f>AF13/AF15</f>
        <v>0.97426666524468686</v>
      </c>
      <c r="AH62">
        <f>AH13/AH15</f>
        <v>0.99588624039070639</v>
      </c>
      <c r="AJ62">
        <f>AJ13/AJ15</f>
        <v>1.0394960779200446</v>
      </c>
      <c r="AL62">
        <f>AL13/AL15</f>
        <v>1.1493075967926407</v>
      </c>
      <c r="AN62">
        <f>AN13/AN15</f>
        <v>1.5038234173505511</v>
      </c>
      <c r="AP62">
        <f>AP13/AP15</f>
        <v>1.6706005135605546</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1.0055021754121474</v>
      </c>
      <c r="E65" s="191"/>
      <c r="F65" s="191">
        <f t="array" ref="F65">SQRT((F9:G9*$B$22:$C$22+F10:G10*$B$23:$C$23+F11:G11*$B$24:$C$24+F4:G4*($B$25:$C$25-$B$19:$C$19))/($B$9:$C$9*$B$22:$C$22+$B$10:$C$10*$B$23:$C$23+$B$11:$C$11*$B$24:$C$24+$B$4:$C$4*($B$25:$C$25-$B$19:$C$19))*(F9:G9*F22:G22+F10:G10*F23:G23+F11:G11*F24:G24+F4:G4*(F25:G25-F19:G19))/($B$9:$C$9*F22:G22+$B$10:$C$10*F23:G23+$B$11:$C$11*F24:G24+$B$4:$C$4*(F25:G25-F19:G19)))</f>
        <v>1.0141107888369059</v>
      </c>
      <c r="G65" s="191"/>
      <c r="H65" s="191">
        <f t="array" ref="H65">SQRT((H9:I9*$B$22:$C$22+H10:I10*$B$23:$C$23+H11:I11*$B$24:$C$24+H4:I4*($B$25:$C$25-$B$19:$C$19))/($B$9:$C$9*$B$22:$C$22+$B$10:$C$10*$B$23:$C$23+$B$11:$C$11*$B$24:$C$24+$B$4:$C$4*($B$25:$C$25-$B$19:$C$19))*(H9:I9*H22:I22+H10:I10*H23:I23+H11:I11*H24:I24+H4:I4*(H25:I25-H19:I19))/($B$9:$C$9*H22:I22+$B$10:$C$10*H23:I23+$B$11:$C$11*H24:I24+$B$4:$C$4*(H25:I25-H19:I19)))</f>
        <v>1.0266743227095876</v>
      </c>
      <c r="I65" s="191"/>
      <c r="J65" s="191">
        <f t="array" ref="J65">SQRT((J9:K9*$B$22:$C$22+J10:K10*$B$23:$C$23+J11:K11*$B$24:$C$24+J4:K4*($B$25:$C$25-$B$19:$C$19))/($B$9:$C$9*$B$22:$C$22+$B$10:$C$10*$B$23:$C$23+$B$11:$C$11*$B$24:$C$24+$B$4:$C$4*($B$25:$C$25-$B$19:$C$19))*(J9:K9*J22:K22+J10:K10*J23:K23+J11:K11*J24:K24+J4:K4*(J25:K25-J19:K19))/($B$9:$C$9*J22:K22+$B$10:$C$10*J23:K23+$B$11:$C$11*J24:K24+$B$4:$C$4*(J25:K25-J19:K19)))</f>
        <v>1.044241306580179</v>
      </c>
      <c r="K65" s="191"/>
      <c r="L65" s="191">
        <f t="array" ref="L65">SQRT((L9:M9*$B$22:$C$22+L10:M10*$B$23:$C$23+L11:M11*$B$24:$C$24+L4:M4*($B$25:$C$25-$B$19:$C$19))/($B$9:$C$9*$B$22:$C$22+$B$10:$C$10*$B$23:$C$23+$B$11:$C$11*$B$24:$C$24+$B$4:$C$4*($B$25:$C$25-$B$19:$C$19))*(L9:M9*L22:M22+L10:M10*L23:M23+L11:M11*L24:M24+L4:M4*(L25:M25-L19:M19))/($B$9:$C$9*L22:M22+$B$10:$C$10*L23:M23+$B$11:$C$11*L24:M24+$B$4:$C$4*(L25:M25-L19:M19)))</f>
        <v>1.0681135949218667</v>
      </c>
      <c r="M65" s="191"/>
      <c r="N65" s="191">
        <f t="array" ref="N65">SQRT((N9:O9*$B$22:$C$22+N10:O10*$B$23:$C$23+N11:O11*$B$24:$C$24+N4:O4*($B$25:$C$25-$B$19:$C$19))/($B$9:$C$9*$B$22:$C$22+$B$10:$C$10*$B$23:$C$23+$B$11:$C$11*$B$24:$C$24+$B$4:$C$4*($B$25:$C$25-$B$19:$C$19))*(N9:O9*N22:O22+N10:O10*N23:O23+N11:O11*N24:O24+N4:O4*(N25:O25-N19:O19))/($B$9:$C$9*N22:O22+$B$10:$C$10*N23:O23+$B$11:$C$11*N24:O24+$B$4:$C$4*(N25:O25-N19:O19)))</f>
        <v>1.0999191016993854</v>
      </c>
      <c r="O65" s="191"/>
      <c r="P65" s="191">
        <f t="array" ref="P65">SQRT((P9:Q9*$B$22:$C$22+P10:Q10*$B$23:$C$23+P11:Q11*$B$24:$C$24+P4:Q4*($B$25:$C$25-$B$19:$C$19))/($B$9:$C$9*$B$22:$C$22+$B$10:$C$10*$B$23:$C$23+$B$11:$C$11*$B$24:$C$24+$B$4:$C$4*($B$25:$C$25-$B$19:$C$19))*(P9:Q9*P22:Q22+P10:Q10*P23:Q23+P11:Q11*P24:Q24+P4:Q4*(P25:Q25-P19:Q19))/($B$9:$C$9*P22:Q22+$B$10:$C$10*P23:Q23+$B$11:$C$11*P24:Q24+$B$4:$C$4*(P25:Q25-P19:Q19)))</f>
        <v>1.1417024551947468</v>
      </c>
      <c r="Q65" s="191"/>
      <c r="R65" s="191">
        <f t="array" ref="R65">SQRT((R9:S9*$B$22:$C$22+R10:S10*$B$23:$C$23+R11:S11*$B$24:$C$24+R4:S4*($B$25:$C$25-$B$19:$C$19))/($B$9:$C$9*$B$22:$C$22+$B$10:$C$10*$B$23:$C$23+$B$11:$C$11*$B$24:$C$24+$B$4:$C$4*($B$25:$C$25-$B$19:$C$19))*(R9:S9*R22:S22+R10:S10*R23:S23+R11:S11*R24:S24+R4:S4*(R25:S25-R19:S19))/($B$9:$C$9*R22:S22+$B$10:$C$10*R23:S23+$B$11:$C$11*R24:S24+$B$4:$C$4*(R25:S25-R19:S19)))</f>
        <v>1.1960609505177633</v>
      </c>
      <c r="S65" s="191"/>
      <c r="T65" s="191">
        <f t="array" ref="T65">SQRT((T9:U9*$B$22:$C$22+T10:U10*$B$23:$C$23+T11:U11*$B$24:$C$24+T4:U4*($B$25:$C$25-$B$19:$C$19))/($B$9:$C$9*$B$22:$C$22+$B$10:$C$10*$B$23:$C$23+$B$11:$C$11*$B$24:$C$24+$B$4:$C$4*($B$25:$C$25-$B$19:$C$19))*(T9:U9*T22:U22+T10:U10*T23:U23+T11:U11*T24:U24+T4:U4*(T25:U25-T19:U19))/($B$9:$C$9*T22:U22+$B$10:$C$10*T23:U23+$B$11:$C$11*T24:U24+$B$4:$C$4*(T25:U25-T19:U19)))</f>
        <v>1.26638993546649</v>
      </c>
      <c r="U65" s="191"/>
      <c r="V65" s="191">
        <f t="array" ref="V65">SQRT((V9:W9*$B$22:$C$22+V10:W10*$B$23:$C$23+V11:W11*$B$24:$C$24+V4:W4*($B$25:$C$25-$B$19:$C$19))/($B$9:$C$9*$B$22:$C$22+$B$10:$C$10*$B$23:$C$23+$B$11:$C$11*$B$24:$C$24+$B$4:$C$4*($B$25:$C$25-$B$19:$C$19))*(V9:W9*V22:W22+V10:W10*V23:W23+V11:W11*V24:W24+V4:W4*(V25:W25-V19:W19))/($B$9:$C$9*V22:W22+$B$10:$C$10*V23:W23+$B$11:$C$11*V24:W24+$B$4:$C$4*(V25:W25-V19:W19)))</f>
        <v>1.3574084666072876</v>
      </c>
      <c r="W65" s="191"/>
      <c r="X65" s="191">
        <f t="array" ref="X65">SQRT((X9:Y9*$B$22:$C$22+X10:Y10*$B$23:$C$23+X11:Y11*$B$24:$C$24+X4:Y4*($B$25:$C$25-$B$19:$C$19))/($B$9:$C$9*$B$22:$C$22+$B$10:$C$10*$B$23:$C$23+$B$11:$C$11*$B$24:$C$24+$B$4:$C$4*($B$25:$C$25-$B$19:$C$19))*(X9:Y9*X22:Y22+X10:Y10*X23:Y23+X11:Y11*X24:Y24+X4:Y4*(X25:Y25-X19:Y19))/($B$9:$C$9*X22:Y22+$B$10:$C$10*X23:Y23+$B$11:$C$11*X24:Y24+$B$4:$C$4*(X25:Y25-X19:Y19)))</f>
        <v>1.4762744379494079</v>
      </c>
      <c r="Y65" s="191"/>
      <c r="Z65" s="191">
        <f t="array" ref="Z65">SQRT((Z9:AA9*$B$22:$C$22+Z10:AA10*$B$23:$C$23+Z11:AA11*$B$24:$C$24+Z4:AA4*($B$25:$C$25-$B$19:$C$19))/($B$9:$C$9*$B$22:$C$22+$B$10:$C$10*$B$23:$C$23+$B$11:$C$11*$B$24:$C$24+$B$4:$C$4*($B$25:$C$25-$B$19:$C$19))*(Z9:AA9*Z22:AA22+Z10:AA10*Z23:AA23+Z11:AA11*Z24:AA24+Z4:AA4*(Z25:AA25-Z19:AA19))/($B$9:$C$9*Z22:AA22+$B$10:$C$10*Z23:AA23+$B$11:$C$11*Z24:AA24+$B$4:$C$4*(Z25:AA25-Z19:AA19)))</f>
        <v>1.6349520753133722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1.8555192685584894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2.183780740099841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2.7324417821133649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3.8729859392280757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8.0029256240309223</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#NUM!</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#NUM!</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1.0060393192949482</v>
      </c>
      <c r="E66" s="191"/>
      <c r="F66" s="191">
        <f t="array" ref="F66">SQRT((F9:G9*$B$22:$C$22)/($B$9:$C$9*$B$22:$C$22)*(F9:G9*F22:G22)/($B$9:$C$9*F22:G22))</f>
        <v>1.0154583918518727</v>
      </c>
      <c r="G66" s="191"/>
      <c r="H66" s="191">
        <f t="array" ref="H66">SQRT((H9:I9*$B$22:$C$22)/($B$9:$C$9*$B$22:$C$22)*(H9:I9*H22:I22)/($B$9:$C$9*H22:I22))</f>
        <v>1.0291417055487992</v>
      </c>
      <c r="I66" s="191"/>
      <c r="J66" s="191">
        <f t="array" ref="J66">SQRT((J9:K9*$B$22:$C$22)/($B$9:$C$9*$B$22:$C$22)*(J9:K9*J22:K22)/($B$9:$C$9*J22:K22))</f>
        <v>1.0481545537901982</v>
      </c>
      <c r="K66" s="191"/>
      <c r="L66" s="191">
        <f t="array" ref="L66">SQRT((L9:M9*$B$22:$C$22)/($B$9:$C$9*$B$22:$C$22)*(L9:M9*L22:M22)/($B$9:$C$9*L22:M22))</f>
        <v>1.0737796628771081</v>
      </c>
      <c r="M66" s="191"/>
      <c r="N66" s="191">
        <f t="array" ref="N66">SQRT((N9:O9*$B$22:$C$22)/($B$9:$C$9*$B$22:$C$22)*(N9:O9*N22:O22)/($B$9:$C$9*N22:O22))</f>
        <v>1.1075659089368834</v>
      </c>
      <c r="O66" s="191"/>
      <c r="P66" s="191">
        <f t="array" ref="P66">SQRT((P9:Q9*$B$22:$C$22)/($B$9:$C$9*$B$22:$C$22)*(P9:Q9*P22:Q22)/($B$9:$C$9*P22:Q22))</f>
        <v>1.1513843360478735</v>
      </c>
      <c r="Q66" s="191"/>
      <c r="R66" s="191">
        <f t="array" ref="R66">SQRT((R9:S9*$B$22:$C$22)/($B$9:$C$9*$B$22:$C$22)*(R9:S9*R22:S22)/($B$9:$C$9*R22:S22))</f>
        <v>1.2075156327180459</v>
      </c>
      <c r="S66" s="191"/>
      <c r="T66" s="191">
        <f t="array" ref="T66">SQRT((T9:U9*$B$22:$C$22)/($B$9:$C$9*$B$22:$C$22)*(T9:U9*T22:U22)/($B$9:$C$9*T22:U22))</f>
        <v>1.2788245019180502</v>
      </c>
      <c r="U66" s="191"/>
      <c r="V66" s="191">
        <f t="array" ref="V66">SQRT((V9:W9*$B$22:$C$22)/($B$9:$C$9*$B$22:$C$22)*(V9:W9*V22:W22)/($B$9:$C$9*V22:W22))</f>
        <v>1.3691650498197041</v>
      </c>
      <c r="W66" s="191"/>
      <c r="X66" s="191">
        <f t="array" ref="X66">SQRT((X9:Y9*$B$22:$C$22)/($B$9:$C$9*$B$22:$C$22)*(X9:Y9*X22:Y22)/($B$9:$C$9*X22:Y22))</f>
        <v>1.4842463478845325</v>
      </c>
      <c r="Y66" s="191"/>
      <c r="Z66" s="191">
        <f t="array" ref="Z66">SQRT((Z9:AA9*$B$22:$C$22)/($B$9:$C$9*$B$22:$C$22)*(Z9:AA9*Z22:AA22)/($B$9:$C$9*Z22:AA22))</f>
        <v>1.6334052430772641</v>
      </c>
      <c r="AA66" s="191"/>
      <c r="AB66" s="191">
        <f t="array" ref="AB66">SQRT((AB9:AC9*$B$22:$C$22)/($B$9:$C$9*$B$22:$C$22)*(AB9:AC9*AB22:AC22)/($B$9:$C$9*AB22:AC22))</f>
        <v>1.8333467204535003</v>
      </c>
      <c r="AC66" s="191"/>
      <c r="AD66" s="191">
        <f t="array" ref="AD66">SQRT((AD9:AE9*$B$22:$C$22)/($B$9:$C$9*$B$22:$C$22)*(AD9:AE9*AD22:AE22)/($B$9:$C$9*AD22:AE22))</f>
        <v>2.1170209150994324</v>
      </c>
      <c r="AE66" s="191"/>
      <c r="AF66" s="191">
        <f t="array" ref="AF66">SQRT((AF9:AG9*$B$22:$C$22)/($B$9:$C$9*$B$22:$C$22)*(AF9:AG9*AF22:AG22)/($B$9:$C$9*AF22:AG22))</f>
        <v>2.5588650013547705</v>
      </c>
      <c r="AG66" s="191"/>
      <c r="AH66" s="191">
        <f t="array" ref="AH66">SQRT((AH9:AI9*$B$22:$C$22)/($B$9:$C$9*$B$22:$C$22)*(AH9:AI9*AH22:AI22)/($B$9:$C$9*AH22:AI22))</f>
        <v>3.3671125518611595</v>
      </c>
      <c r="AI66" s="191"/>
      <c r="AJ66" s="191">
        <f t="array" ref="AJ66">SQRT((AJ9:AK9*$B$22:$C$22)/($B$9:$C$9*$B$22:$C$22)*(AJ9:AK9*AJ22:AK22)/($B$9:$C$9*AJ22:AK22))</f>
        <v>5.3768827345716765</v>
      </c>
      <c r="AK66" s="191"/>
      <c r="AL66" s="191">
        <f t="array" ref="AL66">SQRT((AL9:AM9*$B$22:$C$22)/($B$9:$C$9*$B$22:$C$22)*(AL9:AM9*AL22:AM22)/($B$9:$C$9*AL22:AM22))</f>
        <v>14.752666035054903</v>
      </c>
      <c r="AM66" s="191"/>
      <c r="AN66" s="191">
        <f t="array" ref="AN66">SQRT((AN9:AO9*$B$22:$C$22)/($B$9:$C$9*$B$22:$C$22)*(AN9:AO9*AN22:AO22)/($B$9:$C$9*AN22:AO22))</f>
        <v>213.54430926259766</v>
      </c>
      <c r="AO66" s="191"/>
      <c r="AP66" s="191">
        <f t="array" ref="AP66">SQRT((AP9:AQ9*$B$22:$C$22)/($B$9:$C$9*$B$22:$C$22)*(AP9:AQ9*AP22:AQ22)/($B$9:$C$9*AP22:AQ22))</f>
        <v>626.83327836016633</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1.0060393192949482</v>
      </c>
      <c r="E68" s="191"/>
      <c r="F68" s="191">
        <f>F66/F67</f>
        <v>1.0154583918518727</v>
      </c>
      <c r="G68" s="191"/>
      <c r="H68" s="191">
        <f>H66/H67</f>
        <v>1.0291417055487992</v>
      </c>
      <c r="I68" s="191"/>
      <c r="J68" s="191">
        <f>J66/J67</f>
        <v>1.0481545537901982</v>
      </c>
      <c r="K68" s="191"/>
      <c r="L68" s="191">
        <f>L66/L67</f>
        <v>1.0737796628771081</v>
      </c>
      <c r="M68" s="191"/>
      <c r="N68" s="191">
        <f>N66/N67</f>
        <v>1.1075659089368834</v>
      </c>
      <c r="O68" s="191"/>
      <c r="P68" s="191">
        <f>P66/P67</f>
        <v>1.1513843360478735</v>
      </c>
      <c r="Q68" s="191"/>
      <c r="R68" s="191">
        <f>R66/R67</f>
        <v>1.2075156327180459</v>
      </c>
      <c r="S68" s="191"/>
      <c r="T68" s="191">
        <f>T66/T67</f>
        <v>1.2788245019180502</v>
      </c>
      <c r="U68" s="191"/>
      <c r="V68" s="191">
        <f>V66/V67</f>
        <v>1.3691650498197041</v>
      </c>
      <c r="W68" s="191"/>
      <c r="X68" s="191">
        <f>X66/X67</f>
        <v>1.4842463478845325</v>
      </c>
      <c r="Y68" s="191"/>
      <c r="Z68" s="191">
        <f>Z66/Z67</f>
        <v>1.6334052430772641</v>
      </c>
      <c r="AA68" s="191"/>
      <c r="AB68" s="191">
        <f>AB66/AB67</f>
        <v>1.8333467204535003</v>
      </c>
      <c r="AC68" s="191"/>
      <c r="AD68" s="191">
        <f>AD66/AD67</f>
        <v>2.1170209150994324</v>
      </c>
      <c r="AE68" s="191"/>
      <c r="AF68" s="191">
        <f>AF66/AF67</f>
        <v>2.5588650013547705</v>
      </c>
      <c r="AG68" s="191"/>
      <c r="AH68" s="191">
        <f>AH66/AH67</f>
        <v>3.3671125518611595</v>
      </c>
      <c r="AI68" s="191"/>
      <c r="AJ68" s="191">
        <f>AJ66/AJ67</f>
        <v>5.3768827345716765</v>
      </c>
      <c r="AK68" s="191"/>
      <c r="AL68" s="191">
        <f>AL66/AL67</f>
        <v>14.752666035054903</v>
      </c>
      <c r="AM68" s="191"/>
      <c r="AN68" s="191">
        <f>AN66/AN67</f>
        <v>213.54430926259766</v>
      </c>
      <c r="AO68" s="191"/>
      <c r="AP68" s="191">
        <f>AP66/AP67</f>
        <v>626.83327836016633</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0.97876178142664783</v>
      </c>
      <c r="E69" s="191"/>
      <c r="F69" s="191">
        <f>F32/F65/($B$32)</f>
        <v>0.95334812765016064</v>
      </c>
      <c r="G69" s="191"/>
      <c r="H69" s="191">
        <f>H32/H65/($B$32)</f>
        <v>0.92356642378033404</v>
      </c>
      <c r="I69" s="191"/>
      <c r="J69" s="191">
        <f>J32/J65/($B$32)</f>
        <v>0.88950065244641996</v>
      </c>
      <c r="K69" s="191"/>
      <c r="L69" s="191">
        <f>L32/L65/($B$32)</f>
        <v>0.85156653394814619</v>
      </c>
      <c r="M69" s="191"/>
      <c r="N69" s="191">
        <f>N32/N65/($B$32)</f>
        <v>0.81052086098118192</v>
      </c>
      <c r="O69" s="191"/>
      <c r="P69" s="191">
        <f>P32/P65/($B$32)</f>
        <v>0.76740872438234198</v>
      </c>
      <c r="Q69" s="191"/>
      <c r="R69" s="191">
        <f>R32/R65/($B$32)</f>
        <v>0.72344105079550836</v>
      </c>
      <c r="S69" s="191"/>
      <c r="T69" s="191">
        <f>T32/T65/($B$32)</f>
        <v>0.67980719545899881</v>
      </c>
      <c r="U69" s="191"/>
      <c r="V69" s="191">
        <f>V32/V65/($B$32)</f>
        <v>0.6374602335374292</v>
      </c>
      <c r="W69" s="191"/>
      <c r="X69" s="191">
        <f>X32/X65/($B$32)</f>
        <v>0.59693697589580641</v>
      </c>
      <c r="Y69" s="191"/>
      <c r="Z69" s="191">
        <f>Z32/Z65/($B$32)</f>
        <v>0.558255817456492</v>
      </c>
      <c r="AA69" s="191"/>
      <c r="AB69" s="191">
        <f>AB32/AB65/($B$32)</f>
        <v>0.52085056788190676</v>
      </c>
      <c r="AC69" s="191"/>
      <c r="AD69" s="191">
        <f>AD32/AD65/($B$32)</f>
        <v>0.48337137929027885</v>
      </c>
      <c r="AE69" s="191"/>
      <c r="AF69" s="191">
        <f>AF32/AF65/($B$32)</f>
        <v>0.44286638034629205</v>
      </c>
      <c r="AG69" s="191"/>
      <c r="AH69" s="191">
        <f>AH32/AH65/($B$32)</f>
        <v>0.39112626645515625</v>
      </c>
      <c r="AI69" s="191"/>
      <c r="AJ69" s="191">
        <f>AJ32/AJ65/($B$32)</f>
        <v>0.28874609261420114</v>
      </c>
      <c r="AK69" s="191"/>
      <c r="AL69" s="191" t="e">
        <f>AL32/AL65/($B$32)</f>
        <v>#NUM!</v>
      </c>
      <c r="AM69" s="191"/>
      <c r="AN69" s="191" t="e">
        <f>AN32/AN65/($B$32)</f>
        <v>#NUM!</v>
      </c>
      <c r="AO69" s="191"/>
      <c r="AP69" s="191" t="e">
        <f>AP32/AP65/($B$32)</f>
        <v>#NUM!</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0.9777853850472753</v>
      </c>
      <c r="E70" s="138"/>
      <c r="F70" s="138">
        <f>F18/$B$18</f>
        <v>0.95150404076031125</v>
      </c>
      <c r="G70" s="138"/>
      <c r="H70" s="138">
        <f>H18/$B$18</f>
        <v>0.92097226260938359</v>
      </c>
      <c r="I70" s="138"/>
      <c r="J70" s="138">
        <f>J18/$B$18</f>
        <v>0.8862781993632125</v>
      </c>
      <c r="K70" s="138"/>
      <c r="L70" s="138">
        <f>L18/$B$18</f>
        <v>0.84783648269696421</v>
      </c>
      <c r="M70" s="138"/>
      <c r="N70" s="138">
        <f>N18/$B$18</f>
        <v>0.80639832948723533</v>
      </c>
      <c r="O70" s="138"/>
      <c r="P70" s="138">
        <f>P18/$B$18</f>
        <v>0.76300050262774843</v>
      </c>
      <c r="Q70" s="138"/>
      <c r="R70" s="138">
        <f>R18/$B$18</f>
        <v>0.71884787020932561</v>
      </c>
      <c r="S70" s="138"/>
      <c r="T70" s="138">
        <f>T18/$B$18</f>
        <v>0.67513432194343526</v>
      </c>
      <c r="U70" s="138"/>
      <c r="V70" s="138">
        <f>V18/$B$18</f>
        <v>0.63284286066750728</v>
      </c>
      <c r="W70" s="138"/>
      <c r="X70" s="138">
        <f>X18/$B$18</f>
        <v>0.59258768231592285</v>
      </c>
      <c r="Y70" s="138"/>
      <c r="Z70" s="138">
        <f>Z18/$B$18</f>
        <v>0.5545521982770818</v>
      </c>
      <c r="AA70" s="138"/>
      <c r="AB70" s="138">
        <f>AB18/$B$18</f>
        <v>0.51850927065144337</v>
      </c>
      <c r="AC70" s="138"/>
      <c r="AD70" s="138">
        <f>AD18/$B$18</f>
        <v>0.48384826647057755</v>
      </c>
      <c r="AE70" s="138"/>
      <c r="AF70" s="138">
        <f>AF18/$B$18</f>
        <v>0.44949054919223419</v>
      </c>
      <c r="AG70" s="138"/>
      <c r="AH70" s="138">
        <f>AH18/$B$18</f>
        <v>0.41343569814821873</v>
      </c>
      <c r="AI70" s="138"/>
      <c r="AJ70" s="138">
        <f>AJ18/$B$18</f>
        <v>0.37103283716234592</v>
      </c>
      <c r="AK70" s="138"/>
      <c r="AL70" s="138">
        <f>AL18/$B$18</f>
        <v>0.30974771104992016</v>
      </c>
      <c r="AM70" s="138"/>
      <c r="AN70" s="138">
        <f>AN18/$B$18</f>
        <v>0.20639438992473957</v>
      </c>
      <c r="AO70" s="138"/>
      <c r="AP70" s="138">
        <f>AP18/$B$18</f>
        <v>0.17763037716287222</v>
      </c>
      <c r="AQ70" s="138"/>
      <c r="AR70" s="138">
        <f>AR18/$B$18</f>
        <v>0</v>
      </c>
      <c r="AS70" s="138"/>
      <c r="AT70" s="138">
        <f>AT18/$B$18</f>
        <v>0</v>
      </c>
      <c r="AU70" s="138"/>
      <c r="AV70" s="138">
        <f>AV18/$B$18</f>
        <v>0</v>
      </c>
    </row>
    <row r="71" spans="1:48 16384:16384" x14ac:dyDescent="0.2">
      <c r="A71" t="s">
        <v>179</v>
      </c>
      <c r="B71" s="138">
        <f>C18/$C$18</f>
        <v>1</v>
      </c>
      <c r="D71" s="138">
        <f>E18/$C$18</f>
        <v>0.93883118280421218</v>
      </c>
      <c r="E71" s="138"/>
      <c r="F71" s="138">
        <f>G18/$C$18</f>
        <v>0.87806703584699208</v>
      </c>
      <c r="G71" s="138"/>
      <c r="H71" s="138">
        <f>I18/$C$18</f>
        <v>0.81771664392186294</v>
      </c>
      <c r="I71" s="138"/>
      <c r="J71" s="138">
        <f>K18/$C$18</f>
        <v>0.75772632558199104</v>
      </c>
      <c r="K71" s="138"/>
      <c r="L71" s="138">
        <f>M18/$C$18</f>
        <v>0.69797463695678941</v>
      </c>
      <c r="M71" s="138"/>
      <c r="N71" s="138">
        <f>O18/$C$18</f>
        <v>0.63828332868332216</v>
      </c>
      <c r="O71" s="138"/>
      <c r="P71" s="138">
        <f>Q18/$C$18</f>
        <v>0.578451469885919</v>
      </c>
      <c r="Q71" s="138"/>
      <c r="R71" s="138">
        <f>S18/$C$18</f>
        <v>0.5183073898471835</v>
      </c>
      <c r="S71" s="138"/>
      <c r="T71" s="138">
        <f>U18/$C$18</f>
        <v>0.45776857349102934</v>
      </c>
      <c r="U71" s="138"/>
      <c r="V71" s="138">
        <f>W18/$C$18</f>
        <v>0.39688562404457917</v>
      </c>
      <c r="W71" s="138"/>
      <c r="X71" s="138">
        <f>Y18/$C$18</f>
        <v>0.33585968309684883</v>
      </c>
      <c r="Y71" s="138"/>
      <c r="Z71" s="138">
        <f>AA18/$C$18</f>
        <v>0.27503993641278446</v>
      </c>
      <c r="AA71" s="138"/>
      <c r="AB71" s="138">
        <f>AC18/$C$18</f>
        <v>0.21494492938587589</v>
      </c>
      <c r="AC71" s="138"/>
      <c r="AD71" s="138">
        <f>AE18/$C$18</f>
        <v>0.15638315026677074</v>
      </c>
      <c r="AE71" s="138"/>
      <c r="AF71" s="138">
        <f>AG18/$C$18</f>
        <v>0.10081220383415626</v>
      </c>
      <c r="AG71" s="138"/>
      <c r="AH71" s="138">
        <f>AI18/$C$18</f>
        <v>5.1295622628831451E-2</v>
      </c>
      <c r="AI71" s="138"/>
      <c r="AJ71" s="138">
        <f>AK18/$C$18</f>
        <v>1.4735899828109546E-2</v>
      </c>
      <c r="AK71" s="138"/>
      <c r="AL71" s="138">
        <f>AM18/$C$18</f>
        <v>7.9534232290611514E-4</v>
      </c>
      <c r="AM71" s="138"/>
      <c r="AN71" s="138">
        <f>AO18/$C$18</f>
        <v>3.7637222568545892E-7</v>
      </c>
      <c r="AO71" s="138"/>
      <c r="AP71" s="138">
        <f>AQ18/$C$18</f>
        <v>2.020361358351245E-8</v>
      </c>
      <c r="AQ71" s="138"/>
      <c r="AR71" s="138">
        <f>AS18/$C$18</f>
        <v>0</v>
      </c>
      <c r="AS71" s="138"/>
      <c r="AT71" s="138">
        <f>AU18/$C$18</f>
        <v>0</v>
      </c>
      <c r="AU71" s="138"/>
      <c r="AV71" s="138">
        <f>AW18/$C$18</f>
        <v>0</v>
      </c>
      <c r="XFD71" s="138"/>
    </row>
    <row r="72" spans="1:48 16384:16384" x14ac:dyDescent="0.2">
      <c r="A72" t="s">
        <v>180</v>
      </c>
      <c r="B72" s="138">
        <f>C19/$C$19</f>
        <v>1</v>
      </c>
      <c r="D72" s="138">
        <f>E19/$C$19</f>
        <v>0.99142393476969681</v>
      </c>
      <c r="E72" s="138"/>
      <c r="F72" s="138">
        <f>G19/$C$19</f>
        <v>0.98309337430479216</v>
      </c>
      <c r="G72" s="138"/>
      <c r="H72" s="138">
        <f>I19/$C$19</f>
        <v>0.97512542702372418</v>
      </c>
      <c r="I72" s="138"/>
      <c r="J72" s="138">
        <f>K19/$C$19</f>
        <v>0.96794812131957031</v>
      </c>
      <c r="K72" s="138"/>
      <c r="L72" s="138">
        <f>M19/$C$19</f>
        <v>0.96240852296494506</v>
      </c>
      <c r="M72" s="138"/>
      <c r="N72" s="138">
        <f>O19/$C$19</f>
        <v>0.95985423850963147</v>
      </c>
      <c r="O72" s="138"/>
      <c r="P72" s="138">
        <f>Q19/$C$19</f>
        <v>0.96214626867825193</v>
      </c>
      <c r="Q72" s="138"/>
      <c r="R72" s="138">
        <f>S19/$C$19</f>
        <v>0.97162104179842756</v>
      </c>
      <c r="S72" s="138"/>
      <c r="T72" s="138">
        <f>U19/$C$19</f>
        <v>0.99103120449376336</v>
      </c>
      <c r="U72" s="138"/>
      <c r="V72" s="138">
        <f>W19/$C$19</f>
        <v>1.0235916566530336</v>
      </c>
      <c r="W72" s="138"/>
      <c r="X72" s="138">
        <f>Y19/$C$19</f>
        <v>1.0732832021306797</v>
      </c>
      <c r="Y72" s="138"/>
      <c r="Z72" s="138">
        <f>AA19/$C$19</f>
        <v>1.1456138408659653</v>
      </c>
      <c r="AA72" s="138"/>
      <c r="AB72" s="138">
        <f>AC19/$C$19</f>
        <v>1.2490589412990551</v>
      </c>
      <c r="AC72" s="138"/>
      <c r="AD72" s="138">
        <f>AE19/$C$19</f>
        <v>1.39755282852226</v>
      </c>
      <c r="AE72" s="138"/>
      <c r="AF72" s="138">
        <f>AG19/$C$19</f>
        <v>1.6144524772258588</v>
      </c>
      <c r="AG72" s="138"/>
      <c r="AH72" s="138">
        <f>AI19/$C$19</f>
        <v>1.9348430402795649</v>
      </c>
      <c r="AI72" s="138"/>
      <c r="AJ72" s="138">
        <f>AK19/$C$19</f>
        <v>2.3607110756893488</v>
      </c>
      <c r="AK72" s="138"/>
      <c r="AL72" s="138">
        <f>AM19/$C$19</f>
        <v>2.4637721347123054</v>
      </c>
      <c r="AM72" s="138"/>
      <c r="AN72" s="138">
        <f>AO19/$C$19</f>
        <v>1.4299573600600981</v>
      </c>
      <c r="AO72" s="138"/>
      <c r="AP72" s="138">
        <f>AQ19/$C$19</f>
        <v>1.1478347390005885</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0.4748200243834329</v>
      </c>
      <c r="E73" s="138"/>
      <c r="F73" s="193">
        <f t="array" ref="F73">SUM(F9:G9*F22:G22)/F32</f>
        <v>0.47336765305012413</v>
      </c>
      <c r="G73" s="138"/>
      <c r="H73" s="193">
        <f t="array" ref="H73">SUM(H9:I9*H22:I22)/H32</f>
        <v>0.47207266914469515</v>
      </c>
      <c r="I73" s="138"/>
      <c r="J73" s="193">
        <f t="array" ref="J73">SUM(J9:K9*J22:K22)/J32</f>
        <v>0.47093873094700028</v>
      </c>
      <c r="K73" s="138"/>
      <c r="L73" s="193">
        <f t="array" ref="L73">SUM(L9:M9*L22:M22)/L32</f>
        <v>0.46994687514043604</v>
      </c>
      <c r="M73" s="138"/>
      <c r="N73" s="193">
        <f t="array" ref="N73">SUM(N9:O9*N22:O22)/N32</f>
        <v>0.46904873258270047</v>
      </c>
      <c r="O73" s="138"/>
      <c r="P73" s="193">
        <f t="array" ref="P73">SUM(P9:Q9*P22:Q22)/P32</f>
        <v>0.46815953473967298</v>
      </c>
      <c r="Q73" s="138"/>
      <c r="R73" s="193">
        <f t="array" ref="R73">SUM(R9:S9*R22:S22)/R32</f>
        <v>0.4671565979814884</v>
      </c>
      <c r="S73" s="138"/>
      <c r="T73" s="193">
        <f t="array" ref="T73">SUM(T9:U9*T22:U22)/T32</f>
        <v>0.46588312620615913</v>
      </c>
      <c r="U73" s="138"/>
      <c r="V73" s="193">
        <f t="array" ref="V73">SUM(V9:W9*V22:W22)/V32</f>
        <v>0.46415930956942109</v>
      </c>
      <c r="W73" s="138"/>
      <c r="X73" s="193">
        <f t="array" ref="X73">SUM(X9:Y9*X22:Y22)/X32</f>
        <v>0.46179044725649065</v>
      </c>
      <c r="Y73" s="138"/>
      <c r="Z73" s="193">
        <f t="array" ref="Z73">SUM(Z9:AA9*Z22:AA22)/Z32</f>
        <v>0.45856340231065412</v>
      </c>
      <c r="AA73" s="138"/>
      <c r="AB73" s="193">
        <f t="array" ref="AB73">SUM(AB9:AC9*AB22:AC22)/AB32</f>
        <v>0.45421738537841816</v>
      </c>
      <c r="AC73" s="138"/>
      <c r="AD73" s="193">
        <f t="array" ref="AD73">SUM(AD9:AE9*AD22:AE22)/AD32</f>
        <v>0.44836782210676901</v>
      </c>
      <c r="AE73" s="138"/>
      <c r="AF73" s="193">
        <f t="array" ref="AF73">SUM(AF9:AG9*AF22:AG22)/AF32</f>
        <v>0.4403257945018102</v>
      </c>
      <c r="AG73" s="138"/>
      <c r="AH73" s="193">
        <f t="array" ref="AH73">SUM(AH9:AI9*AH22:AI22)/AH32</f>
        <v>0.42860807982522636</v>
      </c>
      <c r="AI73" s="138"/>
      <c r="AJ73" s="193">
        <f t="array" ref="AJ73">SUM(AJ9:AK9*AJ22:AK22)/AJ32</f>
        <v>0.40945754836220222</v>
      </c>
      <c r="AK73" s="138"/>
      <c r="AL73" s="193">
        <f t="array" ref="AL73">SUM(AL9:AM9*AL22:AM22)/AL32</f>
        <v>0.37430241086678168</v>
      </c>
      <c r="AM73" s="138"/>
      <c r="AN73" s="193">
        <f t="array" ref="AN73">SUM(AN9:AO9*AN22:AO22)/AN32</f>
        <v>0.3110834607216264</v>
      </c>
      <c r="AO73" s="138"/>
      <c r="AP73" s="193">
        <f t="array" ref="AP73">SUM(AP9:AQ9*AP22:AQ22)/AP32</f>
        <v>0.29179566911379751</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0.2260462045644249</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0.22528680918000255</v>
      </c>
      <c r="E75" s="138"/>
      <c r="F75" s="193">
        <f t="array" ref="F75">SUM(F11:G11*F24:G24)/F32</f>
        <v>0.23147603707130363</v>
      </c>
      <c r="G75" s="138"/>
      <c r="H75" s="193">
        <f t="array" ref="H75">SUM(H11:I11*H24:I24)/H32</f>
        <v>0.23919669163664645</v>
      </c>
      <c r="I75" s="138"/>
      <c r="J75" s="193">
        <f t="array" ref="J75">SUM(J11:K11*J24:K24)/J32</f>
        <v>0.24869039531489326</v>
      </c>
      <c r="K75" s="138"/>
      <c r="L75" s="193">
        <f t="array" ref="L75">SUM(L11:M11*L24:M24)/L32</f>
        <v>0.26017165072577048</v>
      </c>
      <c r="M75" s="138"/>
      <c r="N75" s="193">
        <f t="array" ref="N75">SUM(N11:O11*N24:O24)/N32</f>
        <v>0.27379496972016099</v>
      </c>
      <c r="O75" s="138"/>
      <c r="P75" s="193">
        <f t="array" ref="P75">SUM(P11:Q11*P24:Q24)/P32</f>
        <v>0.28961528321158658</v>
      </c>
      <c r="Q75" s="138"/>
      <c r="R75" s="193">
        <f t="array" ref="R75">SUM(R11:S11*R24:S24)/R32</f>
        <v>0.30755098921717366</v>
      </c>
      <c r="S75" s="138"/>
      <c r="T75" s="193">
        <f t="array" ref="T75">SUM(T11:U11*T24:U24)/T32</f>
        <v>0.32736976584545885</v>
      </c>
      <c r="U75" s="138"/>
      <c r="V75" s="193">
        <f t="array" ref="V75">SUM(V11:W11*V24:W24)/V32</f>
        <v>0.34871688764712272</v>
      </c>
      <c r="W75" s="138"/>
      <c r="X75" s="193">
        <f t="array" ref="X75">SUM(X11:Y11*X24:Y24)/X32</f>
        <v>0.37118569824214742</v>
      </c>
      <c r="Y75" s="138"/>
      <c r="Z75" s="193">
        <f t="array" ref="Z75">SUM(Z11:AA11*Z24:AA24)/Z32</f>
        <v>0.39439961972209914</v>
      </c>
      <c r="AA75" s="138"/>
      <c r="AB75" s="193">
        <f t="array" ref="AB75">SUM(AB11:AC11*AB24:AC24)/AB32</f>
        <v>0.41806789905544167</v>
      </c>
      <c r="AC75" s="138"/>
      <c r="AD75" s="193">
        <f t="array" ref="AD75">SUM(AD11:AE11*AD24:AE24)/AD32</f>
        <v>0.44199363148662629</v>
      </c>
      <c r="AE75" s="138"/>
      <c r="AF75" s="193">
        <f t="array" ref="AF75">SUM(AF11:AG11*AF24:AG24)/AF32</f>
        <v>0.4660200162733959</v>
      </c>
      <c r="AG75" s="138"/>
      <c r="AH75" s="193">
        <f t="array" ref="AH75">SUM(AH11:AI11*AH24:AI24)/AH32</f>
        <v>0.48986403741517609</v>
      </c>
      <c r="AI75" s="138"/>
      <c r="AJ75" s="193">
        <f t="array" ref="AJ75">SUM(AJ11:AK11*AJ24:AK24)/AJ32</f>
        <v>0.51279820324611736</v>
      </c>
      <c r="AK75" s="138"/>
      <c r="AL75" s="193">
        <f t="array" ref="AL75">SUM(AL11:AM11*AL24:AM24)/AL32</f>
        <v>0.53642221255642353</v>
      </c>
      <c r="AM75" s="138"/>
      <c r="AN75" s="193">
        <f t="array" ref="AN75">SUM(AN11:AO11*AN24:AO24)/AN32</f>
        <v>0.58338985984748726</v>
      </c>
      <c r="AO75" s="138"/>
      <c r="AP75" s="193">
        <f t="array" ref="AP75">SUM(AP11:AQ11*AP24:AQ24)/AP32</f>
        <v>0.59971171201876006</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0.2199431767278904</v>
      </c>
      <c r="E76" s="138"/>
      <c r="F76" s="193">
        <f t="array" ref="F76">SUM(F12:G12*F25:G25)/F32</f>
        <v>0.21560681800296005</v>
      </c>
      <c r="G76" s="138"/>
      <c r="H76" s="193">
        <f t="array" ref="H76">SUM(H12:I12*H25:I25)/H32</f>
        <v>0.20976802715717158</v>
      </c>
      <c r="I76" s="138"/>
      <c r="J76" s="193">
        <f t="array" ref="J76">SUM(J12:K12*J25:K25)/J32</f>
        <v>0.20220003182552229</v>
      </c>
      <c r="K76" s="138"/>
      <c r="L76" s="193">
        <f t="array" ref="L76">SUM(L12:M12*L25:M25)/L32</f>
        <v>0.19272030702477425</v>
      </c>
      <c r="M76" s="138"/>
      <c r="N76" s="193">
        <f t="array" ref="N76">SUM(N12:O12*N25:O25)/N32</f>
        <v>0.18122665624569925</v>
      </c>
      <c r="O76" s="138"/>
      <c r="P76" s="193">
        <f t="array" ref="P76">SUM(P12:Q12*P25:Q25)/P32</f>
        <v>0.16773896271572911</v>
      </c>
      <c r="Q76" s="138"/>
      <c r="R76" s="193">
        <f t="array" ref="R76">SUM(R12:S12*R25:S25)/R32</f>
        <v>0.15243327430103151</v>
      </c>
      <c r="S76" s="138"/>
      <c r="T76" s="193">
        <f t="array" ref="T76">SUM(T12:U12*T25:U25)/T32</f>
        <v>0.13565002363024914</v>
      </c>
      <c r="U76" s="138"/>
      <c r="V76" s="193">
        <f t="array" ref="V76">SUM(V12:W12*V25:W25)/V32</f>
        <v>0.11785709714155841</v>
      </c>
      <c r="W76" s="138"/>
      <c r="X76" s="193">
        <f t="array" ref="X76">SUM(X12:Y12*X25:Y25)/X32</f>
        <v>9.9576127773484333E-2</v>
      </c>
      <c r="Y76" s="138"/>
      <c r="Z76" s="193">
        <f t="array" ref="Z76">SUM(Z12:AA12*Z25:AA25)/Z32</f>
        <v>8.1305041535971956E-2</v>
      </c>
      <c r="AA76" s="138"/>
      <c r="AB76" s="193">
        <f t="array" ref="AB76">SUM(AB12:AC12*AB25:AC25)/AB32</f>
        <v>6.3476394421391927E-2</v>
      </c>
      <c r="AC76" s="138"/>
      <c r="AD76" s="193">
        <f t="array" ref="AD76">SUM(AD12:AE12*AD25:AE25)/AD32</f>
        <v>4.6470841078755959E-2</v>
      </c>
      <c r="AE76" s="138"/>
      <c r="AF76" s="193">
        <f t="array" ref="AF76">SUM(AF12:AG12*AF25:AG25)/AF32</f>
        <v>3.0693281171674611E-2</v>
      </c>
      <c r="AG76" s="138"/>
      <c r="AH76" s="193">
        <f t="array" ref="AH76">SUM(AH12:AI12*AH25:AI25)/AH32</f>
        <v>1.6754376044771917E-2</v>
      </c>
      <c r="AI76" s="138"/>
      <c r="AJ76" s="193">
        <f t="array" ref="AJ76">SUM(AJ12:AK12*AJ25:AK25)/AJ32</f>
        <v>5.9304048970006554E-3</v>
      </c>
      <c r="AK76" s="138"/>
      <c r="AL76" s="193">
        <f t="array" ref="AL76">SUM(AL12:AM12*AL25:AM25)/AL32</f>
        <v>6.2941470742521716E-4</v>
      </c>
      <c r="AM76" s="138"/>
      <c r="AN76" s="193">
        <f t="array" ref="AN76">SUM(AN12:AO12*AN25:AO25)/AN32</f>
        <v>1.7086926484506174E-6</v>
      </c>
      <c r="AO76" s="138"/>
      <c r="AP76" s="193">
        <f t="array" ref="AP76">SUM(AP12:AQ12*AP25:AQ25)/AP32</f>
        <v>1.5883900961672328E-7</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0.14609621485575069</v>
      </c>
      <c r="E77" s="138"/>
      <c r="F77" s="193">
        <f t="array" ref="F77">SUM(F4:G4*F19:G19)/F32</f>
        <v>0.14649671268881234</v>
      </c>
      <c r="G77" s="138"/>
      <c r="H77" s="193">
        <f t="array" ref="H77">SUM(H4:I4*H19:I19)/H32</f>
        <v>0.14708359250293798</v>
      </c>
      <c r="I77" s="138"/>
      <c r="J77" s="193">
        <f t="array" ref="J77">SUM(J4:K4*J19:K19)/J32</f>
        <v>0.14787536265184062</v>
      </c>
      <c r="K77" s="138"/>
      <c r="L77" s="193">
        <f t="array" ref="L77">SUM(L4:M4*L19:M19)/L32</f>
        <v>0.14888503745540563</v>
      </c>
      <c r="M77" s="138"/>
      <c r="N77" s="193">
        <f t="array" ref="N77">SUM(N4:O4*N19:O19)/N32</f>
        <v>0.15011656311298549</v>
      </c>
      <c r="O77" s="138"/>
      <c r="P77" s="193">
        <f t="array" ref="P77">SUM(P4:Q4*P19:Q19)/P32</f>
        <v>0.15155998523141345</v>
      </c>
      <c r="Q77" s="138"/>
      <c r="R77" s="193">
        <f t="array" ref="R77">SUM(R4:S4*R19:S19)/R32</f>
        <v>0.15318706606411825</v>
      </c>
      <c r="S77" s="138"/>
      <c r="T77" s="193">
        <f t="array" ref="T77">SUM(T4:U4*T19:U19)/T32</f>
        <v>0.15494912024629182</v>
      </c>
      <c r="U77" s="138"/>
      <c r="V77" s="193">
        <f t="array" ref="V77">SUM(V4:W4*V19:W19)/V32</f>
        <v>0.1567794989225266</v>
      </c>
      <c r="W77" s="138"/>
      <c r="X77" s="193">
        <f t="array" ref="X77">SUM(X4:Y4*X19:Y19)/X32</f>
        <v>0.1585984778365471</v>
      </c>
      <c r="Y77" s="138"/>
      <c r="Z77" s="193">
        <f t="array" ref="Z77">SUM(Z4:AA4*Z19:AA19)/Z32</f>
        <v>0.16031426813314995</v>
      </c>
      <c r="AA77" s="138"/>
      <c r="AB77" s="193">
        <f t="array" ref="AB77">SUM(AB4:AC4*AB19:AC19)/AB32</f>
        <v>0.16180788341967672</v>
      </c>
      <c r="AC77" s="138"/>
      <c r="AD77" s="193">
        <f t="array" ref="AD77">SUM(AD4:AE4*AD19:AE19)/AD32</f>
        <v>0.1628784992365758</v>
      </c>
      <c r="AE77" s="138"/>
      <c r="AF77" s="193">
        <f t="array" ref="AF77">SUM(AF4:AG4*AF19:AG19)/AF32</f>
        <v>0.16308529651130538</v>
      </c>
      <c r="AG77" s="138"/>
      <c r="AH77" s="193">
        <f t="array" ref="AH77">SUM(AH4:AI4*AH19:AI19)/AH32</f>
        <v>0.16127269784959908</v>
      </c>
      <c r="AI77" s="138"/>
      <c r="AJ77" s="193">
        <f t="array" ref="AJ77">SUM(AJ4:AK4*AJ19:AK19)/AJ32</f>
        <v>0.15423236106974492</v>
      </c>
      <c r="AK77" s="138"/>
      <c r="AL77" s="193">
        <f t="array" ref="AL77">SUM(AL4:AM4*AL19:AM19)/AL32</f>
        <v>0.13740024269505538</v>
      </c>
      <c r="AM77" s="138"/>
      <c r="AN77" s="193">
        <f t="array" ref="AN77">SUM(AN4:AO4*AN19:AO19)/AN32</f>
        <v>0.12052123382618704</v>
      </c>
      <c r="AO77" s="138"/>
      <c r="AP77" s="193">
        <f t="array" ref="AP77">SUM(AP4:AQ4*AP19:AQ19)/AP32</f>
        <v>0.11755374453599217</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0.34502848780073375</v>
      </c>
      <c r="E78" s="138"/>
      <c r="F78" s="193">
        <f t="array" ref="F78">SUM(F13:G13*F26:G26)/F32</f>
        <v>0.34322054065631685</v>
      </c>
      <c r="G78" s="138"/>
      <c r="H78" s="193">
        <f t="array" ref="H78">SUM(H13:I13*H26:I26)/H32</f>
        <v>0.34149027551120331</v>
      </c>
      <c r="I78" s="138"/>
      <c r="J78" s="193">
        <f t="array" ref="J78">SUM(J13:K13*J26:K26)/J32</f>
        <v>0.33985904103120956</v>
      </c>
      <c r="K78" s="138"/>
      <c r="L78" s="193">
        <f t="array" ref="L78">SUM(L13:M13*L26:M26)/L32</f>
        <v>0.33833837818636309</v>
      </c>
      <c r="M78" s="138"/>
      <c r="N78" s="193">
        <f t="array" ref="N78">SUM(N13:O13*N26:O26)/N32</f>
        <v>0.33692580677489842</v>
      </c>
      <c r="O78" s="138"/>
      <c r="P78" s="193">
        <f t="array" ref="P78">SUM(P13:Q13*P26:Q26)/P32</f>
        <v>0.3356014905059248</v>
      </c>
      <c r="Q78" s="138"/>
      <c r="R78" s="193">
        <f t="array" ref="R78">SUM(R13:S13*R26:S26)/R32</f>
        <v>0.33432701156253952</v>
      </c>
      <c r="S78" s="138"/>
      <c r="T78" s="193">
        <f t="array" ref="T78">SUM(T13:U13*T26:U26)/T32</f>
        <v>0.33304634771769126</v>
      </c>
      <c r="U78" s="138"/>
      <c r="V78" s="193">
        <f t="array" ref="V78">SUM(V13:W13*V26:W26)/V32</f>
        <v>0.33168989534655258</v>
      </c>
      <c r="W78" s="138"/>
      <c r="X78" s="193">
        <f t="array" ref="X78">SUM(X13:Y13*X26:Y26)/X32</f>
        <v>0.33017816074403089</v>
      </c>
      <c r="Y78" s="138"/>
      <c r="Z78" s="193">
        <f t="array" ref="Z78">SUM(Z13:AA13*Z26:AA26)/Z32</f>
        <v>0.32842201813417737</v>
      </c>
      <c r="AA78" s="138"/>
      <c r="AB78" s="193">
        <f t="array" ref="AB78">SUM(AB13:AC13*AB26:AC26)/AB32</f>
        <v>0.32631370075358068</v>
      </c>
      <c r="AC78" s="138"/>
      <c r="AD78" s="193">
        <f t="array" ref="AD78">SUM(AD13:AE13*AD26:AE26)/AD32</f>
        <v>0.32369925448219089</v>
      </c>
      <c r="AE78" s="138"/>
      <c r="AF78" s="193">
        <f t="array" ref="AF78">SUM(AF13:AG13*AF26:AG26)/AF32</f>
        <v>0.32030902243613985</v>
      </c>
      <c r="AG78" s="138"/>
      <c r="AH78" s="193">
        <f t="array" ref="AH78">SUM(AH13:AI13*AH26:AI26)/AH32</f>
        <v>0.31556459747012461</v>
      </c>
      <c r="AI78" s="138"/>
      <c r="AJ78" s="193">
        <f t="array" ref="AJ78">SUM(AJ13:AK13*AJ26:AK26)/AJ32</f>
        <v>0.30802501096838236</v>
      </c>
      <c r="AK78" s="138"/>
      <c r="AL78" s="193">
        <f t="array" ref="AL78">SUM(AL13:AM13*AL26:AM26)/AL32</f>
        <v>0.29500180185247477</v>
      </c>
      <c r="AM78" s="138"/>
      <c r="AN78" s="193">
        <f t="array" ref="AN78">SUM(AN13:AO13*AN26:AO26)/AN32</f>
        <v>0.27482150363811453</v>
      </c>
      <c r="AO78" s="138"/>
      <c r="AP78" s="193">
        <f t="array" ref="AP78">SUM(AP13:AQ13*AP26:AQ26)/AP32</f>
        <v>0.26859523682019742</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0.45380102631094482</v>
      </c>
      <c r="F79" s="193">
        <f t="array" ref="F79">SUM(F15:G15*F27:G27)/F32</f>
        <v>0.45317602199485918</v>
      </c>
      <c r="H79" s="193">
        <f t="array" ref="H79">SUM(H15:I15*H27:I27)/H32</f>
        <v>0.45273860666483023</v>
      </c>
      <c r="J79" s="193">
        <f t="array" ref="J79">SUM(J15:K15*J27:K27)/J32</f>
        <v>0.45247321439930266</v>
      </c>
      <c r="L79" s="193">
        <f t="array" ref="L79">SUM(L15:M15*L27:M27)/L32</f>
        <v>0.45233644133009265</v>
      </c>
      <c r="N79" s="193">
        <f t="array" ref="N79">SUM(N15:O15*N27:O27)/N32</f>
        <v>0.45224857878364577</v>
      </c>
      <c r="P79" s="193">
        <f t="array" ref="P79">SUM(P15:Q15*P27:Q27)/P32</f>
        <v>0.45208633141151022</v>
      </c>
      <c r="R79" s="193">
        <f t="array" ref="R79">SUM(R15:S15*R27:S27)/R32</f>
        <v>0.45168093057763148</v>
      </c>
      <c r="T79" s="193">
        <f t="array" ref="T79">SUM(T15:U15*T27:U27)/T32</f>
        <v>0.45082415049834124</v>
      </c>
      <c r="V79" s="193">
        <f t="array" ref="V79">SUM(V15:W15*V27:W27)/V32</f>
        <v>0.44928198618985693</v>
      </c>
      <c r="X79" s="193">
        <f t="array" ref="X79">SUM(X15:Y15*X27:Y27)/X32</f>
        <v>0.44680545564507218</v>
      </c>
      <c r="Z79" s="193">
        <f t="array" ref="Z79">SUM(Z15:AA15*Z27:AA27)/Z32</f>
        <v>0.44312427070332311</v>
      </c>
      <c r="AB79" s="193">
        <f t="array" ref="AB79">SUM(AB15:AC15*AB27:AC27)/AB32</f>
        <v>0.43790631620648701</v>
      </c>
      <c r="AD79" s="193">
        <f t="array" ref="AD79">SUM(AD15:AE15*AD27:AE27)/AD32</f>
        <v>0.43065683620914924</v>
      </c>
      <c r="AF79" s="193">
        <f t="array" ref="AF79">SUM(AF15:AG15*AF27:AG27)/AF32</f>
        <v>0.4204831442350187</v>
      </c>
      <c r="AH79" s="193">
        <f t="array" ref="AH79">SUM(AH15:AI15*AH27:AI27)/AH32</f>
        <v>0.40546139578899215</v>
      </c>
      <c r="AJ79" s="193">
        <f t="array" ref="AJ79">SUM(AJ15:AK15*AJ27:AK27)/AJ32</f>
        <v>0.38069368462344361</v>
      </c>
      <c r="AL79" s="193">
        <f t="array" ref="AL79">SUM(AL15:AM15*AL27:AM27)/AL32</f>
        <v>0.33439813749370428</v>
      </c>
      <c r="AN79" s="193">
        <f t="array" ref="AN79">SUM(AN15:AO15*AN27:AO27)/AN32</f>
        <v>0.24786132072563472</v>
      </c>
      <c r="AP79" s="193">
        <f t="array" ref="AP79">SUM(AP15:AQ15*AP27:AQ27)/AP32</f>
        <v>0.22152968402450879</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0.2011705514825903</v>
      </c>
      <c r="F80" s="236">
        <f>F55</f>
        <v>0.20360344054791363</v>
      </c>
      <c r="H80" s="236">
        <f>H55</f>
        <v>0.2057711389261338</v>
      </c>
      <c r="J80" s="236">
        <f>J55</f>
        <v>0.20766784997866944</v>
      </c>
      <c r="L80" s="236">
        <f>L55</f>
        <v>0.20932520584767011</v>
      </c>
      <c r="N80" s="236">
        <f>N55</f>
        <v>0.21082563707502902</v>
      </c>
      <c r="P80" s="236">
        <f>P55</f>
        <v>0.21231221748196114</v>
      </c>
      <c r="R80" s="236">
        <f>R55</f>
        <v>0.21399223296310635</v>
      </c>
      <c r="T80" s="236">
        <f>T55</f>
        <v>0.2161295586432172</v>
      </c>
      <c r="V80" s="236">
        <f>V55</f>
        <v>0.21902814347169555</v>
      </c>
      <c r="X80" s="236">
        <f>X55</f>
        <v>0.22301646231508807</v>
      </c>
      <c r="Z80" s="236">
        <f>Z55</f>
        <v>0.22845373413996892</v>
      </c>
      <c r="AB80" s="236">
        <f>AB55</f>
        <v>0.23578000623053066</v>
      </c>
      <c r="AD80" s="236">
        <f>AD55</f>
        <v>0.24564391998616786</v>
      </c>
      <c r="AF80" s="236">
        <f>AF55</f>
        <v>0.2592078425042238</v>
      </c>
      <c r="AH80" s="236">
        <f>AH55</f>
        <v>0.27897401397923582</v>
      </c>
      <c r="AJ80" s="236">
        <f>AJ55</f>
        <v>0.3112813092043436</v>
      </c>
      <c r="AL80" s="236">
        <f>AL55</f>
        <v>0.37060006369148918</v>
      </c>
      <c r="AN80" s="236">
        <f>AN55</f>
        <v>0.47731717883891678</v>
      </c>
      <c r="AP80" s="236">
        <f>AP55</f>
        <v>0.50987507935156251</v>
      </c>
      <c r="AR80" s="236" t="e">
        <f>AR55</f>
        <v>#DIV/0!</v>
      </c>
      <c r="AT80" s="236" t="e">
        <f>AT55</f>
        <v>#DIV/0!</v>
      </c>
      <c r="AV80" s="236" t="e">
        <f>AV55</f>
        <v>#DIV/0!</v>
      </c>
      <c r="XFD80" s="236"/>
    </row>
    <row r="81" spans="1:48 16384:16384" x14ac:dyDescent="0.2">
      <c r="A81" t="s">
        <v>191</v>
      </c>
      <c r="B81" s="236">
        <f>B51/B$32</f>
        <v>-2.7543485504603994E-2</v>
      </c>
      <c r="D81" s="236">
        <f>D51/D$32</f>
        <v>-2.4875653081834526E-2</v>
      </c>
      <c r="F81" s="236">
        <f>F51/F$32</f>
        <v>-2.2442764016511206E-2</v>
      </c>
      <c r="H81" s="236">
        <f>H51/H$32</f>
        <v>-2.0275065638291061E-2</v>
      </c>
      <c r="J81" s="236">
        <f>J51/J$32</f>
        <v>-1.8378354585755406E-2</v>
      </c>
      <c r="L81" s="236">
        <f>L51/L$32</f>
        <v>-1.6720998716754719E-2</v>
      </c>
      <c r="N81" s="236">
        <f>N51/N$32</f>
        <v>-1.5220567489395835E-2</v>
      </c>
      <c r="P81" s="236">
        <f>P51/P$32</f>
        <v>-1.3733987082463711E-2</v>
      </c>
      <c r="R81" s="236">
        <f>R51/R$32</f>
        <v>-1.205397160131848E-2</v>
      </c>
      <c r="T81" s="236">
        <f>T51/T$32</f>
        <v>-9.9166459212076136E-3</v>
      </c>
      <c r="V81" s="236">
        <f>V51/V$32</f>
        <v>-7.0180610927292756E-3</v>
      </c>
      <c r="X81" s="236">
        <f>X51/X$32</f>
        <v>-3.0297422493367732E-3</v>
      </c>
      <c r="Z81" s="236">
        <f>Z51/Z$32</f>
        <v>2.4075295755440745E-3</v>
      </c>
      <c r="AB81" s="236">
        <f>AB51/AB$32</f>
        <v>9.7338016661058218E-3</v>
      </c>
      <c r="AD81" s="236">
        <f>AD51/AD$32</f>
        <v>1.9597715421743007E-2</v>
      </c>
      <c r="AF81" s="236">
        <f>AF51/AF$32</f>
        <v>3.3161637939798982E-2</v>
      </c>
      <c r="AH81" s="236">
        <f>AH51/AH$32</f>
        <v>5.2927809414810983E-2</v>
      </c>
      <c r="AJ81" s="236">
        <f>AJ51/AJ$32</f>
        <v>8.5235104639918777E-2</v>
      </c>
      <c r="AL81" s="236">
        <f>AL51/AL$32</f>
        <v>0.14455385912706431</v>
      </c>
      <c r="AN81" s="236">
        <f>AN51/AN$32</f>
        <v>0.25127097427449191</v>
      </c>
      <c r="AP81" s="236">
        <f>AP51/AP$32</f>
        <v>0.28382887478713764</v>
      </c>
      <c r="AR81" s="236" t="e">
        <f>AR51/AR$32</f>
        <v>#DIV/0!</v>
      </c>
      <c r="AT81" s="236" t="e">
        <f>AT51/AT$32</f>
        <v>#DIV/0!</v>
      </c>
      <c r="AV81" s="236" t="e">
        <f>AV51/AV$32</f>
        <v>#DIV/0!</v>
      </c>
      <c r="XFD81" s="236"/>
    </row>
    <row r="82" spans="1:48 16384:16384" x14ac:dyDescent="0.2">
      <c r="A82" t="s">
        <v>192</v>
      </c>
      <c r="B82" s="236">
        <f>B52/B$32</f>
        <v>0.13907860278212886</v>
      </c>
      <c r="D82" s="236">
        <f>D52/D$32</f>
        <v>0.13833322654275959</v>
      </c>
      <c r="F82" s="236">
        <f>F52/F$32</f>
        <v>0.13760836129032744</v>
      </c>
      <c r="H82" s="236">
        <f>H52/H$32</f>
        <v>0.136914641296875</v>
      </c>
      <c r="J82" s="236">
        <f>J52/J$32</f>
        <v>0.13626062594207433</v>
      </c>
      <c r="L82" s="236">
        <f>L52/L$32</f>
        <v>0.13565094237898029</v>
      </c>
      <c r="N82" s="236">
        <f>N52/N$32</f>
        <v>0.1350845962134346</v>
      </c>
      <c r="P82" s="236">
        <f>P52/P$32</f>
        <v>0.13455363442642995</v>
      </c>
      <c r="R82" s="236">
        <f>R52/R$32</f>
        <v>0.13404265405630728</v>
      </c>
      <c r="T82" s="236">
        <f>T52/T$32</f>
        <v>0.13352919395652318</v>
      </c>
      <c r="V82" s="236">
        <f>V52/V$32</f>
        <v>0.132985347753135</v>
      </c>
      <c r="X82" s="236">
        <f>X52/X$32</f>
        <v>0.13237924381494676</v>
      </c>
      <c r="Z82" s="236">
        <f>Z52/Z$32</f>
        <v>0.13167514869793556</v>
      </c>
      <c r="AB82" s="236">
        <f>AB52/AB$32</f>
        <v>0.13082985517538281</v>
      </c>
      <c r="AD82" s="236">
        <f>AD52/AD$32</f>
        <v>0.12978163799584108</v>
      </c>
      <c r="AF82" s="236">
        <f>AF52/AF$32</f>
        <v>0.1284223828785368</v>
      </c>
      <c r="AH82" s="236">
        <f>AH52/AH$32</f>
        <v>0.12652018744585722</v>
      </c>
      <c r="AJ82" s="236">
        <f>AJ52/AJ$32</f>
        <v>0.12349732016254292</v>
      </c>
      <c r="AL82" s="236">
        <f>AL52/AL$32</f>
        <v>0.11827588888761284</v>
      </c>
      <c r="AN82" s="236">
        <f>AN52/AN$32</f>
        <v>0.1101849460719002</v>
      </c>
      <c r="AP82" s="236">
        <f>AP52/AP$32</f>
        <v>0.10768863168427195</v>
      </c>
      <c r="AR82" s="236" t="e">
        <f>AR52/AR$32</f>
        <v>#DIV/0!</v>
      </c>
      <c r="AT82" s="236" t="e">
        <f>AT52/AT$32</f>
        <v>#DIV/0!</v>
      </c>
      <c r="AV82" s="236" t="e">
        <f>AV52/AV$32</f>
        <v>#DIV/0!</v>
      </c>
    </row>
    <row r="83" spans="1:48 16384:16384" x14ac:dyDescent="0.2">
      <c r="A83" t="s">
        <v>193</v>
      </c>
      <c r="B83" s="236">
        <f>B53/B$32</f>
        <v>0.18600714462929935</v>
      </c>
      <c r="D83" s="236">
        <f>D53/D$32</f>
        <v>0.18567627438363779</v>
      </c>
      <c r="F83" s="236">
        <f>F53/F$32</f>
        <v>0.18542054893094795</v>
      </c>
      <c r="H83" s="236">
        <f>H53/H$32</f>
        <v>0.1852415769936249</v>
      </c>
      <c r="J83" s="236">
        <f>J53/J$32</f>
        <v>0.18513298965191263</v>
      </c>
      <c r="L83" s="236">
        <f>L53/L$32</f>
        <v>0.1850770278703068</v>
      </c>
      <c r="N83" s="236">
        <f>N53/N$32</f>
        <v>0.18504107821542226</v>
      </c>
      <c r="P83" s="236">
        <f>P53/P$32</f>
        <v>0.18497469342155884</v>
      </c>
      <c r="R83" s="236">
        <f>R53/R$32</f>
        <v>0.18480882046821068</v>
      </c>
      <c r="T83" s="236">
        <f>T53/T$32</f>
        <v>0.18445826213126296</v>
      </c>
      <c r="V83" s="236">
        <f>V53/V$32</f>
        <v>0.18382727342325025</v>
      </c>
      <c r="X83" s="236">
        <f>X53/X$32</f>
        <v>0.18281398138931412</v>
      </c>
      <c r="Z83" s="236">
        <f>Z53/Z$32</f>
        <v>0.18130779549357581</v>
      </c>
      <c r="AB83" s="236">
        <f>AB53/AB$32</f>
        <v>0.1791728281957892</v>
      </c>
      <c r="AD83" s="236">
        <f>AD53/AD$32</f>
        <v>0.17620664619292598</v>
      </c>
      <c r="AF83" s="236">
        <f>AF53/AF$32</f>
        <v>0.17204399976208931</v>
      </c>
      <c r="AH83" s="236">
        <f>AH53/AH$32</f>
        <v>0.1658977327321085</v>
      </c>
      <c r="AJ83" s="236">
        <f>AJ53/AJ$32</f>
        <v>0.15576382807434777</v>
      </c>
      <c r="AL83" s="236">
        <f>AL53/AL$32</f>
        <v>0.13682163928848079</v>
      </c>
      <c r="AN83" s="236">
        <f>AN53/AN$32</f>
        <v>0.10141441717368331</v>
      </c>
      <c r="AP83" s="236">
        <f>AP53/AP$32</f>
        <v>9.0640620029957888E-2</v>
      </c>
      <c r="AR83" s="236" t="e">
        <f>AR53/AR$32</f>
        <v>#DIV/0!</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72" activePane="bottomRight" state="frozen"/>
      <selection pane="topRight" activeCell="B1" sqref="B1"/>
      <selection pane="bottomLeft" activeCell="A2" sqref="A2"/>
      <selection pane="bottomRight" activeCell="A42" sqref="A42:XFD83"/>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7.7456999506801946E-2</v>
      </c>
      <c r="E2" s="227"/>
      <c r="F2" s="226">
        <v>0.15701486355382602</v>
      </c>
      <c r="G2" s="227"/>
      <c r="H2" s="226">
        <v>0.24565160259167956</v>
      </c>
      <c r="I2" s="227"/>
      <c r="J2" s="226">
        <v>0.34483352092445985</v>
      </c>
      <c r="K2" s="227"/>
      <c r="L2" s="226">
        <v>0.45637135858521649</v>
      </c>
      <c r="M2" s="227"/>
      <c r="N2" s="226">
        <v>0.58254476447318948</v>
      </c>
      <c r="O2" s="227"/>
      <c r="P2" s="226">
        <v>0.7262949077138241</v>
      </c>
      <c r="Q2" s="227"/>
      <c r="R2" s="226">
        <v>0.89153212132553439</v>
      </c>
      <c r="S2" s="227"/>
      <c r="T2" s="226">
        <v>1.083651388374655</v>
      </c>
      <c r="U2" s="227"/>
      <c r="V2" s="226">
        <v>1.3104238433767894</v>
      </c>
      <c r="W2" s="227"/>
      <c r="X2" s="226">
        <v>1.5836180929744104</v>
      </c>
      <c r="Y2" s="227"/>
      <c r="Z2" s="226">
        <v>1.9220754484441471</v>
      </c>
      <c r="AA2" s="227"/>
      <c r="AB2" s="226">
        <v>2.3578329180669262</v>
      </c>
      <c r="AC2" s="227"/>
      <c r="AD2" s="226">
        <v>2.9488710844057611</v>
      </c>
      <c r="AE2" s="227"/>
      <c r="AF2" s="226">
        <v>3.8061317405656325</v>
      </c>
      <c r="AG2" s="227"/>
      <c r="AH2" s="226">
        <v>5.1452305527836799</v>
      </c>
      <c r="AI2" s="227"/>
      <c r="AJ2" s="226">
        <v>7.3229752147538365</v>
      </c>
      <c r="AK2" s="227"/>
      <c r="AL2" s="226">
        <v>10.448881323215055</v>
      </c>
      <c r="AM2" s="227"/>
      <c r="AN2" s="226">
        <v>13.021152217325033</v>
      </c>
      <c r="AO2" s="227"/>
      <c r="AP2" s="226">
        <v>13.269513589708462</v>
      </c>
      <c r="AQ2" s="227"/>
      <c r="AR2" s="226">
        <v>13.426427188719124</v>
      </c>
      <c r="AS2" s="227"/>
      <c r="AT2" s="226">
        <v>13.508925664065851</v>
      </c>
      <c r="AU2" s="227"/>
      <c r="AV2" s="226">
        <v>13.539648588010913</v>
      </c>
      <c r="AW2" s="227"/>
    </row>
    <row r="3" spans="1:49" x14ac:dyDescent="0.2">
      <c r="A3" t="s">
        <v>12</v>
      </c>
      <c r="B3" s="84">
        <v>1000</v>
      </c>
      <c r="C3" s="85">
        <v>1000</v>
      </c>
      <c r="D3" s="84">
        <v>998.23647367540866</v>
      </c>
      <c r="E3" s="85">
        <v>1032.9070088624719</v>
      </c>
      <c r="F3" s="84">
        <v>996.3514746417427</v>
      </c>
      <c r="G3" s="85">
        <v>1071.2802945614847</v>
      </c>
      <c r="H3" s="84">
        <v>994.32432200026494</v>
      </c>
      <c r="I3" s="85">
        <v>1116.38334395642</v>
      </c>
      <c r="J3" s="84">
        <v>992.12889842772904</v>
      </c>
      <c r="K3" s="85">
        <v>1169.8680820248278</v>
      </c>
      <c r="L3" s="84">
        <v>989.7319683476893</v>
      </c>
      <c r="M3" s="85">
        <v>1233.9290441873125</v>
      </c>
      <c r="N3" s="84">
        <v>987.09095824579333</v>
      </c>
      <c r="O3" s="85">
        <v>1311.5307440401398</v>
      </c>
      <c r="P3" s="84">
        <v>984.15106332214839</v>
      </c>
      <c r="Q3" s="85">
        <v>1406.7585395750762</v>
      </c>
      <c r="R3" s="84">
        <v>980.8416264584406</v>
      </c>
      <c r="S3" s="85">
        <v>1525.3695512426173</v>
      </c>
      <c r="T3" s="84">
        <v>977.07167153947159</v>
      </c>
      <c r="U3" s="85">
        <v>1675.6961974937506</v>
      </c>
      <c r="V3" s="84">
        <v>972.72533644590681</v>
      </c>
      <c r="W3" s="85">
        <v>1870.1710267667188</v>
      </c>
      <c r="X3" s="84">
        <v>967.6586156061727</v>
      </c>
      <c r="Y3" s="85">
        <v>2128.0420960001434</v>
      </c>
      <c r="Z3" s="84">
        <v>961.70243817515461</v>
      </c>
      <c r="AA3" s="85">
        <v>2480.4333976508947</v>
      </c>
      <c r="AB3" s="84">
        <v>954.68510826958527</v>
      </c>
      <c r="AC3" s="85">
        <v>2980.3041877794508</v>
      </c>
      <c r="AD3" s="84">
        <v>946.50815609145468</v>
      </c>
      <c r="AE3" s="85">
        <v>3723.0490163829963</v>
      </c>
      <c r="AF3" s="84">
        <v>937.35770301721379</v>
      </c>
      <c r="AG3" s="85">
        <v>4890.0233780989574</v>
      </c>
      <c r="AH3" s="84">
        <v>928.19679944619622</v>
      </c>
      <c r="AI3" s="85">
        <v>6831.8271631605112</v>
      </c>
      <c r="AJ3" s="84">
        <v>921.44620878144292</v>
      </c>
      <c r="AK3" s="85">
        <v>10128.433224949966</v>
      </c>
      <c r="AL3" s="84">
        <v>919.9653208920962</v>
      </c>
      <c r="AM3" s="85">
        <v>14975.915919959432</v>
      </c>
      <c r="AN3" s="84">
        <v>921.82902259260027</v>
      </c>
      <c r="AO3" s="85">
        <v>19013.309358998198</v>
      </c>
      <c r="AP3" s="84">
        <v>922.08706242209212</v>
      </c>
      <c r="AQ3" s="85">
        <v>19405.467993244965</v>
      </c>
      <c r="AR3" s="84">
        <v>922.25514290516719</v>
      </c>
      <c r="AS3" s="85">
        <v>19653.678047835649</v>
      </c>
      <c r="AT3" s="84">
        <v>922.34487976376499</v>
      </c>
      <c r="AU3" s="85">
        <v>19784.432503890774</v>
      </c>
      <c r="AV3" s="84">
        <v>922.3784572381702</v>
      </c>
      <c r="AW3" s="85">
        <v>19833.236856999851</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998.1491974525635</v>
      </c>
      <c r="E5" s="42">
        <v>1028.6673215913565</v>
      </c>
      <c r="F5" s="41">
        <v>996.17014221051659</v>
      </c>
      <c r="G5" s="42">
        <v>1061.5402736805656</v>
      </c>
      <c r="H5" s="41">
        <v>994.04094965783338</v>
      </c>
      <c r="I5" s="42">
        <v>1099.4451944411501</v>
      </c>
      <c r="J5" s="41">
        <v>991.73396911008786</v>
      </c>
      <c r="K5" s="42">
        <v>1143.4156949179883</v>
      </c>
      <c r="L5" s="41">
        <v>989.21399221314402</v>
      </c>
      <c r="M5" s="42">
        <v>1194.7556700680316</v>
      </c>
      <c r="N5" s="41">
        <v>986.43588368048836</v>
      </c>
      <c r="O5" s="42">
        <v>1255.12362331082</v>
      </c>
      <c r="P5" s="41">
        <v>983.34148441448986</v>
      </c>
      <c r="Q5" s="42">
        <v>1326.6473395388505</v>
      </c>
      <c r="R5" s="41">
        <v>979.85571975269067</v>
      </c>
      <c r="S5" s="42">
        <v>1412.0775539710787</v>
      </c>
      <c r="T5" s="41">
        <v>975.88177102273141</v>
      </c>
      <c r="U5" s="42">
        <v>1515.000082371497</v>
      </c>
      <c r="V5" s="41">
        <v>971.2960731736872</v>
      </c>
      <c r="W5" s="42">
        <v>1640.1153595515855</v>
      </c>
      <c r="X5" s="41">
        <v>965.94459306040335</v>
      </c>
      <c r="Y5" s="42">
        <v>1793.6026240688864</v>
      </c>
      <c r="Z5" s="41">
        <v>959.64567254236397</v>
      </c>
      <c r="AA5" s="42">
        <v>1983.5440536350116</v>
      </c>
      <c r="AB5" s="41">
        <v>952.21325680246525</v>
      </c>
      <c r="AC5" s="42">
        <v>2220.2660570839398</v>
      </c>
      <c r="AD5" s="41">
        <v>943.53691192622637</v>
      </c>
      <c r="AE5" s="42">
        <v>2516.0377456666502</v>
      </c>
      <c r="AF5" s="41">
        <v>933.8070714782358</v>
      </c>
      <c r="AG5" s="42">
        <v>2882.2846138975915</v>
      </c>
      <c r="AH5" s="41">
        <v>924.04380419355232</v>
      </c>
      <c r="AI5" s="42">
        <v>3319.1995529100554</v>
      </c>
      <c r="AJ5" s="41">
        <v>916.83468043506593</v>
      </c>
      <c r="AK5" s="42">
        <v>3789.1878513151119</v>
      </c>
      <c r="AL5" s="41">
        <v>915.25151013777145</v>
      </c>
      <c r="AM5" s="42">
        <v>4186.4757975872844</v>
      </c>
      <c r="AN5" s="41">
        <v>917.2438347868034</v>
      </c>
      <c r="AO5" s="42">
        <v>4390.6496805655424</v>
      </c>
      <c r="AP5" s="41">
        <v>917.51960667440665</v>
      </c>
      <c r="AQ5" s="42">
        <v>4406.758371353515</v>
      </c>
      <c r="AR5" s="41">
        <v>917.69922737820218</v>
      </c>
      <c r="AS5" s="42">
        <v>4416.6802688715743</v>
      </c>
      <c r="AT5" s="41">
        <v>917.79512224722555</v>
      </c>
      <c r="AU5" s="42">
        <v>4421.8244031410559</v>
      </c>
      <c r="AV5" s="41">
        <v>917.83100333119853</v>
      </c>
      <c r="AW5" s="42">
        <v>4423.7301103204709</v>
      </c>
    </row>
    <row r="6" spans="1:49" x14ac:dyDescent="0.2">
      <c r="A6" t="s">
        <v>77</v>
      </c>
      <c r="B6" s="41">
        <v>999.99999999999932</v>
      </c>
      <c r="C6" s="42">
        <v>999.99999999999898</v>
      </c>
      <c r="D6" s="41">
        <v>998.00777208554211</v>
      </c>
      <c r="E6" s="42">
        <v>1035.475690981837</v>
      </c>
      <c r="F6" s="41">
        <v>995.87780698186305</v>
      </c>
      <c r="G6" s="42">
        <v>1076.7381684979741</v>
      </c>
      <c r="H6" s="41">
        <v>993.58662111619458</v>
      </c>
      <c r="I6" s="42">
        <v>1125.1072564368276</v>
      </c>
      <c r="J6" s="41">
        <v>991.10454868908823</v>
      </c>
      <c r="K6" s="42">
        <v>1182.3057820353642</v>
      </c>
      <c r="L6" s="41">
        <v>988.39382390039793</v>
      </c>
      <c r="M6" s="42">
        <v>1250.6192835372026</v>
      </c>
      <c r="N6" s="41">
        <v>985.40604655272489</v>
      </c>
      <c r="O6" s="42">
        <v>1333.131512350976</v>
      </c>
      <c r="P6" s="41">
        <v>982.07887267041519</v>
      </c>
      <c r="Q6" s="42">
        <v>1434.0880854289992</v>
      </c>
      <c r="R6" s="41">
        <v>978.33186161844878</v>
      </c>
      <c r="S6" s="42">
        <v>1559.4676747638705</v>
      </c>
      <c r="T6" s="41">
        <v>974.06133476598632</v>
      </c>
      <c r="U6" s="42">
        <v>1717.9193314074703</v>
      </c>
      <c r="V6" s="41">
        <v>969.13507281173452</v>
      </c>
      <c r="W6" s="42">
        <v>1922.3448604230443</v>
      </c>
      <c r="X6" s="41">
        <v>963.3884278963958</v>
      </c>
      <c r="Y6" s="42">
        <v>2192.7178246840999</v>
      </c>
      <c r="Z6" s="41">
        <v>956.62753200120687</v>
      </c>
      <c r="AA6" s="42">
        <v>2561.3382121612699</v>
      </c>
      <c r="AB6" s="41">
        <v>948.65441589774116</v>
      </c>
      <c r="AC6" s="42">
        <v>3083.1754202829015</v>
      </c>
      <c r="AD6" s="41">
        <v>939.35295575616522</v>
      </c>
      <c r="AE6" s="42">
        <v>3857.2630719579042</v>
      </c>
      <c r="AF6" s="41">
        <v>928.92995259563793</v>
      </c>
      <c r="AG6" s="42">
        <v>5071.9047192496228</v>
      </c>
      <c r="AH6" s="41">
        <v>918.47956527369013</v>
      </c>
      <c r="AI6" s="42">
        <v>7091.1723380649028</v>
      </c>
      <c r="AJ6" s="41">
        <v>910.76854057823152</v>
      </c>
      <c r="AK6" s="42">
        <v>10517.351260550911</v>
      </c>
      <c r="AL6" s="41">
        <v>909.07577492762005</v>
      </c>
      <c r="AM6" s="42">
        <v>15553.924637799681</v>
      </c>
      <c r="AN6" s="41">
        <v>911.20605544533441</v>
      </c>
      <c r="AO6" s="42">
        <v>19748.340823478036</v>
      </c>
      <c r="AP6" s="41">
        <v>911.50095094679273</v>
      </c>
      <c r="AQ6" s="42">
        <v>20155.73953727031</v>
      </c>
      <c r="AR6" s="41">
        <v>911.69303126582099</v>
      </c>
      <c r="AS6" s="42">
        <v>20413.594716098276</v>
      </c>
      <c r="AT6" s="41">
        <v>911.79557919078582</v>
      </c>
      <c r="AU6" s="42">
        <v>20549.42987640285</v>
      </c>
      <c r="AV6" s="41">
        <v>911.83394986829933</v>
      </c>
      <c r="AW6" s="42">
        <v>20600.130569591965</v>
      </c>
    </row>
    <row r="7" spans="1:49" x14ac:dyDescent="0.2">
      <c r="A7" t="s">
        <v>13</v>
      </c>
      <c r="B7" s="33">
        <v>1015.9116825427475</v>
      </c>
      <c r="C7" s="34">
        <v>1015.9116825427475</v>
      </c>
      <c r="D7" s="33">
        <v>1014.0314306127268</v>
      </c>
      <c r="E7" s="34">
        <v>1014.0314306127268</v>
      </c>
      <c r="F7" s="33">
        <v>1012.0208852719339</v>
      </c>
      <c r="G7" s="34">
        <v>1012.0208852719339</v>
      </c>
      <c r="H7" s="33">
        <v>1009.85781368328</v>
      </c>
      <c r="I7" s="34">
        <v>1009.85781368328</v>
      </c>
      <c r="J7" s="33">
        <v>1007.5141251934265</v>
      </c>
      <c r="K7" s="34">
        <v>1007.5141251934265</v>
      </c>
      <c r="L7" s="33">
        <v>1004.9540512240834</v>
      </c>
      <c r="M7" s="34">
        <v>1004.9540512240834</v>
      </c>
      <c r="N7" s="33">
        <v>1002.1317383103868</v>
      </c>
      <c r="O7" s="34">
        <v>1002.1317383103868</v>
      </c>
      <c r="P7" s="33">
        <v>998.98810194560724</v>
      </c>
      <c r="Q7" s="34">
        <v>998.98810194560724</v>
      </c>
      <c r="R7" s="33">
        <v>995.44687290309082</v>
      </c>
      <c r="S7" s="34">
        <v>995.44687290309082</v>
      </c>
      <c r="T7" s="33">
        <v>991.40969196249921</v>
      </c>
      <c r="U7" s="34">
        <v>991.40969196249921</v>
      </c>
      <c r="V7" s="33">
        <v>986.75102794504414</v>
      </c>
      <c r="W7" s="34">
        <v>986.75102794504414</v>
      </c>
      <c r="X7" s="33">
        <v>981.31439677906383</v>
      </c>
      <c r="Y7" s="34">
        <v>981.31439677906383</v>
      </c>
      <c r="Z7" s="33">
        <v>974.91524983737941</v>
      </c>
      <c r="AA7" s="34">
        <v>974.91524983737941</v>
      </c>
      <c r="AB7" s="33">
        <v>967.36457185770178</v>
      </c>
      <c r="AC7" s="34">
        <v>967.36457185770178</v>
      </c>
      <c r="AD7" s="33">
        <v>958.55017173616068</v>
      </c>
      <c r="AE7" s="34">
        <v>958.55017173616068</v>
      </c>
      <c r="AF7" s="33">
        <v>948.6655131557701</v>
      </c>
      <c r="AG7" s="34">
        <v>948.6655131557701</v>
      </c>
      <c r="AH7" s="33">
        <v>938.74689586147281</v>
      </c>
      <c r="AI7" s="34">
        <v>938.74689586147281</v>
      </c>
      <c r="AJ7" s="33">
        <v>931.42306281433002</v>
      </c>
      <c r="AK7" s="34">
        <v>931.42306281433002</v>
      </c>
      <c r="AL7" s="33">
        <v>929.81470161385391</v>
      </c>
      <c r="AM7" s="34">
        <v>929.81470161385391</v>
      </c>
      <c r="AN7" s="33">
        <v>931.83872750022329</v>
      </c>
      <c r="AO7" s="34">
        <v>931.83872750022329</v>
      </c>
      <c r="AP7" s="33">
        <v>932.1188873825563</v>
      </c>
      <c r="AQ7" s="34">
        <v>932.1188873825563</v>
      </c>
      <c r="AR7" s="33">
        <v>932.30136615396873</v>
      </c>
      <c r="AS7" s="34">
        <v>932.30136615396873</v>
      </c>
      <c r="AT7" s="33">
        <v>932.39878687170551</v>
      </c>
      <c r="AU7" s="34">
        <v>932.39878687170551</v>
      </c>
      <c r="AV7" s="33">
        <v>932.43523888409595</v>
      </c>
      <c r="AW7" s="34">
        <v>932.43523888409595</v>
      </c>
    </row>
    <row r="8" spans="1:49" x14ac:dyDescent="0.2">
      <c r="B8" s="35">
        <v>1005.7716594496609</v>
      </c>
      <c r="C8" s="36">
        <v>1005.7716594496609</v>
      </c>
      <c r="D8" s="35">
        <v>1108.3448058125216</v>
      </c>
      <c r="E8" s="36">
        <v>1108.3448058125216</v>
      </c>
      <c r="F8" s="35">
        <v>1228.2178749094107</v>
      </c>
      <c r="G8" s="36">
        <v>1228.2178749094107</v>
      </c>
      <c r="H8" s="35">
        <v>1369.5256684173394</v>
      </c>
      <c r="I8" s="36">
        <v>1369.5256684173394</v>
      </c>
      <c r="J8" s="35">
        <v>1537.7037548768462</v>
      </c>
      <c r="K8" s="36">
        <v>1537.7037548768462</v>
      </c>
      <c r="L8" s="35">
        <v>1740.0079383943698</v>
      </c>
      <c r="M8" s="36">
        <v>1740.0079383943698</v>
      </c>
      <c r="N8" s="35">
        <v>1986.2893188371579</v>
      </c>
      <c r="O8" s="36">
        <v>1986.2893188371579</v>
      </c>
      <c r="P8" s="35">
        <v>2290.1845465780102</v>
      </c>
      <c r="Q8" s="36">
        <v>2290.1845465780102</v>
      </c>
      <c r="R8" s="35">
        <v>2670.9900511390861</v>
      </c>
      <c r="S8" s="36">
        <v>2670.9900511390861</v>
      </c>
      <c r="T8" s="35">
        <v>3156.732025021086</v>
      </c>
      <c r="U8" s="36">
        <v>3156.732025021086</v>
      </c>
      <c r="V8" s="35">
        <v>3789.361632596479</v>
      </c>
      <c r="W8" s="36">
        <v>3789.361632596479</v>
      </c>
      <c r="X8" s="35">
        <v>4633.9841911507547</v>
      </c>
      <c r="Y8" s="36">
        <v>4633.9841911507547</v>
      </c>
      <c r="Z8" s="35">
        <v>5796.0653800342479</v>
      </c>
      <c r="AA8" s="36">
        <v>5796.0653800342479</v>
      </c>
      <c r="AB8" s="35">
        <v>7455.282453343114</v>
      </c>
      <c r="AC8" s="36">
        <v>7455.282453343114</v>
      </c>
      <c r="AD8" s="35">
        <v>9935.5087011364903</v>
      </c>
      <c r="AE8" s="36">
        <v>9935.5087011364903</v>
      </c>
      <c r="AF8" s="35">
        <v>13852.639568197174</v>
      </c>
      <c r="AG8" s="36">
        <v>13852.639568197174</v>
      </c>
      <c r="AH8" s="35">
        <v>20397.246503328803</v>
      </c>
      <c r="AI8" s="36">
        <v>20397.246503328803</v>
      </c>
      <c r="AJ8" s="35">
        <v>31537.316570542018</v>
      </c>
      <c r="AK8" s="36">
        <v>31537.316570542018</v>
      </c>
      <c r="AL8" s="35">
        <v>47930.464569088908</v>
      </c>
      <c r="AM8" s="36">
        <v>47930.464569088908</v>
      </c>
      <c r="AN8" s="35">
        <v>61561.967504159002</v>
      </c>
      <c r="AO8" s="36">
        <v>61561.967504159002</v>
      </c>
      <c r="AP8" s="35">
        <v>62882.29846659051</v>
      </c>
      <c r="AQ8" s="36">
        <v>62882.29846659051</v>
      </c>
      <c r="AR8" s="35">
        <v>63716.916314728172</v>
      </c>
      <c r="AS8" s="36">
        <v>63716.916314728172</v>
      </c>
      <c r="AT8" s="35">
        <v>64155.921564725926</v>
      </c>
      <c r="AU8" s="36">
        <v>64155.921564725926</v>
      </c>
      <c r="AV8" s="35">
        <v>64319.481252262391</v>
      </c>
      <c r="AW8" s="36">
        <v>64319.481252262391</v>
      </c>
    </row>
    <row r="9" spans="1:49" x14ac:dyDescent="0.2">
      <c r="A9" t="s">
        <v>14</v>
      </c>
      <c r="B9" s="41">
        <v>1015.9116825427475</v>
      </c>
      <c r="C9" s="42">
        <v>1005.7716594496609</v>
      </c>
      <c r="D9" s="41">
        <v>1014.0314306127268</v>
      </c>
      <c r="E9" s="42">
        <v>1108.3448058125216</v>
      </c>
      <c r="F9" s="41">
        <v>1012.0208852719339</v>
      </c>
      <c r="G9" s="42">
        <v>1228.2178749094107</v>
      </c>
      <c r="H9" s="41">
        <v>1009.85781368328</v>
      </c>
      <c r="I9" s="42">
        <v>1369.5256684173394</v>
      </c>
      <c r="J9" s="41">
        <v>1007.5141251934265</v>
      </c>
      <c r="K9" s="42">
        <v>1537.7037548768462</v>
      </c>
      <c r="L9" s="41">
        <v>1004.9540512240834</v>
      </c>
      <c r="M9" s="42">
        <v>1740.0079383943698</v>
      </c>
      <c r="N9" s="41">
        <v>1002.1317383103868</v>
      </c>
      <c r="O9" s="42">
        <v>1986.2893188371579</v>
      </c>
      <c r="P9" s="41">
        <v>998.98810194560724</v>
      </c>
      <c r="Q9" s="42">
        <v>2290.1845465780102</v>
      </c>
      <c r="R9" s="41">
        <v>995.44687290309082</v>
      </c>
      <c r="S9" s="42">
        <v>2670.9900511390861</v>
      </c>
      <c r="T9" s="41">
        <v>991.40969196249921</v>
      </c>
      <c r="U9" s="42">
        <v>3156.732025021086</v>
      </c>
      <c r="V9" s="41">
        <v>986.75102794504414</v>
      </c>
      <c r="W9" s="42">
        <v>3789.361632596479</v>
      </c>
      <c r="X9" s="41">
        <v>981.31439677906383</v>
      </c>
      <c r="Y9" s="42">
        <v>4633.9841911507547</v>
      </c>
      <c r="Z9" s="41">
        <v>974.91524983737941</v>
      </c>
      <c r="AA9" s="42">
        <v>5796.0653800342479</v>
      </c>
      <c r="AB9" s="41">
        <v>967.36457185770178</v>
      </c>
      <c r="AC9" s="42">
        <v>7455.282453343114</v>
      </c>
      <c r="AD9" s="41">
        <v>958.55017173616068</v>
      </c>
      <c r="AE9" s="42">
        <v>9935.5087011364903</v>
      </c>
      <c r="AF9" s="41">
        <v>948.6655131557701</v>
      </c>
      <c r="AG9" s="42">
        <v>13852.639568197174</v>
      </c>
      <c r="AH9" s="41">
        <v>938.74689586147281</v>
      </c>
      <c r="AI9" s="42">
        <v>20397.246503328803</v>
      </c>
      <c r="AJ9" s="41">
        <v>931.42306281433002</v>
      </c>
      <c r="AK9" s="42">
        <v>31537.316570542018</v>
      </c>
      <c r="AL9" s="41">
        <v>929.81470161385391</v>
      </c>
      <c r="AM9" s="42">
        <v>47930.464569088908</v>
      </c>
      <c r="AN9" s="41">
        <v>931.83872750022329</v>
      </c>
      <c r="AO9" s="42">
        <v>61561.967504159002</v>
      </c>
      <c r="AP9" s="41">
        <v>932.1188873825563</v>
      </c>
      <c r="AQ9" s="42">
        <v>62882.29846659051</v>
      </c>
      <c r="AR9" s="41">
        <v>932.30136615396873</v>
      </c>
      <c r="AS9" s="42">
        <v>63716.916314728172</v>
      </c>
      <c r="AT9" s="41">
        <v>932.39878687170551</v>
      </c>
      <c r="AU9" s="42">
        <v>64155.921564725926</v>
      </c>
      <c r="AV9" s="41">
        <v>932.43523888409595</v>
      </c>
      <c r="AW9" s="42">
        <v>64319.481252262391</v>
      </c>
    </row>
    <row r="10" spans="1:49" x14ac:dyDescent="0.2">
      <c r="A10" t="s">
        <v>15</v>
      </c>
      <c r="B10" s="41">
        <v>1015.9116825427475</v>
      </c>
      <c r="C10" s="42">
        <v>1005.7716594496609</v>
      </c>
      <c r="D10" s="41">
        <v>1014.0314306127268</v>
      </c>
      <c r="E10" s="42">
        <v>1108.3448058125216</v>
      </c>
      <c r="F10" s="41">
        <v>1012.0208852719339</v>
      </c>
      <c r="G10" s="42">
        <v>1228.2178749094107</v>
      </c>
      <c r="H10" s="41">
        <v>1009.85781368328</v>
      </c>
      <c r="I10" s="42">
        <v>1369.5256684173394</v>
      </c>
      <c r="J10" s="41">
        <v>1007.5141251934265</v>
      </c>
      <c r="K10" s="42">
        <v>1537.7037548768462</v>
      </c>
      <c r="L10" s="41">
        <v>1004.9540512240834</v>
      </c>
      <c r="M10" s="42">
        <v>1740.0079383943698</v>
      </c>
      <c r="N10" s="41">
        <v>1002.1317383103868</v>
      </c>
      <c r="O10" s="42">
        <v>1986.2893188371579</v>
      </c>
      <c r="P10" s="41">
        <v>998.98810194560724</v>
      </c>
      <c r="Q10" s="42">
        <v>2290.1845465780102</v>
      </c>
      <c r="R10" s="41">
        <v>995.44687290309082</v>
      </c>
      <c r="S10" s="42">
        <v>2670.9900511390861</v>
      </c>
      <c r="T10" s="41">
        <v>991.40969196249921</v>
      </c>
      <c r="U10" s="42">
        <v>3156.732025021086</v>
      </c>
      <c r="V10" s="41">
        <v>986.75102794504414</v>
      </c>
      <c r="W10" s="42">
        <v>3789.361632596479</v>
      </c>
      <c r="X10" s="41">
        <v>981.31439677906383</v>
      </c>
      <c r="Y10" s="42">
        <v>4633.9841911507547</v>
      </c>
      <c r="Z10" s="41">
        <v>974.91524983737941</v>
      </c>
      <c r="AA10" s="42">
        <v>5796.0653800342479</v>
      </c>
      <c r="AB10" s="41">
        <v>967.36457185770178</v>
      </c>
      <c r="AC10" s="42">
        <v>7455.282453343114</v>
      </c>
      <c r="AD10" s="41">
        <v>958.55017173616068</v>
      </c>
      <c r="AE10" s="42">
        <v>9935.5087011364903</v>
      </c>
      <c r="AF10" s="41">
        <v>948.6655131557701</v>
      </c>
      <c r="AG10" s="42">
        <v>13852.639568197174</v>
      </c>
      <c r="AH10" s="41">
        <v>938.74689586147281</v>
      </c>
      <c r="AI10" s="42">
        <v>20397.246503328803</v>
      </c>
      <c r="AJ10" s="41">
        <v>931.42306281433002</v>
      </c>
      <c r="AK10" s="42">
        <v>31537.316570542018</v>
      </c>
      <c r="AL10" s="41">
        <v>929.81470161385391</v>
      </c>
      <c r="AM10" s="42">
        <v>47930.464569088908</v>
      </c>
      <c r="AN10" s="41">
        <v>931.83872750022329</v>
      </c>
      <c r="AO10" s="42">
        <v>61561.967504159002</v>
      </c>
      <c r="AP10" s="41">
        <v>932.1188873825563</v>
      </c>
      <c r="AQ10" s="42">
        <v>62882.29846659051</v>
      </c>
      <c r="AR10" s="41">
        <v>932.30136615396873</v>
      </c>
      <c r="AS10" s="42">
        <v>63716.916314728172</v>
      </c>
      <c r="AT10" s="41">
        <v>932.39878687170551</v>
      </c>
      <c r="AU10" s="42">
        <v>64155.921564725926</v>
      </c>
      <c r="AV10" s="41">
        <v>932.43523888409595</v>
      </c>
      <c r="AW10" s="42">
        <v>64319.481252262391</v>
      </c>
    </row>
    <row r="11" spans="1:49" x14ac:dyDescent="0.2">
      <c r="A11" t="s">
        <v>29</v>
      </c>
      <c r="B11" s="41">
        <v>1015.9116825427475</v>
      </c>
      <c r="C11" s="42">
        <v>1005.7716594496609</v>
      </c>
      <c r="D11" s="41">
        <v>1014.0314306127268</v>
      </c>
      <c r="E11" s="42">
        <v>1108.3448058125216</v>
      </c>
      <c r="F11" s="41">
        <v>1012.0208852719339</v>
      </c>
      <c r="G11" s="42">
        <v>1228.2178749094107</v>
      </c>
      <c r="H11" s="41">
        <v>1009.85781368328</v>
      </c>
      <c r="I11" s="42">
        <v>1369.5256684173394</v>
      </c>
      <c r="J11" s="41">
        <v>1007.5141251934265</v>
      </c>
      <c r="K11" s="42">
        <v>1537.7037548768462</v>
      </c>
      <c r="L11" s="41">
        <v>1004.9540512240834</v>
      </c>
      <c r="M11" s="42">
        <v>1740.0079383943698</v>
      </c>
      <c r="N11" s="41">
        <v>1002.1317383103868</v>
      </c>
      <c r="O11" s="42">
        <v>1986.2893188371579</v>
      </c>
      <c r="P11" s="41">
        <v>998.98810194560724</v>
      </c>
      <c r="Q11" s="42">
        <v>2290.1845465780102</v>
      </c>
      <c r="R11" s="41">
        <v>995.44687290309082</v>
      </c>
      <c r="S11" s="42">
        <v>2670.9900511390861</v>
      </c>
      <c r="T11" s="41">
        <v>991.40969196249921</v>
      </c>
      <c r="U11" s="42">
        <v>3156.732025021086</v>
      </c>
      <c r="V11" s="41">
        <v>986.75102794504414</v>
      </c>
      <c r="W11" s="42">
        <v>3789.361632596479</v>
      </c>
      <c r="X11" s="41">
        <v>981.31439677906383</v>
      </c>
      <c r="Y11" s="42">
        <v>4633.9841911507547</v>
      </c>
      <c r="Z11" s="41">
        <v>974.91524983737941</v>
      </c>
      <c r="AA11" s="42">
        <v>5796.0653800342479</v>
      </c>
      <c r="AB11" s="41">
        <v>967.36457185770178</v>
      </c>
      <c r="AC11" s="42">
        <v>7455.282453343114</v>
      </c>
      <c r="AD11" s="41">
        <v>958.55017173616068</v>
      </c>
      <c r="AE11" s="42">
        <v>9935.5087011364903</v>
      </c>
      <c r="AF11" s="41">
        <v>948.6655131557701</v>
      </c>
      <c r="AG11" s="42">
        <v>13852.639568197174</v>
      </c>
      <c r="AH11" s="41">
        <v>938.74689586147281</v>
      </c>
      <c r="AI11" s="42">
        <v>20397.246503328803</v>
      </c>
      <c r="AJ11" s="41">
        <v>931.42306281433002</v>
      </c>
      <c r="AK11" s="42">
        <v>31537.316570542018</v>
      </c>
      <c r="AL11" s="41">
        <v>929.81470161385391</v>
      </c>
      <c r="AM11" s="42">
        <v>47930.464569088908</v>
      </c>
      <c r="AN11" s="41">
        <v>931.83872750022329</v>
      </c>
      <c r="AO11" s="42">
        <v>61561.967504159002</v>
      </c>
      <c r="AP11" s="41">
        <v>932.1188873825563</v>
      </c>
      <c r="AQ11" s="42">
        <v>62882.29846659051</v>
      </c>
      <c r="AR11" s="41">
        <v>932.30136615396873</v>
      </c>
      <c r="AS11" s="42">
        <v>63716.916314728172</v>
      </c>
      <c r="AT11" s="41">
        <v>932.39878687170551</v>
      </c>
      <c r="AU11" s="42">
        <v>64155.921564725926</v>
      </c>
      <c r="AV11" s="41">
        <v>932.43523888409595</v>
      </c>
      <c r="AW11" s="42">
        <v>64319.481252262391</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998.99038494041793</v>
      </c>
      <c r="E13" s="98">
        <v>998.99038494041793</v>
      </c>
      <c r="F13" s="97">
        <v>997.19127206779706</v>
      </c>
      <c r="G13" s="98">
        <v>997.19127206779706</v>
      </c>
      <c r="H13" s="97">
        <v>994.44587778735763</v>
      </c>
      <c r="I13" s="98">
        <v>994.44587778735763</v>
      </c>
      <c r="J13" s="97">
        <v>990.55494752536811</v>
      </c>
      <c r="K13" s="98">
        <v>990.55494752536811</v>
      </c>
      <c r="L13" s="97">
        <v>985.26203292195362</v>
      </c>
      <c r="M13" s="98">
        <v>985.26203292195362</v>
      </c>
      <c r="N13" s="97">
        <v>978.23254644925476</v>
      </c>
      <c r="O13" s="98">
        <v>978.23254644925476</v>
      </c>
      <c r="P13" s="97">
        <v>969.02330013699361</v>
      </c>
      <c r="Q13" s="98">
        <v>969.02330013699361</v>
      </c>
      <c r="R13" s="97">
        <v>957.037571782594</v>
      </c>
      <c r="S13" s="98">
        <v>957.037571782594</v>
      </c>
      <c r="T13" s="97">
        <v>941.45591601872673</v>
      </c>
      <c r="U13" s="98">
        <v>941.45591601872673</v>
      </c>
      <c r="V13" s="97">
        <v>921.12884456700783</v>
      </c>
      <c r="W13" s="98">
        <v>921.12884456700783</v>
      </c>
      <c r="X13" s="97">
        <v>894.40274259877992</v>
      </c>
      <c r="Y13" s="98">
        <v>894.40274259877992</v>
      </c>
      <c r="Z13" s="97">
        <v>858.83008567298111</v>
      </c>
      <c r="AA13" s="98">
        <v>858.83008567298111</v>
      </c>
      <c r="AB13" s="97">
        <v>810.674079315683</v>
      </c>
      <c r="AC13" s="98">
        <v>810.674079315683</v>
      </c>
      <c r="AD13" s="97">
        <v>744.06404756323889</v>
      </c>
      <c r="AE13" s="98">
        <v>744.06404756323889</v>
      </c>
      <c r="AF13" s="97">
        <v>649.70724131260783</v>
      </c>
      <c r="AG13" s="98">
        <v>649.70724131260783</v>
      </c>
      <c r="AH13" s="97">
        <v>514.09408901739118</v>
      </c>
      <c r="AI13" s="98">
        <v>514.09408901739118</v>
      </c>
      <c r="AJ13" s="97">
        <v>326.70302891862855</v>
      </c>
      <c r="AK13" s="98">
        <v>326.70302891862855</v>
      </c>
      <c r="AL13" s="97">
        <v>121.16640901765206</v>
      </c>
      <c r="AM13" s="98">
        <v>121.16640901765206</v>
      </c>
      <c r="AN13" s="97">
        <v>10.871127028217806</v>
      </c>
      <c r="AO13" s="98">
        <v>10.871127028217806</v>
      </c>
      <c r="AP13" s="97">
        <v>4.5893828136876085</v>
      </c>
      <c r="AQ13" s="98">
        <v>4.5893828136876085</v>
      </c>
      <c r="AR13" s="97">
        <v>1.4795683694591855</v>
      </c>
      <c r="AS13" s="98">
        <v>1.4795683694591855</v>
      </c>
      <c r="AT13" s="97">
        <v>0.2951192793585789</v>
      </c>
      <c r="AU13" s="98">
        <v>0.2951192793585789</v>
      </c>
      <c r="AV13" s="97">
        <v>1.8511250901405072E-2</v>
      </c>
      <c r="AW13" s="98">
        <v>1.8511250901405072E-2</v>
      </c>
    </row>
    <row r="14" spans="1:49" x14ac:dyDescent="0.2">
      <c r="A14" t="s">
        <v>36</v>
      </c>
      <c r="B14" s="41">
        <v>1457.0034251455234</v>
      </c>
      <c r="C14" s="42">
        <v>1457.0034251455236</v>
      </c>
      <c r="D14" s="41">
        <v>1455.5324125456336</v>
      </c>
      <c r="E14" s="42">
        <v>1455.5324125456339</v>
      </c>
      <c r="F14" s="41">
        <v>1452.9110989280016</v>
      </c>
      <c r="G14" s="42">
        <v>1452.9110989280018</v>
      </c>
      <c r="H14" s="41">
        <v>1448.9110500580266</v>
      </c>
      <c r="I14" s="42">
        <v>1448.9110500580268</v>
      </c>
      <c r="J14" s="41">
        <v>1443.2419513393054</v>
      </c>
      <c r="K14" s="42">
        <v>1443.2419513393056</v>
      </c>
      <c r="L14" s="41">
        <v>1435.5301566331277</v>
      </c>
      <c r="M14" s="42">
        <v>1435.5301566331279</v>
      </c>
      <c r="N14" s="41">
        <v>1425.2881707653914</v>
      </c>
      <c r="O14" s="42">
        <v>1425.2881707653917</v>
      </c>
      <c r="P14" s="41">
        <v>1411.8702673454181</v>
      </c>
      <c r="Q14" s="42">
        <v>1411.8702673454184</v>
      </c>
      <c r="R14" s="41">
        <v>1394.4070200801941</v>
      </c>
      <c r="S14" s="42">
        <v>1394.4070200801943</v>
      </c>
      <c r="T14" s="41">
        <v>1371.7044942628011</v>
      </c>
      <c r="U14" s="42">
        <v>1371.7044942628011</v>
      </c>
      <c r="V14" s="41">
        <v>1342.0878815344688</v>
      </c>
      <c r="W14" s="42">
        <v>1342.087881534469</v>
      </c>
      <c r="X14" s="41">
        <v>1303.1478594259722</v>
      </c>
      <c r="Y14" s="42">
        <v>1303.1478594259725</v>
      </c>
      <c r="Z14" s="41">
        <v>1251.3183764435566</v>
      </c>
      <c r="AA14" s="42">
        <v>1251.3183764435569</v>
      </c>
      <c r="AB14" s="41">
        <v>1181.1549102396436</v>
      </c>
      <c r="AC14" s="42">
        <v>1181.1549102396439</v>
      </c>
      <c r="AD14" s="41">
        <v>1084.1038658272805</v>
      </c>
      <c r="AE14" s="42">
        <v>1084.1038658272807</v>
      </c>
      <c r="AF14" s="41">
        <v>946.62567593431868</v>
      </c>
      <c r="AG14" s="42">
        <v>946.62567593431879</v>
      </c>
      <c r="AH14" s="41">
        <v>749.03684854540654</v>
      </c>
      <c r="AI14" s="42">
        <v>749.03684854540666</v>
      </c>
      <c r="AJ14" s="41">
        <v>476.00743213985874</v>
      </c>
      <c r="AK14" s="42">
        <v>476.00743213985879</v>
      </c>
      <c r="AL14" s="41">
        <v>176.53987295130247</v>
      </c>
      <c r="AM14" s="42">
        <v>176.5398729513025</v>
      </c>
      <c r="AN14" s="41">
        <v>15.839269315305417</v>
      </c>
      <c r="AO14" s="42">
        <v>15.839269315305421</v>
      </c>
      <c r="AP14" s="41">
        <v>6.6867464788468443</v>
      </c>
      <c r="AQ14" s="42">
        <v>6.6867464788468451</v>
      </c>
      <c r="AR14" s="41">
        <v>2.1557361820390102</v>
      </c>
      <c r="AS14" s="42">
        <v>2.1557361820390106</v>
      </c>
      <c r="AT14" s="41">
        <v>0.42998980085192801</v>
      </c>
      <c r="AU14" s="42">
        <v>0.42998980085192806</v>
      </c>
      <c r="AV14" s="41">
        <v>2.6970955967075345E-2</v>
      </c>
      <c r="AW14" s="42">
        <v>2.6970955967075348E-2</v>
      </c>
    </row>
    <row r="15" spans="1:49" x14ac:dyDescent="0.2">
      <c r="A15" t="s">
        <v>18</v>
      </c>
      <c r="B15" s="154">
        <v>1000</v>
      </c>
      <c r="C15" s="155">
        <v>1000</v>
      </c>
      <c r="D15" s="154">
        <v>988.00462476164421</v>
      </c>
      <c r="E15" s="155">
        <v>988.00462476164421</v>
      </c>
      <c r="F15" s="154">
        <v>975.37206544840762</v>
      </c>
      <c r="G15" s="155">
        <v>975.37206544840762</v>
      </c>
      <c r="H15" s="154">
        <v>961.97518767573217</v>
      </c>
      <c r="I15" s="155">
        <v>961.97518767573217</v>
      </c>
      <c r="J15" s="154">
        <v>947.65251269027897</v>
      </c>
      <c r="K15" s="155">
        <v>947.65251269027897</v>
      </c>
      <c r="L15" s="154">
        <v>932.19653982441594</v>
      </c>
      <c r="M15" s="155">
        <v>932.19653982441594</v>
      </c>
      <c r="N15" s="154">
        <v>915.33741964532589</v>
      </c>
      <c r="O15" s="155">
        <v>915.33741964532589</v>
      </c>
      <c r="P15" s="154">
        <v>896.71919005284917</v>
      </c>
      <c r="Q15" s="155">
        <v>896.71919005284917</v>
      </c>
      <c r="R15" s="154">
        <v>875.86502420122667</v>
      </c>
      <c r="S15" s="155">
        <v>875.86502420122667</v>
      </c>
      <c r="T15" s="154">
        <v>852.12403047536816</v>
      </c>
      <c r="U15" s="155">
        <v>852.12403047536816</v>
      </c>
      <c r="V15" s="154">
        <v>824.58892172157175</v>
      </c>
      <c r="W15" s="155">
        <v>824.58892172157175</v>
      </c>
      <c r="X15" s="154">
        <v>791.96180901536991</v>
      </c>
      <c r="Y15" s="155">
        <v>791.96180901536991</v>
      </c>
      <c r="Z15" s="154">
        <v>752.32920606455195</v>
      </c>
      <c r="AA15" s="155">
        <v>752.32920606455195</v>
      </c>
      <c r="AB15" s="154">
        <v>702.77248837778075</v>
      </c>
      <c r="AC15" s="155">
        <v>702.77248837778075</v>
      </c>
      <c r="AD15" s="154">
        <v>638.69195414774015</v>
      </c>
      <c r="AE15" s="155">
        <v>638.69195414774015</v>
      </c>
      <c r="AF15" s="154">
        <v>552.75093557146226</v>
      </c>
      <c r="AG15" s="155">
        <v>552.75093557146226</v>
      </c>
      <c r="AH15" s="154">
        <v>434.16593066775539</v>
      </c>
      <c r="AI15" s="155">
        <v>434.16593066775539</v>
      </c>
      <c r="AJ15" s="154">
        <v>274.48216839761017</v>
      </c>
      <c r="AK15" s="155">
        <v>274.48216839761017</v>
      </c>
      <c r="AL15" s="154">
        <v>101.51262328873591</v>
      </c>
      <c r="AM15" s="155">
        <v>101.51262328873591</v>
      </c>
      <c r="AN15" s="154">
        <v>9.0971195494330352</v>
      </c>
      <c r="AO15" s="155">
        <v>9.0971195494330352</v>
      </c>
      <c r="AP15" s="154">
        <v>3.8399097457739053</v>
      </c>
      <c r="AQ15" s="155">
        <v>3.8399097457739053</v>
      </c>
      <c r="AR15" s="154">
        <v>1.237773442205411</v>
      </c>
      <c r="AS15" s="155">
        <v>1.237773442205411</v>
      </c>
      <c r="AT15" s="154">
        <v>0.24685323086301986</v>
      </c>
      <c r="AU15" s="155">
        <v>0.24685323086301986</v>
      </c>
      <c r="AV15" s="154">
        <v>1.5480913902427612E-2</v>
      </c>
      <c r="AW15" s="155">
        <v>1.5480913902427612E-2</v>
      </c>
    </row>
    <row r="16" spans="1:49" s="29" customFormat="1" x14ac:dyDescent="0.2">
      <c r="A16" t="s">
        <v>61</v>
      </c>
      <c r="B16" s="41">
        <v>1000</v>
      </c>
      <c r="C16" s="42">
        <v>1000</v>
      </c>
      <c r="D16" s="41">
        <v>993.85949825012642</v>
      </c>
      <c r="E16" s="42">
        <v>991.13931630559421</v>
      </c>
      <c r="F16" s="41">
        <v>986.99613085695296</v>
      </c>
      <c r="G16" s="42">
        <v>981.59613683085001</v>
      </c>
      <c r="H16" s="41">
        <v>979.26706509095334</v>
      </c>
      <c r="I16" s="42">
        <v>971.23490525391753</v>
      </c>
      <c r="J16" s="41">
        <v>970.49082337308209</v>
      </c>
      <c r="K16" s="42">
        <v>959.88341473821436</v>
      </c>
      <c r="L16" s="41">
        <v>960.43399387225634</v>
      </c>
      <c r="M16" s="42">
        <v>947.32026606980742</v>
      </c>
      <c r="N16" s="41">
        <v>948.79245912143983</v>
      </c>
      <c r="O16" s="42">
        <v>933.25722998263109</v>
      </c>
      <c r="P16" s="41">
        <v>935.16408952790255</v>
      </c>
      <c r="Q16" s="42">
        <v>917.31358337422694</v>
      </c>
      <c r="R16" s="41">
        <v>919.00860695037511</v>
      </c>
      <c r="S16" s="42">
        <v>898.97846934719075</v>
      </c>
      <c r="T16" s="41">
        <v>899.58593034013165</v>
      </c>
      <c r="U16" s="42">
        <v>877.5531630528219</v>
      </c>
      <c r="V16" s="41">
        <v>875.86063640883401</v>
      </c>
      <c r="W16" s="42">
        <v>852.06165558463829</v>
      </c>
      <c r="X16" s="41">
        <v>846.34667903653121</v>
      </c>
      <c r="Y16" s="42">
        <v>821.10514379211997</v>
      </c>
      <c r="Z16" s="41">
        <v>808.84815681971031</v>
      </c>
      <c r="AA16" s="42">
        <v>782.61866988885629</v>
      </c>
      <c r="AB16" s="41">
        <v>760.01384642014625</v>
      </c>
      <c r="AC16" s="42">
        <v>733.45158179387136</v>
      </c>
      <c r="AD16" s="41">
        <v>694.57209181320889</v>
      </c>
      <c r="AE16" s="42">
        <v>668.64376652956059</v>
      </c>
      <c r="AF16" s="41">
        <v>604.15202887417297</v>
      </c>
      <c r="AG16" s="42">
        <v>580.30385927896566</v>
      </c>
      <c r="AH16" s="41">
        <v>476.52867146585174</v>
      </c>
      <c r="AI16" s="42">
        <v>456.8752353208946</v>
      </c>
      <c r="AJ16" s="41">
        <v>302.15473102171472</v>
      </c>
      <c r="AK16" s="42">
        <v>289.31712673375159</v>
      </c>
      <c r="AL16" s="41">
        <v>111.92641117165384</v>
      </c>
      <c r="AM16" s="42">
        <v>107.09546078003282</v>
      </c>
      <c r="AN16" s="41">
        <v>10.037059530219985</v>
      </c>
      <c r="AO16" s="42">
        <v>9.6010264061269943</v>
      </c>
      <c r="AP16" s="41">
        <v>4.2370085178405805</v>
      </c>
      <c r="AQ16" s="42">
        <v>4.0527967445419542</v>
      </c>
      <c r="AR16" s="41">
        <v>1.3658847814260948</v>
      </c>
      <c r="AS16" s="42">
        <v>1.3064547617469728</v>
      </c>
      <c r="AT16" s="41">
        <v>0.27242612145163947</v>
      </c>
      <c r="AU16" s="42">
        <v>0.26056303980757484</v>
      </c>
      <c r="AV16" s="41">
        <v>1.7086472669963004E-2</v>
      </c>
      <c r="AW16" s="42">
        <v>1.6341666584053643E-2</v>
      </c>
    </row>
    <row r="17" spans="1:49" x14ac:dyDescent="0.2">
      <c r="A17" t="s">
        <v>62</v>
      </c>
      <c r="B17" s="35">
        <v>999.99999999999977</v>
      </c>
      <c r="C17" s="36">
        <v>999.99999999999977</v>
      </c>
      <c r="D17" s="35">
        <v>998.31763539960809</v>
      </c>
      <c r="E17" s="36">
        <v>1049.941838719084</v>
      </c>
      <c r="F17" s="35">
        <v>996.52011218231496</v>
      </c>
      <c r="G17" s="36">
        <v>1108.2714103469389</v>
      </c>
      <c r="H17" s="35">
        <v>994.58786524109621</v>
      </c>
      <c r="I17" s="36">
        <v>1176.9598784993334</v>
      </c>
      <c r="J17" s="35">
        <v>992.49620860938728</v>
      </c>
      <c r="K17" s="36">
        <v>1258.5932795952217</v>
      </c>
      <c r="L17" s="35">
        <v>990.21373858550157</v>
      </c>
      <c r="M17" s="36">
        <v>1356.6172989734712</v>
      </c>
      <c r="N17" s="35">
        <v>987.70027172872926</v>
      </c>
      <c r="O17" s="36">
        <v>1475.7024550362421</v>
      </c>
      <c r="P17" s="35">
        <v>984.90411785401227</v>
      </c>
      <c r="Q17" s="36">
        <v>1622.3049958114075</v>
      </c>
      <c r="R17" s="35">
        <v>981.75876583784316</v>
      </c>
      <c r="S17" s="36">
        <v>1805.5504147560032</v>
      </c>
      <c r="T17" s="35">
        <v>978.17865432802296</v>
      </c>
      <c r="U17" s="36">
        <v>2038.6814974666161</v>
      </c>
      <c r="V17" s="35">
        <v>974.05512027770374</v>
      </c>
      <c r="W17" s="36">
        <v>2341.5104345515551</v>
      </c>
      <c r="X17" s="35">
        <v>969.25350970302816</v>
      </c>
      <c r="Y17" s="36">
        <v>2744.7783655573789</v>
      </c>
      <c r="Z17" s="35">
        <v>963.61649127580233</v>
      </c>
      <c r="AA17" s="36">
        <v>3298.2900500489072</v>
      </c>
      <c r="AB17" s="35">
        <v>956.98579604930308</v>
      </c>
      <c r="AC17" s="36">
        <v>4086.9330888124468</v>
      </c>
      <c r="AD17" s="35">
        <v>949.27417030985646</v>
      </c>
      <c r="AE17" s="36">
        <v>5263.8331083100948</v>
      </c>
      <c r="AF17" s="35">
        <v>940.66381090229004</v>
      </c>
      <c r="AG17" s="36">
        <v>7120.4945552436893</v>
      </c>
      <c r="AH17" s="35">
        <v>932.06468544280847</v>
      </c>
      <c r="AI17" s="36">
        <v>10221.31913290826</v>
      </c>
      <c r="AJ17" s="35">
        <v>925.74192040069033</v>
      </c>
      <c r="AK17" s="36">
        <v>15502.157418352102</v>
      </c>
      <c r="AL17" s="35">
        <v>924.35648693387975</v>
      </c>
      <c r="AM17" s="36">
        <v>23286.062024990122</v>
      </c>
      <c r="AN17" s="35">
        <v>926.1001559807396</v>
      </c>
      <c r="AO17" s="36">
        <v>29778.596388307644</v>
      </c>
      <c r="AP17" s="35">
        <v>926.34164365640459</v>
      </c>
      <c r="AQ17" s="36">
        <v>30409.550007266618</v>
      </c>
      <c r="AR17" s="35">
        <v>926.49895667051146</v>
      </c>
      <c r="AS17" s="36">
        <v>30808.927211841328</v>
      </c>
      <c r="AT17" s="35">
        <v>926.58294693938603</v>
      </c>
      <c r="AU17" s="36">
        <v>31019.323076089127</v>
      </c>
      <c r="AV17" s="35">
        <v>926.61437457391116</v>
      </c>
      <c r="AW17" s="36">
        <v>31097.855278537347</v>
      </c>
    </row>
    <row r="18" spans="1:49" x14ac:dyDescent="0.2">
      <c r="A18" t="s">
        <v>19</v>
      </c>
      <c r="B18" s="33">
        <v>27857.010133999996</v>
      </c>
      <c r="C18" s="34">
        <v>1236.7674480000003</v>
      </c>
      <c r="D18" s="33">
        <v>27873.535631118328</v>
      </c>
      <c r="E18" s="34">
        <v>1156.6243328216376</v>
      </c>
      <c r="F18" s="33">
        <v>27885.515693260273</v>
      </c>
      <c r="G18" s="34">
        <v>1076.3518475385756</v>
      </c>
      <c r="H18" s="33">
        <v>27891.968262135946</v>
      </c>
      <c r="I18" s="34">
        <v>995.98307057438126</v>
      </c>
      <c r="J18" s="33">
        <v>27891.625434930163</v>
      </c>
      <c r="K18" s="34">
        <v>915.56220307874605</v>
      </c>
      <c r="L18" s="33">
        <v>27882.824402139115</v>
      </c>
      <c r="M18" s="34">
        <v>835.14920649414182</v>
      </c>
      <c r="N18" s="33">
        <v>27863.346021610578</v>
      </c>
      <c r="O18" s="34">
        <v>754.82771436911958</v>
      </c>
      <c r="P18" s="33">
        <v>27830.168496471328</v>
      </c>
      <c r="Q18" s="34">
        <v>674.71618369730606</v>
      </c>
      <c r="R18" s="33">
        <v>27779.082482189111</v>
      </c>
      <c r="S18" s="34">
        <v>594.98557215199548</v>
      </c>
      <c r="T18" s="33">
        <v>27704.059762903828</v>
      </c>
      <c r="U18" s="34">
        <v>515.88763840845763</v>
      </c>
      <c r="V18" s="33">
        <v>27596.191167939967</v>
      </c>
      <c r="W18" s="34">
        <v>437.79911694129174</v>
      </c>
      <c r="X18" s="33">
        <v>27441.796916236188</v>
      </c>
      <c r="Y18" s="34">
        <v>361.28920850651122</v>
      </c>
      <c r="Z18" s="33">
        <v>27218.892756007812</v>
      </c>
      <c r="AA18" s="34">
        <v>287.2229463279744</v>
      </c>
      <c r="AB18" s="33">
        <v>26890.16224504339</v>
      </c>
      <c r="AC18" s="34">
        <v>216.91253310789048</v>
      </c>
      <c r="AD18" s="33">
        <v>26388.026760913712</v>
      </c>
      <c r="AE18" s="34">
        <v>152.31784316195717</v>
      </c>
      <c r="AF18" s="33">
        <v>25580.885580538841</v>
      </c>
      <c r="AG18" s="34">
        <v>96.236733546702496</v>
      </c>
      <c r="AH18" s="33">
        <v>24194.468397806409</v>
      </c>
      <c r="AI18" s="34">
        <v>52.192213924368382</v>
      </c>
      <c r="AJ18" s="33">
        <v>21646.92114375938</v>
      </c>
      <c r="AK18" s="34">
        <v>23.180943474007929</v>
      </c>
      <c r="AL18" s="33">
        <v>16901.724154658375</v>
      </c>
      <c r="AM18" s="34">
        <v>8.6237107298269819</v>
      </c>
      <c r="AN18" s="33">
        <v>9245.8811456637432</v>
      </c>
      <c r="AO18" s="34">
        <v>2.9418245869931456</v>
      </c>
      <c r="AP18" s="33">
        <v>7452.2869552820575</v>
      </c>
      <c r="AQ18" s="34">
        <v>2.2758816527987422</v>
      </c>
      <c r="AR18" s="33">
        <v>5615.2198293875044</v>
      </c>
      <c r="AS18" s="34">
        <v>1.6715594978213006</v>
      </c>
      <c r="AT18" s="33">
        <v>3752.529180529948</v>
      </c>
      <c r="AU18" s="34">
        <v>1.102251072052004</v>
      </c>
      <c r="AV18" s="33">
        <v>1877.9444214470564</v>
      </c>
      <c r="AW18" s="34">
        <v>0.5488885957393167</v>
      </c>
    </row>
    <row r="19" spans="1:49" x14ac:dyDescent="0.2">
      <c r="A19" t="s">
        <v>3</v>
      </c>
      <c r="B19" s="41">
        <v>1886.3937400000138</v>
      </c>
      <c r="C19" s="42">
        <v>262.7871129999973</v>
      </c>
      <c r="D19" s="41">
        <v>1883.2789911228019</v>
      </c>
      <c r="E19" s="42">
        <v>264.16641080157905</v>
      </c>
      <c r="F19" s="41">
        <v>1879.5594237555192</v>
      </c>
      <c r="G19" s="42">
        <v>266.51371236356414</v>
      </c>
      <c r="H19" s="41">
        <v>1875.1207858634209</v>
      </c>
      <c r="I19" s="42">
        <v>270.00400937694042</v>
      </c>
      <c r="J19" s="41">
        <v>1869.8174819640415</v>
      </c>
      <c r="K19" s="42">
        <v>274.8541827938015</v>
      </c>
      <c r="L19" s="41">
        <v>1863.4617397545371</v>
      </c>
      <c r="M19" s="42">
        <v>281.33491226591212</v>
      </c>
      <c r="N19" s="41">
        <v>1855.8083191468593</v>
      </c>
      <c r="O19" s="42">
        <v>289.78462908507925</v>
      </c>
      <c r="P19" s="41">
        <v>1846.5325184899382</v>
      </c>
      <c r="Q19" s="42">
        <v>300.62743019831686</v>
      </c>
      <c r="R19" s="41">
        <v>1835.1982355220084</v>
      </c>
      <c r="S19" s="42">
        <v>314.39274276624764</v>
      </c>
      <c r="T19" s="41">
        <v>1821.2095065792462</v>
      </c>
      <c r="U19" s="42">
        <v>331.73570485952803</v>
      </c>
      <c r="V19" s="41">
        <v>1803.7368039910823</v>
      </c>
      <c r="W19" s="42">
        <v>353.44591816788841</v>
      </c>
      <c r="X19" s="41">
        <v>1781.5986711489247</v>
      </c>
      <c r="Y19" s="42">
        <v>380.42499910903354</v>
      </c>
      <c r="Z19" s="41">
        <v>1753.064049773079</v>
      </c>
      <c r="AA19" s="42">
        <v>413.56879104901901</v>
      </c>
      <c r="AB19" s="41">
        <v>1715.5000822200509</v>
      </c>
      <c r="AC19" s="42">
        <v>453.40066921909005</v>
      </c>
      <c r="AD19" s="41">
        <v>1664.6898999939904</v>
      </c>
      <c r="AE19" s="42">
        <v>499.0679339401924</v>
      </c>
      <c r="AF19" s="41">
        <v>1593.3625515323888</v>
      </c>
      <c r="AG19" s="42">
        <v>545.78022840307892</v>
      </c>
      <c r="AH19" s="41">
        <v>1487.6400027499301</v>
      </c>
      <c r="AI19" s="42">
        <v>579.02962454636179</v>
      </c>
      <c r="AJ19" s="41">
        <v>1318.2066384721936</v>
      </c>
      <c r="AK19" s="42">
        <v>565.96241057917393</v>
      </c>
      <c r="AL19" s="41">
        <v>1027.0506321173402</v>
      </c>
      <c r="AM19" s="42">
        <v>460.57592475435763</v>
      </c>
      <c r="AN19" s="41">
        <v>563.34545660896833</v>
      </c>
      <c r="AO19" s="42">
        <v>253.29793105527966</v>
      </c>
      <c r="AP19" s="41">
        <v>454.23140815258017</v>
      </c>
      <c r="AQ19" s="42">
        <v>204.12797696000419</v>
      </c>
      <c r="AR19" s="41">
        <v>342.34126720415856</v>
      </c>
      <c r="AS19" s="42">
        <v>153.78615566057294</v>
      </c>
      <c r="AT19" s="41">
        <v>228.80871490645589</v>
      </c>
      <c r="AU19" s="42">
        <v>102.76306374115016</v>
      </c>
      <c r="AV19" s="41">
        <v>114.51230798462458</v>
      </c>
      <c r="AW19" s="42">
        <v>51.425829990731749</v>
      </c>
    </row>
    <row r="20" spans="1:49" x14ac:dyDescent="0.2">
      <c r="A20" t="s">
        <v>127</v>
      </c>
      <c r="B20" s="82">
        <v>26548.356269999993</v>
      </c>
      <c r="C20" s="83">
        <v>1408.5418709999938</v>
      </c>
      <c r="D20" s="82">
        <v>26554.158039686754</v>
      </c>
      <c r="E20" s="83">
        <v>1338.1147774499941</v>
      </c>
      <c r="F20" s="82">
        <v>26554.889312303705</v>
      </c>
      <c r="G20" s="83">
        <v>1267.6876838999945</v>
      </c>
      <c r="H20" s="82">
        <v>26549.492279033555</v>
      </c>
      <c r="I20" s="83">
        <v>1197.2605903499943</v>
      </c>
      <c r="J20" s="82">
        <v>26536.60533988518</v>
      </c>
      <c r="K20" s="83">
        <v>1126.8334967999951</v>
      </c>
      <c r="L20" s="82">
        <v>26514.449684641055</v>
      </c>
      <c r="M20" s="83">
        <v>1056.4064032499953</v>
      </c>
      <c r="N20" s="82">
        <v>26480.663152732108</v>
      </c>
      <c r="O20" s="83">
        <v>985.97930969999561</v>
      </c>
      <c r="P20" s="82">
        <v>26432.049923715218</v>
      </c>
      <c r="Q20" s="83">
        <v>915.55221614999596</v>
      </c>
      <c r="R20" s="82">
        <v>26364.195298947951</v>
      </c>
      <c r="S20" s="83">
        <v>845.12512259999642</v>
      </c>
      <c r="T20" s="82">
        <v>26270.843751216064</v>
      </c>
      <c r="U20" s="83">
        <v>774.69802904999653</v>
      </c>
      <c r="V20" s="82">
        <v>26142.872697026076</v>
      </c>
      <c r="W20" s="83">
        <v>704.27093549999688</v>
      </c>
      <c r="X20" s="82">
        <v>25966.50102942864</v>
      </c>
      <c r="Y20" s="83">
        <v>633.84384194999734</v>
      </c>
      <c r="Z20" s="82">
        <v>25720.005431012582</v>
      </c>
      <c r="AA20" s="83">
        <v>563.41674839999746</v>
      </c>
      <c r="AB20" s="82">
        <v>25367.313027877895</v>
      </c>
      <c r="AC20" s="83">
        <v>492.98965484999781</v>
      </c>
      <c r="AD20" s="82">
        <v>24844.608148630763</v>
      </c>
      <c r="AE20" s="83">
        <v>422.56256129999809</v>
      </c>
      <c r="AF20" s="82">
        <v>24030.353876730733</v>
      </c>
      <c r="AG20" s="83">
        <v>352.13546774999827</v>
      </c>
      <c r="AH20" s="82">
        <v>22675.331954844685</v>
      </c>
      <c r="AI20" s="83">
        <v>281.70837419999856</v>
      </c>
      <c r="AJ20" s="82">
        <v>20252.322846977699</v>
      </c>
      <c r="AK20" s="83">
        <v>211.28128064999876</v>
      </c>
      <c r="AL20" s="82">
        <v>15806.702741703559</v>
      </c>
      <c r="AM20" s="83">
        <v>140.85418709999902</v>
      </c>
      <c r="AN20" s="82">
        <v>8651.0821738808754</v>
      </c>
      <c r="AO20" s="83">
        <v>70.427093549999285</v>
      </c>
      <c r="AP20" s="82">
        <v>6973.3416587809679</v>
      </c>
      <c r="AQ20" s="83">
        <v>56.341674839999328</v>
      </c>
      <c r="AR20" s="82">
        <v>5254.5699124355979</v>
      </c>
      <c r="AS20" s="83">
        <v>42.256256129999379</v>
      </c>
      <c r="AT20" s="82">
        <v>3511.596841851373</v>
      </c>
      <c r="AU20" s="83">
        <v>28.170837419999433</v>
      </c>
      <c r="AV20" s="82">
        <v>1757.385778682409</v>
      </c>
      <c r="AW20" s="83">
        <v>14.08541870999948</v>
      </c>
    </row>
    <row r="21" spans="1:49" x14ac:dyDescent="0.2">
      <c r="A21" t="s">
        <v>76</v>
      </c>
      <c r="B21" s="82">
        <v>24661.962530000252</v>
      </c>
      <c r="C21" s="83">
        <v>1145.7547579999964</v>
      </c>
      <c r="D21" s="82">
        <v>24670.882566598379</v>
      </c>
      <c r="E21" s="83">
        <v>1074.2005877477648</v>
      </c>
      <c r="F21" s="82">
        <v>24675.344973624266</v>
      </c>
      <c r="G21" s="83">
        <v>1002.2751155180249</v>
      </c>
      <c r="H21" s="82">
        <v>24674.40805974618</v>
      </c>
      <c r="I21" s="83">
        <v>929.9722026716704</v>
      </c>
      <c r="J21" s="82">
        <v>24666.858295445618</v>
      </c>
      <c r="K21" s="83">
        <v>857.29507587395494</v>
      </c>
      <c r="L21" s="82">
        <v>24651.107984550526</v>
      </c>
      <c r="M21" s="83">
        <v>784.26167619015052</v>
      </c>
      <c r="N21" s="82">
        <v>24625.044796103695</v>
      </c>
      <c r="O21" s="83">
        <v>710.91382948261094</v>
      </c>
      <c r="P21" s="82">
        <v>24585.80401585799</v>
      </c>
      <c r="Q21" s="83">
        <v>637.33028329502088</v>
      </c>
      <c r="R21" s="82">
        <v>24529.416108403522</v>
      </c>
      <c r="S21" s="83">
        <v>563.64721342891607</v>
      </c>
      <c r="T21" s="82">
        <v>24450.234467675778</v>
      </c>
      <c r="U21" s="83">
        <v>490.088249129762</v>
      </c>
      <c r="V21" s="82">
        <v>24339.984642746691</v>
      </c>
      <c r="W21" s="83">
        <v>417.01144493321198</v>
      </c>
      <c r="X21" s="82">
        <v>24186.09350519492</v>
      </c>
      <c r="Y21" s="83">
        <v>344.97780926141172</v>
      </c>
      <c r="Z21" s="82">
        <v>23968.605431943688</v>
      </c>
      <c r="AA21" s="83">
        <v>274.85364869218716</v>
      </c>
      <c r="AB21" s="82">
        <v>23654.126620147075</v>
      </c>
      <c r="AC21" s="83">
        <v>207.9568796995176</v>
      </c>
      <c r="AD21" s="82">
        <v>23183.101535213958</v>
      </c>
      <c r="AE21" s="83">
        <v>146.24760181233361</v>
      </c>
      <c r="AF21" s="82">
        <v>22441.252723520018</v>
      </c>
      <c r="AG21" s="83">
        <v>92.504579184594945</v>
      </c>
      <c r="AH21" s="82">
        <v>21193.024574629249</v>
      </c>
      <c r="AI21" s="83">
        <v>50.205617040910163</v>
      </c>
      <c r="AJ21" s="82">
        <v>18939.856328417853</v>
      </c>
      <c r="AK21" s="83">
        <v>22.308092455386735</v>
      </c>
      <c r="AL21" s="82">
        <v>14784.309837753515</v>
      </c>
      <c r="AM21" s="83">
        <v>8.3005879909934759</v>
      </c>
      <c r="AN21" s="82">
        <v>8090.1638960407354</v>
      </c>
      <c r="AO21" s="83">
        <v>2.8317702871677439</v>
      </c>
      <c r="AP21" s="82">
        <v>6521.0533040524133</v>
      </c>
      <c r="AQ21" s="83">
        <v>2.1907492013659997</v>
      </c>
      <c r="AR21" s="82">
        <v>4913.6862167553672</v>
      </c>
      <c r="AS21" s="83">
        <v>1.6090364035514249</v>
      </c>
      <c r="AT21" s="82">
        <v>3283.759875761576</v>
      </c>
      <c r="AU21" s="83">
        <v>1.0610237242933176</v>
      </c>
      <c r="AV21" s="82">
        <v>1643.3593470826929</v>
      </c>
      <c r="AW21" s="83">
        <v>0.52835882939649914</v>
      </c>
    </row>
    <row r="22" spans="1:49" x14ac:dyDescent="0.2">
      <c r="A22" t="s">
        <v>28</v>
      </c>
      <c r="B22" s="41">
        <v>6533.6044688320826</v>
      </c>
      <c r="C22" s="42">
        <v>379.90788307663479</v>
      </c>
      <c r="D22" s="41">
        <v>6484.3151348414558</v>
      </c>
      <c r="E22" s="42">
        <v>355.30519556432756</v>
      </c>
      <c r="F22" s="41">
        <v>6429.9142570335443</v>
      </c>
      <c r="G22" s="42">
        <v>330.87590932727636</v>
      </c>
      <c r="H22" s="41">
        <v>6369.4305128606666</v>
      </c>
      <c r="I22" s="42">
        <v>306.63813547666422</v>
      </c>
      <c r="J22" s="41">
        <v>6301.6424284964105</v>
      </c>
      <c r="K22" s="42">
        <v>282.6131508593088</v>
      </c>
      <c r="L22" s="41">
        <v>6224.9943562420922</v>
      </c>
      <c r="M22" s="42">
        <v>258.82574732461956</v>
      </c>
      <c r="N22" s="41">
        <v>6137.477730483155</v>
      </c>
      <c r="O22" s="42">
        <v>235.30483134569661</v>
      </c>
      <c r="P22" s="41">
        <v>6036.4578100519329</v>
      </c>
      <c r="Q22" s="42">
        <v>212.08385086663708</v>
      </c>
      <c r="R22" s="41">
        <v>5918.418049558275</v>
      </c>
      <c r="S22" s="42">
        <v>189.20153584489105</v>
      </c>
      <c r="T22" s="41">
        <v>5778.5621794876915</v>
      </c>
      <c r="U22" s="42">
        <v>166.70191409175348</v>
      </c>
      <c r="V22" s="41">
        <v>5610.193126153953</v>
      </c>
      <c r="W22" s="42">
        <v>144.63528688300451</v>
      </c>
      <c r="X22" s="41">
        <v>5403.6929538968961</v>
      </c>
      <c r="Y22" s="42">
        <v>123.05927908522109</v>
      </c>
      <c r="Z22" s="41">
        <v>5144.8114205487263</v>
      </c>
      <c r="AA22" s="42">
        <v>102.04251236370638</v>
      </c>
      <c r="AB22" s="41">
        <v>4811.7402328708858</v>
      </c>
      <c r="AC22" s="42">
        <v>81.675038589251031</v>
      </c>
      <c r="AD22" s="41">
        <v>4370.2284923190582</v>
      </c>
      <c r="AE22" s="42">
        <v>62.096985547745824</v>
      </c>
      <c r="AF22" s="41">
        <v>3766.7524555584564</v>
      </c>
      <c r="AG22" s="42">
        <v>43.573952576839886</v>
      </c>
      <c r="AH22" s="41">
        <v>2927.5398774897531</v>
      </c>
      <c r="AI22" s="42">
        <v>26.680903402021663</v>
      </c>
      <c r="AJ22" s="41">
        <v>1811.8495135556589</v>
      </c>
      <c r="AK22" s="42">
        <v>12.653975893655844</v>
      </c>
      <c r="AL22" s="41">
        <v>649.4102117533065</v>
      </c>
      <c r="AM22" s="42">
        <v>3.5245323805790525</v>
      </c>
      <c r="AN22" s="41">
        <v>56.807804601163525</v>
      </c>
      <c r="AO22" s="42">
        <v>0.26566631624161124</v>
      </c>
      <c r="AP22" s="41">
        <v>23.925676367127636</v>
      </c>
      <c r="AQ22" s="42">
        <v>0.11049471179540848</v>
      </c>
      <c r="AR22" s="41">
        <v>7.7017836660589154</v>
      </c>
      <c r="AS22" s="42">
        <v>3.5292610871619591E-2</v>
      </c>
      <c r="AT22" s="41">
        <v>1.5349502536677795</v>
      </c>
      <c r="AU22" s="42">
        <v>7.0052688181065914E-3</v>
      </c>
      <c r="AV22" s="41">
        <v>9.624310463308991E-2</v>
      </c>
      <c r="AW22" s="42">
        <v>4.3857799763894747E-4</v>
      </c>
    </row>
    <row r="23" spans="1:49" x14ac:dyDescent="0.2">
      <c r="A23" t="s">
        <v>7</v>
      </c>
      <c r="B23" s="116">
        <v>3278.5018080150408</v>
      </c>
      <c r="C23" s="8">
        <v>0</v>
      </c>
      <c r="D23" s="116">
        <v>3286.6012655279069</v>
      </c>
      <c r="E23" s="8">
        <v>0</v>
      </c>
      <c r="F23" s="116">
        <v>3294.2337734713569</v>
      </c>
      <c r="G23" s="8">
        <v>0</v>
      </c>
      <c r="H23" s="116">
        <v>3301.2800166952811</v>
      </c>
      <c r="I23" s="8">
        <v>0</v>
      </c>
      <c r="J23" s="116">
        <v>3307.5816650220868</v>
      </c>
      <c r="K23" s="8">
        <v>0</v>
      </c>
      <c r="L23" s="116">
        <v>3312.9255017610612</v>
      </c>
      <c r="M23" s="8">
        <v>0</v>
      </c>
      <c r="N23" s="116">
        <v>3317.0197418050357</v>
      </c>
      <c r="O23" s="8">
        <v>0</v>
      </c>
      <c r="P23" s="116">
        <v>3319.4578827364394</v>
      </c>
      <c r="Q23" s="8">
        <v>0</v>
      </c>
      <c r="R23" s="116">
        <v>3319.6623525037044</v>
      </c>
      <c r="S23" s="8">
        <v>0</v>
      </c>
      <c r="T23" s="116">
        <v>3316.7926133592823</v>
      </c>
      <c r="U23" s="8">
        <v>0</v>
      </c>
      <c r="V23" s="116">
        <v>3309.5924224020023</v>
      </c>
      <c r="W23" s="8">
        <v>0</v>
      </c>
      <c r="X23" s="116">
        <v>3296.1219924644392</v>
      </c>
      <c r="Y23" s="8">
        <v>0</v>
      </c>
      <c r="Z23" s="116">
        <v>3273.2659042085102</v>
      </c>
      <c r="AA23" s="8">
        <v>0</v>
      </c>
      <c r="AB23" s="116">
        <v>3235.7732517489553</v>
      </c>
      <c r="AC23" s="8">
        <v>0</v>
      </c>
      <c r="AD23" s="116">
        <v>3174.260448237023</v>
      </c>
      <c r="AE23" s="8">
        <v>0</v>
      </c>
      <c r="AF23" s="116">
        <v>3070.8054344718453</v>
      </c>
      <c r="AG23" s="8">
        <v>0</v>
      </c>
      <c r="AH23" s="116">
        <v>2889.0973355410242</v>
      </c>
      <c r="AI23" s="8">
        <v>0</v>
      </c>
      <c r="AJ23" s="116">
        <v>2556.0545505866371</v>
      </c>
      <c r="AK23" s="8">
        <v>0</v>
      </c>
      <c r="AL23" s="116">
        <v>1957.7699193328465</v>
      </c>
      <c r="AM23" s="8">
        <v>0</v>
      </c>
      <c r="AN23" s="116">
        <v>1052.2277664521846</v>
      </c>
      <c r="AO23" s="8">
        <v>0</v>
      </c>
      <c r="AP23" s="116">
        <v>846.60126528827402</v>
      </c>
      <c r="AQ23" s="8">
        <v>0</v>
      </c>
      <c r="AR23" s="116">
        <v>637.18493554626741</v>
      </c>
      <c r="AS23" s="8">
        <v>0</v>
      </c>
      <c r="AT23" s="116">
        <v>425.56307828547875</v>
      </c>
      <c r="AU23" s="8">
        <v>0</v>
      </c>
      <c r="AV23" s="116">
        <v>212.92467213471605</v>
      </c>
      <c r="AW23" s="8">
        <v>0</v>
      </c>
    </row>
    <row r="24" spans="1:49" x14ac:dyDescent="0.2">
      <c r="A24" t="s">
        <v>8</v>
      </c>
      <c r="B24" s="97">
        <v>3196.3846373657216</v>
      </c>
      <c r="C24" s="8">
        <v>0</v>
      </c>
      <c r="D24" s="97">
        <v>3258.4053233806358</v>
      </c>
      <c r="E24" s="8">
        <v>0</v>
      </c>
      <c r="F24" s="97">
        <v>3323.1246141860856</v>
      </c>
      <c r="G24" s="8">
        <v>0</v>
      </c>
      <c r="H24" s="97">
        <v>3391.0398414281458</v>
      </c>
      <c r="I24" s="8">
        <v>0</v>
      </c>
      <c r="J24" s="97">
        <v>3462.7681721076137</v>
      </c>
      <c r="K24" s="8">
        <v>0</v>
      </c>
      <c r="L24" s="97">
        <v>3539.0843435249617</v>
      </c>
      <c r="M24" s="8">
        <v>0</v>
      </c>
      <c r="N24" s="97">
        <v>3620.9711884166572</v>
      </c>
      <c r="O24" s="8">
        <v>0</v>
      </c>
      <c r="P24" s="97">
        <v>3709.6929079764195</v>
      </c>
      <c r="Q24" s="8">
        <v>0</v>
      </c>
      <c r="R24" s="97">
        <v>3806.8991109839758</v>
      </c>
      <c r="S24" s="8">
        <v>0</v>
      </c>
      <c r="T24" s="97">
        <v>3914.782877008513</v>
      </c>
      <c r="U24" s="8">
        <v>0</v>
      </c>
      <c r="V24" s="97">
        <v>4036.3156422629822</v>
      </c>
      <c r="W24" s="8">
        <v>0</v>
      </c>
      <c r="X24" s="97">
        <v>4175.6137765195863</v>
      </c>
      <c r="Y24" s="8">
        <v>0</v>
      </c>
      <c r="Z24" s="97">
        <v>4338.4906964696047</v>
      </c>
      <c r="AA24" s="8">
        <v>0</v>
      </c>
      <c r="AB24" s="97">
        <v>4533.199491972432</v>
      </c>
      <c r="AC24" s="8">
        <v>0</v>
      </c>
      <c r="AD24" s="97">
        <v>4770.9045881434549</v>
      </c>
      <c r="AE24" s="8">
        <v>0</v>
      </c>
      <c r="AF24" s="97">
        <v>5062.8434936128933</v>
      </c>
      <c r="AG24" s="8">
        <v>0</v>
      </c>
      <c r="AH24" s="97">
        <v>5398.4842058216627</v>
      </c>
      <c r="AI24" s="8">
        <v>0</v>
      </c>
      <c r="AJ24" s="97">
        <v>5638.8301671838035</v>
      </c>
      <c r="AK24" s="8">
        <v>0</v>
      </c>
      <c r="AL24" s="97">
        <v>5203.8051291482225</v>
      </c>
      <c r="AM24" s="8">
        <v>0</v>
      </c>
      <c r="AN24" s="97">
        <v>3169.1725785086351</v>
      </c>
      <c r="AO24" s="8">
        <v>0</v>
      </c>
      <c r="AP24" s="97">
        <v>2578.3003865743017</v>
      </c>
      <c r="AQ24" s="8">
        <v>0</v>
      </c>
      <c r="AR24" s="97">
        <v>1954.0327024688829</v>
      </c>
      <c r="AS24" s="8">
        <v>0</v>
      </c>
      <c r="AT24" s="97">
        <v>1309.7972197870035</v>
      </c>
      <c r="AU24" s="8">
        <v>0</v>
      </c>
      <c r="AV24" s="97">
        <v>656.22180869290446</v>
      </c>
      <c r="AW24" s="8">
        <v>0</v>
      </c>
    </row>
    <row r="25" spans="1:49" x14ac:dyDescent="0.2">
      <c r="A25" t="s">
        <v>0</v>
      </c>
      <c r="B25" s="41">
        <v>3195.0476040000053</v>
      </c>
      <c r="C25" s="42">
        <v>91.012690000004284</v>
      </c>
      <c r="D25" s="41">
        <v>3202.6473708178655</v>
      </c>
      <c r="E25" s="42">
        <v>82.376700486855356</v>
      </c>
      <c r="F25" s="41">
        <v>3210.1462435757148</v>
      </c>
      <c r="G25" s="42">
        <v>73.886657058966591</v>
      </c>
      <c r="H25" s="41">
        <v>3217.5006997477926</v>
      </c>
      <c r="I25" s="42">
        <v>65.580448032446441</v>
      </c>
      <c r="J25" s="41">
        <v>3224.652159619704</v>
      </c>
      <c r="K25" s="42">
        <v>57.502072671212446</v>
      </c>
      <c r="L25" s="41">
        <v>3231.5197947858469</v>
      </c>
      <c r="M25" s="42">
        <v>49.702117174917653</v>
      </c>
      <c r="N25" s="41">
        <v>3237.9888863218093</v>
      </c>
      <c r="O25" s="42">
        <v>42.238207742170744</v>
      </c>
      <c r="P25" s="41">
        <v>3243.8912264374076</v>
      </c>
      <c r="Q25" s="42">
        <v>35.17493278087538</v>
      </c>
      <c r="R25" s="41">
        <v>3248.9711177197396</v>
      </c>
      <c r="S25" s="42">
        <v>28.583243933412735</v>
      </c>
      <c r="T25" s="41">
        <v>3252.8239606002071</v>
      </c>
      <c r="U25" s="42">
        <v>22.538851866831614</v>
      </c>
      <c r="V25" s="41">
        <v>3254.7815501914611</v>
      </c>
      <c r="W25" s="42">
        <v>17.119404286253467</v>
      </c>
      <c r="X25" s="41">
        <v>3253.6886147422683</v>
      </c>
      <c r="Y25" s="42">
        <v>12.399634319530131</v>
      </c>
      <c r="Z25" s="41">
        <v>3247.4476680199882</v>
      </c>
      <c r="AA25" s="42">
        <v>8.4442326778527139</v>
      </c>
      <c r="AB25" s="41">
        <v>3232.0457819034054</v>
      </c>
      <c r="AC25" s="42">
        <v>5.2977974726124213</v>
      </c>
      <c r="AD25" s="41">
        <v>3199.3676018078668</v>
      </c>
      <c r="AE25" s="42">
        <v>2.9713714389212922</v>
      </c>
      <c r="AF25" s="41">
        <v>3132.0883201976835</v>
      </c>
      <c r="AG25" s="42">
        <v>1.4254458823367591</v>
      </c>
      <c r="AH25" s="41">
        <v>2991.8681329156257</v>
      </c>
      <c r="AI25" s="42">
        <v>0.55148967342026145</v>
      </c>
      <c r="AJ25" s="41">
        <v>2696.6481124359971</v>
      </c>
      <c r="AK25" s="42">
        <v>0.16456873118069337</v>
      </c>
      <c r="AL25" s="41">
        <v>2108.9421630753213</v>
      </c>
      <c r="AM25" s="42">
        <v>4.1243998078348568E-2</v>
      </c>
      <c r="AN25" s="41">
        <v>1151.3152478291397</v>
      </c>
      <c r="AO25" s="42">
        <v>1.1055601761675311E-2</v>
      </c>
      <c r="AP25" s="41">
        <v>927.7110991231616</v>
      </c>
      <c r="AQ25" s="42">
        <v>8.3783831546002177E-3</v>
      </c>
      <c r="AR25" s="41">
        <v>698.89188454708813</v>
      </c>
      <c r="AS25" s="42">
        <v>6.0751564761720306E-3</v>
      </c>
      <c r="AT25" s="41">
        <v>467.00833798014639</v>
      </c>
      <c r="AU25" s="42">
        <v>3.9793084226437056E-3</v>
      </c>
      <c r="AV25" s="41">
        <v>233.70463372978168</v>
      </c>
      <c r="AW25" s="42">
        <v>1.9766536458202272E-3</v>
      </c>
    </row>
    <row r="26" spans="1:49" x14ac:dyDescent="0.2">
      <c r="A26" t="s">
        <v>27</v>
      </c>
      <c r="B26" s="33">
        <v>5036.2953101960647</v>
      </c>
      <c r="C26" s="34">
        <v>74.905331803938267</v>
      </c>
      <c r="D26" s="33">
        <v>5040.8860245246888</v>
      </c>
      <c r="E26" s="34">
        <v>70.314617475314193</v>
      </c>
      <c r="F26" s="33">
        <v>5045.4841067570733</v>
      </c>
      <c r="G26" s="34">
        <v>65.716535242930291</v>
      </c>
      <c r="H26" s="33">
        <v>5050.0894020795431</v>
      </c>
      <c r="I26" s="34">
        <v>61.11123992046145</v>
      </c>
      <c r="J26" s="33">
        <v>5054.7016876887601</v>
      </c>
      <c r="K26" s="34">
        <v>56.498954311247275</v>
      </c>
      <c r="L26" s="33">
        <v>5059.3205837355099</v>
      </c>
      <c r="M26" s="34">
        <v>51.880058264494906</v>
      </c>
      <c r="N26" s="33">
        <v>5063.9453334908112</v>
      </c>
      <c r="O26" s="34">
        <v>47.255308509193625</v>
      </c>
      <c r="P26" s="33">
        <v>5068.5744399718005</v>
      </c>
      <c r="Q26" s="34">
        <v>42.626202028208404</v>
      </c>
      <c r="R26" s="33">
        <v>5073.2049697206412</v>
      </c>
      <c r="S26" s="34">
        <v>37.995672279358473</v>
      </c>
      <c r="T26" s="33">
        <v>5077.8312851789533</v>
      </c>
      <c r="U26" s="34">
        <v>33.369356821050644</v>
      </c>
      <c r="V26" s="33">
        <v>5082.4427921475717</v>
      </c>
      <c r="W26" s="34">
        <v>28.757849852432013</v>
      </c>
      <c r="X26" s="33">
        <v>5087.0201061320831</v>
      </c>
      <c r="Y26" s="34">
        <v>24.180535867922561</v>
      </c>
      <c r="Z26" s="33">
        <v>5091.5285228154153</v>
      </c>
      <c r="AA26" s="34">
        <v>19.672119184588205</v>
      </c>
      <c r="AB26" s="33">
        <v>5095.9072782483854</v>
      </c>
      <c r="AC26" s="34">
        <v>15.293363751614191</v>
      </c>
      <c r="AD26" s="33">
        <v>5100.0528937589743</v>
      </c>
      <c r="AE26" s="34">
        <v>11.147748241025464</v>
      </c>
      <c r="AF26" s="33">
        <v>5103.797214050499</v>
      </c>
      <c r="AG26" s="34">
        <v>7.4034279495070336</v>
      </c>
      <c r="AH26" s="33">
        <v>5106.8945735956922</v>
      </c>
      <c r="AI26" s="34">
        <v>4.3060684043094346</v>
      </c>
      <c r="AJ26" s="33">
        <v>5109.0765375958445</v>
      </c>
      <c r="AK26" s="34">
        <v>2.1241044041656454</v>
      </c>
      <c r="AL26" s="33">
        <v>5110.2619660679657</v>
      </c>
      <c r="AM26" s="34">
        <v>0.93867593204181599</v>
      </c>
      <c r="AN26" s="33">
        <v>5110.7548370383511</v>
      </c>
      <c r="AO26" s="34">
        <v>0.44580496165561145</v>
      </c>
      <c r="AP26" s="33">
        <v>5110.8155262715818</v>
      </c>
      <c r="AQ26" s="34">
        <v>0.38511572842201741</v>
      </c>
      <c r="AR26" s="33">
        <v>5110.8742792873754</v>
      </c>
      <c r="AS26" s="34">
        <v>0.32636271263556649</v>
      </c>
      <c r="AT26" s="33">
        <v>5110.9371698010327</v>
      </c>
      <c r="AU26" s="34">
        <v>0.26347219897051316</v>
      </c>
      <c r="AV26" s="33">
        <v>5111.0151207004183</v>
      </c>
      <c r="AW26" s="34">
        <v>0.18552129958587407</v>
      </c>
    </row>
    <row r="27" spans="1:49" x14ac:dyDescent="0.2">
      <c r="A27" t="s">
        <v>2</v>
      </c>
      <c r="B27" s="35">
        <v>6425.1981590000069</v>
      </c>
      <c r="C27" s="36">
        <v>273.22915400000028</v>
      </c>
      <c r="D27" s="35">
        <v>6441.730714682767</v>
      </c>
      <c r="E27" s="36">
        <v>256.69659387082277</v>
      </c>
      <c r="F27" s="35">
        <v>6458.3176853968607</v>
      </c>
      <c r="G27" s="36">
        <v>240.10962530636178</v>
      </c>
      <c r="H27" s="35">
        <v>6474.958616920223</v>
      </c>
      <c r="I27" s="36">
        <v>223.46869277848964</v>
      </c>
      <c r="J27" s="35">
        <v>6491.652839007711</v>
      </c>
      <c r="K27" s="36">
        <v>206.77447371144982</v>
      </c>
      <c r="L27" s="35">
        <v>6508.3991045557441</v>
      </c>
      <c r="M27" s="36">
        <v>190.02820305046151</v>
      </c>
      <c r="N27" s="35">
        <v>6525.1947795504111</v>
      </c>
      <c r="O27" s="36">
        <v>173.23252217767813</v>
      </c>
      <c r="P27" s="35">
        <v>6542.0344661358631</v>
      </c>
      <c r="Q27" s="36">
        <v>156.39280222189203</v>
      </c>
      <c r="R27" s="35">
        <v>6558.9076599312975</v>
      </c>
      <c r="S27" s="36">
        <v>139.51963003271587</v>
      </c>
      <c r="T27" s="35">
        <v>6575.7936932364655</v>
      </c>
      <c r="U27" s="36">
        <v>122.63358263935935</v>
      </c>
      <c r="V27" s="35">
        <v>6592.6537722826733</v>
      </c>
      <c r="W27" s="36">
        <v>105.77351145110923</v>
      </c>
      <c r="X27" s="35">
        <v>6609.4165762713756</v>
      </c>
      <c r="Y27" s="36">
        <v>89.010737532733387</v>
      </c>
      <c r="Z27" s="35">
        <v>6625.9540352706908</v>
      </c>
      <c r="AA27" s="36">
        <v>72.473277575305715</v>
      </c>
      <c r="AB27" s="35">
        <v>6642.0415207210362</v>
      </c>
      <c r="AC27" s="36">
        <v>56.3857918940964</v>
      </c>
      <c r="AD27" s="35">
        <v>6657.2957345326104</v>
      </c>
      <c r="AE27" s="36">
        <v>41.131574823853356</v>
      </c>
      <c r="AF27" s="35">
        <v>6671.0928054691858</v>
      </c>
      <c r="AG27" s="36">
        <v>27.334509891358117</v>
      </c>
      <c r="AH27" s="35">
        <v>6682.5199135517096</v>
      </c>
      <c r="AI27" s="36">
        <v>15.907402086692745</v>
      </c>
      <c r="AJ27" s="35">
        <v>6690.5774461759711</v>
      </c>
      <c r="AK27" s="36">
        <v>7.8498821454799605</v>
      </c>
      <c r="AL27" s="35">
        <v>6694.9575275723137</v>
      </c>
      <c r="AM27" s="36">
        <v>3.4697218259148173</v>
      </c>
      <c r="AN27" s="35">
        <v>6696.7773318060299</v>
      </c>
      <c r="AO27" s="36">
        <v>1.6480180569916218</v>
      </c>
      <c r="AP27" s="35">
        <v>6697.00466869924</v>
      </c>
      <c r="AQ27" s="36">
        <v>1.4236822706931682</v>
      </c>
      <c r="AR27" s="35">
        <v>6697.2199074158789</v>
      </c>
      <c r="AS27" s="36">
        <v>1.2064987104757414</v>
      </c>
      <c r="AT27" s="35">
        <v>6697.4514978519319</v>
      </c>
      <c r="AU27" s="36">
        <v>0.97401573142946851</v>
      </c>
      <c r="AV27" s="35">
        <v>6697.7395995408078</v>
      </c>
      <c r="AW27" s="36">
        <v>0.68585290508286501</v>
      </c>
    </row>
    <row r="28" spans="1:49" x14ac:dyDescent="0.2">
      <c r="A28" t="s">
        <v>35</v>
      </c>
      <c r="B28" s="41">
        <v>13763.097676000001</v>
      </c>
      <c r="C28" s="42">
        <v>382.36647900000003</v>
      </c>
      <c r="D28" s="41">
        <v>13786.287455596228</v>
      </c>
      <c r="E28" s="42">
        <v>359.14489603043938</v>
      </c>
      <c r="F28" s="41">
        <v>13809.479178932532</v>
      </c>
      <c r="G28" s="42">
        <v>335.85758158747541</v>
      </c>
      <c r="H28" s="41">
        <v>13832.671752840291</v>
      </c>
      <c r="I28" s="42">
        <v>312.50533402691076</v>
      </c>
      <c r="J28" s="41">
        <v>13855.863783286308</v>
      </c>
      <c r="K28" s="42">
        <v>289.08928561680915</v>
      </c>
      <c r="L28" s="41">
        <v>13879.053095814243</v>
      </c>
      <c r="M28" s="42">
        <v>265.61135715054178</v>
      </c>
      <c r="N28" s="41">
        <v>13902.235634779228</v>
      </c>
      <c r="O28" s="42">
        <v>242.07542661303975</v>
      </c>
      <c r="P28" s="41">
        <v>13925.403620698382</v>
      </c>
      <c r="Q28" s="42">
        <v>218.48918171263671</v>
      </c>
      <c r="R28" s="41">
        <v>13948.542313721433</v>
      </c>
      <c r="S28" s="42">
        <v>194.86762171998711</v>
      </c>
      <c r="T28" s="41">
        <v>13971.623384658931</v>
      </c>
      <c r="U28" s="42">
        <v>171.23967615398382</v>
      </c>
      <c r="V28" s="41">
        <v>13994.594158042837</v>
      </c>
      <c r="W28" s="42">
        <v>147.65976937282869</v>
      </c>
      <c r="X28" s="41">
        <v>14017.358565031329</v>
      </c>
      <c r="Y28" s="42">
        <v>124.22759624049749</v>
      </c>
      <c r="Z28" s="41">
        <v>14039.745096540597</v>
      </c>
      <c r="AA28" s="42">
        <v>101.12184983930028</v>
      </c>
      <c r="AB28" s="41">
        <v>14061.454276929117</v>
      </c>
      <c r="AC28" s="42">
        <v>78.655791874984757</v>
      </c>
      <c r="AD28" s="41">
        <v>14081.977084061456</v>
      </c>
      <c r="AE28" s="42">
        <v>57.363464351201458</v>
      </c>
      <c r="AF28" s="41">
        <v>14100.487741391662</v>
      </c>
      <c r="AG28" s="42">
        <v>38.113568519392054</v>
      </c>
      <c r="AH28" s="41">
        <v>14115.781688509687</v>
      </c>
      <c r="AI28" s="42">
        <v>22.176417444699986</v>
      </c>
      <c r="AJ28" s="41">
        <v>14126.545674258627</v>
      </c>
      <c r="AK28" s="42">
        <v>10.942118054397229</v>
      </c>
      <c r="AL28" s="41">
        <v>14132.39004525257</v>
      </c>
      <c r="AM28" s="42">
        <v>4.8361927818640558</v>
      </c>
      <c r="AN28" s="41">
        <v>14134.817575572632</v>
      </c>
      <c r="AO28" s="42">
        <v>2.296987966959342</v>
      </c>
      <c r="AP28" s="41">
        <v>14135.119389967729</v>
      </c>
      <c r="AQ28" s="42">
        <v>1.9843044629243509</v>
      </c>
      <c r="AR28" s="41">
        <v>14135.407173814541</v>
      </c>
      <c r="AS28" s="42">
        <v>1.6815920720983482</v>
      </c>
      <c r="AT28" s="41">
        <v>14135.716295143315</v>
      </c>
      <c r="AU28" s="42">
        <v>1.3575574206560661</v>
      </c>
      <c r="AV28" s="41">
        <v>14136.100379262161</v>
      </c>
      <c r="AW28" s="42">
        <v>0.95591942761522164</v>
      </c>
    </row>
    <row r="29" spans="1:49" x14ac:dyDescent="0.2">
      <c r="A29" t="s">
        <v>53</v>
      </c>
      <c r="B29" s="35">
        <v>14362.768558000003</v>
      </c>
      <c r="C29" s="36">
        <v>817.26651000000004</v>
      </c>
      <c r="D29" s="35">
        <v>14370.879978319703</v>
      </c>
      <c r="E29" s="36">
        <v>762.1224807492946</v>
      </c>
      <c r="F29" s="35">
        <v>14376.614094689216</v>
      </c>
      <c r="G29" s="36">
        <v>707.04960841799175</v>
      </c>
      <c r="H29" s="35">
        <v>14379.458761384563</v>
      </c>
      <c r="I29" s="36">
        <v>652.09617587182322</v>
      </c>
      <c r="J29" s="35">
        <v>14378.752873822752</v>
      </c>
      <c r="K29" s="36">
        <v>597.32063990193728</v>
      </c>
      <c r="L29" s="35">
        <v>14373.629672944677</v>
      </c>
      <c r="M29" s="36">
        <v>542.79453501734906</v>
      </c>
      <c r="N29" s="35">
        <v>14362.932791618441</v>
      </c>
      <c r="O29" s="36">
        <v>488.60726165909841</v>
      </c>
      <c r="P29" s="35">
        <v>14345.088408677962</v>
      </c>
      <c r="Q29" s="36">
        <v>434.87254884348715</v>
      </c>
      <c r="R29" s="35">
        <v>14317.905518606667</v>
      </c>
      <c r="S29" s="36">
        <v>381.73856317692906</v>
      </c>
      <c r="T29" s="35">
        <v>14278.249245667545</v>
      </c>
      <c r="U29" s="36">
        <v>329.40394457677377</v>
      </c>
      <c r="V29" s="35">
        <v>14221.491544594497</v>
      </c>
      <c r="W29" s="36">
        <v>278.14287676113202</v>
      </c>
      <c r="X29" s="35">
        <v>14140.536301296661</v>
      </c>
      <c r="Y29" s="36">
        <v>228.34337145635368</v>
      </c>
      <c r="Z29" s="35">
        <v>14023.999487077554</v>
      </c>
      <c r="AA29" s="36">
        <v>180.56624488585777</v>
      </c>
      <c r="AB29" s="35">
        <v>13852.597400344788</v>
      </c>
      <c r="AC29" s="36">
        <v>135.63174172596254</v>
      </c>
      <c r="AD29" s="35">
        <v>13591.488431712651</v>
      </c>
      <c r="AE29" s="36">
        <v>94.733994247330884</v>
      </c>
      <c r="AF29" s="35">
        <v>13172.980717019233</v>
      </c>
      <c r="AG29" s="36">
        <v>59.546558495873967</v>
      </c>
      <c r="AH29" s="35">
        <v>12456.259547864018</v>
      </c>
      <c r="AI29" s="36">
        <v>32.141164878407409</v>
      </c>
      <c r="AJ29" s="35">
        <v>11142.760995619745</v>
      </c>
      <c r="AK29" s="36">
        <v>14.218639295872951</v>
      </c>
      <c r="AL29" s="35">
        <v>8699.8318118537773</v>
      </c>
      <c r="AM29" s="36">
        <v>5.2749928109869977</v>
      </c>
      <c r="AN29" s="35">
        <v>4759.368301183541</v>
      </c>
      <c r="AO29" s="36">
        <v>1.7971912316163783</v>
      </c>
      <c r="AP29" s="35">
        <v>3836.1315215031182</v>
      </c>
      <c r="AQ29" s="36">
        <v>1.390225671345783</v>
      </c>
      <c r="AR29" s="35">
        <v>2890.4973536952593</v>
      </c>
      <c r="AS29" s="36">
        <v>1.0210141644024286</v>
      </c>
      <c r="AT29" s="35">
        <v>1931.6609556751732</v>
      </c>
      <c r="AU29" s="36">
        <v>0.67325123829883338</v>
      </c>
      <c r="AV29" s="35">
        <v>966.69603306773024</v>
      </c>
      <c r="AW29" s="36">
        <v>0.33525550461313403</v>
      </c>
    </row>
    <row r="30" spans="1:49" x14ac:dyDescent="0.2">
      <c r="A30" t="s">
        <v>48</v>
      </c>
      <c r="B30" s="119">
        <v>2924829.9599999995</v>
      </c>
      <c r="D30" s="119">
        <v>3019403.6617962671</v>
      </c>
      <c r="F30" s="119">
        <v>3118156.3083275128</v>
      </c>
      <c r="H30" s="119">
        <v>3221882.5145082418</v>
      </c>
      <c r="J30" s="119">
        <v>3331568.1655231081</v>
      </c>
      <c r="L30" s="119">
        <v>3448449.7375396304</v>
      </c>
      <c r="N30" s="119">
        <v>3574095.7270449852</v>
      </c>
      <c r="P30" s="119">
        <v>3710524.1655184296</v>
      </c>
      <c r="R30" s="119">
        <v>3860373.6640128652</v>
      </c>
      <c r="T30" s="119">
        <v>4027166.5727195982</v>
      </c>
      <c r="V30" s="119">
        <v>4215716.5787377013</v>
      </c>
      <c r="X30" s="119">
        <v>4432792.4360867525</v>
      </c>
      <c r="Z30" s="119">
        <v>4688201.4481751779</v>
      </c>
      <c r="AB30" s="119">
        <v>4996501.0299891792</v>
      </c>
      <c r="AD30" s="119">
        <v>5379176.602577066</v>
      </c>
      <c r="AF30" s="119">
        <v>5864139.613929091</v>
      </c>
      <c r="AH30" s="119">
        <v>6462260.4217120511</v>
      </c>
      <c r="AJ30" s="119">
        <v>7023775.5558375157</v>
      </c>
      <c r="AL30" s="119">
        <v>6753777.5151725123</v>
      </c>
      <c r="AN30" s="119">
        <v>4221137.0278200982</v>
      </c>
      <c r="AP30" s="119">
        <v>3441846.7246756437</v>
      </c>
      <c r="AR30" s="119">
        <v>2612141.8966340367</v>
      </c>
      <c r="AT30" s="119">
        <v>1752207.0492502451</v>
      </c>
      <c r="AV30" s="119">
        <v>878110.91602161352</v>
      </c>
    </row>
    <row r="31" spans="1:49" x14ac:dyDescent="0.2">
      <c r="A31" t="s">
        <v>47</v>
      </c>
      <c r="B31" s="80">
        <v>1.0000000000000013</v>
      </c>
      <c r="D31" s="80">
        <v>0.98919286403358853</v>
      </c>
      <c r="F31" s="80">
        <v>0.97734941373723538</v>
      </c>
      <c r="H31" s="80">
        <v>0.96429178746957189</v>
      </c>
      <c r="J31" s="80">
        <v>0.94980039074182132</v>
      </c>
      <c r="L31" s="80">
        <v>0.93360106126487385</v>
      </c>
      <c r="N31" s="80">
        <v>0.91534741856385893</v>
      </c>
      <c r="P31" s="80">
        <v>0.89459574932925701</v>
      </c>
      <c r="R31" s="80">
        <v>0.87076911483518726</v>
      </c>
      <c r="T31" s="80">
        <v>0.84310299392935606</v>
      </c>
      <c r="V31" s="80">
        <v>0.81056383268256338</v>
      </c>
      <c r="X31" s="80">
        <v>0.77172068273337679</v>
      </c>
      <c r="Z31" s="80">
        <v>0.72454183837004904</v>
      </c>
      <c r="AB31" s="80">
        <v>0.66607453338840139</v>
      </c>
      <c r="AD31" s="80">
        <v>0.59198272830443799</v>
      </c>
      <c r="AF31" s="80">
        <v>0.49613389017956699</v>
      </c>
      <c r="AH31" s="80">
        <v>0.37163142719847547</v>
      </c>
      <c r="AJ31" s="80">
        <v>0.21935799834085129</v>
      </c>
      <c r="AL31" s="80">
        <v>7.4667393921473771E-2</v>
      </c>
      <c r="AN31" s="80">
        <v>6.3143372801611718E-3</v>
      </c>
      <c r="AP31" s="80">
        <v>2.6515095955367478E-3</v>
      </c>
      <c r="AR31" s="80">
        <v>8.5195107496813575E-4</v>
      </c>
      <c r="AT31" s="80">
        <v>1.6962778913232266E-4</v>
      </c>
      <c r="AV31" s="80">
        <v>1.0632028678916424E-5</v>
      </c>
    </row>
    <row r="32" spans="1:49" x14ac:dyDescent="0.2">
      <c r="A32" t="s">
        <v>64</v>
      </c>
      <c r="B32" s="86">
        <v>14734457.915000005</v>
      </c>
      <c r="D32" s="86">
        <v>14743521.084809955</v>
      </c>
      <c r="F32" s="86">
        <v>14748459.882992722</v>
      </c>
      <c r="H32" s="86">
        <v>14748415.822509572</v>
      </c>
      <c r="J32" s="86">
        <v>14742274.722824538</v>
      </c>
      <c r="L32" s="86">
        <v>14728572.465146044</v>
      </c>
      <c r="N32" s="86">
        <v>14705359.757179912</v>
      </c>
      <c r="P32" s="86">
        <v>14670004.905205773</v>
      </c>
      <c r="R32" s="86">
        <v>14618902.866613317</v>
      </c>
      <c r="T32" s="86">
        <v>14547027.451535152</v>
      </c>
      <c r="V32" s="86">
        <v>14447239.807353383</v>
      </c>
      <c r="X32" s="86">
        <v>14309162.903124886</v>
      </c>
      <c r="Z32" s="86">
        <v>14117276.832560627</v>
      </c>
      <c r="AB32" s="86">
        <v>13847489.332273258</v>
      </c>
      <c r="AD32" s="86">
        <v>13460468.861469923</v>
      </c>
      <c r="AF32" s="86">
        <v>12887485.631126739</v>
      </c>
      <c r="AH32" s="86">
        <v>11998127.37757254</v>
      </c>
      <c r="AJ32" s="86">
        <v>10532219.122260798</v>
      </c>
      <c r="AL32" s="86">
        <v>8053058.2536466895</v>
      </c>
      <c r="AN32" s="86">
        <v>4337637.8949629925</v>
      </c>
      <c r="AP32" s="86">
        <v>3491025.3458038559</v>
      </c>
      <c r="AR32" s="86">
        <v>2627995.4005297418</v>
      </c>
      <c r="AT32" s="86">
        <v>1755368.9905803292</v>
      </c>
      <c r="AV32" s="86">
        <v>878309.22845540114</v>
      </c>
    </row>
    <row r="33" spans="1:49 16319:16321" x14ac:dyDescent="0.2">
      <c r="A33" t="s">
        <v>54</v>
      </c>
      <c r="B33" s="117">
        <v>7019665.6910000062</v>
      </c>
      <c r="D33" s="117">
        <v>6969100.0207089623</v>
      </c>
      <c r="F33" s="117">
        <v>6913595.2248383807</v>
      </c>
      <c r="H33" s="117">
        <v>6852167.9695759723</v>
      </c>
      <c r="J33" s="117">
        <v>6783569.0618822761</v>
      </c>
      <c r="L33" s="117">
        <v>6706192.1521582343</v>
      </c>
      <c r="N33" s="117">
        <v>6617944.7000631075</v>
      </c>
      <c r="P33" s="117">
        <v>6516060.6879720427</v>
      </c>
      <c r="R33" s="117">
        <v>6396826.1598679358</v>
      </c>
      <c r="T33" s="117">
        <v>6255155.821197792</v>
      </c>
      <c r="V33" s="117">
        <v>6083939.2410366759</v>
      </c>
      <c r="X33" s="117">
        <v>5872976.4452879317</v>
      </c>
      <c r="Z33" s="117">
        <v>5607200.184633458</v>
      </c>
      <c r="AB33" s="117">
        <v>5263617.5123321861</v>
      </c>
      <c r="AD33" s="117">
        <v>4806048.412062671</v>
      </c>
      <c r="AF33" s="117">
        <v>4177002.4107917994</v>
      </c>
      <c r="AH33" s="117">
        <v>3292435.936126722</v>
      </c>
      <c r="AJ33" s="117">
        <v>2086670.8669088967</v>
      </c>
      <c r="AL33" s="117">
        <v>772763.63665634114</v>
      </c>
      <c r="AN33" s="117">
        <v>69290.653479045257</v>
      </c>
      <c r="AP33" s="117">
        <v>29249.736281300895</v>
      </c>
      <c r="AR33" s="117">
        <v>9429.119767124299</v>
      </c>
      <c r="AT33" s="117">
        <v>1880.61523126252</v>
      </c>
      <c r="AV33" s="117">
        <v>117.94957155629527</v>
      </c>
    </row>
    <row r="34" spans="1:49 16319:16321" x14ac:dyDescent="0.2">
      <c r="A34" t="s">
        <v>75</v>
      </c>
      <c r="B34" s="117">
        <v>1136879.4409999985</v>
      </c>
      <c r="D34" s="117">
        <v>1137578.66938034</v>
      </c>
      <c r="F34" s="117">
        <v>1137959.7645155981</v>
      </c>
      <c r="H34" s="117">
        <v>1137956.3525398774</v>
      </c>
      <c r="J34" s="117">
        <v>1137482.5675330735</v>
      </c>
      <c r="L34" s="117">
        <v>1136425.2599403155</v>
      </c>
      <c r="N34" s="117">
        <v>1134634.1458320415</v>
      </c>
      <c r="P34" s="117">
        <v>1131906.2105300277</v>
      </c>
      <c r="R34" s="117">
        <v>1127963.3833648963</v>
      </c>
      <c r="T34" s="117">
        <v>1122417.6010282645</v>
      </c>
      <c r="V34" s="117">
        <v>1114718.2323187438</v>
      </c>
      <c r="X34" s="117">
        <v>1104064.5788038403</v>
      </c>
      <c r="Z34" s="117">
        <v>1089259.059875743</v>
      </c>
      <c r="AB34" s="117">
        <v>1068442.827936877</v>
      </c>
      <c r="AD34" s="117">
        <v>1038581.1393126054</v>
      </c>
      <c r="AF34" s="117">
        <v>994370.98614455212</v>
      </c>
      <c r="AH34" s="117">
        <v>925749.99529275415</v>
      </c>
      <c r="AJ34" s="117">
        <v>812643.63211581018</v>
      </c>
      <c r="AL34" s="117">
        <v>621356.85020170175</v>
      </c>
      <c r="AN34" s="117">
        <v>334682.91576665337</v>
      </c>
      <c r="AP34" s="117">
        <v>269360.09239373193</v>
      </c>
      <c r="AR34" s="117">
        <v>202770.53683883286</v>
      </c>
      <c r="AT34" s="117">
        <v>135440.53864096297</v>
      </c>
      <c r="AV34" s="117">
        <v>67768.47240807116</v>
      </c>
    </row>
    <row r="35" spans="1:49 16319:16321" x14ac:dyDescent="0.2">
      <c r="A35" t="s">
        <v>78</v>
      </c>
      <c r="B35" s="233">
        <v>1</v>
      </c>
      <c r="D35" s="233">
        <v>1.0036467022861399</v>
      </c>
      <c r="F35" s="233">
        <v>1.007747101650752</v>
      </c>
      <c r="H35" s="233">
        <v>1.0124073381816936</v>
      </c>
      <c r="J35" s="233">
        <v>1.0177657877347777</v>
      </c>
      <c r="L35" s="233">
        <v>1.0240056227433523</v>
      </c>
      <c r="N35" s="233">
        <v>1.0313733984730773</v>
      </c>
      <c r="P35" s="233">
        <v>1.0402074367453078</v>
      </c>
      <c r="R35" s="233">
        <v>1.0509821483123007</v>
      </c>
      <c r="T35" s="233">
        <v>1.0643799141449199</v>
      </c>
      <c r="V35" s="233">
        <v>1.0814110331715727</v>
      </c>
      <c r="X35" s="233">
        <v>1.1036225767038792</v>
      </c>
      <c r="Z35" s="233">
        <v>1.1334765042802808</v>
      </c>
      <c r="AB35" s="233">
        <v>1.1750617226717084</v>
      </c>
      <c r="AD35" s="233">
        <v>1.235470269186834</v>
      </c>
      <c r="AF35" s="233">
        <v>1.3273939674887929</v>
      </c>
      <c r="AH35" s="233">
        <v>1.4730043725712216</v>
      </c>
      <c r="AJ35" s="233">
        <v>1.7022540944367286</v>
      </c>
      <c r="AL35" s="233">
        <v>2.0075939712561985</v>
      </c>
      <c r="AN35" s="233">
        <v>2.2401618984019001</v>
      </c>
      <c r="AP35" s="233">
        <v>2.2618555008185548</v>
      </c>
      <c r="AR35" s="233">
        <v>2.2754993554592913</v>
      </c>
      <c r="AT35" s="233">
        <v>2.2826545298389567</v>
      </c>
      <c r="AV35" s="233">
        <v>2.2853164558224437</v>
      </c>
    </row>
    <row r="36" spans="1:49 16319:16321" x14ac:dyDescent="0.2">
      <c r="A36" t="s">
        <v>21</v>
      </c>
      <c r="B36" s="37">
        <v>0.4719576767198812</v>
      </c>
      <c r="C36" s="38">
        <v>0.31738834428178975</v>
      </c>
      <c r="D36" s="37">
        <v>0.47197211957471974</v>
      </c>
      <c r="E36" s="38">
        <v>0.31929526361776733</v>
      </c>
      <c r="F36" s="37">
        <v>0.4719877434221092</v>
      </c>
      <c r="G36" s="38">
        <v>0.32145164245267749</v>
      </c>
      <c r="H36" s="37">
        <v>0.47200476173731426</v>
      </c>
      <c r="I36" s="38">
        <v>0.32390119916192972</v>
      </c>
      <c r="J36" s="37">
        <v>0.47202344841192645</v>
      </c>
      <c r="K36" s="38">
        <v>0.32669747025776003</v>
      </c>
      <c r="L36" s="37">
        <v>0.47204415674140326</v>
      </c>
      <c r="M36" s="38">
        <v>0.32990656136706115</v>
      </c>
      <c r="N36" s="37">
        <v>0.47206734928168431</v>
      </c>
      <c r="O36" s="38">
        <v>0.33361082626443517</v>
      </c>
      <c r="P36" s="37">
        <v>0.47209363495635293</v>
      </c>
      <c r="Q36" s="38">
        <v>0.33791394059021612</v>
      </c>
      <c r="R36" s="37">
        <v>0.47212382706188416</v>
      </c>
      <c r="S36" s="38">
        <v>0.34294796265441663</v>
      </c>
      <c r="T36" s="37">
        <v>0.47215900774078323</v>
      </c>
      <c r="U36" s="38">
        <v>0.3488836535983339</v>
      </c>
      <c r="V36" s="37">
        <v>0.47220063018838448</v>
      </c>
      <c r="W36" s="38">
        <v>0.35594562491489551</v>
      </c>
      <c r="X36" s="37">
        <v>0.47225062109509885</v>
      </c>
      <c r="Y36" s="38">
        <v>0.36443566581831954</v>
      </c>
      <c r="Z36" s="37">
        <v>0.47231146442611999</v>
      </c>
      <c r="AA36" s="38">
        <v>0.37476919791393748</v>
      </c>
      <c r="AB36" s="37">
        <v>0.47238611988165752</v>
      </c>
      <c r="AC36" s="38">
        <v>0.38753246247243323</v>
      </c>
      <c r="AD36" s="37">
        <v>0.47247732155040667</v>
      </c>
      <c r="AE36" s="38">
        <v>0.40356681492207885</v>
      </c>
      <c r="AF36" s="37">
        <v>0.47258498885025613</v>
      </c>
      <c r="AG36" s="38">
        <v>0.42405812099621937</v>
      </c>
      <c r="AH36" s="37">
        <v>0.47269899846396574</v>
      </c>
      <c r="AI36" s="38">
        <v>0.45044184458597092</v>
      </c>
      <c r="AJ36" s="37">
        <v>0.47278717682428489</v>
      </c>
      <c r="AK36" s="38">
        <v>0.48323673384600674</v>
      </c>
      <c r="AL36" s="37">
        <v>0.47280700840994877</v>
      </c>
      <c r="AM36" s="38">
        <v>0.51762499351979019</v>
      </c>
      <c r="AN36" s="37">
        <v>0.47278207942414402</v>
      </c>
      <c r="AO36" s="38">
        <v>0.53949973233257498</v>
      </c>
      <c r="AP36" s="37">
        <v>0.47277864950628995</v>
      </c>
      <c r="AQ36" s="38">
        <v>0.54140218981874955</v>
      </c>
      <c r="AR36" s="37">
        <v>0.47277641866928205</v>
      </c>
      <c r="AS36" s="38">
        <v>0.54258912026370609</v>
      </c>
      <c r="AT36" s="37">
        <v>0.47277522848324083</v>
      </c>
      <c r="AU36" s="38">
        <v>0.54320917646162492</v>
      </c>
      <c r="AV36" s="37">
        <v>0.47277478329607742</v>
      </c>
      <c r="AW36" s="38">
        <v>0.54343971878656494</v>
      </c>
    </row>
    <row r="37" spans="1:49 16319:16321" x14ac:dyDescent="0.2">
      <c r="B37" s="39">
        <v>2.1403217525954435E-2</v>
      </c>
      <c r="C37" s="40">
        <v>0.3496246130199252</v>
      </c>
      <c r="D37" s="39">
        <v>2.0880457917377377E-2</v>
      </c>
      <c r="E37" s="40">
        <v>0.34652335292517122</v>
      </c>
      <c r="F37" s="39">
        <v>2.034140057489494E-2</v>
      </c>
      <c r="G37" s="40">
        <v>0.34336476817764938</v>
      </c>
      <c r="H37" s="39">
        <v>1.9784809634600789E-2</v>
      </c>
      <c r="I37" s="40">
        <v>0.34015150614997963</v>
      </c>
      <c r="J37" s="39">
        <v>1.9209306866379491E-2</v>
      </c>
      <c r="K37" s="40">
        <v>0.33688759851954214</v>
      </c>
      <c r="L37" s="39">
        <v>1.8613342589381108E-2</v>
      </c>
      <c r="M37" s="40">
        <v>0.33357878686270764</v>
      </c>
      <c r="N37" s="39">
        <v>1.7995162809037214E-2</v>
      </c>
      <c r="O37" s="40">
        <v>0.33023293354113747</v>
      </c>
      <c r="P37" s="39">
        <v>1.7352758209669243E-2</v>
      </c>
      <c r="Q37" s="40">
        <v>0.32686045884037312</v>
      </c>
      <c r="R37" s="39">
        <v>1.6683800114468416E-2</v>
      </c>
      <c r="S37" s="40">
        <v>0.32347486085523708</v>
      </c>
      <c r="T37" s="39">
        <v>1.5985525348717233E-2</v>
      </c>
      <c r="U37" s="40">
        <v>0.32009316324642162</v>
      </c>
      <c r="V37" s="39">
        <v>1.5254593049976235E-2</v>
      </c>
      <c r="W37" s="40">
        <v>0.31673647753611056</v>
      </c>
      <c r="X37" s="39">
        <v>1.4486861141432305E-2</v>
      </c>
      <c r="Y37" s="40">
        <v>0.31343051578218217</v>
      </c>
      <c r="Z37" s="39">
        <v>1.367711263586675E-2</v>
      </c>
      <c r="AA37" s="40">
        <v>0.31020632296867162</v>
      </c>
      <c r="AB37" s="39">
        <v>1.2818830087836313E-2</v>
      </c>
      <c r="AC37" s="40">
        <v>0.30710164101270371</v>
      </c>
      <c r="AD37" s="39">
        <v>1.1904488687543346E-2</v>
      </c>
      <c r="AE37" s="40">
        <v>0.30416401614168587</v>
      </c>
      <c r="AF37" s="39">
        <v>1.0928088666898641E-2</v>
      </c>
      <c r="AG37" s="40">
        <v>0.3014579640996502</v>
      </c>
      <c r="AH37" s="39">
        <v>9.8955615790215744E-3</v>
      </c>
      <c r="AI37" s="40">
        <v>0.29907945795657526</v>
      </c>
      <c r="AJ37" s="39">
        <v>8.8575422410734767E-3</v>
      </c>
      <c r="AK37" s="40">
        <v>0.29717455487790029</v>
      </c>
      <c r="AL37" s="39">
        <v>7.9741989121543504E-3</v>
      </c>
      <c r="AM37" s="40">
        <v>0.29592183367861946</v>
      </c>
      <c r="AN37" s="39">
        <v>7.494413090109342E-3</v>
      </c>
      <c r="AO37" s="40">
        <v>0.29538623299244676</v>
      </c>
      <c r="AP37" s="39">
        <v>7.4552956044829349E-3</v>
      </c>
      <c r="AQ37" s="40">
        <v>0.29534838025717763</v>
      </c>
      <c r="AR37" s="39">
        <v>7.4311086832475545E-3</v>
      </c>
      <c r="AS37" s="40">
        <v>0.29532582239786781</v>
      </c>
      <c r="AT37" s="39">
        <v>7.4185489393122951E-3</v>
      </c>
      <c r="AU37" s="40">
        <v>0.29531454880802721</v>
      </c>
      <c r="AV37" s="39">
        <v>7.4138975462772596E-3</v>
      </c>
      <c r="AW37" s="40">
        <v>0.29531055112378668</v>
      </c>
    </row>
    <row r="38" spans="1:49 16319:16321" x14ac:dyDescent="0.2">
      <c r="A38" t="s">
        <v>22</v>
      </c>
      <c r="B38" s="37">
        <v>0.18079094942242827</v>
      </c>
      <c r="C38" s="38">
        <v>6.0565413429233668E-2</v>
      </c>
      <c r="D38" s="37">
        <v>0.18084846110792588</v>
      </c>
      <c r="E38" s="38">
        <v>6.0792960583648185E-2</v>
      </c>
      <c r="F38" s="37">
        <v>0.18093565714391754</v>
      </c>
      <c r="G38" s="38">
        <v>6.1054882186723856E-2</v>
      </c>
      <c r="H38" s="37">
        <v>0.18105891110363723</v>
      </c>
      <c r="I38" s="38">
        <v>6.1357709509277839E-2</v>
      </c>
      <c r="J38" s="37">
        <v>0.18122650110446731</v>
      </c>
      <c r="K38" s="38">
        <v>6.1709574861499486E-2</v>
      </c>
      <c r="L38" s="37">
        <v>0.18144935788310487</v>
      </c>
      <c r="M38" s="38">
        <v>6.212070593023885E-2</v>
      </c>
      <c r="N38" s="37">
        <v>0.18174218306599851</v>
      </c>
      <c r="O38" s="38">
        <v>6.2604098405010633E-2</v>
      </c>
      <c r="P38" s="37">
        <v>0.18212517975284484</v>
      </c>
      <c r="Q38" s="38">
        <v>6.3176492661885728E-2</v>
      </c>
      <c r="R38" s="37">
        <v>0.18262680104619677</v>
      </c>
      <c r="S38" s="38">
        <v>6.3859821242273865E-2</v>
      </c>
      <c r="T38" s="37">
        <v>0.18328834577444311</v>
      </c>
      <c r="U38" s="38">
        <v>6.4683381295967832E-2</v>
      </c>
      <c r="V38" s="37">
        <v>0.18417189391165434</v>
      </c>
      <c r="W38" s="38">
        <v>6.5687318086318572E-2</v>
      </c>
      <c r="X38" s="37">
        <v>0.18537489077919317</v>
      </c>
      <c r="Y38" s="38">
        <v>6.692847530065868E-2</v>
      </c>
      <c r="Z38" s="37">
        <v>0.18705862021854663</v>
      </c>
      <c r="AA38" s="38">
        <v>6.8490764530090814E-2</v>
      </c>
      <c r="AB38" s="37">
        <v>0.18950823843347037</v>
      </c>
      <c r="AC38" s="38">
        <v>7.0504749229992156E-2</v>
      </c>
      <c r="AD38" s="37">
        <v>0.19327147649074083</v>
      </c>
      <c r="AE38" s="38">
        <v>7.3187408708067378E-2</v>
      </c>
      <c r="AF38" s="37">
        <v>0.19951604873027978</v>
      </c>
      <c r="AG38" s="38">
        <v>7.692933536562982E-2</v>
      </c>
      <c r="AH38" s="37">
        <v>0.21107694906240257</v>
      </c>
      <c r="AI38" s="38">
        <v>8.250403806493721E-2</v>
      </c>
      <c r="AJ38" s="37">
        <v>0.23601862378792593</v>
      </c>
      <c r="AK38" s="38">
        <v>9.1631490605519894E-2</v>
      </c>
      <c r="AL38" s="37">
        <v>0.30235151865613064</v>
      </c>
      <c r="AM38" s="38">
        <v>0.1088482628244012</v>
      </c>
      <c r="AN38" s="37">
        <v>0.55276017034193237</v>
      </c>
      <c r="AO38" s="38">
        <v>0.15154029360780857</v>
      </c>
      <c r="AP38" s="37">
        <v>0.68580498267704526</v>
      </c>
      <c r="AQ38" s="38">
        <v>0.16921606092672933</v>
      </c>
      <c r="AR38" s="37">
        <v>0.91018240328533284</v>
      </c>
      <c r="AS38" s="38">
        <v>0.19524444870849375</v>
      </c>
      <c r="AT38" s="37">
        <v>1.3619979816064334</v>
      </c>
      <c r="AU38" s="38">
        <v>0.23903102083631503</v>
      </c>
      <c r="AV38" s="37">
        <v>2.721600843097427</v>
      </c>
      <c r="AW38" s="38">
        <v>0.33799445101603748</v>
      </c>
    </row>
    <row r="39" spans="1:49 16319:16321" x14ac:dyDescent="0.2">
      <c r="A39" t="s">
        <v>23</v>
      </c>
      <c r="B39" s="39">
        <v>0.23064923795098646</v>
      </c>
      <c r="C39" s="40">
        <v>0.22092201281804777</v>
      </c>
      <c r="D39" s="39">
        <v>0.23110561932054097</v>
      </c>
      <c r="E39" s="40">
        <v>0.22193601378297115</v>
      </c>
      <c r="F39" s="39">
        <v>0.23160115654442745</v>
      </c>
      <c r="G39" s="40">
        <v>0.22307726405213091</v>
      </c>
      <c r="H39" s="39">
        <v>0.23214419850427492</v>
      </c>
      <c r="I39" s="40">
        <v>0.22436997111769755</v>
      </c>
      <c r="J39" s="39">
        <v>0.2327455907563519</v>
      </c>
      <c r="K39" s="40">
        <v>0.22584426597792337</v>
      </c>
      <c r="L39" s="39">
        <v>0.23341964969863069</v>
      </c>
      <c r="M39" s="40">
        <v>0.22753802742407858</v>
      </c>
      <c r="N39" s="39">
        <v>0.23418561340369978</v>
      </c>
      <c r="O39" s="40">
        <v>0.22949941937739371</v>
      </c>
      <c r="P39" s="39">
        <v>0.23506988349586699</v>
      </c>
      <c r="Q39" s="40">
        <v>0.23179050095536705</v>
      </c>
      <c r="R39" s="39">
        <v>0.2361095858416713</v>
      </c>
      <c r="S39" s="40">
        <v>0.23449245925088427</v>
      </c>
      <c r="T39" s="39">
        <v>0.23735848642809951</v>
      </c>
      <c r="U39" s="40">
        <v>0.23771374522113156</v>
      </c>
      <c r="V39" s="39">
        <v>0.23889723520765166</v>
      </c>
      <c r="W39" s="40">
        <v>0.24160284330882584</v>
      </c>
      <c r="X39" s="39">
        <v>0.24085217875659062</v>
      </c>
      <c r="Y39" s="40">
        <v>0.24636976537628641</v>
      </c>
      <c r="Z39" s="39">
        <v>0.24343216657144132</v>
      </c>
      <c r="AA39" s="40">
        <v>0.25232412139018262</v>
      </c>
      <c r="AB39" s="39">
        <v>0.24700637579623941</v>
      </c>
      <c r="AC39" s="40">
        <v>0.25994713669242236</v>
      </c>
      <c r="AD39" s="39">
        <v>0.25228471211017123</v>
      </c>
      <c r="AE39" s="40">
        <v>0.27003779708276726</v>
      </c>
      <c r="AF39" s="39">
        <v>0.2607842791237982</v>
      </c>
      <c r="AG39" s="40">
        <v>0.28403405730820047</v>
      </c>
      <c r="AH39" s="39">
        <v>0.27620031999370487</v>
      </c>
      <c r="AI39" s="40">
        <v>0.30478496485594814</v>
      </c>
      <c r="AJ39" s="39">
        <v>0.30907755434332546</v>
      </c>
      <c r="AK39" s="40">
        <v>0.33863514460840599</v>
      </c>
      <c r="AL39" s="39">
        <v>0.39611092136579923</v>
      </c>
      <c r="AM39" s="40">
        <v>0.40234673154260947</v>
      </c>
      <c r="AN39" s="39">
        <v>0.72429844449674485</v>
      </c>
      <c r="AO39" s="40">
        <v>0.56020269334823591</v>
      </c>
      <c r="AP39" s="39">
        <v>0.89865093881717939</v>
      </c>
      <c r="AQ39" s="40">
        <v>0.62555197847937716</v>
      </c>
      <c r="AR39" s="39">
        <v>1.1926905999949777</v>
      </c>
      <c r="AS39" s="40">
        <v>0.72178029681162037</v>
      </c>
      <c r="AT39" s="39">
        <v>1.7847833222994656</v>
      </c>
      <c r="AU39" s="40">
        <v>0.88366049816235936</v>
      </c>
      <c r="AV39" s="39">
        <v>3.5665270617433089</v>
      </c>
      <c r="AW39" s="40">
        <v>1.2495302515058933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0.10800000000000001</v>
      </c>
      <c r="G42" s="135"/>
      <c r="H42" s="177">
        <f>10.8%+(1-10.8%)*(1-SUM(H26:I26)/SUM($B$26:$C$26))</f>
        <v>0.10799999999999982</v>
      </c>
      <c r="I42" s="135"/>
      <c r="J42" s="177">
        <f>10.8%+(1-10.8%)*(1-SUM(J26:K26)/SUM($B$26:$C$26))</f>
        <v>0.10799999999999942</v>
      </c>
      <c r="K42" s="135"/>
      <c r="L42" s="177">
        <f>10.8%+(1-10.8%)*(1-SUM(L26:M26)/SUM($B$26:$C$26))</f>
        <v>0.10799999999999961</v>
      </c>
      <c r="M42" s="135"/>
      <c r="N42" s="177">
        <f>10.8%+(1-10.8%)*(1-SUM(N26:O26)/SUM($B$26:$C$26))</f>
        <v>0.10799999999999961</v>
      </c>
      <c r="O42" s="135"/>
      <c r="P42" s="177">
        <f>10.8%+(1-10.8%)*(1-SUM(P26:Q26)/SUM($B$26:$C$26))</f>
        <v>0.10799999999999903</v>
      </c>
      <c r="Q42" s="135"/>
      <c r="R42" s="177">
        <f>10.8%+(1-10.8%)*(1-SUM(R26:S26)/SUM($B$26:$C$26))</f>
        <v>0.10800000000000061</v>
      </c>
      <c r="S42" s="135"/>
      <c r="T42" s="177">
        <f>10.8%+(1-10.8%)*(1-SUM(T26:U26)/SUM($B$26:$C$26))</f>
        <v>0.10799999999999982</v>
      </c>
      <c r="U42" s="135"/>
      <c r="V42" s="177">
        <f>10.8%+(1-10.8%)*(1-SUM(V26:W26)/SUM($B$26:$C$26))</f>
        <v>0.10800000000000001</v>
      </c>
      <c r="W42" s="135"/>
      <c r="X42" s="177">
        <f>10.8%+(1-10.8%)*(1-SUM(X26:Y26)/SUM($B$26:$C$26))</f>
        <v>0.10799999999999961</v>
      </c>
      <c r="Y42" s="162"/>
      <c r="Z42" s="177">
        <f>10.8%+(1-10.8%)*(1-SUM(Z26:AA26)/SUM($B$26:$C$26))</f>
        <v>0.10800000000000001</v>
      </c>
      <c r="AA42" s="135"/>
      <c r="AB42" s="177">
        <f>10.8%+(1-10.8%)*(1-SUM(AB26:AC26)/SUM($B$26:$C$26))</f>
        <v>0.10800000000000061</v>
      </c>
      <c r="AC42" s="135"/>
      <c r="AD42" s="177">
        <f>10.8%+(1-10.8%)*(1-SUM(AD26:AE26)/SUM($B$26:$C$26))</f>
        <v>0.10800000000000061</v>
      </c>
      <c r="AE42" s="135"/>
      <c r="AF42" s="177">
        <f>10.8%+(1-10.8%)*(1-SUM(AF26:AG26)/SUM($B$26:$C$26))</f>
        <v>0.10799999999999961</v>
      </c>
      <c r="AG42" s="135"/>
      <c r="AH42" s="177">
        <f>10.8%+(1-10.8%)*(1-SUM(AH26:AI26)/SUM($B$26:$C$26))</f>
        <v>0.1080000000000003</v>
      </c>
      <c r="AI42" s="135"/>
      <c r="AJ42" s="177">
        <f>10.8%+(1-10.8%)*(1-SUM(AJ26:AK26)/SUM($B$26:$C$26))</f>
        <v>0.10799999999999882</v>
      </c>
      <c r="AK42" s="135"/>
      <c r="AL42" s="177">
        <f>10.8%+(1-10.8%)*(1-SUM(AL26:AM26)/SUM($B$26:$C$26))</f>
        <v>0.10799999999999942</v>
      </c>
      <c r="AM42" s="135"/>
      <c r="AN42" s="177">
        <f>10.8%+(1-10.8%)*(1-SUM(AN26:AO26)/SUM($B$26:$C$26))</f>
        <v>0.10799999999999942</v>
      </c>
      <c r="AO42" s="135"/>
      <c r="AP42" s="177">
        <f>10.8%+(1-10.8%)*(1-SUM(AP26:AQ26)/SUM($B$26:$C$26))</f>
        <v>0.10800000000000001</v>
      </c>
      <c r="AQ42" s="135"/>
      <c r="AR42" s="177">
        <f>10.8%+(1-10.8%)*(1-SUM(AR26:AS26)/SUM($B$26:$C$26))</f>
        <v>0.10799999999999882</v>
      </c>
      <c r="AS42" s="135"/>
      <c r="AT42" s="177">
        <f>10.8%+(1-10.8%)*(1-SUM(AT26:AU26)/SUM($B$26:$C$26))</f>
        <v>0.10800000000000001</v>
      </c>
      <c r="AU42" s="135"/>
      <c r="AV42" s="177">
        <f>10.8%+(1-10.8%)*(1-SUM(AV26:AW26)/SUM($B$26:$C$26))</f>
        <v>0.10799999999999982</v>
      </c>
    </row>
    <row r="43" spans="1:49 16319:16321" x14ac:dyDescent="0.2">
      <c r="A43" t="s">
        <v>108</v>
      </c>
      <c r="B43" s="162">
        <f>SUM(B15:C15*B27:C27)/SUM(B15:C15*B27:C27,B13:C13*B26:C26)</f>
        <v>0.56058995943839085</v>
      </c>
      <c r="C43" s="135"/>
      <c r="D43" s="162">
        <f t="array" ref="D43">SUM(D15:E15*D27:E27)/SUM(D15:E15*D27:E27,D13:E13*D26:E26)</f>
        <v>0.56448403763661104</v>
      </c>
      <c r="E43" s="135"/>
      <c r="F43" s="162">
        <f t="array" ref="F43">SUM(F15:G15*F27:G27)/SUM(F15:G15*F27:G27,F13:G13*F26:G26)</f>
        <v>0.5617616816694353</v>
      </c>
      <c r="G43" s="135"/>
      <c r="H43" s="162">
        <f t="array" ref="H43">SUM(H15:I15*H27:I27)/SUM(H15:I15*H27:I27,H13:I13*H26:I26)</f>
        <v>0.55903372794973993</v>
      </c>
      <c r="I43" s="135"/>
      <c r="J43" s="162">
        <f t="array" ref="J43">SUM(J15:K15*J27:K27)/SUM(J15:K15*J27:K27,J13:K13*J26:K26)</f>
        <v>0.55630047463522736</v>
      </c>
      <c r="K43" s="135"/>
      <c r="L43" s="162">
        <f t="array" ref="L43">SUM(L15:M15*L27:M27)/SUM(L15:M15*L27:M27,L13:M13*L26:M26)</f>
        <v>0.5535623084973138</v>
      </c>
      <c r="M43" s="135"/>
      <c r="N43" s="162">
        <f t="array" ref="N43">SUM(N15:O15*N27:O27)/SUM(N15:O15*N27:O27,N13:O13*N26:O26)</f>
        <v>0.55081985049006976</v>
      </c>
      <c r="O43" s="135"/>
      <c r="P43" s="162">
        <f t="array" ref="P43">SUM(P15:Q15*P27:Q27)/SUM(P15:Q15*P27:Q27,P13:Q13*P26:Q26)</f>
        <v>0.54807416433650158</v>
      </c>
      <c r="Q43" s="135"/>
      <c r="R43" s="162">
        <f t="array" ref="R43">SUM(R15:S15*R27:S27)/SUM(R15:S15*R27:S27,R13:S13*R26:S26)</f>
        <v>0.54532715895045847</v>
      </c>
      <c r="S43" s="135"/>
      <c r="T43" s="162">
        <f t="array" ref="T43">SUM(T15:U15*T27:U27)/SUM(T15:U15*T27:U27,T13:U13*T26:U26)</f>
        <v>0.54258234836523933</v>
      </c>
      <c r="U43" s="135"/>
      <c r="V43" s="162">
        <f t="array" ref="V43">SUM(V15:W15*V27:W27)/SUM(V15:W15*V27:W27,V13:W13*V26:W26)</f>
        <v>0.53984619727021621</v>
      </c>
      <c r="W43" s="135"/>
      <c r="X43" s="162">
        <f t="array" ref="X43">SUM(X15:Y15*X27:Y27)/SUM(X15:Y15*X27:Y27,X13:Y13*X26:Y26)</f>
        <v>0.53713037810406561</v>
      </c>
      <c r="Y43" s="135"/>
      <c r="Z43" s="162">
        <f t="array" ref="Z43">SUM(Z15:AA15*Z27:AA27)/SUM(Z15:AA15*Z27:AA27,Z13:AA13*Z26:AA26)</f>
        <v>0.53445563802369822</v>
      </c>
      <c r="AA43" s="135"/>
      <c r="AB43" s="162">
        <f t="array" ref="AB43">SUM(AB15:AC15*AB27:AC27)/SUM(AB15:AC15*AB27:AC27,AB13:AC13*AB26:AC26)</f>
        <v>0.53185816863592117</v>
      </c>
      <c r="AC43" s="135"/>
      <c r="AD43" s="162">
        <f t="array" ref="AD43">SUM(AD15:AE15*AD27:AE27)/SUM(AD15:AE15*AD27:AE27,AD13:AE13*AD26:AE26)</f>
        <v>0.52939944347528956</v>
      </c>
      <c r="AE43" s="135"/>
      <c r="AF43" s="162">
        <f t="array" ref="AF43">SUM(AF15:AG15*AF27:AG27)/SUM(AF15:AG15*AF27:AG27,AF13:AG13*AF26:AG26)</f>
        <v>0.52717920309263488</v>
      </c>
      <c r="AG43" s="135"/>
      <c r="AH43" s="162">
        <f t="array" ref="AH43">SUM(AH15:AI15*AH27:AI27)/SUM(AH15:AI15*AH27:AI27,AH13:AI13*AH26:AI26)</f>
        <v>0.52534299445108079</v>
      </c>
      <c r="AI43" s="135"/>
      <c r="AJ43" s="162">
        <f t="array" ref="AJ43">SUM(AJ15:AK15*AJ27:AK27)/SUM(AJ15:AK15*AJ27:AK27,AJ13:AK13*AJ26:AK26)</f>
        <v>0.52404971356876129</v>
      </c>
      <c r="AK43" s="135"/>
      <c r="AL43" s="162">
        <f t="array" ref="AL43">SUM(AL15:AM15*AL27:AM27)/SUM(AL15:AM15*AL27:AM27,AL13:AM13*AL26:AM26)</f>
        <v>0.52334718437723526</v>
      </c>
      <c r="AM43" s="135"/>
      <c r="AN43" s="162">
        <f t="array" ref="AN43">SUM(AN15:AO15*AN27:AO27)/SUM(AN15:AO15*AN27:AO27,AN13:AO13*AN26:AO26)</f>
        <v>0.52305503787689578</v>
      </c>
      <c r="AO43" s="135"/>
      <c r="AP43" s="162">
        <f t="array" ref="AP43">SUM(AP15:AQ15*AP27:AQ27)/SUM(AP15:AQ15*AP27:AQ27,AP13:AQ13*AP26:AQ26)</f>
        <v>0.52301919080834924</v>
      </c>
      <c r="AQ43" s="135"/>
      <c r="AR43" s="162">
        <f t="array" ref="AR43">SUM(AR15:AS15*AR27:AS27)/SUM(AR15:AS15*AR27:AS27,AR13:AS13*AR26:AS26)</f>
        <v>0.5229843023720766</v>
      </c>
      <c r="AS43" s="135"/>
      <c r="AT43" s="162">
        <f t="array" ref="AT43">SUM(AT15:AU15*AT27:AU27)/SUM(AT15:AU15*AT27:AU27,AT13:AU13*AT26:AU26)</f>
        <v>0.52294699545535106</v>
      </c>
      <c r="AU43" s="135"/>
      <c r="AV43" s="162">
        <f t="array" ref="AV43">SUM(AV15:AW15*AV27:AW27)/SUM(AV15:AW15*AV27:AW27,AV13:AW13*AV26:AW26)</f>
        <v>0.52290080507642078</v>
      </c>
    </row>
    <row r="44" spans="1:49 16319:16321" x14ac:dyDescent="0.2">
      <c r="A44" t="s">
        <v>142</v>
      </c>
      <c r="B44" s="193">
        <f>(SUM(B11:C11*B24:C24)+B34)/B32</f>
        <v>0.29754226190682342</v>
      </c>
      <c r="D44" s="193">
        <f>(SUM(D11:E11*D24:E24)+D34)/D32</f>
        <v>0.30126481017756046</v>
      </c>
      <c r="F44" s="193">
        <f>(SUM(F11:G11*F24:G24)+F34)/F32</f>
        <v>0.3051865289082521</v>
      </c>
      <c r="H44" s="193">
        <f>(SUM(H11:I11*H24:I24)+H34)/H32</f>
        <v>0.30935013548736956</v>
      </c>
      <c r="J44" s="193">
        <f>(SUM(J11:K11*J24:K24)+J34)/J32</f>
        <v>0.31380980887835119</v>
      </c>
      <c r="L44" s="193">
        <f>(SUM(L11:M11*L24:M24)+L34)/L32</f>
        <v>0.31863525264890069</v>
      </c>
      <c r="N44" s="193">
        <f>(SUM(N11:O11*N24:O24)+N34)/N32</f>
        <v>0.32391756311341879</v>
      </c>
      <c r="P44" s="193">
        <f>(SUM(P11:Q11*P24:Q24)+P34)/P32</f>
        <v>0.32977802793738137</v>
      </c>
      <c r="R44" s="193">
        <f>(SUM(R11:S11*R24:S24)+R34)/R32</f>
        <v>0.33638154954036359</v>
      </c>
      <c r="T44" s="193">
        <f>(SUM(T11:U11*T24:U24)+T34)/T32</f>
        <v>0.34395833127374159</v>
      </c>
      <c r="V44" s="193">
        <f>(SUM(V11:W11*V24:W24)+V34)/V32</f>
        <v>0.35283949802216469</v>
      </c>
      <c r="X44" s="193">
        <f>(SUM(X11:Y11*X24:Y24)+X34)/X32</f>
        <v>0.36351913304135708</v>
      </c>
      <c r="Z44" s="193">
        <f>(SUM(Z11:AA11*Z24:AA24)+Z34)/Z32</f>
        <v>0.37676669971320492</v>
      </c>
      <c r="AB44" s="193">
        <f>(SUM(AB11:AC11*AB24:AC24)+AB34)/AB32</f>
        <v>0.39384030438816298</v>
      </c>
      <c r="AD44" s="193">
        <f>(SUM(AD11:AE11*AD24:AE24)+AD34)/AD32</f>
        <v>0.41690468655796387</v>
      </c>
      <c r="AF44" s="193">
        <f>(SUM(AF11:AG11*AF24:AG24)+AF34)/AF32</f>
        <v>0.44984073487834619</v>
      </c>
      <c r="AH44" s="193">
        <f>(SUM(AH11:AI11*AH24:AI24)+AH34)/AH32</f>
        <v>0.49954131151070053</v>
      </c>
      <c r="AJ44" s="193">
        <f>(SUM(AJ11:AK11*AJ24:AK24)+AJ34)/AJ32</f>
        <v>0.57583117353735336</v>
      </c>
      <c r="AL44" s="193">
        <f>(SUM(AL11:AM11*AL24:AM24)+AL34)/AL32</f>
        <v>0.67799476815467752</v>
      </c>
      <c r="AN44" s="193">
        <f>(SUM(AN11:AO11*AN24:AO24)+AN34)/AN32</f>
        <v>0.75797951285207332</v>
      </c>
      <c r="AP44" s="193">
        <f>(SUM(AP11:AQ11*AP24:AQ24)+AP34)/AP32</f>
        <v>0.76557524375405883</v>
      </c>
      <c r="AR44" s="193">
        <f>(SUM(AR11:AS11*AR24:AS24)+AR34)/AR32</f>
        <v>0.77036584403915198</v>
      </c>
      <c r="AT44" s="193">
        <f>(SUM(AT11:AU11*AT24:AU24)+AT34)/AT32</f>
        <v>0.77288244505776038</v>
      </c>
      <c r="AV44" s="193">
        <f>(SUM(AV11:AW11*AV24:AW24)+AV34)/AV32</f>
        <v>0.77381950381283571</v>
      </c>
    </row>
    <row r="45" spans="1:49 16319:16321" x14ac:dyDescent="0.2">
      <c r="A45" t="s">
        <v>82</v>
      </c>
      <c r="B45" s="193">
        <f>SUM(B11:C11*B24:C24)/B32</f>
        <v>0.22038438833194082</v>
      </c>
      <c r="D45" s="193">
        <f>SUM(D11:E11*D24:E24)/D32</f>
        <v>0.22410694111517129</v>
      </c>
      <c r="F45" s="193">
        <f>SUM(F11:G11*F24:G24)/F32</f>
        <v>0.22802865794791924</v>
      </c>
      <c r="H45" s="193">
        <f>SUM(H11:I11*H24:I24)/H32</f>
        <v>0.23219226536527235</v>
      </c>
      <c r="J45" s="193">
        <f>SUM(J11:K11*J24:K24)/J32</f>
        <v>0.2366519354212801</v>
      </c>
      <c r="L45" s="193">
        <f>SUM(L11:M11*L24:M24)/L32</f>
        <v>0.24147738398039445</v>
      </c>
      <c r="N45" s="193">
        <f>SUM(N11:O11*N24:O24)/N32</f>
        <v>0.24675969927550387</v>
      </c>
      <c r="P45" s="193">
        <f>SUM(P11:Q11*P24:Q24)/P32</f>
        <v>0.25262016617495198</v>
      </c>
      <c r="R45" s="193">
        <f>SUM(R11:S11*R24:S24)/R32</f>
        <v>0.25922368115196753</v>
      </c>
      <c r="T45" s="193">
        <f>SUM(T11:U11*T24:U24)/T32</f>
        <v>0.26680046484586079</v>
      </c>
      <c r="V45" s="193">
        <f>SUM(V11:W11*V24:W24)/V32</f>
        <v>0.27568162930932083</v>
      </c>
      <c r="X45" s="193">
        <f>SUM(X11:Y11*X24:Y24)/X32</f>
        <v>0.28636125970673099</v>
      </c>
      <c r="Z45" s="193">
        <f>SUM(Z11:AA11*Z24:AA24)/Z32</f>
        <v>0.29960882622279955</v>
      </c>
      <c r="AB45" s="193">
        <f>SUM(AB11:AC11*AB24:AC24)/AB32</f>
        <v>0.31668243105102734</v>
      </c>
      <c r="AD45" s="193">
        <f>SUM(AD11:AE11*AD24:AE24)/AD32</f>
        <v>0.33974681412415109</v>
      </c>
      <c r="AF45" s="193">
        <f>SUM(AF11:AG11*AF24:AG24)/AF32</f>
        <v>0.37268286137175005</v>
      </c>
      <c r="AH45" s="193">
        <f>SUM(AH11:AI11*AH24:AI24)/AH32</f>
        <v>0.42238343793926225</v>
      </c>
      <c r="AJ45" s="193">
        <f>SUM(AJ11:AK11*AJ24:AK24)/AJ32</f>
        <v>0.49867329990384585</v>
      </c>
      <c r="AL45" s="193">
        <f>SUM(AL11:AM11*AL24:AM24)/AL32</f>
        <v>0.60083689463248724</v>
      </c>
      <c r="AN45" s="193">
        <f>SUM(AN11:AO11*AN24:AO24)/AN32</f>
        <v>0.68082163940318574</v>
      </c>
      <c r="AP45" s="193">
        <f>SUM(AP11:AQ11*AP24:AQ24)/AP32</f>
        <v>0.68841737014609516</v>
      </c>
      <c r="AR45" s="193">
        <f>SUM(AR11:AS11*AR24:AS24)/AR32</f>
        <v>0.69320797047591853</v>
      </c>
      <c r="AT45" s="193">
        <f>SUM(AT11:AU11*AT24:AU24)/AT32</f>
        <v>0.69572457148943101</v>
      </c>
      <c r="AV45" s="193">
        <f>SUM(AV11:AW11*AV24:AW24)/AV32</f>
        <v>0.69666163023879946</v>
      </c>
      <c r="XCQ45" s="193"/>
    </row>
    <row r="46" spans="1:49 16319:16321" x14ac:dyDescent="0.2">
      <c r="A46" t="s">
        <v>139</v>
      </c>
      <c r="B46" s="193">
        <f>B34/B32</f>
        <v>7.7157873574882588E-2</v>
      </c>
      <c r="D46" s="193">
        <f>D34/D32</f>
        <v>7.7157869062389139E-2</v>
      </c>
      <c r="F46" s="193">
        <f>F34/F32</f>
        <v>7.7157870960332844E-2</v>
      </c>
      <c r="H46" s="193">
        <f>H34/H32</f>
        <v>7.7157870122097238E-2</v>
      </c>
      <c r="J46" s="193">
        <f>J34/J32</f>
        <v>7.7157873457071091E-2</v>
      </c>
      <c r="L46" s="193">
        <f>L34/L32</f>
        <v>7.7157868668506227E-2</v>
      </c>
      <c r="N46" s="193">
        <f>N34/N32</f>
        <v>7.7157863837914939E-2</v>
      </c>
      <c r="P46" s="193">
        <f>P34/P32</f>
        <v>7.7157861762429364E-2</v>
      </c>
      <c r="R46" s="193">
        <f>R34/R32</f>
        <v>7.715786838839607E-2</v>
      </c>
      <c r="T46" s="193">
        <f>T34/T32</f>
        <v>7.7157866427880806E-2</v>
      </c>
      <c r="V46" s="193">
        <f>V34/V32</f>
        <v>7.7157868712843858E-2</v>
      </c>
      <c r="X46" s="193">
        <f>X34/X32</f>
        <v>7.7157873334626079E-2</v>
      </c>
      <c r="Z46" s="193">
        <f>Z34/Z32</f>
        <v>7.7157873490405329E-2</v>
      </c>
      <c r="AB46" s="193">
        <f>AB34/AB32</f>
        <v>7.7157873337135641E-2</v>
      </c>
      <c r="AD46" s="193">
        <f>AD34/AD32</f>
        <v>7.715787243381278E-2</v>
      </c>
      <c r="AF46" s="193">
        <f>AF34/AF32</f>
        <v>7.7157873506596128E-2</v>
      </c>
      <c r="AH46" s="193">
        <f>AH34/AH32</f>
        <v>7.715787357143826E-2</v>
      </c>
      <c r="AJ46" s="193">
        <f>AJ34/AJ32</f>
        <v>7.7157873633507526E-2</v>
      </c>
      <c r="AL46" s="193">
        <f>AL34/AL32</f>
        <v>7.7157873522190279E-2</v>
      </c>
      <c r="AN46" s="193">
        <f>AN34/AN32</f>
        <v>7.7157873448887512E-2</v>
      </c>
      <c r="AP46" s="193">
        <f>AP34/AP32</f>
        <v>7.7157873607963764E-2</v>
      </c>
      <c r="AR46" s="193">
        <f>AR34/AR32</f>
        <v>7.7157873563233448E-2</v>
      </c>
      <c r="AT46" s="193">
        <f>AT34/AT32</f>
        <v>7.7157873568329358E-2</v>
      </c>
      <c r="AV46" s="193">
        <f>AV34/AV32</f>
        <v>7.7157873574036251E-2</v>
      </c>
      <c r="XCS46" s="193"/>
    </row>
    <row r="48" spans="1:49 16319:16321" x14ac:dyDescent="0.2">
      <c r="A48" t="s">
        <v>159</v>
      </c>
      <c r="B48" s="191">
        <f>B24/$B$24</f>
        <v>1</v>
      </c>
      <c r="C48" s="191"/>
      <c r="D48" s="191">
        <f>D24/$B$24</f>
        <v>1.0194033863415224</v>
      </c>
      <c r="E48" s="191"/>
      <c r="F48" s="191">
        <f>F24/$B$24</f>
        <v>1.0396510405346009</v>
      </c>
      <c r="G48" s="191"/>
      <c r="H48" s="191">
        <f>H24/$B$24</f>
        <v>1.0608985545065215</v>
      </c>
      <c r="I48" s="191"/>
      <c r="J48" s="191">
        <f>J24/$B$24</f>
        <v>1.0833390110901766</v>
      </c>
      <c r="K48" s="191"/>
      <c r="L48" s="191">
        <f>L24/$B$24</f>
        <v>1.1072147895322366</v>
      </c>
      <c r="M48" s="191"/>
      <c r="N48" s="191">
        <f>N24/$B$24</f>
        <v>1.1328333724569692</v>
      </c>
      <c r="O48" s="191"/>
      <c r="P48" s="191">
        <f>P24/$B$24</f>
        <v>1.1605902695846197</v>
      </c>
      <c r="Q48" s="191"/>
      <c r="R48" s="191">
        <f>R24/$B$24</f>
        <v>1.1910015667330343</v>
      </c>
      <c r="S48" s="191"/>
      <c r="T48" s="191">
        <f>T24/$B$24</f>
        <v>1.2247533764380918</v>
      </c>
      <c r="U48" s="191"/>
      <c r="V48" s="191">
        <f>V24/$B$24</f>
        <v>1.2627753228064205</v>
      </c>
      <c r="W48" s="191"/>
      <c r="X48" s="191">
        <f>X24/$B$24</f>
        <v>1.3063552263725338</v>
      </c>
      <c r="Y48" s="191"/>
      <c r="Z48" s="191">
        <f>Z24/$B$24</f>
        <v>1.3573118346749227</v>
      </c>
      <c r="AA48" s="191"/>
      <c r="AB48" s="191">
        <f>AB24/$B$24</f>
        <v>1.418227155449113</v>
      </c>
      <c r="AC48" s="191"/>
      <c r="AD48" s="191">
        <f>AD24/$B$24</f>
        <v>1.4925940177447992</v>
      </c>
      <c r="AE48" s="191"/>
      <c r="AF48" s="191">
        <f>AF24/$B$24</f>
        <v>1.5839281150423126</v>
      </c>
      <c r="AG48" s="191"/>
      <c r="AH48" s="191">
        <f>AH24/$B$24</f>
        <v>1.6889344738782084</v>
      </c>
      <c r="AI48" s="191"/>
      <c r="AJ48" s="191">
        <f>AJ24/$B$24</f>
        <v>1.7641275399918723</v>
      </c>
      <c r="AK48" s="191"/>
      <c r="AL48" s="191">
        <f>AL24/$B$24</f>
        <v>1.6280284507426812</v>
      </c>
      <c r="AM48" s="191"/>
      <c r="AN48" s="191">
        <f>AN24/$B$24</f>
        <v>0.99148661317571807</v>
      </c>
      <c r="AO48" s="191"/>
      <c r="AP48" s="191">
        <f>AP24/$B$24</f>
        <v>0.80663020227102278</v>
      </c>
      <c r="AQ48" s="191"/>
      <c r="AR48" s="191">
        <f>AR24/$B$24</f>
        <v>0.61132589602210252</v>
      </c>
      <c r="AS48" s="191"/>
      <c r="AT48" s="191">
        <f>AT24/$B$24</f>
        <v>0.40977459485804058</v>
      </c>
      <c r="AU48" s="191"/>
      <c r="AV48" s="191">
        <f>AV24/$B$24</f>
        <v>0.2053012647544587</v>
      </c>
    </row>
    <row r="49" spans="1:48 16321:16384" x14ac:dyDescent="0.2">
      <c r="A49" t="s">
        <v>160</v>
      </c>
      <c r="B49" s="191">
        <f>B13/B35/$B$13*$B$35</f>
        <v>1</v>
      </c>
      <c r="C49" s="191"/>
      <c r="D49" s="191">
        <f>D13/D35/$B$13*$B$35</f>
        <v>0.99536060116063185</v>
      </c>
      <c r="E49" s="191"/>
      <c r="F49" s="191">
        <f>F13/F35/$B$13*$B$35</f>
        <v>0.98952531883677575</v>
      </c>
      <c r="G49" s="191"/>
      <c r="H49" s="191">
        <f>H13/H35/$B$13*$B$35</f>
        <v>0.98225866238129489</v>
      </c>
      <c r="I49" s="191"/>
      <c r="J49" s="191">
        <f>J13/J35/$B$13*$B$35</f>
        <v>0.97326414334483358</v>
      </c>
      <c r="K49" s="191"/>
      <c r="L49" s="191">
        <f>L13/L35/$B$13*$B$35</f>
        <v>0.96216467081733104</v>
      </c>
      <c r="M49" s="191"/>
      <c r="N49" s="191">
        <f>N13/N35/$B$13*$B$35</f>
        <v>0.9484756421849776</v>
      </c>
      <c r="O49" s="191"/>
      <c r="P49" s="191">
        <f>P13/P35/$B$13*$B$35</f>
        <v>0.93156736426434206</v>
      </c>
      <c r="Q49" s="191"/>
      <c r="R49" s="191">
        <f>R13/R35/$B$13*$B$35</f>
        <v>0.9106125858744929</v>
      </c>
      <c r="S49" s="191"/>
      <c r="T49" s="191">
        <f>T13/T35/$B$13*$B$35</f>
        <v>0.88451116326735135</v>
      </c>
      <c r="U49" s="191"/>
      <c r="V49" s="191">
        <f>V13/V35/$B$13*$B$35</f>
        <v>0.85178421184173814</v>
      </c>
      <c r="W49" s="191"/>
      <c r="X49" s="191">
        <f>X13/X35/$B$13*$B$35</f>
        <v>0.8104244707189997</v>
      </c>
      <c r="Y49" s="191"/>
      <c r="Z49" s="191">
        <f>Z13/Z35/$B$13*$B$35</f>
        <v>0.75769553442866389</v>
      </c>
      <c r="AA49" s="191"/>
      <c r="AB49" s="191">
        <f>AB13/AB35/$B$13*$B$35</f>
        <v>0.68989914629545901</v>
      </c>
      <c r="AC49" s="191"/>
      <c r="AD49" s="191">
        <f>AD13/AD35/$B$13*$B$35</f>
        <v>0.60225168190649336</v>
      </c>
      <c r="AE49" s="191"/>
      <c r="AF49" s="191">
        <f>AF13/AF35/$B$13*$B$35</f>
        <v>0.48946074581139248</v>
      </c>
      <c r="AG49" s="191"/>
      <c r="AH49" s="191">
        <f>AH13/AH35/$B$13*$B$35</f>
        <v>0.34901056547443077</v>
      </c>
      <c r="AI49" s="191"/>
      <c r="AJ49" s="191">
        <f>AJ13/AJ35/$B$13*$B$35</f>
        <v>0.19192377329938731</v>
      </c>
      <c r="AK49" s="191"/>
      <c r="AL49" s="191">
        <f>AL13/AL35/$B$13*$B$35</f>
        <v>6.035404108223906E-2</v>
      </c>
      <c r="AM49" s="191"/>
      <c r="AN49" s="191">
        <f>AN13/AN35/$B$13*$B$35</f>
        <v>4.8528309654641989E-3</v>
      </c>
      <c r="AO49" s="191"/>
      <c r="AP49" s="191">
        <f>AP13/AP35/$B$13*$B$35</f>
        <v>2.0290344860786785E-3</v>
      </c>
      <c r="AQ49" s="191"/>
      <c r="AR49" s="191">
        <f>AR13/AR35/$B$13*$B$35</f>
        <v>6.5021700221951789E-4</v>
      </c>
      <c r="AS49" s="191"/>
      <c r="AT49" s="191">
        <f>AT13/AT35/$B$13*$B$35</f>
        <v>1.2928775489272126E-4</v>
      </c>
      <c r="AU49" s="191"/>
      <c r="AV49" s="191">
        <f>AV13/AV35/$B$13*$B$35</f>
        <v>8.1000820933323257E-6</v>
      </c>
    </row>
    <row r="51" spans="1:48 16321:16384" x14ac:dyDescent="0.2">
      <c r="A51" t="s">
        <v>166</v>
      </c>
      <c r="B51" s="29">
        <f>B30-B10*B23</f>
        <v>-405838.32800000021</v>
      </c>
      <c r="D51" s="29">
        <f>D30-D10*D23</f>
        <v>-313313.32134059491</v>
      </c>
      <c r="F51" s="29">
        <f>F30-F10*F23</f>
        <v>-215677.07139367331</v>
      </c>
      <c r="H51" s="29">
        <f>H30-H10*H23</f>
        <v>-111940.9055079571</v>
      </c>
      <c r="J51" s="29">
        <f>J30-J10*J23</f>
        <v>-867.08221743674949</v>
      </c>
      <c r="L51" s="29">
        <f>L30-L10*L23</f>
        <v>119111.83314127242</v>
      </c>
      <c r="N51" s="29">
        <f>N30-N10*N23</f>
        <v>250004.96718003415</v>
      </c>
      <c r="P51" s="29">
        <f>P30-P10*P23</f>
        <v>394425.23575516976</v>
      </c>
      <c r="R51" s="29">
        <f>R30-R10*R23</f>
        <v>555826.15611893451</v>
      </c>
      <c r="T51" s="29">
        <f>T30-T10*T23</f>
        <v>738866.22960557928</v>
      </c>
      <c r="V51" s="29">
        <f>V30-V10*V23</f>
        <v>949972.85385339661</v>
      </c>
      <c r="X51" s="29">
        <f>X30-X10*X23</f>
        <v>1198260.4713413054</v>
      </c>
      <c r="Z51" s="29">
        <f>Z30-Z10*Z23</f>
        <v>1497044.6013895627</v>
      </c>
      <c r="AB51" s="29">
        <f>AB30-AB10*AB23</f>
        <v>1866328.6236824477</v>
      </c>
      <c r="AD51" s="29">
        <f>AD30-AD10*AD23</f>
        <v>2336488.7047841651</v>
      </c>
      <c r="AF51" s="29">
        <f>AF30-AF10*AF23</f>
        <v>2950972.4006343302</v>
      </c>
      <c r="AH51" s="29">
        <f>AH30-AH10*AH23</f>
        <v>3750129.2661312628</v>
      </c>
      <c r="AJ51" s="29">
        <f>AJ30-AJ10*AJ23</f>
        <v>4643007.3976096045</v>
      </c>
      <c r="AL51" s="29">
        <f>AL30-AL10*AL23</f>
        <v>4933414.2617994631</v>
      </c>
      <c r="AN51" s="29">
        <f>AN30-AN10*AN23</f>
        <v>3240630.4448888926</v>
      </c>
      <c r="AP51" s="29">
        <f>AP30-AP10*AP23</f>
        <v>2652713.6952184732</v>
      </c>
      <c r="AQ51" s="29"/>
      <c r="AR51" s="29">
        <f>AR30-AR10*AR23</f>
        <v>2018093.5107315229</v>
      </c>
      <c r="AT51" s="29">
        <f>AT30-AT10*AT23</f>
        <v>1355412.551319476</v>
      </c>
      <c r="AV51" s="29">
        <f>AV30-AV10*AV23</f>
        <v>679572.44849536172</v>
      </c>
      <c r="XFD51" s="29"/>
    </row>
    <row r="52" spans="1:48 16321:16384" x14ac:dyDescent="0.2">
      <c r="A52" t="s">
        <v>167</v>
      </c>
      <c r="B52" s="29">
        <f t="array" ref="B52">Calibration!sL*SUM(B13:C13*B26:C26)</f>
        <v>2049247.8195702801</v>
      </c>
      <c r="D52" s="29">
        <f t="array" ref="D52">Calibration!sL*SUM(D13:E13*D26:E26)</f>
        <v>2047178.8681108262</v>
      </c>
      <c r="F52" s="29">
        <f t="array" ref="F52">Calibration!sL*SUM(F13:G13*F26:G26)</f>
        <v>2043492.0399794474</v>
      </c>
      <c r="H52" s="29">
        <f t="array" ref="H52">Calibration!sL*SUM(H13:I13*H26:I26)</f>
        <v>2037866.0467363964</v>
      </c>
      <c r="J52" s="29">
        <f t="array" ref="J52">Calibration!sL*SUM(J13:K13*J26:K26)</f>
        <v>2029892.5663809155</v>
      </c>
      <c r="L52" s="29">
        <f t="array" ref="L52">Calibration!sL*SUM(L13:M13*L26:M26)</f>
        <v>2019046.0726706956</v>
      </c>
      <c r="N52" s="29">
        <f t="array" ref="N52">Calibration!sL*SUM(N13:O13*N26:O26)</f>
        <v>2004640.912843819</v>
      </c>
      <c r="P52" s="29">
        <f t="array" ref="P52">Calibration!sL*SUM(P13:Q13*P26:Q26)</f>
        <v>1985768.8849185337</v>
      </c>
      <c r="R52" s="29">
        <f t="array" ref="R52">Calibration!sL*SUM(R13:S13*R26:S26)</f>
        <v>1961207.1572223147</v>
      </c>
      <c r="T52" s="29">
        <f t="array" ref="T52">Calibration!sL*SUM(T13:U13*T26:U26)</f>
        <v>1929276.4831229171</v>
      </c>
      <c r="V52" s="29">
        <f t="array" ref="V52">Calibration!sL*SUM(V13:W13*V26:W26)</f>
        <v>1887621.2762722324</v>
      </c>
      <c r="X52" s="29">
        <f t="array" ref="X52">Calibration!sL*SUM(X13:Y13*X26:Y26)</f>
        <v>1832852.8700882294</v>
      </c>
      <c r="Z52" s="29">
        <f t="array" ref="Z52">Calibration!sL*SUM(Z13:AA13*Z26:AA26)</f>
        <v>1759955.6804467137</v>
      </c>
      <c r="AB52" s="29">
        <f t="array" ref="AB52">Calibration!sL*SUM(AB13:AC13*AB26:AC26)</f>
        <v>1661272.0894198066</v>
      </c>
      <c r="AD52" s="29">
        <f t="array" ref="AD52">Calibration!sL*SUM(AD13:AE13*AD26:AE26)</f>
        <v>1524771.6270896036</v>
      </c>
      <c r="AF52" s="29">
        <f t="array" ref="AF52">Calibration!sL*SUM(AF13:AG13*AF26:AG26)</f>
        <v>1331411.1476188842</v>
      </c>
      <c r="AH52" s="29">
        <f t="array" ref="AH52">Calibration!sL*SUM(AH13:AI13*AH26:AI26)</f>
        <v>1053506.1909728581</v>
      </c>
      <c r="AJ52" s="29">
        <f t="array" ref="AJ52">Calibration!sL*SUM(AJ13:AK13*AJ26:AK26)</f>
        <v>669495.46965850668</v>
      </c>
      <c r="AL52" s="29">
        <f t="array" ref="AL52">Calibration!sL*SUM(AL13:AM13*AL26:AM26)</f>
        <v>248299.99948458446</v>
      </c>
      <c r="AN52" s="29">
        <f t="array" ref="AN52">Calibration!sL*SUM(AN13:AO13*AN26:AO26)</f>
        <v>22277.633358846895</v>
      </c>
      <c r="AP52" s="29">
        <f t="array" ref="AP52">Calibration!sL*SUM(AP13:AQ13*AP26:AQ26)</f>
        <v>9404.7827241226514</v>
      </c>
      <c r="AQ52" s="29"/>
      <c r="AR52" s="29">
        <f t="array" ref="AR52">Calibration!sL*SUM(AR13:AS13*AR26:AS26)</f>
        <v>3032.0022550193953</v>
      </c>
      <c r="AT52" s="29">
        <f t="array" ref="AT52">Calibration!sL*SUM(AT13:AU13*AT26:AU26)</f>
        <v>604.7725397387203</v>
      </c>
      <c r="AV52" s="29">
        <f t="array" ref="AV52">Calibration!sL*SUM(AV13:AW13*AV26:AW26)</f>
        <v>37.934140547222739</v>
      </c>
    </row>
    <row r="53" spans="1:48 16321:16384" x14ac:dyDescent="0.2">
      <c r="A53" t="s">
        <v>168</v>
      </c>
      <c r="B53" s="29">
        <f t="array" ref="B53">Calibration!sK*SUM(B15:C15*B27:C27)</f>
        <v>2740714.4444297305</v>
      </c>
      <c r="D53" s="29">
        <f t="array" ref="D53">Calibration!sK*SUM(D15:E15*D27:E27)</f>
        <v>2707838.5444501508</v>
      </c>
      <c r="F53" s="29">
        <f t="array" ref="F53">Calibration!sK*SUM(F15:G15*F27:G27)</f>
        <v>2673216.3075511083</v>
      </c>
      <c r="H53" s="29">
        <f t="array" ref="H53">Calibration!sK*SUM(H15:I15*H27:I27)</f>
        <v>2636499.2907464914</v>
      </c>
      <c r="J53" s="29">
        <f t="array" ref="J53">Calibration!sK*SUM(J15:K15*J27:K27)</f>
        <v>2597244.9297214812</v>
      </c>
      <c r="L53" s="29">
        <f t="array" ref="L53">Calibration!sK*SUM(L15:M15*L27:M27)</f>
        <v>2554884.5196869117</v>
      </c>
      <c r="N53" s="29">
        <f t="array" ref="N53">Calibration!sK*SUM(N15:O15*N27:O27)</f>
        <v>2508678.4833274516</v>
      </c>
      <c r="P53" s="29">
        <f t="array" ref="P53">Calibration!sK*SUM(P15:Q15*P27:Q27)</f>
        <v>2457651.2203959422</v>
      </c>
      <c r="R53" s="29">
        <f t="array" ref="R53">Calibration!sK*SUM(R15:S15*R27:S27)</f>
        <v>2400495.9149437556</v>
      </c>
      <c r="T53" s="29">
        <f t="array" ref="T53">Calibration!sK*SUM(T15:U15*T27:U27)</f>
        <v>2335428.6258260538</v>
      </c>
      <c r="V53" s="29">
        <f t="array" ref="V53">Calibration!sK*SUM(V15:W15*V27:W27)</f>
        <v>2259962.7586050029</v>
      </c>
      <c r="X53" s="29">
        <f t="array" ref="X53">Calibration!sK*SUM(X15:Y15*X27:Y27)</f>
        <v>2170541.1696656831</v>
      </c>
      <c r="Z53" s="29">
        <f t="array" ref="Z53">Calibration!sK*SUM(Z15:AA15*Z27:AA27)</f>
        <v>2061919.5219800617</v>
      </c>
      <c r="AB53" s="29">
        <f t="array" ref="AB53">Calibration!sK*SUM(AB15:AC15*AB27:AC27)</f>
        <v>1926098.7099341399</v>
      </c>
      <c r="AD53" s="29">
        <f t="array" ref="AD53">Calibration!sK*SUM(AD15:AE15*AD27:AE27)</f>
        <v>1750472.2633216106</v>
      </c>
      <c r="AF53" s="29">
        <f t="array" ref="AF53">Calibration!sK*SUM(AF15:AG15*AF27:AG27)</f>
        <v>1514932.4738266189</v>
      </c>
      <c r="AH53" s="29">
        <f t="array" ref="AH53">Calibration!sK*SUM(AH15:AI15*AH27:AI27)</f>
        <v>1189924.8379290851</v>
      </c>
      <c r="AJ53" s="29">
        <f t="array" ref="AJ53">Calibration!sK*SUM(AJ15:AK15*AJ27:AK27)</f>
        <v>752277.24538642238</v>
      </c>
      <c r="AL53" s="29">
        <f t="array" ref="AL53">Calibration!sK*SUM(AL15:AM15*AL27:AM27)</f>
        <v>278217.11029771215</v>
      </c>
      <c r="AN53" s="29">
        <f t="array" ref="AN53">Calibration!sK*SUM(AN15:AO15*AN27:AO27)</f>
        <v>24932.599644728543</v>
      </c>
      <c r="AP53" s="29">
        <f t="array" ref="AP53">Calibration!sK*SUM(AP15:AQ15*AP27:AQ27)</f>
        <v>10524.097736334108</v>
      </c>
      <c r="AQ53" s="29"/>
      <c r="AR53" s="29">
        <f t="array" ref="AR53">Calibration!sK*SUM(AR15:AS15*AR27:AS27)</f>
        <v>3392.3830927024505</v>
      </c>
      <c r="AT53" s="29">
        <f t="array" ref="AT53">Calibration!sK*SUM(AT15:AU15*AT27:AU27)</f>
        <v>676.55403373583692</v>
      </c>
      <c r="AV53" s="29">
        <f t="array" ref="AV53">Calibration!sK*SUM(AV15:AW15*AV27:AW27)</f>
        <v>42.42875256034948</v>
      </c>
      <c r="XFD53" s="29"/>
    </row>
    <row r="55" spans="1:48 16321:16384" x14ac:dyDescent="0.2">
      <c r="A55" t="s">
        <v>169</v>
      </c>
      <c r="B55" s="193">
        <f>B30/B32</f>
        <v>0.19850271905982084</v>
      </c>
      <c r="D55" s="193">
        <f>D30/D32</f>
        <v>0.20479528902407965</v>
      </c>
      <c r="F55" s="193">
        <f>F30/F32</f>
        <v>0.21142250330308957</v>
      </c>
      <c r="H55" s="193">
        <f>H30/H32</f>
        <v>0.21845617544840895</v>
      </c>
      <c r="J55" s="193">
        <f>J30/J32</f>
        <v>0.22598738852458436</v>
      </c>
      <c r="L55" s="193">
        <f>L30/L32</f>
        <v>0.2341333313666415</v>
      </c>
      <c r="N55" s="193">
        <f>N30/N32</f>
        <v>0.24304714648683981</v>
      </c>
      <c r="P55" s="193">
        <f>P30/P32</f>
        <v>0.25293271471243473</v>
      </c>
      <c r="R55" s="193">
        <f>R30/R32</f>
        <v>0.26406726272388026</v>
      </c>
      <c r="T55" s="193">
        <f>T30/T32</f>
        <v>0.27683776538791161</v>
      </c>
      <c r="V55" s="193">
        <f>V30/V32</f>
        <v>0.29180083081281577</v>
      </c>
      <c r="X55" s="193">
        <f>X30/X32</f>
        <v>0.30978698517148784</v>
      </c>
      <c r="Z55" s="193">
        <f>Z30/Z32</f>
        <v>0.33208964475090058</v>
      </c>
      <c r="AB55" s="193">
        <f>AB30/AB32</f>
        <v>0.36082360564410948</v>
      </c>
      <c r="AD55" s="193">
        <f>AD30/AD32</f>
        <v>0.39962772901431043</v>
      </c>
      <c r="AF55" s="193">
        <f>AF30/AF32</f>
        <v>0.45502588959367052</v>
      </c>
      <c r="AH55" s="193">
        <f>AH30/AH32</f>
        <v>0.53860575224360507</v>
      </c>
      <c r="AJ55" s="193">
        <f>AJ30/AJ32</f>
        <v>0.66688467779711602</v>
      </c>
      <c r="AL55" s="193">
        <f>AL30/AL32</f>
        <v>0.83865996028455148</v>
      </c>
      <c r="AN55" s="193">
        <f>AN30/AN32</f>
        <v>0.97314186431325245</v>
      </c>
      <c r="AP55" s="193">
        <f>AP30/AP32</f>
        <v>0.98591284328905715</v>
      </c>
      <c r="AR55" s="193">
        <f>AR30/AR32</f>
        <v>0.99396745371300521</v>
      </c>
      <c r="AT55" s="193">
        <f>AT30/AT32</f>
        <v>0.99819870275306688</v>
      </c>
      <c r="AV55" s="193">
        <f>AV30/AV32</f>
        <v>0.99977421114641318</v>
      </c>
      <c r="XCS55" s="193"/>
      <c r="XFD55" s="193"/>
    </row>
    <row r="56" spans="1:48 16321:16384" x14ac:dyDescent="0.2">
      <c r="A56" t="s">
        <v>170</v>
      </c>
      <c r="B56" s="193">
        <f>(Model!$C$52*B5*B20+B2*C5*C20)/B32</f>
        <v>2.9221206744340551E-2</v>
      </c>
      <c r="D56" s="193">
        <f>(Model!$C$52*D5*D20+D2*E5*E20)/D32</f>
        <v>3.5836551213595136E-2</v>
      </c>
      <c r="F56" s="193">
        <f>(Model!$C$52*F5*F20+F2*G5*G20)/F32</f>
        <v>4.2866161944308687E-2</v>
      </c>
      <c r="H56" s="193">
        <f>(Model!$C$52*H5*H20+H2*I5*I20)/H32</f>
        <v>5.0397712268352809E-2</v>
      </c>
      <c r="J56" s="193">
        <f>(Model!$C$52*J5*J20+J2*K5*K20)/J32</f>
        <v>5.85424423138085E-2</v>
      </c>
      <c r="L56" s="193">
        <f>(Model!$C$52*L5*L20+L2*M5*M20)/L32</f>
        <v>6.7443534848746364E-2</v>
      </c>
      <c r="N56" s="193">
        <f>(Model!$C$52*N5*N20+N2*O5*O20)/N32</f>
        <v>7.728820687607095E-2</v>
      </c>
      <c r="P56" s="193">
        <f>(Model!$C$52*P5*P20+P2*Q5*Q20)/P32</f>
        <v>8.8325860102994924E-2</v>
      </c>
      <c r="R56" s="193">
        <f>(Model!$C$52*R5*R20+R2*S5*S20)/R32</f>
        <v>0.10089586055553568</v>
      </c>
      <c r="T56" s="193">
        <f>(Model!$C$52*T5*T20+T2*U5*U20)/T32</f>
        <v>0.11547225648575168</v>
      </c>
      <c r="V56" s="193">
        <f>(Model!$C$52*V5*V20+V2*W5*W20)/V32</f>
        <v>0.1327373688008571</v>
      </c>
      <c r="X56" s="193">
        <f>(Model!$C$52*X5*X20+X2*Y5*Y20)/X32</f>
        <v>0.15370978750165151</v>
      </c>
      <c r="Z56" s="193">
        <f>(Model!$C$52*Z5*Z20+Z2*AA5*AA20)/Z32</f>
        <v>0.17997606833227461</v>
      </c>
      <c r="AB56" s="193">
        <f>(Model!$C$52*AB5*AB20+AB2*AC5*AC20)/AB32</f>
        <v>0.21412958024133769</v>
      </c>
      <c r="AD56" s="193">
        <f>(Model!$C$52*AD5*AD20+AD2*AE5*AE20)/AD32</f>
        <v>0.26062904966763417</v>
      </c>
      <c r="AF56" s="193">
        <f>(Model!$C$52*AF5*AF20+AF2*AG5*AG20)/AF32</f>
        <v>0.32745756663278247</v>
      </c>
      <c r="AH56" s="193">
        <f>(Model!$C$52*AH5*AH20+AH2*AI5*AI20)/AH32</f>
        <v>0.4287691039905544</v>
      </c>
      <c r="AJ56" s="193">
        <f>(Model!$C$52*AJ5*AJ20+AJ2*AK5*AK20)/AJ32</f>
        <v>0.58469243088415901</v>
      </c>
      <c r="AL56" s="193">
        <f>(Model!$C$52*AL5*AL20+AL2*AM5*AM20)/AL32</f>
        <v>0.79370095387797701</v>
      </c>
      <c r="AN56" s="193">
        <f>(Model!$C$52*AN5*AN20+AN2*AO5*AO20)/AN32</f>
        <v>0.95735777524074739</v>
      </c>
      <c r="AP56" s="193">
        <f>(Model!$C$52*AP5*AP20+AP2*AQ5*AQ20)/AP32</f>
        <v>0.97289916344262262</v>
      </c>
      <c r="AR56" s="193">
        <f>(Model!$C$52*AR5*AR20+AR2*AS5*AS20)/AR32</f>
        <v>0.98270108139112899</v>
      </c>
      <c r="AT56" s="193">
        <f>(Model!$C$52*AT5*AT20+AT2*AU5*AU20)/AT32</f>
        <v>0.98785026478732507</v>
      </c>
      <c r="AV56" s="193">
        <f>(Model!$C$52*AV5*AV20+AV2*AW5*AW20)/AV32</f>
        <v>0.98976759151462568</v>
      </c>
      <c r="XFD56" s="193"/>
    </row>
    <row r="57" spans="1:48 16321:16384" x14ac:dyDescent="0.2">
      <c r="A57" t="s">
        <v>171</v>
      </c>
      <c r="B57" s="193">
        <f t="array" ref="B57">SUM(Model!tauL*B13:C13*B26:C26)/B32</f>
        <v>0.15852881819439493</v>
      </c>
      <c r="D57" s="193">
        <f t="array" ref="D57">SUM(Model!tauL*D13:E13*D26:E26)/D32</f>
        <v>0.15827141231546868</v>
      </c>
      <c r="F57" s="193">
        <f t="array" ref="F57">SUM(Model!tauL*F13:G13*F26:G26)/F32</f>
        <v>0.15793347170479999</v>
      </c>
      <c r="H57" s="193">
        <f t="array" ref="H57">SUM(Model!tauL*H13:I13*H26:I26)/H32</f>
        <v>0.1574991313122083</v>
      </c>
      <c r="J57" s="193">
        <f t="array" ref="J57">SUM(Model!tauL*J13:K13*J26:K26)/J32</f>
        <v>0.15694824225033505</v>
      </c>
      <c r="L57" s="193">
        <f t="array" ref="L57">SUM(Model!tauL*L13:M13*L26:M26)/L32</f>
        <v>0.15625483925416331</v>
      </c>
      <c r="N57" s="193">
        <f t="array" ref="N57">SUM(Model!tauL*N13:O13*N26:O26)/N32</f>
        <v>0.15538490943063812</v>
      </c>
      <c r="P57" s="193">
        <f t="array" ref="P57">SUM(Model!tauL*P13:Q13*P26:Q26)/P32</f>
        <v>0.15429304337180161</v>
      </c>
      <c r="R57" s="193">
        <f t="array" ref="R57">SUM(Model!tauL*R13:S13*R26:S26)/R32</f>
        <v>0.15291728971229984</v>
      </c>
      <c r="T57" s="193">
        <f t="array" ref="T57">SUM(Model!tauL*T13:U13*T26:U26)/T32</f>
        <v>0.15117087093340373</v>
      </c>
      <c r="V57" s="193">
        <f t="array" ref="V57">SUM(Model!tauL*V13:W13*V26:W26)/V32</f>
        <v>0.14892852397373937</v>
      </c>
      <c r="X57" s="193">
        <f t="array" ref="X57">SUM(Model!tauL*X13:Y13*X26:Y26)/X32</f>
        <v>0.1460028317299589</v>
      </c>
      <c r="Y57" s="193"/>
      <c r="Z57" s="193">
        <f t="array" ref="Z57">SUM(Model!tauL*Z13:AA13*Z26:AA26)/Z32</f>
        <v>0.14210151345457331</v>
      </c>
      <c r="AB57" s="193">
        <f t="array" ref="AB57">SUM(Model!tauL*AB13:AC13*AB26:AC26)/AB32</f>
        <v>0.13674694491036524</v>
      </c>
      <c r="AD57" s="193">
        <f t="array" ref="AD57">SUM(Model!tauL*AD13:AE13*AD26:AE26)/AD32</f>
        <v>0.12911970268671144</v>
      </c>
      <c r="AF57" s="193">
        <f t="array" ref="AF57">SUM(Model!tauL*AF13:AG13*AF26:AG26)/AF32</f>
        <v>0.1177584004435039</v>
      </c>
      <c r="AH57" s="193">
        <f t="array" ref="AH57">SUM(Model!tauL*AH13:AI13*AH26:AI26)/AH32</f>
        <v>0.10008558382014757</v>
      </c>
      <c r="AJ57" s="193">
        <f t="array" ref="AJ57">SUM(Model!tauL*AJ13:AK13*AJ26:AK26)/AJ32</f>
        <v>7.2456217701058562E-2</v>
      </c>
      <c r="AL57" s="193">
        <f t="array" ref="AL57">SUM(Model!tauL*AL13:AM13*AL26:AM26)/AL32</f>
        <v>3.5145018885126694E-2</v>
      </c>
      <c r="AN57" s="193">
        <f t="array" ref="AN57">SUM(Model!tauL*AN13:AO13*AN26:AO26)/AN32</f>
        <v>5.8541475019841943E-3</v>
      </c>
      <c r="AP57" s="193">
        <f t="array" ref="AP57">SUM(Model!tauL*AP13:AQ13*AP26:AQ26)/AP32</f>
        <v>3.0707443945529223E-3</v>
      </c>
      <c r="AR57" s="193">
        <f t="array" ref="AR57">SUM(Model!tauL*AR13:AS13*AR26:AS26)/AR32</f>
        <v>1.3150819659201421E-3</v>
      </c>
      <c r="AT57" s="193">
        <f t="array" ref="AT57">SUM(Model!tauL*AT13:AU13*AT26:AU26)/AT32</f>
        <v>3.9270962386989659E-4</v>
      </c>
      <c r="AV57" s="193">
        <f t="array" ref="AV57">SUM(Model!tauL*AV13:AW13*AV26:AW26)/AV32</f>
        <v>4.9230098650819543E-5</v>
      </c>
      <c r="XFD57" s="193"/>
    </row>
    <row r="58" spans="1:48 16321:16384" x14ac:dyDescent="0.2">
      <c r="A58" t="s">
        <v>172</v>
      </c>
      <c r="B58" s="193">
        <f t="array" ref="B58">SUM(Model!tauY/(1+Model!tauY)*B3:C3*B18:C18)/B32</f>
        <v>1.075269412108535E-2</v>
      </c>
      <c r="D58" s="193">
        <f t="array" ref="D58">SUM(Model!tauY/(1+Model!tauY)*D3:E3*D18:E18)/D32</f>
        <v>1.0687325495015842E-2</v>
      </c>
      <c r="F58" s="193">
        <f t="array" ref="F58">SUM(Model!tauY/(1+Model!tauY)*F3:G3*F18:G18)/F32</f>
        <v>1.0622869653980896E-2</v>
      </c>
      <c r="H58" s="193">
        <f t="array" ref="H58">SUM(Model!tauY/(1+Model!tauY)*H3:I3*H18:I18)/H32</f>
        <v>1.0559331867847858E-2</v>
      </c>
      <c r="J58" s="193">
        <f t="array" ref="J58">SUM(Model!tauY/(1+Model!tauY)*J3:K3*J18:K18)/J32</f>
        <v>1.0496703960440824E-2</v>
      </c>
      <c r="L58" s="193">
        <f t="array" ref="L58">SUM(Model!tauY/(1+Model!tauY)*L3:M3*L18:M18)/L32</f>
        <v>1.0434957263731798E-2</v>
      </c>
      <c r="N58" s="193">
        <f t="array" ref="N58">SUM(Model!tauY/(1+Model!tauY)*N3:O3*N18:O18)/N32</f>
        <v>1.0374030180130783E-2</v>
      </c>
      <c r="P58" s="193">
        <f t="array" ref="P58">SUM(Model!tauY/(1+Model!tauY)*P3:Q3*P18:Q18)/P32</f>
        <v>1.0313811237638183E-2</v>
      </c>
      <c r="R58" s="193">
        <f t="array" ref="R58">SUM(Model!tauY/(1+Model!tauY)*R3:S3*R18:S18)/R32</f>
        <v>1.0254112456044722E-2</v>
      </c>
      <c r="T58" s="193">
        <f t="array" ref="T58">SUM(Model!tauY/(1+Model!tauY)*T3:U3*T18:U18)/T32</f>
        <v>1.0194637968756186E-2</v>
      </c>
      <c r="V58" s="193">
        <f t="array" ref="V58">SUM(Model!tauY/(1+Model!tauY)*V3:W3*V18:W18)/V32</f>
        <v>1.013493803821932E-2</v>
      </c>
      <c r="X58" s="193">
        <f t="array" ref="X58">SUM(Model!tauY/(1+Model!tauY)*X3:Y3*X18:Y18)/X32</f>
        <v>1.0074365939877395E-2</v>
      </c>
      <c r="Y58" s="193"/>
      <c r="Z58" s="193">
        <f t="array" ref="Z58">SUM(Model!tauY/(1+Model!tauY)*Z3:AA3*Z18:AA18)/Z32</f>
        <v>1.0012062964052713E-2</v>
      </c>
      <c r="AB58" s="193">
        <f t="array" ref="AB58">SUM(Model!tauY/(1+Model!tauY)*AB3:AC3*AB18:AC18)/AB32</f>
        <v>9.9470804924065882E-3</v>
      </c>
      <c r="AD58" s="193">
        <f t="array" ref="AD58">SUM(Model!tauY/(1+Model!tauY)*AD3:AE3*AD18:AE18)/AD32</f>
        <v>9.8789766599648547E-3</v>
      </c>
      <c r="AF58" s="193">
        <f t="array" ref="AF58">SUM(Model!tauY/(1+Model!tauY)*AF3:AG3*AF18:AG18)/AF32</f>
        <v>9.8099225173841759E-3</v>
      </c>
      <c r="AH58" s="193">
        <f t="array" ref="AH58">SUM(Model!tauY/(1+Model!tauY)*AH3:AI3*AH18:AI18)/AH32</f>
        <v>9.75106443290308E-3</v>
      </c>
      <c r="AJ58" s="193">
        <f t="array" ref="AJ58">SUM(Model!tauY/(1+Model!tauY)*AJ3:AK3*AJ18:AK18)/AJ32</f>
        <v>9.7360292118984608E-3</v>
      </c>
      <c r="AL58" s="193">
        <f t="array" ref="AL58">SUM(Model!tauY/(1+Model!tauY)*AL3:AM3*AL18:AM18)/AL32</f>
        <v>9.8139875214478204E-3</v>
      </c>
      <c r="AN58" s="193">
        <f t="array" ref="AN58">SUM(Model!tauY/(1+Model!tauY)*AN3:AO3*AN18:AO18)/AN32</f>
        <v>9.9299415705208088E-3</v>
      </c>
      <c r="AP58" s="193">
        <f t="array" ref="AP58">SUM(Model!tauY/(1+Model!tauY)*AP3:AQ3*AP18:AQ18)/AP32</f>
        <v>9.9429354518816501E-3</v>
      </c>
      <c r="AR58" s="193">
        <f t="array" ref="AR58">SUM(Model!tauY/(1+Model!tauY)*AR3:AS3*AR18:AS18)/AR32</f>
        <v>9.951290355956148E-3</v>
      </c>
      <c r="AT58" s="193">
        <f t="array" ref="AT58">SUM(Model!tauY/(1+Model!tauY)*AT3:AU3*AT18:AU18)/AT32</f>
        <v>9.9557283418719444E-3</v>
      </c>
      <c r="AV58" s="193">
        <f t="array" ref="AV58">SUM(Model!tauY/(1+Model!tauY)*AV3:AW3*AV18:AW18)/AV32</f>
        <v>9.9573895331367575E-3</v>
      </c>
      <c r="XFD58" s="193"/>
    </row>
    <row r="59" spans="1:48 16321:16384" x14ac:dyDescent="0.2">
      <c r="A59" t="s">
        <v>173</v>
      </c>
      <c r="B59" s="193">
        <f>(B2*C5*C20)/B32</f>
        <v>5.5174232040962052E-4</v>
      </c>
      <c r="D59" s="193">
        <f>(D2*E5*E20)/D32</f>
        <v>7.2314895779018659E-3</v>
      </c>
      <c r="F59" s="193">
        <f>(F2*G5*G20)/F32</f>
        <v>1.4326590297299982E-2</v>
      </c>
      <c r="H59" s="193">
        <f>(H2*I5*I20)/H32</f>
        <v>2.1924843427673077E-2</v>
      </c>
      <c r="J59" s="193">
        <f>(J2*K5*K20)/J32</f>
        <v>3.0137614561072376E-2</v>
      </c>
      <c r="L59" s="193">
        <f>(L2*M5*M20)/L32</f>
        <v>3.910820203448799E-2</v>
      </c>
      <c r="N59" s="193">
        <f>(N2*O5*O20)/N32</f>
        <v>4.9023910985883108E-2</v>
      </c>
      <c r="P59" s="193">
        <f>(P2*Q5*Q20)/P32</f>
        <v>6.0134173843025454E-2</v>
      </c>
      <c r="R59" s="193">
        <f>(R2*S5*S20)/R32</f>
        <v>7.277827811152679E-2</v>
      </c>
      <c r="T59" s="193">
        <f>(T2*U5*U20)/T32</f>
        <v>8.7429992445971522E-2</v>
      </c>
      <c r="V59" s="193">
        <f>(V2*W5*W20)/V32</f>
        <v>0.10477099456512015</v>
      </c>
      <c r="X59" s="193">
        <f>(X2*Y5*Y20)/X32</f>
        <v>0.12581856655569676</v>
      </c>
      <c r="Z59" s="193">
        <f>(Z2*AA5*AA20)/Z32</f>
        <v>0.15215670801122105</v>
      </c>
      <c r="AB59" s="193">
        <f>(AB2*AC5*AC20)/AB32</f>
        <v>0.18637377970828262</v>
      </c>
      <c r="AD59" s="193">
        <f>(AD2*AE5*AE20)/AD32</f>
        <v>0.23291838365368117</v>
      </c>
      <c r="AF59" s="193">
        <f>(AF2*AG5*AG20)/AF32</f>
        <v>0.29975211486447662</v>
      </c>
      <c r="AH59" s="193">
        <f>(AH2*AI5*AI20)/AH32</f>
        <v>0.40098164401110703</v>
      </c>
      <c r="AJ59" s="193">
        <f>(AJ2*AK5*AK20)/AJ32</f>
        <v>0.55664054302174637</v>
      </c>
      <c r="AL59" s="193">
        <f>(AL2*AM5*AM20)/AL32</f>
        <v>0.76511603230129444</v>
      </c>
      <c r="AN59" s="193">
        <f>(AN2*AO5*AO20)/AN32</f>
        <v>0.92824939431079689</v>
      </c>
      <c r="AP59" s="193">
        <f>(AP2*AQ5*AQ20)/AP32</f>
        <v>0.94373702273437876</v>
      </c>
      <c r="AR59" s="193">
        <f>(AR2*AS5*AS20)/AR32</f>
        <v>0.95350469883547995</v>
      </c>
      <c r="AT59" s="193">
        <f>(AT2*AU5*AU20)/AT32</f>
        <v>0.95863579030932566</v>
      </c>
      <c r="AV59" s="193">
        <f>(AV2*AW5*AW20)/AV32</f>
        <v>0.96054636163602691</v>
      </c>
      <c r="XFD59" s="193"/>
    </row>
    <row r="60" spans="1:48 16321:16384" x14ac:dyDescent="0.2">
      <c r="A60" t="s">
        <v>174</v>
      </c>
      <c r="B60" s="193">
        <f>Model!$C$52*B5*B20/B32</f>
        <v>2.8669464423930927E-2</v>
      </c>
      <c r="D60" s="193">
        <f>Model!$C$52*D5*D20/D32</f>
        <v>2.8605061635693277E-2</v>
      </c>
      <c r="F60" s="193">
        <f>Model!$C$52*F5*F20/F32</f>
        <v>2.85395716470087E-2</v>
      </c>
      <c r="H60" s="193">
        <f>Model!$C$52*H5*H20/H32</f>
        <v>2.8472868840679726E-2</v>
      </c>
      <c r="J60" s="193">
        <f>Model!$C$52*J5*J20/J32</f>
        <v>2.8404827752736127E-2</v>
      </c>
      <c r="L60" s="193">
        <f>Model!$C$52*L5*L20/L32</f>
        <v>2.8335332814258374E-2</v>
      </c>
      <c r="N60" s="193">
        <f>Model!$C$52*N5*N20/N32</f>
        <v>2.8264295890187835E-2</v>
      </c>
      <c r="P60" s="193">
        <f>Model!$C$52*P5*P20/P32</f>
        <v>2.819168625996947E-2</v>
      </c>
      <c r="R60" s="193">
        <f>Model!$C$52*R5*R20/R32</f>
        <v>2.8117582444008894E-2</v>
      </c>
      <c r="T60" s="193">
        <f>Model!$C$52*T5*T20/T32</f>
        <v>2.8042264039780152E-2</v>
      </c>
      <c r="V60" s="193">
        <f>Model!$C$52*V5*V20/V32</f>
        <v>2.7966374235736939E-2</v>
      </c>
      <c r="X60" s="193">
        <f>Model!$C$52*X5*X20/X32</f>
        <v>2.789122094595476E-2</v>
      </c>
      <c r="Z60" s="193">
        <f>Model!$C$52*Z5*Z20/Z32</f>
        <v>2.7819360321053543E-2</v>
      </c>
      <c r="AB60" s="193">
        <f>Model!$C$52*AB5*AB20/AB32</f>
        <v>2.7755800533055049E-2</v>
      </c>
      <c r="AD60" s="193">
        <f>Model!$C$52*AD5*AD20/AD32</f>
        <v>2.7710666013953025E-2</v>
      </c>
      <c r="AF60" s="193">
        <f>Model!$C$52*AF5*AF20/AF32</f>
        <v>2.7705451768305859E-2</v>
      </c>
      <c r="AH60" s="193">
        <f>Model!$C$52*AH5*AH20/AH32</f>
        <v>2.7787459979447406E-2</v>
      </c>
      <c r="AJ60" s="193">
        <f>Model!$C$52*AJ5*AJ20/AJ32</f>
        <v>2.8051887862412618E-2</v>
      </c>
      <c r="AL60" s="193">
        <f>Model!$C$52*AL5*AL20/AL32</f>
        <v>2.8584921576682538E-2</v>
      </c>
      <c r="AN60" s="193">
        <f>Model!$C$52*AN5*AN20/AN32</f>
        <v>2.9108380929950464E-2</v>
      </c>
      <c r="AP60" s="193">
        <f>Model!$C$52*AP5*AP20/AP32</f>
        <v>2.9162140708243852E-2</v>
      </c>
      <c r="AR60" s="193">
        <f>Model!$C$52*AR5*AR20/AR32</f>
        <v>2.919638255564902E-2</v>
      </c>
      <c r="AT60" s="193">
        <f>Model!$C$52*AT5*AT20/AT32</f>
        <v>2.9214474477999373E-2</v>
      </c>
      <c r="AV60" s="193">
        <f>Model!$C$52*AV5*AV20/AV32</f>
        <v>2.9221229878598792E-2</v>
      </c>
      <c r="XFD60" s="193"/>
    </row>
    <row r="62" spans="1:48 16321:16384" x14ac:dyDescent="0.2">
      <c r="A62" t="s">
        <v>175</v>
      </c>
      <c r="B62">
        <f>B13/B15</f>
        <v>1</v>
      </c>
      <c r="D62">
        <f>D13/D15</f>
        <v>1.0111191384164058</v>
      </c>
      <c r="F62">
        <f>F13/F15</f>
        <v>1.0223701368865414</v>
      </c>
      <c r="H62">
        <f>H13/H15</f>
        <v>1.033754186727081</v>
      </c>
      <c r="J62">
        <f>J13/J15</f>
        <v>1.0452723274201996</v>
      </c>
      <c r="L62">
        <f>L13/L15</f>
        <v>1.056925219983688</v>
      </c>
      <c r="N62">
        <f>N13/N15</f>
        <v>1.068712504759501</v>
      </c>
      <c r="P62">
        <f>P13/P15</f>
        <v>1.0806318308855229</v>
      </c>
      <c r="R62">
        <f>R13/R15</f>
        <v>1.0926770054043375</v>
      </c>
      <c r="T62">
        <f>T13/T15</f>
        <v>1.1048343695852865</v>
      </c>
      <c r="V62">
        <f>V13/V15</f>
        <v>1.1170764247522034</v>
      </c>
      <c r="X62">
        <f>X13/X15</f>
        <v>1.129350850529993</v>
      </c>
      <c r="Z62">
        <f>Z13/Z15</f>
        <v>1.1415615381536723</v>
      </c>
      <c r="AB62">
        <f>AB13/AB15</f>
        <v>1.1535370162070131</v>
      </c>
      <c r="AD62">
        <f>AD13/AD15</f>
        <v>1.1649810878800024</v>
      </c>
      <c r="AF62">
        <f>AF13/AF15</f>
        <v>1.1754068595847915</v>
      </c>
      <c r="AH62">
        <f>AH13/AH15</f>
        <v>1.1840958783355129</v>
      </c>
      <c r="AJ62">
        <f>AJ13/AJ15</f>
        <v>1.1902522878840425</v>
      </c>
      <c r="AL62">
        <f>AL13/AL15</f>
        <v>1.1936092782570913</v>
      </c>
      <c r="AN62">
        <f>AN13/AN15</f>
        <v>1.1950076031368999</v>
      </c>
      <c r="AP62">
        <f>AP13/AP15</f>
        <v>1.1951798655524526</v>
      </c>
      <c r="AR62">
        <f>AR13/AR15</f>
        <v>1.19534667573975</v>
      </c>
      <c r="AT62">
        <f>AT13/AT15</f>
        <v>1.1955252857206562</v>
      </c>
      <c r="AV62">
        <f>AV13/AV15</f>
        <v>1.1957466476512257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0.99831645711218164</v>
      </c>
      <c r="E65" s="191"/>
      <c r="F65" s="191">
        <f t="array" ref="F65">SQRT((F9:G9*$B$22:$C$22+F10:G10*$B$23:$C$23+F11:G11*$B$24:$C$24+F4:G4*($B$25:$C$25-$B$19:$C$19))/($B$9:$C$9*$B$22:$C$22+$B$10:$C$10*$B$23:$C$23+$B$11:$C$11*$B$24:$C$24+$B$4:$C$4*($B$25:$C$25-$B$19:$C$19))*(F9:G9*F22:G22+F10:G10*F23:G23+F11:G11*F24:G24+F4:G4*(F25:G25-F19:G19))/($B$9:$C$9*F22:G22+$B$10:$C$10*F23:G23+$B$11:$C$11*F24:G24+$B$4:$C$4*(F25:G25-F19:G19)))</f>
        <v>0.99651737425595666</v>
      </c>
      <c r="G65" s="191"/>
      <c r="H65" s="191">
        <f t="array" ref="H65">SQRT((H9:I9*$B$22:$C$22+H10:I10*$B$23:$C$23+H11:I11*$B$24:$C$24+H4:I4*($B$25:$C$25-$B$19:$C$19))/($B$9:$C$9*$B$22:$C$22+$B$10:$C$10*$B$23:$C$23+$B$11:$C$11*$B$24:$C$24+$B$4:$C$4*($B$25:$C$25-$B$19:$C$19))*(H9:I9*H22:I22+H10:I10*H23:I23+H11:I11*H24:I24+H4:I4*(H25:I25-H19:I19))/($B$9:$C$9*H22:I22+$B$10:$C$10*H23:I23+$B$11:$C$11*H24:I24+$B$4:$C$4*(H25:I25-H19:I19)))</f>
        <v>0.99458313557001488</v>
      </c>
      <c r="I65" s="191"/>
      <c r="J65" s="191">
        <f t="array" ref="J65">SQRT((J9:K9*$B$22:$C$22+J10:K10*$B$23:$C$23+J11:K11*$B$24:$C$24+J4:K4*($B$25:$C$25-$B$19:$C$19))/($B$9:$C$9*$B$22:$C$22+$B$10:$C$10*$B$23:$C$23+$B$11:$C$11*$B$24:$C$24+$B$4:$C$4*($B$25:$C$25-$B$19:$C$19))*(J9:K9*J22:K22+J10:K10*J23:K23+J11:K11*J24:K24+J4:K4*(J25:K25-J19:K19))/($B$9:$C$9*J22:K22+$B$10:$C$10*J23:K23+$B$11:$C$11*J24:K24+$B$4:$C$4*(J25:K25-J19:K19)))</f>
        <v>0.99248898054108181</v>
      </c>
      <c r="K65" s="191"/>
      <c r="L65" s="191">
        <f t="array" ref="L65">SQRT((L9:M9*$B$22:$C$22+L10:M10*$B$23:$C$23+L11:M11*$B$24:$C$24+L4:M4*($B$25:$C$25-$B$19:$C$19))/($B$9:$C$9*$B$22:$C$22+$B$10:$C$10*$B$23:$C$23+$B$11:$C$11*$B$24:$C$24+$B$4:$C$4*($B$25:$C$25-$B$19:$C$19))*(L9:M9*L22:M22+L10:M10*L23:M23+L11:M11*L24:M24+L4:M4*(L25:M25-L19:M19))/($B$9:$C$9*L22:M22+$B$10:$C$10*L23:M23+$B$11:$C$11*L24:M24+$B$4:$C$4*(L25:M25-L19:M19)))</f>
        <v>0.99020341861494487</v>
      </c>
      <c r="M65" s="191"/>
      <c r="N65" s="191">
        <f t="array" ref="N65">SQRT((N9:O9*$B$22:$C$22+N10:O10*$B$23:$C$23+N11:O11*$B$24:$C$24+N4:O4*($B$25:$C$25-$B$19:$C$19))/($B$9:$C$9*$B$22:$C$22+$B$10:$C$10*$B$23:$C$23+$B$11:$C$11*$B$24:$C$24+$B$4:$C$4*($B$25:$C$25-$B$19:$C$19))*(N9:O9*N22:O22+N10:O10*N23:O23+N11:O11*N24:O24+N4:O4*(N25:O25-N19:O19))/($B$9:$C$9*N22:O22+$B$10:$C$10*N23:O23+$B$11:$C$11*N24:O24+$B$4:$C$4*(N25:O25-N19:O19)))</f>
        <v>0.98768614092323781</v>
      </c>
      <c r="O65" s="191"/>
      <c r="P65" s="191">
        <f t="array" ref="P65">SQRT((P9:Q9*$B$22:$C$22+P10:Q10*$B$23:$C$23+P11:Q11*$B$24:$C$24+P4:Q4*($B$25:$C$25-$B$19:$C$19))/($B$9:$C$9*$B$22:$C$22+$B$10:$C$10*$B$23:$C$23+$B$11:$C$11*$B$24:$C$24+$B$4:$C$4*($B$25:$C$25-$B$19:$C$19))*(P9:Q9*P22:Q22+P10:Q10*P23:Q23+P11:Q11*P24:Q24+P4:Q4*(P25:Q25-P19:Q19))/($B$9:$C$9*P22:Q22+$B$10:$C$10*P23:Q23+$B$11:$C$11*P24:Q24+$B$4:$C$4*(P25:Q25-P19:Q19)))</f>
        <v>0.98488530510470162</v>
      </c>
      <c r="Q65" s="191"/>
      <c r="R65" s="191">
        <f t="array" ref="R65">SQRT((R9:S9*$B$22:$C$22+R10:S10*$B$23:$C$23+R11:S11*$B$24:$C$24+R4:S4*($B$25:$C$25-$B$19:$C$19))/($B$9:$C$9*$B$22:$C$22+$B$10:$C$10*$B$23:$C$23+$B$11:$C$11*$B$24:$C$24+$B$4:$C$4*($B$25:$C$25-$B$19:$C$19))*(R9:S9*R22:S22+R10:S10*R23:S23+R11:S11*R24:S24+R4:S4*(R25:S25-R19:S19))/($B$9:$C$9*R22:S22+$B$10:$C$10*R23:S23+$B$11:$C$11*R24:S24+$B$4:$C$4*(R25:S25-R19:S19)))</f>
        <v>0.98173415090667215</v>
      </c>
      <c r="S65" s="191"/>
      <c r="T65" s="191">
        <f t="array" ref="T65">SQRT((T9:U9*$B$22:$C$22+T10:U10*$B$23:$C$23+T11:U11*$B$24:$C$24+T4:U4*($B$25:$C$25-$B$19:$C$19))/($B$9:$C$9*$B$22:$C$22+$B$10:$C$10*$B$23:$C$23+$B$11:$C$11*$B$24:$C$24+$B$4:$C$4*($B$25:$C$25-$B$19:$C$19))*(T9:U9*T22:U22+T10:U10*T23:U23+T11:U11*T24:U24+T4:U4*(T25:U25-T19:U19))/($B$9:$C$9*T22:U22+$B$10:$C$10*T23:U23+$B$11:$C$11*T24:U24+$B$4:$C$4*(T25:U25-T19:U19)))</f>
        <v>0.9781468470218222</v>
      </c>
      <c r="U65" s="191"/>
      <c r="V65" s="191">
        <f t="array" ref="V65">SQRT((V9:W9*$B$22:$C$22+V10:W10*$B$23:$C$23+V11:W11*$B$24:$C$24+V4:W4*($B$25:$C$25-$B$19:$C$19))/($B$9:$C$9*$B$22:$C$22+$B$10:$C$10*$B$23:$C$23+$B$11:$C$11*$B$24:$C$24+$B$4:$C$4*($B$25:$C$25-$B$19:$C$19))*(V9:W9*V22:W22+V10:W10*V23:W23+V11:W11*V24:W24+V4:W4*(V25:W25-V19:W19))/($B$9:$C$9*V22:W22+$B$10:$C$10*V23:W23+$B$11:$C$11*V24:W24+$B$4:$C$4*(V25:W25-V19:W19)))</f>
        <v>0.97401430047227866</v>
      </c>
      <c r="W65" s="191"/>
      <c r="X65" s="191">
        <f t="array" ref="X65">SQRT((X9:Y9*$B$22:$C$22+X10:Y10*$B$23:$C$23+X11:Y11*$B$24:$C$24+X4:Y4*($B$25:$C$25-$B$19:$C$19))/($B$9:$C$9*$B$22:$C$22+$B$10:$C$10*$B$23:$C$23+$B$11:$C$11*$B$24:$C$24+$B$4:$C$4*($B$25:$C$25-$B$19:$C$19))*(X9:Y9*X22:Y22+X10:Y10*X23:Y23+X11:Y11*X24:Y24+X4:Y4*(X25:Y25-X19:Y19))/($B$9:$C$9*X22:Y22+$B$10:$C$10*X23:Y23+$B$11:$C$11*X24:Y24+$B$4:$C$4*(X25:Y25-X19:Y19)))</f>
        <v>0.96920129332305816</v>
      </c>
      <c r="Y65" s="191"/>
      <c r="Z65" s="191">
        <f t="array" ref="Z65">SQRT((Z9:AA9*$B$22:$C$22+Z10:AA10*$B$23:$C$23+Z11:AA11*$B$24:$C$24+Z4:AA4*($B$25:$C$25-$B$19:$C$19))/($B$9:$C$9*$B$22:$C$22+$B$10:$C$10*$B$23:$C$23+$B$11:$C$11*$B$24:$C$24+$B$4:$C$4*($B$25:$C$25-$B$19:$C$19))*(Z9:AA9*Z22:AA22+Z10:AA10*Z23:AA23+Z11:AA11*Z24:AA24+Z4:AA4*(Z25:AA25-Z19:AA19))/($B$9:$C$9*Z22:AA22+$B$10:$C$10*Z23:AA23+$B$11:$C$11*Z24:AA24+$B$4:$C$4*(Z25:AA25-Z19:AA19)))</f>
        <v>0.96354974429658702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0.95690041943783877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0.94916507300175668</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0.9405255885665994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0.9318944244382773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0.92554567500926976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0.92415276857737172</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0.92590195274788367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0.92614426672858952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0.92630211527578954</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0.92638639294427294</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0.92641792832122483</v>
      </c>
    </row>
    <row r="66" spans="1:48 16384:16384" x14ac:dyDescent="0.2">
      <c r="A66" t="s">
        <v>182</v>
      </c>
      <c r="B66" s="191">
        <f t="array" ref="B66">SQRT((B9:C9*$B$22:$C$22)/($B$9:$C$9*$B$22:$C$22)*(B9:C9*B22:C22)/($B$9:$C$9*B22:C22))</f>
        <v>1</v>
      </c>
      <c r="C66" s="191"/>
      <c r="D66" s="191">
        <f t="array" ref="D66">SQRT((D9:E9*$B$22:$C$22)/($B$9:$C$9*$B$22:$C$22)*(D9:E9*D22:E22)/($B$9:$C$9*D22:E22))</f>
        <v>0.99814919745256347</v>
      </c>
      <c r="E66" s="191"/>
      <c r="F66" s="191">
        <f t="array" ref="F66">SQRT((F9:G9*$B$22:$C$22)/($B$9:$C$9*$B$22:$C$22)*(F9:G9*F22:G22)/($B$9:$C$9*F22:G22))</f>
        <v>0.99617014221051658</v>
      </c>
      <c r="G66" s="191"/>
      <c r="H66" s="191">
        <f t="array" ref="H66">SQRT((H9:I9*$B$22:$C$22)/($B$9:$C$9*$B$22:$C$22)*(H9:I9*H22:I22)/($B$9:$C$9*H22:I22))</f>
        <v>0.99404094965783341</v>
      </c>
      <c r="I66" s="191"/>
      <c r="J66" s="191">
        <f t="array" ref="J66">SQRT((J9:K9*$B$22:$C$22)/($B$9:$C$9*$B$22:$C$22)*(J9:K9*J22:K22)/($B$9:$C$9*J22:K22))</f>
        <v>0.99173396911008782</v>
      </c>
      <c r="K66" s="191"/>
      <c r="L66" s="191">
        <f t="array" ref="L66">SQRT((L9:M9*$B$22:$C$22)/($B$9:$C$9*$B$22:$C$22)*(L9:M9*L22:M22)/($B$9:$C$9*L22:M22))</f>
        <v>0.98921399221314399</v>
      </c>
      <c r="M66" s="191"/>
      <c r="N66" s="191">
        <f t="array" ref="N66">SQRT((N9:O9*$B$22:$C$22)/($B$9:$C$9*$B$22:$C$22)*(N9:O9*N22:O22)/($B$9:$C$9*N22:O22))</f>
        <v>0.9864358836804884</v>
      </c>
      <c r="O66" s="191"/>
      <c r="P66" s="191">
        <f t="array" ref="P66">SQRT((P9:Q9*$B$22:$C$22)/($B$9:$C$9*$B$22:$C$22)*(P9:Q9*P22:Q22)/($B$9:$C$9*P22:Q22))</f>
        <v>0.98334148441448976</v>
      </c>
      <c r="Q66" s="191"/>
      <c r="R66" s="191">
        <f t="array" ref="R66">SQRT((R9:S9*$B$22:$C$22)/($B$9:$C$9*$B$22:$C$22)*(R9:S9*R22:S22)/($B$9:$C$9*R22:S22))</f>
        <v>0.9798557197526907</v>
      </c>
      <c r="S66" s="191"/>
      <c r="T66" s="191">
        <f t="array" ref="T66">SQRT((T9:U9*$B$22:$C$22)/($B$9:$C$9*$B$22:$C$22)*(T9:U9*T22:U22)/($B$9:$C$9*T22:U22))</f>
        <v>0.97588177102273133</v>
      </c>
      <c r="U66" s="191"/>
      <c r="V66" s="191">
        <f t="array" ref="V66">SQRT((V9:W9*$B$22:$C$22)/($B$9:$C$9*$B$22:$C$22)*(V9:W9*V22:W22)/($B$9:$C$9*V22:W22))</f>
        <v>0.97129607317368727</v>
      </c>
      <c r="W66" s="191"/>
      <c r="X66" s="191">
        <f t="array" ref="X66">SQRT((X9:Y9*$B$22:$C$22)/($B$9:$C$9*$B$22:$C$22)*(X9:Y9*X22:Y22)/($B$9:$C$9*X22:Y22))</f>
        <v>0.96594459306040326</v>
      </c>
      <c r="Y66" s="191"/>
      <c r="Z66" s="191">
        <f t="array" ref="Z66">SQRT((Z9:AA9*$B$22:$C$22)/($B$9:$C$9*$B$22:$C$22)*(Z9:AA9*Z22:AA22)/($B$9:$C$9*Z22:AA22))</f>
        <v>0.95964567254236388</v>
      </c>
      <c r="AA66" s="191"/>
      <c r="AB66" s="191">
        <f t="array" ref="AB66">SQRT((AB9:AC9*$B$22:$C$22)/($B$9:$C$9*$B$22:$C$22)*(AB9:AC9*AB22:AC22)/($B$9:$C$9*AB22:AC22))</f>
        <v>0.95221325680246516</v>
      </c>
      <c r="AC66" s="191"/>
      <c r="AD66" s="191">
        <f t="array" ref="AD66">SQRT((AD9:AE9*$B$22:$C$22)/($B$9:$C$9*$B$22:$C$22)*(AD9:AE9*AD22:AE22)/($B$9:$C$9*AD22:AE22))</f>
        <v>0.94353691192622635</v>
      </c>
      <c r="AE66" s="191"/>
      <c r="AF66" s="191">
        <f t="array" ref="AF66">SQRT((AF9:AG9*$B$22:$C$22)/($B$9:$C$9*$B$22:$C$22)*(AF9:AG9*AF22:AG22)/($B$9:$C$9*AF22:AG22))</f>
        <v>0.93380707147823572</v>
      </c>
      <c r="AG66" s="191"/>
      <c r="AH66" s="191">
        <f t="array" ref="AH66">SQRT((AH9:AI9*$B$22:$C$22)/($B$9:$C$9*$B$22:$C$22)*(AH9:AI9*AH22:AI22)/($B$9:$C$9*AH22:AI22))</f>
        <v>0.92404380419355236</v>
      </c>
      <c r="AI66" s="191"/>
      <c r="AJ66" s="191">
        <f t="array" ref="AJ66">SQRT((AJ9:AK9*$B$22:$C$22)/($B$9:$C$9*$B$22:$C$22)*(AJ9:AK9*AJ22:AK22)/($B$9:$C$9*AJ22:AK22))</f>
        <v>0.91683468043506589</v>
      </c>
      <c r="AK66" s="191"/>
      <c r="AL66" s="191">
        <f t="array" ref="AL66">SQRT((AL9:AM9*$B$22:$C$22)/($B$9:$C$9*$B$22:$C$22)*(AL9:AM9*AL22:AM22)/($B$9:$C$9*AL22:AM22))</f>
        <v>0.91525151013777151</v>
      </c>
      <c r="AM66" s="191"/>
      <c r="AN66" s="191">
        <f t="array" ref="AN66">SQRT((AN9:AO9*$B$22:$C$22)/($B$9:$C$9*$B$22:$C$22)*(AN9:AO9*AN22:AO22)/($B$9:$C$9*AN22:AO22))</f>
        <v>0.91724383478680327</v>
      </c>
      <c r="AO66" s="191"/>
      <c r="AP66" s="191">
        <f t="array" ref="AP66">SQRT((AP9:AQ9*$B$22:$C$22)/($B$9:$C$9*$B$22:$C$22)*(AP9:AQ9*AP22:AQ22)/($B$9:$C$9*AP22:AQ22))</f>
        <v>0.91751960667440657</v>
      </c>
      <c r="AQ66" s="191"/>
      <c r="AR66" s="191">
        <f t="array" ref="AR66">SQRT((AR9:AS9*$B$22:$C$22)/($B$9:$C$9*$B$22:$C$22)*(AR9:AS9*AR22:AS22)/($B$9:$C$9*AR22:AS22))</f>
        <v>0.91769922737820209</v>
      </c>
      <c r="AS66" s="191"/>
      <c r="AT66" s="191">
        <f t="array" ref="AT66">SQRT((AT9:AU9*$B$22:$C$22)/($B$9:$C$9*$B$22:$C$22)*(AT9:AU9*AT22:AU22)/($B$9:$C$9*AT22:AU22))</f>
        <v>0.91779512224722559</v>
      </c>
      <c r="AU66" s="191"/>
      <c r="AV66" s="191">
        <f t="array" ref="AV66">SQRT((AV9:AW9*$B$22:$C$22)/($B$9:$C$9*$B$22:$C$22)*(AV9:AW9*AV22:AW22)/($B$9:$C$9*AV22:AW22))</f>
        <v>0.91783100333119849</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0.99814919745256347</v>
      </c>
      <c r="E68" s="191"/>
      <c r="F68" s="191">
        <f>F66/F67</f>
        <v>0.99617014221051658</v>
      </c>
      <c r="G68" s="191"/>
      <c r="H68" s="191">
        <f>H66/H67</f>
        <v>0.99404094965783341</v>
      </c>
      <c r="I68" s="191"/>
      <c r="J68" s="191">
        <f>J66/J67</f>
        <v>0.99173396911008782</v>
      </c>
      <c r="K68" s="191"/>
      <c r="L68" s="191">
        <f>L66/L67</f>
        <v>0.98921399221314399</v>
      </c>
      <c r="M68" s="191"/>
      <c r="N68" s="191">
        <f>N66/N67</f>
        <v>0.9864358836804884</v>
      </c>
      <c r="O68" s="191"/>
      <c r="P68" s="191">
        <f>P66/P67</f>
        <v>0.98334148441448976</v>
      </c>
      <c r="Q68" s="191"/>
      <c r="R68" s="191">
        <f>R66/R67</f>
        <v>0.9798557197526907</v>
      </c>
      <c r="S68" s="191"/>
      <c r="T68" s="191">
        <f>T66/T67</f>
        <v>0.97588177102273133</v>
      </c>
      <c r="U68" s="191"/>
      <c r="V68" s="191">
        <f>V66/V67</f>
        <v>0.97129607317368727</v>
      </c>
      <c r="W68" s="191"/>
      <c r="X68" s="191">
        <f>X66/X67</f>
        <v>0.96594459306040326</v>
      </c>
      <c r="Y68" s="191"/>
      <c r="Z68" s="191">
        <f>Z66/Z67</f>
        <v>0.95964567254236388</v>
      </c>
      <c r="AA68" s="191"/>
      <c r="AB68" s="191">
        <f>AB66/AB67</f>
        <v>0.95221325680246516</v>
      </c>
      <c r="AC68" s="191"/>
      <c r="AD68" s="191">
        <f>AD66/AD67</f>
        <v>0.94353691192622635</v>
      </c>
      <c r="AE68" s="191"/>
      <c r="AF68" s="191">
        <f>AF66/AF67</f>
        <v>0.93380707147823572</v>
      </c>
      <c r="AG68" s="191"/>
      <c r="AH68" s="191">
        <f>AH66/AH67</f>
        <v>0.92404380419355236</v>
      </c>
      <c r="AI68" s="191"/>
      <c r="AJ68" s="191">
        <f>AJ66/AJ67</f>
        <v>0.91683468043506589</v>
      </c>
      <c r="AK68" s="191"/>
      <c r="AL68" s="191">
        <f>AL66/AL67</f>
        <v>0.91525151013777151</v>
      </c>
      <c r="AM68" s="191"/>
      <c r="AN68" s="191">
        <f>AN66/AN67</f>
        <v>0.91724383478680327</v>
      </c>
      <c r="AO68" s="191"/>
      <c r="AP68" s="191">
        <f>AP66/AP67</f>
        <v>0.91751960667440657</v>
      </c>
      <c r="AQ68" s="191"/>
      <c r="AR68" s="191">
        <f>AR66/AR67</f>
        <v>0.91769922737820209</v>
      </c>
      <c r="AS68" s="191"/>
      <c r="AT68" s="191">
        <f>AT66/AT67</f>
        <v>0.91779512224722559</v>
      </c>
      <c r="AU68" s="191"/>
      <c r="AV68" s="191">
        <f>AV66/AV67</f>
        <v>0.91783100333119849</v>
      </c>
      <c r="XFD68" s="191"/>
    </row>
    <row r="69" spans="1:48 16384:16384" x14ac:dyDescent="0.2">
      <c r="A69" t="s">
        <v>177</v>
      </c>
      <c r="B69" s="191">
        <f>B32/B65/($B$32)</f>
        <v>1</v>
      </c>
      <c r="C69" s="191"/>
      <c r="D69" s="191">
        <f>D32/D65/($B$32)</f>
        <v>1.0023025196004474</v>
      </c>
      <c r="E69" s="191"/>
      <c r="F69" s="191">
        <f>F32/F65/($B$32)</f>
        <v>1.0044484051583309</v>
      </c>
      <c r="G69" s="191"/>
      <c r="H69" s="191">
        <f>H32/H65/($B$32)</f>
        <v>1.0063988229681951</v>
      </c>
      <c r="I69" s="191"/>
      <c r="J69" s="191">
        <f>J32/J65/($B$32)</f>
        <v>1.0081023887321303</v>
      </c>
      <c r="K69" s="191"/>
      <c r="L69" s="191">
        <f>L32/L65/($B$32)</f>
        <v>1.0094901176613233</v>
      </c>
      <c r="M69" s="191"/>
      <c r="N69" s="191">
        <f>N32/N65/($B$32)</f>
        <v>1.010467922246296</v>
      </c>
      <c r="O69" s="191"/>
      <c r="P69" s="191">
        <f>P32/P65/($B$32)</f>
        <v>1.0109052191686085</v>
      </c>
      <c r="Q69" s="191"/>
      <c r="R69" s="191">
        <f>R32/R65/($B$32)</f>
        <v>1.0106172784792078</v>
      </c>
      <c r="S69" s="191"/>
      <c r="T69" s="191">
        <f>T32/T65/($B$32)</f>
        <v>1.0093366341510888</v>
      </c>
      <c r="U69" s="191"/>
      <c r="V69" s="191">
        <f>V32/V65/($B$32)</f>
        <v>1.006665965487554</v>
      </c>
      <c r="W69" s="191"/>
      <c r="X69" s="191">
        <f>X32/X65/($B$32)</f>
        <v>1.0019962133501561</v>
      </c>
      <c r="Y69" s="191"/>
      <c r="Z69" s="191">
        <f>Z32/Z65/($B$32)</f>
        <v>0.99435766979701201</v>
      </c>
      <c r="AA69" s="191"/>
      <c r="AB69" s="191">
        <f>AB32/AB65/($B$32)</f>
        <v>0.98213261084127346</v>
      </c>
      <c r="AC69" s="191"/>
      <c r="AD69" s="191">
        <f>AD32/AD65/($B$32)</f>
        <v>0.96246351702347133</v>
      </c>
      <c r="AE69" s="191"/>
      <c r="AF69" s="191">
        <f>AF32/AF65/($B$32)</f>
        <v>0.92995817313002049</v>
      </c>
      <c r="AG69" s="191"/>
      <c r="AH69" s="191">
        <f>AH32/AH65/($B$32)</f>
        <v>0.87380111046437048</v>
      </c>
      <c r="AI69" s="191"/>
      <c r="AJ69" s="191">
        <f>AJ32/AJ65/($B$32)</f>
        <v>0.77230325919314957</v>
      </c>
      <c r="AK69" s="191"/>
      <c r="AL69" s="191">
        <f>AL32/AL65/($B$32)</f>
        <v>0.59140216370379473</v>
      </c>
      <c r="AM69" s="191"/>
      <c r="AN69" s="191">
        <f>AN32/AN65/($B$32)</f>
        <v>0.31794656085228973</v>
      </c>
      <c r="AO69" s="191"/>
      <c r="AP69" s="191">
        <f>AP32/AP65/($B$32)</f>
        <v>0.2558233588178182</v>
      </c>
      <c r="AQ69" s="191"/>
      <c r="AR69" s="191">
        <f>AR32/AR65/($B$32)</f>
        <v>0.19254745484038827</v>
      </c>
      <c r="AS69" s="191"/>
      <c r="AT69" s="191">
        <f>AT32/AT65/($B$32)</f>
        <v>0.12860033266752016</v>
      </c>
      <c r="AU69" s="191"/>
      <c r="AV69" s="191">
        <f>AV32/AV65/($B$32)</f>
        <v>6.434374465407669E-2</v>
      </c>
    </row>
    <row r="70" spans="1:48 16384:16384" x14ac:dyDescent="0.2">
      <c r="A70" t="s">
        <v>178</v>
      </c>
      <c r="B70" s="138">
        <f>B18/$B$18</f>
        <v>1</v>
      </c>
      <c r="C70" s="138"/>
      <c r="D70" s="138">
        <f>D18/$B$18</f>
        <v>1.0005932257998558</v>
      </c>
      <c r="E70" s="138"/>
      <c r="F70" s="138">
        <f>F18/$B$18</f>
        <v>1.0010232813616091</v>
      </c>
      <c r="G70" s="138"/>
      <c r="H70" s="138">
        <f>H18/$B$18</f>
        <v>1.0012549131427886</v>
      </c>
      <c r="I70" s="138"/>
      <c r="J70" s="138">
        <f>J18/$B$18</f>
        <v>1.0012426064665108</v>
      </c>
      <c r="K70" s="138"/>
      <c r="L70" s="138">
        <f>L18/$B$18</f>
        <v>1.0009266704508109</v>
      </c>
      <c r="M70" s="138"/>
      <c r="N70" s="138">
        <f>N18/$B$18</f>
        <v>1.0002274432029892</v>
      </c>
      <c r="O70" s="138"/>
      <c r="P70" s="138">
        <f>P18/$B$18</f>
        <v>0.99903644944667236</v>
      </c>
      <c r="Q70" s="138"/>
      <c r="R70" s="138">
        <f>R18/$B$18</f>
        <v>0.9972025837864138</v>
      </c>
      <c r="S70" s="138"/>
      <c r="T70" s="138">
        <f>T18/$B$18</f>
        <v>0.99450944769878624</v>
      </c>
      <c r="U70" s="138"/>
      <c r="V70" s="138">
        <f>V18/$B$18</f>
        <v>0.99063722327681913</v>
      </c>
      <c r="W70" s="138"/>
      <c r="X70" s="138">
        <f>X18/$B$18</f>
        <v>0.98509483911710127</v>
      </c>
      <c r="Y70" s="138"/>
      <c r="Z70" s="138">
        <f>Z18/$B$18</f>
        <v>0.97709311319044423</v>
      </c>
      <c r="AA70" s="138"/>
      <c r="AB70" s="138">
        <f>AB18/$B$18</f>
        <v>0.96529247452236266</v>
      </c>
      <c r="AC70" s="138"/>
      <c r="AD70" s="138">
        <f>AD18/$B$18</f>
        <v>0.94726701228810761</v>
      </c>
      <c r="AE70" s="138"/>
      <c r="AF70" s="138">
        <f>AF18/$B$18</f>
        <v>0.91829257545901877</v>
      </c>
      <c r="AG70" s="138"/>
      <c r="AH70" s="138">
        <f>AH18/$B$18</f>
        <v>0.86852351639405168</v>
      </c>
      <c r="AI70" s="138"/>
      <c r="AJ70" s="138">
        <f>AJ18/$B$18</f>
        <v>0.77707266643590411</v>
      </c>
      <c r="AK70" s="138"/>
      <c r="AL70" s="138">
        <f>AL18/$B$18</f>
        <v>0.60673145012175977</v>
      </c>
      <c r="AM70" s="138"/>
      <c r="AN70" s="138">
        <f>AN18/$B$18</f>
        <v>0.33190500707679949</v>
      </c>
      <c r="AO70" s="138"/>
      <c r="AP70" s="138">
        <f>AP18/$B$18</f>
        <v>0.26751926784082269</v>
      </c>
      <c r="AQ70" s="138"/>
      <c r="AR70" s="138">
        <f>AR18/$B$18</f>
        <v>0.20157295425376698</v>
      </c>
      <c r="AS70" s="138"/>
      <c r="AT70" s="138">
        <f>AT18/$B$18</f>
        <v>0.13470681751125604</v>
      </c>
      <c r="AU70" s="138"/>
      <c r="AV70" s="138">
        <f>AV18/$B$18</f>
        <v>6.741371067510904E-2</v>
      </c>
    </row>
    <row r="71" spans="1:48 16384:16384" x14ac:dyDescent="0.2">
      <c r="A71" t="s">
        <v>179</v>
      </c>
      <c r="B71" s="138">
        <f>C18/$C$18</f>
        <v>1</v>
      </c>
      <c r="D71" s="138">
        <f>E18/$C$18</f>
        <v>0.93519952735822443</v>
      </c>
      <c r="E71" s="138"/>
      <c r="F71" s="138">
        <f>G18/$C$18</f>
        <v>0.8702944512965346</v>
      </c>
      <c r="G71" s="138"/>
      <c r="H71" s="138">
        <f>I18/$C$18</f>
        <v>0.80531151768669529</v>
      </c>
      <c r="I71" s="138"/>
      <c r="J71" s="138">
        <f>K18/$C$18</f>
        <v>0.74028646578572133</v>
      </c>
      <c r="K71" s="138"/>
      <c r="L71" s="138">
        <f>M18/$C$18</f>
        <v>0.67526777798419357</v>
      </c>
      <c r="M71" s="138"/>
      <c r="N71" s="138">
        <f>O18/$C$18</f>
        <v>0.61032307697762056</v>
      </c>
      <c r="O71" s="138"/>
      <c r="P71" s="138">
        <f>Q18/$C$18</f>
        <v>0.54554814228689652</v>
      </c>
      <c r="Q71" s="138"/>
      <c r="R71" s="138">
        <f>S18/$C$18</f>
        <v>0.48108120335327209</v>
      </c>
      <c r="S71" s="138"/>
      <c r="T71" s="138">
        <f>U18/$C$18</f>
        <v>0.41712582203122273</v>
      </c>
      <c r="U71" s="138"/>
      <c r="V71" s="138">
        <f>W18/$C$18</f>
        <v>0.35398661053803193</v>
      </c>
      <c r="W71" s="138"/>
      <c r="X71" s="138">
        <f>Y18/$C$18</f>
        <v>0.29212380152045458</v>
      </c>
      <c r="Y71" s="138"/>
      <c r="Z71" s="138">
        <f>AA18/$C$18</f>
        <v>0.23223682576093668</v>
      </c>
      <c r="AA71" s="138"/>
      <c r="AB71" s="138">
        <f>AC18/$C$18</f>
        <v>0.1753866771466728</v>
      </c>
      <c r="AC71" s="138"/>
      <c r="AD71" s="138">
        <f>AE18/$C$18</f>
        <v>0.12315803056449554</v>
      </c>
      <c r="AE71" s="138"/>
      <c r="AF71" s="138">
        <f>AG18/$C$18</f>
        <v>7.7813119760168914E-2</v>
      </c>
      <c r="AG71" s="138"/>
      <c r="AH71" s="138">
        <f>AI18/$C$18</f>
        <v>4.2200507467082343E-2</v>
      </c>
      <c r="AI71" s="138"/>
      <c r="AJ71" s="138">
        <f>AK18/$C$18</f>
        <v>1.8743170764636687E-2</v>
      </c>
      <c r="AK71" s="138"/>
      <c r="AL71" s="138">
        <f>AM18/$C$18</f>
        <v>6.9727827521435378E-3</v>
      </c>
      <c r="AM71" s="138"/>
      <c r="AN71" s="138">
        <f>AO18/$C$18</f>
        <v>2.3786400521378735E-3</v>
      </c>
      <c r="AO71" s="138"/>
      <c r="AP71" s="138">
        <f>AQ18/$C$18</f>
        <v>1.8401856035903216E-3</v>
      </c>
      <c r="AQ71" s="138"/>
      <c r="AR71" s="138">
        <f>AS18/$C$18</f>
        <v>1.3515552180196938E-3</v>
      </c>
      <c r="AS71" s="138"/>
      <c r="AT71" s="138">
        <f>AU18/$C$18</f>
        <v>8.9123551386679426E-4</v>
      </c>
      <c r="AU71" s="138"/>
      <c r="AV71" s="138">
        <f>AW18/$C$18</f>
        <v>4.4380905773913658E-4</v>
      </c>
      <c r="XFD71" s="138"/>
    </row>
    <row r="72" spans="1:48 16384:16384" x14ac:dyDescent="0.2">
      <c r="A72" t="s">
        <v>180</v>
      </c>
      <c r="B72" s="138">
        <f>C19/$C$19</f>
        <v>1</v>
      </c>
      <c r="D72" s="138">
        <f>E19/$C$19</f>
        <v>1.0052487269479677</v>
      </c>
      <c r="E72" s="138"/>
      <c r="F72" s="138">
        <f>G19/$C$19</f>
        <v>1.0141810582757416</v>
      </c>
      <c r="G72" s="138"/>
      <c r="H72" s="138">
        <f>I19/$C$19</f>
        <v>1.0274629006519935</v>
      </c>
      <c r="I72" s="138"/>
      <c r="J72" s="138">
        <f>K19/$C$19</f>
        <v>1.0459195645328481</v>
      </c>
      <c r="K72" s="138"/>
      <c r="L72" s="138">
        <f>M19/$C$19</f>
        <v>1.0705810838825838</v>
      </c>
      <c r="M72" s="138"/>
      <c r="N72" s="138">
        <f>O19/$C$19</f>
        <v>1.1027353121577246</v>
      </c>
      <c r="O72" s="138"/>
      <c r="P72" s="138">
        <f>Q19/$C$19</f>
        <v>1.1439960916132137</v>
      </c>
      <c r="Q72" s="138"/>
      <c r="R72" s="138">
        <f>S19/$C$19</f>
        <v>1.1963780840586762</v>
      </c>
      <c r="S72" s="138"/>
      <c r="T72" s="138">
        <f>U19/$C$19</f>
        <v>1.2623743267788456</v>
      </c>
      <c r="U72" s="138"/>
      <c r="V72" s="138">
        <f>W19/$C$19</f>
        <v>1.3449895397568146</v>
      </c>
      <c r="W72" s="138"/>
      <c r="X72" s="138">
        <f>Y19/$C$19</f>
        <v>1.4476546995249246</v>
      </c>
      <c r="Y72" s="138"/>
      <c r="Z72" s="138">
        <f>AA19/$C$19</f>
        <v>1.5737788140662106</v>
      </c>
      <c r="AA72" s="138"/>
      <c r="AB72" s="138">
        <f>AC19/$C$19</f>
        <v>1.7253535154103796</v>
      </c>
      <c r="AC72" s="138"/>
      <c r="AD72" s="138">
        <f>AE19/$C$19</f>
        <v>1.8991339729060364</v>
      </c>
      <c r="AE72" s="138"/>
      <c r="AF72" s="138">
        <f>AG19/$C$19</f>
        <v>2.0768911464965352</v>
      </c>
      <c r="AG72" s="138"/>
      <c r="AH72" s="138">
        <f>AI19/$C$19</f>
        <v>2.2034171232223541</v>
      </c>
      <c r="AI72" s="138"/>
      <c r="AJ72" s="138">
        <f>AK19/$C$19</f>
        <v>2.1536916484149651</v>
      </c>
      <c r="AK72" s="138"/>
      <c r="AL72" s="138">
        <f>AM19/$C$19</f>
        <v>1.7526579576006924</v>
      </c>
      <c r="AM72" s="138"/>
      <c r="AN72" s="138">
        <f>AO19/$C$19</f>
        <v>0.96389023100718896</v>
      </c>
      <c r="AO72" s="138"/>
      <c r="AP72" s="138">
        <f>AQ19/$C$19</f>
        <v>0.77678077372084176</v>
      </c>
      <c r="AQ72" s="138"/>
      <c r="AR72" s="138">
        <f>AS19/$C$19</f>
        <v>0.5852119379254892</v>
      </c>
      <c r="AS72" s="138"/>
      <c r="AT72" s="138">
        <f>AU19/$C$19</f>
        <v>0.39105062104453814</v>
      </c>
      <c r="AU72" s="138"/>
      <c r="AV72" s="138">
        <f>AW19/$C$19</f>
        <v>0.19569388088955594</v>
      </c>
      <c r="XFD72" s="138"/>
    </row>
    <row r="73" spans="1:48 16384:16384" x14ac:dyDescent="0.2">
      <c r="A73" t="s">
        <v>184</v>
      </c>
      <c r="B73" s="193">
        <f t="array" ref="B73">SUM(B9:C9*B22:C22)/B32</f>
        <v>0.47641153352875198</v>
      </c>
      <c r="D73" s="193">
        <f t="array" ref="D73">SUM(D9:E9*D22:E22)/D32</f>
        <v>0.47268898525801473</v>
      </c>
      <c r="E73" s="138"/>
      <c r="F73" s="193">
        <f t="array" ref="F73">SUM(F9:G9*F22:G22)/F32</f>
        <v>0.46876726652732315</v>
      </c>
      <c r="G73" s="138"/>
      <c r="H73" s="193">
        <f t="array" ref="H73">SUM(H9:I9*H22:I22)/H32</f>
        <v>0.46460365994820557</v>
      </c>
      <c r="I73" s="138"/>
      <c r="J73" s="193">
        <f t="array" ref="J73">SUM(J9:K9*J22:K22)/J32</f>
        <v>0.46014398655722388</v>
      </c>
      <c r="K73" s="138"/>
      <c r="L73" s="193">
        <f t="array" ref="L73">SUM(L9:M9*L22:M22)/L32</f>
        <v>0.45531854278667477</v>
      </c>
      <c r="M73" s="138"/>
      <c r="N73" s="193">
        <f t="array" ref="N73">SUM(N9:O9*N22:O22)/N32</f>
        <v>0.45003623232215639</v>
      </c>
      <c r="O73" s="138"/>
      <c r="P73" s="193">
        <f t="array" ref="P73">SUM(P9:Q9*P22:Q22)/P32</f>
        <v>0.44417576749819404</v>
      </c>
      <c r="Q73" s="138"/>
      <c r="R73" s="193">
        <f t="array" ref="R73">SUM(R9:S9*R22:S22)/R32</f>
        <v>0.43757224589521143</v>
      </c>
      <c r="S73" s="138"/>
      <c r="T73" s="193">
        <f t="array" ref="T73">SUM(T9:U9*T22:U22)/T32</f>
        <v>0.4299954641618336</v>
      </c>
      <c r="U73" s="138"/>
      <c r="V73" s="193">
        <f t="array" ref="V73">SUM(V9:W9*V22:W22)/V32</f>
        <v>0.4211142974134105</v>
      </c>
      <c r="W73" s="138"/>
      <c r="X73" s="193">
        <f t="array" ref="X73">SUM(X9:Y9*X22:Y22)/X32</f>
        <v>0.41043466239421822</v>
      </c>
      <c r="Y73" s="138"/>
      <c r="Z73" s="193">
        <f t="array" ref="Z73">SUM(Z9:AA9*Z22:AA22)/Z32</f>
        <v>0.39718709572237043</v>
      </c>
      <c r="AA73" s="138"/>
      <c r="AB73" s="193">
        <f t="array" ref="AB73">SUM(AB9:AC9*AB22:AC22)/AB32</f>
        <v>0.38011349104741227</v>
      </c>
      <c r="AC73" s="138"/>
      <c r="AD73" s="193">
        <f t="array" ref="AD73">SUM(AD9:AE9*AD22:AE22)/AD32</f>
        <v>0.35704910887761132</v>
      </c>
      <c r="AE73" s="138"/>
      <c r="AF73" s="193">
        <f t="array" ref="AF73">SUM(AF9:AG9*AF22:AG22)/AF32</f>
        <v>0.32411306055722899</v>
      </c>
      <c r="AG73" s="138"/>
      <c r="AH73" s="193">
        <f t="array" ref="AH73">SUM(AH9:AI9*AH22:AI22)/AH32</f>
        <v>0.27441248392487455</v>
      </c>
      <c r="AI73" s="138"/>
      <c r="AJ73" s="193">
        <f t="array" ref="AJ73">SUM(AJ9:AK9*AJ22:AK22)/AJ32</f>
        <v>0.1981226218982218</v>
      </c>
      <c r="AK73" s="138"/>
      <c r="AL73" s="193">
        <f t="array" ref="AL73">SUM(AL9:AM9*AL22:AM22)/AL32</f>
        <v>9.5959027280897724E-2</v>
      </c>
      <c r="AM73" s="138"/>
      <c r="AN73" s="193">
        <f t="array" ref="AN73">SUM(AN9:AO9*AN22:AO22)/AN32</f>
        <v>1.5974282583501916E-2</v>
      </c>
      <c r="AO73" s="138"/>
      <c r="AP73" s="193">
        <f t="array" ref="AP73">SUM(AP9:AQ9*AP22:AQ22)/AP32</f>
        <v>8.3785516815162962E-3</v>
      </c>
      <c r="AQ73" s="138"/>
      <c r="AR73" s="193">
        <f t="array" ref="AR73">SUM(AR9:AS9*AR22:AS22)/AR32</f>
        <v>3.5879513964231489E-3</v>
      </c>
      <c r="AS73" s="138"/>
      <c r="AT73" s="193">
        <f t="array" ref="AT73">SUM(AT9:AU9*AT22:AU22)/AT32</f>
        <v>1.0713503778147437E-3</v>
      </c>
      <c r="AU73" s="138"/>
      <c r="AV73" s="193">
        <f t="array" ref="AV73">SUM(AV9:AW9*AV22:AW22)/AV32</f>
        <v>1.3429162273943311E-4</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0.22604620456442481</v>
      </c>
      <c r="O74" s="138"/>
      <c r="P74" s="193">
        <f t="array" ref="P74">SUM(P10:Q10*P23:Q23)/P32</f>
        <v>0.22604620456442481</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0.22604620456442487</v>
      </c>
      <c r="XFD74" s="193"/>
    </row>
    <row r="75" spans="1:48 16384:16384" x14ac:dyDescent="0.2">
      <c r="A75" t="s">
        <v>186</v>
      </c>
      <c r="B75" s="193">
        <f t="array" ref="B75">SUM(B11:C11*B24:C24)/B32</f>
        <v>0.22038438833194082</v>
      </c>
      <c r="D75" s="193">
        <f t="array" ref="D75">SUM(D11:E11*D24:E24)/D32</f>
        <v>0.22410694111517129</v>
      </c>
      <c r="E75" s="138"/>
      <c r="F75" s="193">
        <f t="array" ref="F75">SUM(F11:G11*F24:G24)/F32</f>
        <v>0.22802865794791924</v>
      </c>
      <c r="G75" s="138"/>
      <c r="H75" s="193">
        <f t="array" ref="H75">SUM(H11:I11*H24:I24)/H32</f>
        <v>0.23219226536527235</v>
      </c>
      <c r="I75" s="138"/>
      <c r="J75" s="193">
        <f t="array" ref="J75">SUM(J11:K11*J24:K24)/J32</f>
        <v>0.2366519354212801</v>
      </c>
      <c r="K75" s="138"/>
      <c r="L75" s="193">
        <f t="array" ref="L75">SUM(L11:M11*L24:M24)/L32</f>
        <v>0.24147738398039445</v>
      </c>
      <c r="M75" s="138"/>
      <c r="N75" s="193">
        <f t="array" ref="N75">SUM(N11:O11*N24:O24)/N32</f>
        <v>0.24675969927550387</v>
      </c>
      <c r="O75" s="138"/>
      <c r="P75" s="193">
        <f t="array" ref="P75">SUM(P11:Q11*P24:Q24)/P32</f>
        <v>0.25262016617495198</v>
      </c>
      <c r="Q75" s="138"/>
      <c r="R75" s="193">
        <f t="array" ref="R75">SUM(R11:S11*R24:S24)/R32</f>
        <v>0.25922368115196753</v>
      </c>
      <c r="S75" s="138"/>
      <c r="T75" s="193">
        <f t="array" ref="T75">SUM(T11:U11*T24:U24)/T32</f>
        <v>0.26680046484586079</v>
      </c>
      <c r="U75" s="138"/>
      <c r="V75" s="193">
        <f t="array" ref="V75">SUM(V11:W11*V24:W24)/V32</f>
        <v>0.27568162930932083</v>
      </c>
      <c r="W75" s="138"/>
      <c r="X75" s="193">
        <f t="array" ref="X75">SUM(X11:Y11*X24:Y24)/X32</f>
        <v>0.28636125970673099</v>
      </c>
      <c r="Y75" s="138"/>
      <c r="Z75" s="193">
        <f t="array" ref="Z75">SUM(Z11:AA11*Z24:AA24)/Z32</f>
        <v>0.29960882622279955</v>
      </c>
      <c r="AA75" s="138"/>
      <c r="AB75" s="193">
        <f t="array" ref="AB75">SUM(AB11:AC11*AB24:AC24)/AB32</f>
        <v>0.31668243105102734</v>
      </c>
      <c r="AC75" s="138"/>
      <c r="AD75" s="193">
        <f t="array" ref="AD75">SUM(AD11:AE11*AD24:AE24)/AD32</f>
        <v>0.33974681412415109</v>
      </c>
      <c r="AE75" s="138"/>
      <c r="AF75" s="193">
        <f t="array" ref="AF75">SUM(AF11:AG11*AF24:AG24)/AF32</f>
        <v>0.37268286137175005</v>
      </c>
      <c r="AG75" s="138"/>
      <c r="AH75" s="193">
        <f t="array" ref="AH75">SUM(AH11:AI11*AH24:AI24)/AH32</f>
        <v>0.42238343793926225</v>
      </c>
      <c r="AI75" s="138"/>
      <c r="AJ75" s="193">
        <f t="array" ref="AJ75">SUM(AJ11:AK11*AJ24:AK24)/AJ32</f>
        <v>0.49867329990384585</v>
      </c>
      <c r="AK75" s="138"/>
      <c r="AL75" s="193">
        <f t="array" ref="AL75">SUM(AL11:AM11*AL24:AM24)/AL32</f>
        <v>0.60083689463248724</v>
      </c>
      <c r="AM75" s="138"/>
      <c r="AN75" s="193">
        <f t="array" ref="AN75">SUM(AN11:AO11*AN24:AO24)/AN32</f>
        <v>0.68082163940318574</v>
      </c>
      <c r="AO75" s="138"/>
      <c r="AP75" s="193">
        <f t="array" ref="AP75">SUM(AP11:AQ11*AP24:AQ24)/AP32</f>
        <v>0.68841737014609516</v>
      </c>
      <c r="AQ75" s="138"/>
      <c r="AR75" s="193">
        <f t="array" ref="AR75">SUM(AR11:AS11*AR24:AS24)/AR32</f>
        <v>0.69320797047591853</v>
      </c>
      <c r="AS75" s="138"/>
      <c r="AT75" s="193">
        <f t="array" ref="AT75">SUM(AT11:AU11*AT24:AU24)/AT32</f>
        <v>0.69572457148943101</v>
      </c>
      <c r="AU75" s="138"/>
      <c r="AV75" s="193">
        <f t="array" ref="AV75">SUM(AV11:AW11*AV24:AW24)/AV32</f>
        <v>0.69666163023879946</v>
      </c>
      <c r="XFD75" s="193"/>
    </row>
    <row r="76" spans="1:48 16384:16384" x14ac:dyDescent="0.2">
      <c r="A76" t="s">
        <v>187</v>
      </c>
      <c r="B76" s="193">
        <f t="array" ref="B76">SUM(B12:C12*B25:C25)/B32</f>
        <v>0.22301874374724892</v>
      </c>
      <c r="D76" s="193">
        <f t="array" ref="D76">SUM(D12:E12*D25:E25)/D32</f>
        <v>0.22281136591510933</v>
      </c>
      <c r="E76" s="138"/>
      <c r="F76" s="193">
        <f t="array" ref="F76">SUM(F12:G12*F25:G25)/F32</f>
        <v>0.22266954832495323</v>
      </c>
      <c r="G76" s="138"/>
      <c r="H76" s="193">
        <f t="array" ref="H76">SUM(H12:I12*H25:I25)/H32</f>
        <v>0.22260568099588568</v>
      </c>
      <c r="I76" s="138"/>
      <c r="J76" s="193">
        <f t="array" ref="J76">SUM(J12:K12*J25:K25)/J32</f>
        <v>0.22263553583147944</v>
      </c>
      <c r="K76" s="138"/>
      <c r="L76" s="193">
        <f t="array" ref="L76">SUM(L12:M12*L25:M25)/L32</f>
        <v>0.22277935758713255</v>
      </c>
      <c r="M76" s="138"/>
      <c r="N76" s="193">
        <f t="array" ref="N76">SUM(N12:O12*N25:O25)/N32</f>
        <v>0.22306336929039799</v>
      </c>
      <c r="O76" s="138"/>
      <c r="P76" s="193">
        <f t="array" ref="P76">SUM(P12:Q12*P25:Q25)/P32</f>
        <v>0.2235218175049607</v>
      </c>
      <c r="Q76" s="138"/>
      <c r="R76" s="193">
        <f t="array" ref="R76">SUM(R12:S12*R25:S25)/R32</f>
        <v>0.22419974956796782</v>
      </c>
      <c r="S76" s="138"/>
      <c r="T76" s="193">
        <f t="array" ref="T76">SUM(T12:U12*T25:U25)/T32</f>
        <v>0.22515684550532614</v>
      </c>
      <c r="U76" s="138"/>
      <c r="V76" s="193">
        <f t="array" ref="V76">SUM(V12:W12*V25:W25)/V32</f>
        <v>0.22647239182756393</v>
      </c>
      <c r="W76" s="138"/>
      <c r="X76" s="193">
        <f t="array" ref="X76">SUM(X12:Y12*X25:Y25)/X32</f>
        <v>0.22825152464708742</v>
      </c>
      <c r="Y76" s="138"/>
      <c r="Z76" s="193">
        <f t="array" ref="Z76">SUM(Z12:AA12*Z25:AA25)/Z32</f>
        <v>0.23063172446886693</v>
      </c>
      <c r="AA76" s="138"/>
      <c r="AB76" s="193">
        <f t="array" ref="AB76">SUM(AB12:AC12*AB25:AC25)/AB32</f>
        <v>0.2337855983633795</v>
      </c>
      <c r="AC76" s="138"/>
      <c r="AD76" s="193">
        <f t="array" ref="AD76">SUM(AD12:AE12*AD25:AE25)/AD32</f>
        <v>0.23790694114774569</v>
      </c>
      <c r="AE76" s="138"/>
      <c r="AF76" s="193">
        <f t="array" ref="AF76">SUM(AF12:AG12*AF25:AG25)/AF32</f>
        <v>0.24314391928490245</v>
      </c>
      <c r="AG76" s="138"/>
      <c r="AH76" s="193">
        <f t="array" ref="AH76">SUM(AH12:AI12*AH25:AI25)/AH32</f>
        <v>0.24940722234559842</v>
      </c>
      <c r="AI76" s="138"/>
      <c r="AJ76" s="193">
        <f t="array" ref="AJ76">SUM(AJ12:AK12*AJ25:AK25)/AJ32</f>
        <v>0.25605360559459123</v>
      </c>
      <c r="AK76" s="138"/>
      <c r="AL76" s="193">
        <f t="array" ref="AL76">SUM(AL12:AM12*AL25:AM25)/AL32</f>
        <v>0.26188602399819749</v>
      </c>
      <c r="AM76" s="138"/>
      <c r="AN76" s="193">
        <f t="array" ref="AN76">SUM(AN12:AO12*AN25:AO25)/AN32</f>
        <v>0.26542702072200614</v>
      </c>
      <c r="AO76" s="138"/>
      <c r="AP76" s="193">
        <f t="array" ref="AP76">SUM(AP12:AQ12*AP25:AQ25)/AP32</f>
        <v>0.26574412546772741</v>
      </c>
      <c r="AQ76" s="138"/>
      <c r="AR76" s="193">
        <f t="array" ref="AR76">SUM(AR12:AS12*AR25:AS25)/AR32</f>
        <v>0.26594337248942024</v>
      </c>
      <c r="AS76" s="138"/>
      <c r="AT76" s="193">
        <f t="array" ref="AT76">SUM(AT12:AU12*AT25:AU25)/AT32</f>
        <v>0.26604794763645317</v>
      </c>
      <c r="AU76" s="138"/>
      <c r="AV76" s="193">
        <f t="array" ref="AV76">SUM(AV12:AW12*AV25:AW25)/AV32</f>
        <v>0.26608693477401468</v>
      </c>
      <c r="XFD76" s="193"/>
    </row>
    <row r="77" spans="1:48 16384:16384" x14ac:dyDescent="0.2">
      <c r="A77" t="s">
        <v>188</v>
      </c>
      <c r="B77" s="193">
        <f t="array" ref="B77">SUM(B4:C4*B19:C19)/B32</f>
        <v>0.14586087017236635</v>
      </c>
      <c r="D77" s="193">
        <f t="array" ref="D77">SUM(D4:E4*D19:E19)/D32</f>
        <v>0.14565349685272022</v>
      </c>
      <c r="E77" s="138"/>
      <c r="F77" s="193">
        <f t="array" ref="F77">SUM(F4:G4*F19:G19)/F32</f>
        <v>0.14551167736462037</v>
      </c>
      <c r="G77" s="138"/>
      <c r="H77" s="193">
        <f t="array" ref="H77">SUM(H4:I4*H19:I19)/H32</f>
        <v>0.14544781087378844</v>
      </c>
      <c r="I77" s="138"/>
      <c r="J77" s="193">
        <f t="array" ref="J77">SUM(J4:K4*J19:K19)/J32</f>
        <v>0.14547766237440837</v>
      </c>
      <c r="K77" s="138"/>
      <c r="L77" s="193">
        <f t="array" ref="L77">SUM(L4:M4*L19:M19)/L32</f>
        <v>0.14562148891862631</v>
      </c>
      <c r="M77" s="138"/>
      <c r="N77" s="193">
        <f t="array" ref="N77">SUM(N4:O4*N19:O19)/N32</f>
        <v>0.14590550545248304</v>
      </c>
      <c r="O77" s="138"/>
      <c r="P77" s="193">
        <f t="array" ref="P77">SUM(P4:Q4*P19:Q19)/P32</f>
        <v>0.14636395574253133</v>
      </c>
      <c r="Q77" s="138"/>
      <c r="R77" s="193">
        <f t="array" ref="R77">SUM(R4:S4*R19:S19)/R32</f>
        <v>0.14704188117957173</v>
      </c>
      <c r="S77" s="138"/>
      <c r="T77" s="193">
        <f t="array" ref="T77">SUM(T4:U4*T19:U19)/T32</f>
        <v>0.14799897907744536</v>
      </c>
      <c r="U77" s="138"/>
      <c r="V77" s="193">
        <f t="array" ref="V77">SUM(V4:W4*V19:W19)/V32</f>
        <v>0.14931452311472007</v>
      </c>
      <c r="W77" s="138"/>
      <c r="X77" s="193">
        <f t="array" ref="X77">SUM(X4:Y4*X19:Y19)/X32</f>
        <v>0.1510936513124613</v>
      </c>
      <c r="Y77" s="138"/>
      <c r="Z77" s="193">
        <f t="array" ref="Z77">SUM(Z4:AA4*Z19:AA19)/Z32</f>
        <v>0.15347385097846158</v>
      </c>
      <c r="AA77" s="138"/>
      <c r="AB77" s="193">
        <f t="array" ref="AB77">SUM(AB4:AC4*AB19:AC19)/AB32</f>
        <v>0.15662772502624386</v>
      </c>
      <c r="AC77" s="138"/>
      <c r="AD77" s="193">
        <f t="array" ref="AD77">SUM(AD4:AE4*AD19:AE19)/AD32</f>
        <v>0.16074906871393291</v>
      </c>
      <c r="AE77" s="138"/>
      <c r="AF77" s="193">
        <f t="array" ref="AF77">SUM(AF4:AG4*AF19:AG19)/AF32</f>
        <v>0.16598604577830633</v>
      </c>
      <c r="AG77" s="138"/>
      <c r="AH77" s="193">
        <f t="array" ref="AH77">SUM(AH4:AI4*AH19:AI19)/AH32</f>
        <v>0.17224934877416012</v>
      </c>
      <c r="AI77" s="138"/>
      <c r="AJ77" s="193">
        <f t="array" ref="AJ77">SUM(AJ4:AK4*AJ19:AK19)/AJ32</f>
        <v>0.17889573196108369</v>
      </c>
      <c r="AK77" s="138"/>
      <c r="AL77" s="193">
        <f t="array" ref="AL77">SUM(AL4:AM4*AL19:AM19)/AL32</f>
        <v>0.18472815047600724</v>
      </c>
      <c r="AM77" s="138"/>
      <c r="AN77" s="193">
        <f t="array" ref="AN77">SUM(AN4:AO4*AN19:AO19)/AN32</f>
        <v>0.18826914727311864</v>
      </c>
      <c r="AO77" s="138"/>
      <c r="AP77" s="193">
        <f t="array" ref="AP77">SUM(AP4:AQ4*AP19:AQ19)/AP32</f>
        <v>0.1885862518597636</v>
      </c>
      <c r="AQ77" s="138"/>
      <c r="AR77" s="193">
        <f t="array" ref="AR77">SUM(AR4:AS4*AR19:AS19)/AR32</f>
        <v>0.18878549892618685</v>
      </c>
      <c r="AS77" s="138"/>
      <c r="AT77" s="193">
        <f t="array" ref="AT77">SUM(AT4:AU4*AT19:AU19)/AT32</f>
        <v>0.18889007406812378</v>
      </c>
      <c r="AU77" s="138"/>
      <c r="AV77" s="193">
        <f t="array" ref="AV77">SUM(AV4:AW4*AV19:AW19)/AV32</f>
        <v>0.18892906119997846</v>
      </c>
      <c r="XFD77" s="193"/>
    </row>
    <row r="78" spans="1:48 16384:16384" x14ac:dyDescent="0.2">
      <c r="A78" t="s">
        <v>189</v>
      </c>
      <c r="B78" s="193">
        <f t="array" ref="B78">SUM(B13:C13*B26:C26)/B32</f>
        <v>0.346887593115773</v>
      </c>
      <c r="D78" s="193">
        <f t="array" ref="D78">SUM(D13:E13*D26:E26)/D32</f>
        <v>0.34632434596101852</v>
      </c>
      <c r="E78" s="138"/>
      <c r="F78" s="193">
        <f t="array" ref="F78">SUM(F13:G13*F26:G26)/F32</f>
        <v>0.34558487533109694</v>
      </c>
      <c r="G78" s="138"/>
      <c r="H78" s="193">
        <f t="array" ref="H78">SUM(H13:I13*H26:I26)/H32</f>
        <v>0.3446344658402854</v>
      </c>
      <c r="I78" s="138"/>
      <c r="J78" s="193">
        <f t="array" ref="J78">SUM(J13:K13*J26:K26)/J32</f>
        <v>0.34342902834996936</v>
      </c>
      <c r="K78" s="138"/>
      <c r="L78" s="193">
        <f t="array" ref="L78">SUM(L13:M13*L26:M26)/L32</f>
        <v>0.3419117465135128</v>
      </c>
      <c r="M78" s="138"/>
      <c r="N78" s="193">
        <f t="array" ref="N78">SUM(N13:O13*N26:O26)/N32</f>
        <v>0.3400081944268995</v>
      </c>
      <c r="O78" s="138"/>
      <c r="P78" s="193">
        <f t="array" ref="P78">SUM(P13:Q13*P26:Q26)/P32</f>
        <v>0.33761900870364409</v>
      </c>
      <c r="Q78" s="138"/>
      <c r="R78" s="193">
        <f t="array" ref="R78">SUM(R13:S13*R26:S26)/R32</f>
        <v>0.33460862938523156</v>
      </c>
      <c r="S78" s="138"/>
      <c r="T78" s="193">
        <f t="array" ref="T78">SUM(T13:U13*T26:U26)/T32</f>
        <v>0.33078717273347891</v>
      </c>
      <c r="U78" s="138"/>
      <c r="V78" s="193">
        <f t="array" ref="V78">SUM(V13:W13*V26:W26)/V32</f>
        <v>0.32588054220012924</v>
      </c>
      <c r="W78" s="138"/>
      <c r="X78" s="193">
        <f t="array" ref="X78">SUM(X13:Y13*X26:Y26)/X32</f>
        <v>0.31947863778803692</v>
      </c>
      <c r="Y78" s="138"/>
      <c r="Z78" s="193">
        <f t="array" ref="Z78">SUM(Z13:AA13*Z26:AA26)/Z32</f>
        <v>0.31094190029171886</v>
      </c>
      <c r="AA78" s="138"/>
      <c r="AB78" s="193">
        <f t="array" ref="AB78">SUM(AB13:AC13*AB26:AC26)/AB32</f>
        <v>0.29922520792228419</v>
      </c>
      <c r="AC78" s="138"/>
      <c r="AD78" s="193">
        <f t="array" ref="AD78">SUM(AD13:AE13*AD26:AE26)/AD32</f>
        <v>0.28253552507969915</v>
      </c>
      <c r="AE78" s="138"/>
      <c r="AF78" s="193">
        <f t="array" ref="AF78">SUM(AF13:AG13*AF26:AG26)/AF32</f>
        <v>0.25767509380483566</v>
      </c>
      <c r="AG78" s="138"/>
      <c r="AH78" s="193">
        <f t="array" ref="AH78">SUM(AH13:AI13*AH26:AI26)/AH32</f>
        <v>0.21900401247162948</v>
      </c>
      <c r="AI78" s="138"/>
      <c r="AJ78" s="193">
        <f t="array" ref="AJ78">SUM(AJ13:AK13*AJ26:AK26)/AJ32</f>
        <v>0.15854633404112095</v>
      </c>
      <c r="AK78" s="138"/>
      <c r="AL78" s="193">
        <f t="array" ref="AL78">SUM(AL13:AM13*AL26:AM26)/AL32</f>
        <v>7.6903184858921989E-2</v>
      </c>
      <c r="AM78" s="138"/>
      <c r="AN78" s="193">
        <f t="array" ref="AN78">SUM(AN13:AO13*AN26:AO26)/AN32</f>
        <v>1.2809854762292126E-2</v>
      </c>
      <c r="AO78" s="138"/>
      <c r="AP78" s="193">
        <f t="array" ref="AP78">SUM(AP13:AQ13*AP26:AQ26)/AP32</f>
        <v>6.7193028007943431E-3</v>
      </c>
      <c r="AQ78" s="138"/>
      <c r="AR78" s="193">
        <f t="array" ref="AR78">SUM(AR13:AS13*AR26:AS26)/AR32</f>
        <v>2.8776194959619422E-3</v>
      </c>
      <c r="AS78" s="138"/>
      <c r="AT78" s="193">
        <f t="array" ref="AT78">SUM(AT13:AU13*AT26:AU26)/AT32</f>
        <v>8.5931439954710701E-4</v>
      </c>
      <c r="AU78" s="138"/>
      <c r="AV78" s="193">
        <f t="array" ref="AV78">SUM(AV13:AW13*AV26:AW26)/AV32</f>
        <v>1.0772369733365397E-4</v>
      </c>
      <c r="XFD78" s="193"/>
    </row>
    <row r="79" spans="1:48 16384:16384" x14ac:dyDescent="0.2">
      <c r="A79" t="s">
        <v>190</v>
      </c>
      <c r="B79" s="193">
        <f t="array" ref="B79">SUM(B15:C15*B27:C27)/B32</f>
        <v>0.45460968782440642</v>
      </c>
      <c r="D79" s="193">
        <f t="array" ref="D79">SUM(D15:E15*D27:E27)/D32</f>
        <v>0.44888036727530117</v>
      </c>
      <c r="F79" s="193">
        <f t="array" ref="F79">SUM(F15:G15*F27:G27)/F32</f>
        <v>0.44299261978064047</v>
      </c>
      <c r="H79" s="193">
        <f t="array" ref="H79">SUM(H15:I15*H27:I27)/H32</f>
        <v>0.43690935663374947</v>
      </c>
      <c r="J79" s="193">
        <f t="array" ref="J79">SUM(J15:K15*J27:K27)/J32</f>
        <v>0.43058358315244488</v>
      </c>
      <c r="L79" s="193">
        <f t="array" ref="L79">SUM(L15:M15*L27:M27)/L32</f>
        <v>0.42395491981265593</v>
      </c>
      <c r="N79" s="193">
        <f t="array" ref="N79">SUM(N15:O15*N27:O27)/N32</f>
        <v>0.41694465577776602</v>
      </c>
      <c r="P79" s="193">
        <f t="array" ref="P79">SUM(P15:Q15*P27:Q27)/P32</f>
        <v>0.40944827991013077</v>
      </c>
      <c r="R79" s="193">
        <f t="array" ref="R79">SUM(R15:S15*R27:S27)/R32</f>
        <v>0.40132410988470063</v>
      </c>
      <c r="T79" s="193">
        <f t="array" ref="T79">SUM(T15:U15*T27:U27)/T32</f>
        <v>0.39237506543394152</v>
      </c>
      <c r="V79" s="193">
        <f t="array" ref="V79">SUM(V15:W15*V27:W27)/V32</f>
        <v>0.3823186300481467</v>
      </c>
      <c r="X79" s="193">
        <f t="array" ref="X79">SUM(X15:Y15*X27:Y27)/X32</f>
        <v>0.37073437830802558</v>
      </c>
      <c r="Z79" s="193">
        <f t="array" ref="Z79">SUM(Z15:AA15*Z27:AA27)/Z32</f>
        <v>0.35696845517199344</v>
      </c>
      <c r="AB79" s="193">
        <f t="array" ref="AB79">SUM(AB15:AC15*AB27:AC27)/AB32</f>
        <v>0.3399511866553957</v>
      </c>
      <c r="AD79" s="193">
        <f t="array" ref="AD79">SUM(AD15:AE15*AD27:AE27)/AD32</f>
        <v>0.31783674639861492</v>
      </c>
      <c r="AF79" s="193">
        <f t="array" ref="AF79">SUM(AF15:AG15*AF27:AG27)/AF32</f>
        <v>0.28729901793103046</v>
      </c>
      <c r="AH79" s="193">
        <f t="array" ref="AH79">SUM(AH15:AI15*AH27:AI27)/AH32</f>
        <v>0.24239023624142034</v>
      </c>
      <c r="AJ79" s="193">
        <f t="array" ref="AJ79">SUM(AJ15:AK15*AJ27:AK27)/AJ32</f>
        <v>0.17456899031329851</v>
      </c>
      <c r="AL79" s="193">
        <f t="array" ref="AL79">SUM(AL15:AM15*AL27:AM27)/AL32</f>
        <v>8.443685623250656E-2</v>
      </c>
      <c r="AN79" s="193">
        <f t="array" ref="AN79">SUM(AN15:AO15*AN27:AO27)/AN32</f>
        <v>1.4048285651372151E-2</v>
      </c>
      <c r="AP79" s="193">
        <f t="array" ref="AP79">SUM(AP15:AQ15*AP27:AQ27)/AP32</f>
        <v>7.3678526388169154E-3</v>
      </c>
      <c r="AR79" s="193">
        <f t="array" ref="AR79">SUM(AR15:AS15*AR27:AS27)/AR32</f>
        <v>3.1549272530687618E-3</v>
      </c>
      <c r="AT79" s="193">
        <f t="array" ref="AT79">SUM(AT15:AU15*AT27:AU27)/AT32</f>
        <v>9.4198313209160401E-4</v>
      </c>
      <c r="AV79" s="193">
        <f t="array" ref="AV79">SUM(AV15:AW15*AV27:AW27)/AV32</f>
        <v>1.1806519202070542E-4</v>
      </c>
      <c r="XFD79" s="193"/>
    </row>
    <row r="80" spans="1:48 16384:16384" x14ac:dyDescent="0.2">
      <c r="A80" t="s">
        <v>169</v>
      </c>
      <c r="B80" s="236">
        <f>B55</f>
        <v>0.19850271905982084</v>
      </c>
      <c r="D80" s="236">
        <f>D55</f>
        <v>0.20479528902407965</v>
      </c>
      <c r="F80" s="236">
        <f>F55</f>
        <v>0.21142250330308957</v>
      </c>
      <c r="H80" s="236">
        <f>H55</f>
        <v>0.21845617544840895</v>
      </c>
      <c r="J80" s="236">
        <f>J55</f>
        <v>0.22598738852458436</v>
      </c>
      <c r="L80" s="236">
        <f>L55</f>
        <v>0.2341333313666415</v>
      </c>
      <c r="N80" s="236">
        <f>N55</f>
        <v>0.24304714648683981</v>
      </c>
      <c r="P80" s="236">
        <f>P55</f>
        <v>0.25293271471243473</v>
      </c>
      <c r="R80" s="236">
        <f>R55</f>
        <v>0.26406726272388026</v>
      </c>
      <c r="T80" s="236">
        <f>T55</f>
        <v>0.27683776538791161</v>
      </c>
      <c r="V80" s="236">
        <f>V55</f>
        <v>0.29180083081281577</v>
      </c>
      <c r="X80" s="236">
        <f>X55</f>
        <v>0.30978698517148784</v>
      </c>
      <c r="Z80" s="236">
        <f>Z55</f>
        <v>0.33208964475090058</v>
      </c>
      <c r="AB80" s="236">
        <f>AB55</f>
        <v>0.36082360564410948</v>
      </c>
      <c r="AD80" s="236">
        <f>AD55</f>
        <v>0.39962772901431043</v>
      </c>
      <c r="AF80" s="236">
        <f>AF55</f>
        <v>0.45502588959367052</v>
      </c>
      <c r="AH80" s="236">
        <f>AH55</f>
        <v>0.53860575224360507</v>
      </c>
      <c r="AJ80" s="236">
        <f>AJ55</f>
        <v>0.66688467779711602</v>
      </c>
      <c r="AL80" s="236">
        <f>AL55</f>
        <v>0.83865996028455148</v>
      </c>
      <c r="AN80" s="236">
        <f>AN55</f>
        <v>0.97314186431325245</v>
      </c>
      <c r="AP80" s="236">
        <f>AP55</f>
        <v>0.98591284328905715</v>
      </c>
      <c r="AR80" s="236">
        <f>AR55</f>
        <v>0.99396745371300521</v>
      </c>
      <c r="AT80" s="236">
        <f>AT55</f>
        <v>0.99819870275306688</v>
      </c>
      <c r="AV80" s="236">
        <f>AV55</f>
        <v>0.99977421114641318</v>
      </c>
      <c r="XFD80" s="236"/>
    </row>
    <row r="81" spans="1:48 16384:16384" x14ac:dyDescent="0.2">
      <c r="A81" t="s">
        <v>191</v>
      </c>
      <c r="B81" s="236">
        <f>B51/B$32</f>
        <v>-2.7543485504603994E-2</v>
      </c>
      <c r="D81" s="236">
        <f>D51/D$32</f>
        <v>-2.1250915540345194E-2</v>
      </c>
      <c r="F81" s="236">
        <f>F51/F$32</f>
        <v>-1.462370126133527E-2</v>
      </c>
      <c r="H81" s="236">
        <f>H51/H$32</f>
        <v>-7.5900291160158903E-3</v>
      </c>
      <c r="J81" s="236">
        <f>J51/J$32</f>
        <v>-5.881603984046645E-5</v>
      </c>
      <c r="L81" s="236">
        <f>L51/L$32</f>
        <v>8.0871268022166282E-3</v>
      </c>
      <c r="N81" s="236">
        <f>N51/N$32</f>
        <v>1.700094192241498E-2</v>
      </c>
      <c r="P81" s="236">
        <f>P51/P$32</f>
        <v>2.6886510148009881E-2</v>
      </c>
      <c r="R81" s="236">
        <f>R51/R$32</f>
        <v>3.8021058159455418E-2</v>
      </c>
      <c r="T81" s="236">
        <f>T51/T$32</f>
        <v>5.0791560823486757E-2</v>
      </c>
      <c r="V81" s="236">
        <f>V51/V$32</f>
        <v>6.5754626248390902E-2</v>
      </c>
      <c r="X81" s="236">
        <f>X51/X$32</f>
        <v>8.3740780607062984E-2</v>
      </c>
      <c r="Z81" s="236">
        <f>Z51/Z$32</f>
        <v>0.10604344018647575</v>
      </c>
      <c r="AB81" s="236">
        <f>AB51/AB$32</f>
        <v>0.13477740107968467</v>
      </c>
      <c r="AD81" s="236">
        <f>AD51/AD$32</f>
        <v>0.17358152444988559</v>
      </c>
      <c r="AF81" s="236">
        <f>AF51/AF$32</f>
        <v>0.22897968502924568</v>
      </c>
      <c r="AH81" s="236">
        <f>AH51/AH$32</f>
        <v>0.31255954767918032</v>
      </c>
      <c r="AJ81" s="236">
        <f>AJ51/AJ$32</f>
        <v>0.44083847323269115</v>
      </c>
      <c r="AL81" s="236">
        <f>AL51/AL$32</f>
        <v>0.61261375572012666</v>
      </c>
      <c r="AN81" s="236">
        <f>AN51/AN$32</f>
        <v>0.74709565974882763</v>
      </c>
      <c r="AP81" s="236">
        <f>AP51/AP$32</f>
        <v>0.75986663872463234</v>
      </c>
      <c r="AR81" s="236">
        <f>AR51/AR$32</f>
        <v>0.76792124914858029</v>
      </c>
      <c r="AT81" s="236">
        <f>AT51/AT$32</f>
        <v>0.77215249818864196</v>
      </c>
      <c r="AV81" s="236">
        <f>AV51/AV$32</f>
        <v>0.77372800658198837</v>
      </c>
      <c r="XFD81" s="236"/>
    </row>
    <row r="82" spans="1:48 16384:16384" x14ac:dyDescent="0.2">
      <c r="A82" t="s">
        <v>192</v>
      </c>
      <c r="B82" s="236">
        <f>B52/B$32</f>
        <v>0.13907860278212886</v>
      </c>
      <c r="D82" s="236">
        <f>D52/D$32</f>
        <v>0.13885277854148464</v>
      </c>
      <c r="F82" s="236">
        <f>F52/F$32</f>
        <v>0.13855630053521134</v>
      </c>
      <c r="H82" s="236">
        <f>H52/H$32</f>
        <v>0.13817525022762991</v>
      </c>
      <c r="J82" s="236">
        <f>J52/J$32</f>
        <v>0.13769195083837099</v>
      </c>
      <c r="L82" s="236">
        <f>L52/L$32</f>
        <v>0.13708362283232825</v>
      </c>
      <c r="N82" s="236">
        <f>N52/N$32</f>
        <v>0.13632042642581732</v>
      </c>
      <c r="P82" s="236">
        <f>P52/P$32</f>
        <v>0.13536252358128845</v>
      </c>
      <c r="R82" s="236">
        <f>R52/R$32</f>
        <v>0.13415556386938748</v>
      </c>
      <c r="T82" s="236">
        <f>T52/T$32</f>
        <v>0.13262341667742711</v>
      </c>
      <c r="V82" s="236">
        <f>V52/V$32</f>
        <v>0.13065618771770282</v>
      </c>
      <c r="X82" s="236">
        <f>X52/X$32</f>
        <v>0.12808945446333303</v>
      </c>
      <c r="Z82" s="236">
        <f>Z52/Z$32</f>
        <v>0.12466679667196755</v>
      </c>
      <c r="AB82" s="236">
        <f>AB52/AB$32</f>
        <v>0.11996919077222251</v>
      </c>
      <c r="AD82" s="236">
        <f>AD52/AD$32</f>
        <v>0.11327775003842579</v>
      </c>
      <c r="AF82" s="236">
        <f>AF52/AF$32</f>
        <v>0.10331038852164992</v>
      </c>
      <c r="AH82" s="236">
        <f>AH52/AH$32</f>
        <v>8.780588485350814E-2</v>
      </c>
      <c r="AJ82" s="236">
        <f>AJ52/AJ$32</f>
        <v>6.3566420512792737E-2</v>
      </c>
      <c r="AL82" s="236">
        <f>AL52/AL$32</f>
        <v>3.0833006748975902E-2</v>
      </c>
      <c r="AN82" s="236">
        <f>AN52/AN$32</f>
        <v>5.1358905234382092E-3</v>
      </c>
      <c r="AP82" s="236">
        <f>AP52/AP$32</f>
        <v>2.693988668809585E-3</v>
      </c>
      <c r="AR82" s="236">
        <f>AR52/AR$32</f>
        <v>1.1537319488490031E-3</v>
      </c>
      <c r="AT82" s="236">
        <f>AT52/AT$32</f>
        <v>3.4452730051861121E-4</v>
      </c>
      <c r="AV82" s="236">
        <f>AV52/AV$32</f>
        <v>4.3189960116818883E-5</v>
      </c>
    </row>
    <row r="83" spans="1:48 16384:16384" x14ac:dyDescent="0.2">
      <c r="A83" t="s">
        <v>193</v>
      </c>
      <c r="B83" s="236">
        <f>B53/B$32</f>
        <v>0.18600714462929935</v>
      </c>
      <c r="D83" s="236">
        <f>D53/D$32</f>
        <v>0.18366294787206561</v>
      </c>
      <c r="F83" s="236">
        <f>F53/F$32</f>
        <v>0.1812539294786803</v>
      </c>
      <c r="H83" s="236">
        <f>H53/H$32</f>
        <v>0.17876491431185237</v>
      </c>
      <c r="J83" s="236">
        <f>J53/J$32</f>
        <v>0.17617667412616655</v>
      </c>
      <c r="L83" s="236">
        <f>L53/L$32</f>
        <v>0.17346450416242551</v>
      </c>
      <c r="N83" s="236">
        <f>N53/N$32</f>
        <v>0.17059619926010894</v>
      </c>
      <c r="P83" s="236">
        <f>P53/P$32</f>
        <v>0.16752899786174061</v>
      </c>
      <c r="R83" s="236">
        <f>R53/R$32</f>
        <v>0.16420492952491075</v>
      </c>
      <c r="T83" s="236">
        <f>T53/T$32</f>
        <v>0.16054335730146679</v>
      </c>
      <c r="V83" s="236">
        <f>V53/V$32</f>
        <v>0.15642868732993018</v>
      </c>
      <c r="X83" s="236">
        <f>X53/X$32</f>
        <v>0.15168889922915565</v>
      </c>
      <c r="Z83" s="236">
        <f>Z53/Z$32</f>
        <v>0.14605646304423042</v>
      </c>
      <c r="AB83" s="236">
        <f>AB53/AB$32</f>
        <v>0.13909371321522759</v>
      </c>
      <c r="AD83" s="236">
        <f>AD53/AD$32</f>
        <v>0.13004541530735758</v>
      </c>
      <c r="AF83" s="236">
        <f>AF53/AF$32</f>
        <v>0.11755066249444733</v>
      </c>
      <c r="AH83" s="236">
        <f>AH53/AH$32</f>
        <v>9.9175879742146117E-2</v>
      </c>
      <c r="AJ83" s="236">
        <f>AJ53/AJ$32</f>
        <v>7.142628126644425E-2</v>
      </c>
      <c r="AL83" s="236">
        <f>AL53/AL$32</f>
        <v>3.454800667457314E-2</v>
      </c>
      <c r="AN83" s="236">
        <f>AN53/AN$32</f>
        <v>5.7479670383922769E-3</v>
      </c>
      <c r="AP83" s="236">
        <f>AP53/AP$32</f>
        <v>3.014615104122308E-3</v>
      </c>
      <c r="AR83" s="236">
        <f>AR53/AR$32</f>
        <v>1.290863405627965E-3</v>
      </c>
      <c r="AT83" s="236">
        <f>AT53/AT$32</f>
        <v>3.8541983900044092E-4</v>
      </c>
      <c r="AV83" s="236">
        <f>AV53/AV$32</f>
        <v>4.8307305884699504E-5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41" activePane="bottomLeft" state="frozen"/>
      <selection pane="bottomLeft" sqref="A1:AW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8.1904686662904153E-2</v>
      </c>
      <c r="E2" s="227"/>
      <c r="F2" s="226">
        <v>0.16646224574715474</v>
      </c>
      <c r="G2" s="227"/>
      <c r="H2" s="226">
        <v>0.26073310133801625</v>
      </c>
      <c r="I2" s="227"/>
      <c r="J2" s="226">
        <v>0.36628556123308209</v>
      </c>
      <c r="K2" s="227"/>
      <c r="L2" s="226">
        <v>0.48506195085474318</v>
      </c>
      <c r="M2" s="227"/>
      <c r="N2" s="226">
        <v>0.61951864553686842</v>
      </c>
      <c r="O2" s="227"/>
      <c r="P2" s="226">
        <v>0.77284717843049755</v>
      </c>
      <c r="Q2" s="227"/>
      <c r="R2" s="226">
        <v>0.94932939667664495</v>
      </c>
      <c r="S2" s="227"/>
      <c r="T2" s="226">
        <v>1.1549440011012087</v>
      </c>
      <c r="U2" s="227"/>
      <c r="V2" s="226">
        <v>1.3984213695796845</v>
      </c>
      <c r="W2" s="227"/>
      <c r="X2" s="226">
        <v>1.6931786644963025</v>
      </c>
      <c r="Y2" s="227"/>
      <c r="Z2" s="226">
        <v>2.0610032359315995</v>
      </c>
      <c r="AA2" s="227"/>
      <c r="AB2" s="226">
        <v>2.5393655196966551</v>
      </c>
      <c r="AC2" s="227"/>
      <c r="AD2" s="226">
        <v>3.1963589582455687</v>
      </c>
      <c r="AE2" s="227"/>
      <c r="AF2" s="226">
        <v>4.1602823248980201</v>
      </c>
      <c r="AG2" s="227"/>
      <c r="AH2" s="226">
        <v>5.662806046774107</v>
      </c>
      <c r="AI2" s="227"/>
      <c r="AJ2" s="226">
        <v>7.9899152464399377</v>
      </c>
      <c r="AK2" s="227"/>
      <c r="AL2" s="226">
        <v>10.892795123167994</v>
      </c>
      <c r="AM2" s="227"/>
      <c r="AN2" s="226">
        <v>12.857819227616822</v>
      </c>
      <c r="AO2" s="227"/>
      <c r="AP2" s="226">
        <v>13.028496343992938</v>
      </c>
      <c r="AQ2" s="227"/>
      <c r="AR2" s="226">
        <v>13.134690464746724</v>
      </c>
      <c r="AS2" s="227"/>
      <c r="AT2" s="226">
        <v>13.190018479221951</v>
      </c>
      <c r="AU2" s="227"/>
      <c r="AV2" s="226">
        <v>13.210534512664175</v>
      </c>
      <c r="AW2" s="227"/>
    </row>
    <row r="3" spans="1:49" x14ac:dyDescent="0.2">
      <c r="A3" t="s">
        <v>12</v>
      </c>
      <c r="B3" s="84">
        <v>1000</v>
      </c>
      <c r="C3" s="85">
        <v>1000</v>
      </c>
      <c r="D3" s="84">
        <v>998.02841646615627</v>
      </c>
      <c r="E3" s="85">
        <v>1034.9633880210797</v>
      </c>
      <c r="F3" s="84">
        <v>995.91439790331492</v>
      </c>
      <c r="G3" s="85">
        <v>1075.8678572098975</v>
      </c>
      <c r="H3" s="84">
        <v>993.63252819486308</v>
      </c>
      <c r="I3" s="85">
        <v>1124.1126302881926</v>
      </c>
      <c r="J3" s="84">
        <v>991.15053191240634</v>
      </c>
      <c r="K3" s="85">
        <v>1181.5330433967335</v>
      </c>
      <c r="L3" s="84">
        <v>988.42709777955497</v>
      </c>
      <c r="M3" s="85">
        <v>1250.5771159573135</v>
      </c>
      <c r="N3" s="84">
        <v>985.40901895733396</v>
      </c>
      <c r="O3" s="85">
        <v>1334.5650784292966</v>
      </c>
      <c r="P3" s="84">
        <v>982.02739876416865</v>
      </c>
      <c r="Q3" s="85">
        <v>1438.0954925018673</v>
      </c>
      <c r="R3" s="84">
        <v>978.19291064069932</v>
      </c>
      <c r="S3" s="85">
        <v>1567.6783941159169</v>
      </c>
      <c r="T3" s="84">
        <v>973.78973068302491</v>
      </c>
      <c r="U3" s="85">
        <v>1732.7934828749333</v>
      </c>
      <c r="V3" s="84">
        <v>968.66910214309371</v>
      </c>
      <c r="W3" s="85">
        <v>1947.6768102565738</v>
      </c>
      <c r="X3" s="84">
        <v>962.64377431502021</v>
      </c>
      <c r="Y3" s="85">
        <v>2234.5334410584906</v>
      </c>
      <c r="Z3" s="84">
        <v>955.4889747241765</v>
      </c>
      <c r="AA3" s="85">
        <v>2629.5564672877426</v>
      </c>
      <c r="AB3" s="84">
        <v>946.96460657245564</v>
      </c>
      <c r="AC3" s="85">
        <v>3194.7702831468769</v>
      </c>
      <c r="AD3" s="84">
        <v>936.89736228725474</v>
      </c>
      <c r="AE3" s="85">
        <v>4042.1295147295332</v>
      </c>
      <c r="AF3" s="84">
        <v>925.4126519847365</v>
      </c>
      <c r="AG3" s="85">
        <v>5381.200048232251</v>
      </c>
      <c r="AH3" s="84">
        <v>913.4430295515649</v>
      </c>
      <c r="AI3" s="85">
        <v>7589.0571344597483</v>
      </c>
      <c r="AJ3" s="84">
        <v>903.25225065537836</v>
      </c>
      <c r="AK3" s="85">
        <v>11134.634289733531</v>
      </c>
      <c r="AL3" s="84">
        <v>897.28703975371468</v>
      </c>
      <c r="AM3" s="85">
        <v>15644.744884035901</v>
      </c>
      <c r="AN3" s="84">
        <v>895.25255818052119</v>
      </c>
      <c r="AO3" s="85">
        <v>18728.926635022704</v>
      </c>
      <c r="AP3" s="84">
        <v>895.12146952405317</v>
      </c>
      <c r="AQ3" s="85">
        <v>18998.297687247443</v>
      </c>
      <c r="AR3" s="84">
        <v>895.04266740630237</v>
      </c>
      <c r="AS3" s="85">
        <v>19166.184893517879</v>
      </c>
      <c r="AT3" s="84">
        <v>895.00231232541364</v>
      </c>
      <c r="AU3" s="85">
        <v>19253.820219459183</v>
      </c>
      <c r="AV3" s="84">
        <v>894.98740559128748</v>
      </c>
      <c r="AW3" s="85">
        <v>19286.387278645223</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997.93079778287927</v>
      </c>
      <c r="E5" s="42">
        <v>1030.4438675345652</v>
      </c>
      <c r="F5" s="41">
        <v>995.71114273630087</v>
      </c>
      <c r="G5" s="42">
        <v>1065.4313094116021</v>
      </c>
      <c r="H5" s="41">
        <v>993.31412119725474</v>
      </c>
      <c r="I5" s="42">
        <v>1105.8639673785776</v>
      </c>
      <c r="J5" s="41">
        <v>990.7055361221843</v>
      </c>
      <c r="K5" s="42">
        <v>1152.8696543215108</v>
      </c>
      <c r="L5" s="41">
        <v>987.84158411040278</v>
      </c>
      <c r="M5" s="42">
        <v>1207.8709649224093</v>
      </c>
      <c r="N5" s="41">
        <v>984.66579591333209</v>
      </c>
      <c r="O5" s="42">
        <v>1272.6759131491824</v>
      </c>
      <c r="P5" s="41">
        <v>981.10496420443201</v>
      </c>
      <c r="Q5" s="42">
        <v>1349.599873855989</v>
      </c>
      <c r="R5" s="41">
        <v>977.06403101044953</v>
      </c>
      <c r="S5" s="42">
        <v>1441.6278278704824</v>
      </c>
      <c r="T5" s="41">
        <v>972.41950280180924</v>
      </c>
      <c r="U5" s="42">
        <v>1552.6334097671222</v>
      </c>
      <c r="V5" s="41">
        <v>967.01236658226412</v>
      </c>
      <c r="W5" s="42">
        <v>1687.6593651832604</v>
      </c>
      <c r="X5" s="41">
        <v>960.64175745162322</v>
      </c>
      <c r="Y5" s="42">
        <v>1853.2634390606606</v>
      </c>
      <c r="Z5" s="41">
        <v>953.06529935553237</v>
      </c>
      <c r="AA5" s="42">
        <v>2057.866194814711</v>
      </c>
      <c r="AB5" s="41">
        <v>944.02169147735378</v>
      </c>
      <c r="AC5" s="42">
        <v>2311.8516250709367</v>
      </c>
      <c r="AD5" s="41">
        <v>933.31699957986132</v>
      </c>
      <c r="AE5" s="42">
        <v>2626.5612729273962</v>
      </c>
      <c r="AF5" s="41">
        <v>921.07206919815633</v>
      </c>
      <c r="AG5" s="42">
        <v>3009.6049063612004</v>
      </c>
      <c r="AH5" s="41">
        <v>908.27137235361249</v>
      </c>
      <c r="AI5" s="42">
        <v>3450.4583874087634</v>
      </c>
      <c r="AJ5" s="41">
        <v>897.34074026558847</v>
      </c>
      <c r="AK5" s="42">
        <v>3892.3319858093173</v>
      </c>
      <c r="AL5" s="41">
        <v>890.92825817827782</v>
      </c>
      <c r="AM5" s="42">
        <v>4226.0434859015404</v>
      </c>
      <c r="AN5" s="41">
        <v>888.7387867560426</v>
      </c>
      <c r="AO5" s="42">
        <v>4378.6232764328715</v>
      </c>
      <c r="AP5" s="41">
        <v>888.59766855346174</v>
      </c>
      <c r="AQ5" s="42">
        <v>4390.0222193690406</v>
      </c>
      <c r="AR5" s="41">
        <v>888.51283480153052</v>
      </c>
      <c r="AS5" s="42">
        <v>4396.9936791825603</v>
      </c>
      <c r="AT5" s="41">
        <v>888.46939015061389</v>
      </c>
      <c r="AU5" s="42">
        <v>4400.5930442430626</v>
      </c>
      <c r="AV5" s="41">
        <v>888.45334203727816</v>
      </c>
      <c r="AW5" s="42">
        <v>4401.9237925206917</v>
      </c>
    </row>
    <row r="6" spans="1:49" x14ac:dyDescent="0.2">
      <c r="A6" t="s">
        <v>77</v>
      </c>
      <c r="B6" s="41">
        <v>999.99999999999932</v>
      </c>
      <c r="C6" s="42">
        <v>999.99999999999898</v>
      </c>
      <c r="D6" s="41">
        <v>997.77270269004146</v>
      </c>
      <c r="E6" s="42">
        <v>1037.689692076377</v>
      </c>
      <c r="F6" s="41">
        <v>995.38385388187078</v>
      </c>
      <c r="G6" s="42">
        <v>1081.6640653124264</v>
      </c>
      <c r="H6" s="41">
        <v>992.80458082331654</v>
      </c>
      <c r="I6" s="42">
        <v>1133.3833788174049</v>
      </c>
      <c r="J6" s="41">
        <v>989.998204843895</v>
      </c>
      <c r="K6" s="42">
        <v>1194.7600454663398</v>
      </c>
      <c r="L6" s="41">
        <v>986.91775659419636</v>
      </c>
      <c r="M6" s="42">
        <v>1268.3415459573082</v>
      </c>
      <c r="N6" s="41">
        <v>983.50270593649816</v>
      </c>
      <c r="O6" s="42">
        <v>1357.5792109067295</v>
      </c>
      <c r="P6" s="41">
        <v>979.67461464918654</v>
      </c>
      <c r="Q6" s="42">
        <v>1467.2492303639663</v>
      </c>
      <c r="R6" s="41">
        <v>975.33168739506812</v>
      </c>
      <c r="S6" s="42">
        <v>1604.1090817802599</v>
      </c>
      <c r="T6" s="41">
        <v>970.34176995893381</v>
      </c>
      <c r="U6" s="42">
        <v>1777.995602027838</v>
      </c>
      <c r="V6" s="41">
        <v>964.5348522572441</v>
      </c>
      <c r="W6" s="42">
        <v>2003.6793550741872</v>
      </c>
      <c r="X6" s="41">
        <v>957.69644423931481</v>
      </c>
      <c r="Y6" s="42">
        <v>2304.2003829949099</v>
      </c>
      <c r="Z6" s="41">
        <v>949.56820050343674</v>
      </c>
      <c r="AA6" s="42">
        <v>2717.1188136633637</v>
      </c>
      <c r="AB6" s="41">
        <v>939.87248920945922</v>
      </c>
      <c r="AC6" s="42">
        <v>3306.8148770732237</v>
      </c>
      <c r="AD6" s="41">
        <v>928.40518854913626</v>
      </c>
      <c r="AE6" s="42">
        <v>4189.5178142957257</v>
      </c>
      <c r="AF6" s="41">
        <v>915.30037273769869</v>
      </c>
      <c r="AG6" s="42">
        <v>5582.8266743212962</v>
      </c>
      <c r="AH6" s="41">
        <v>901.61513479320297</v>
      </c>
      <c r="AI6" s="42">
        <v>7878.3038643018099</v>
      </c>
      <c r="AJ6" s="41">
        <v>889.94095345301798</v>
      </c>
      <c r="AK6" s="42">
        <v>11562.888490144418</v>
      </c>
      <c r="AL6" s="41">
        <v>883.09736326367852</v>
      </c>
      <c r="AM6" s="42">
        <v>16248.784763875588</v>
      </c>
      <c r="AN6" s="41">
        <v>880.76156361453445</v>
      </c>
      <c r="AO6" s="42">
        <v>19452.905366434043</v>
      </c>
      <c r="AP6" s="41">
        <v>880.6110293236801</v>
      </c>
      <c r="AQ6" s="42">
        <v>19732.745735038356</v>
      </c>
      <c r="AR6" s="41">
        <v>880.5205359416567</v>
      </c>
      <c r="AS6" s="42">
        <v>19907.157605123415</v>
      </c>
      <c r="AT6" s="41">
        <v>880.47419316646653</v>
      </c>
      <c r="AU6" s="42">
        <v>19998.198616039328</v>
      </c>
      <c r="AV6" s="41">
        <v>880.45707455296292</v>
      </c>
      <c r="AW6" s="42">
        <v>20032.031276007699</v>
      </c>
    </row>
    <row r="7" spans="1:49" x14ac:dyDescent="0.2">
      <c r="A7" t="s">
        <v>13</v>
      </c>
      <c r="B7" s="33">
        <v>1015.9116825427475</v>
      </c>
      <c r="C7" s="34">
        <v>1015.9116825427475</v>
      </c>
      <c r="D7" s="33">
        <v>1013.8095558368311</v>
      </c>
      <c r="E7" s="34">
        <v>1013.8095558368311</v>
      </c>
      <c r="F7" s="33">
        <v>1011.5545823437972</v>
      </c>
      <c r="G7" s="34">
        <v>1011.5545823437972</v>
      </c>
      <c r="H7" s="33">
        <v>1009.1194201589736</v>
      </c>
      <c r="I7" s="34">
        <v>1009.1194201589736</v>
      </c>
      <c r="J7" s="33">
        <v>1006.4693281063029</v>
      </c>
      <c r="K7" s="34">
        <v>1006.4693281063029</v>
      </c>
      <c r="L7" s="33">
        <v>1003.5598057992922</v>
      </c>
      <c r="M7" s="34">
        <v>1003.5598057992922</v>
      </c>
      <c r="N7" s="33">
        <v>1000.3334854686068</v>
      </c>
      <c r="O7" s="34">
        <v>1000.3334854686068</v>
      </c>
      <c r="P7" s="33">
        <v>996.71599493596648</v>
      </c>
      <c r="Q7" s="34">
        <v>996.71599493596648</v>
      </c>
      <c r="R7" s="33">
        <v>992.61076369582497</v>
      </c>
      <c r="S7" s="34">
        <v>992.61076369582497</v>
      </c>
      <c r="T7" s="33">
        <v>987.89233322876794</v>
      </c>
      <c r="U7" s="34">
        <v>987.89233322876794</v>
      </c>
      <c r="V7" s="33">
        <v>982.399160374232</v>
      </c>
      <c r="W7" s="34">
        <v>982.399160374232</v>
      </c>
      <c r="X7" s="33">
        <v>975.92718413350042</v>
      </c>
      <c r="Y7" s="34">
        <v>975.92718413350042</v>
      </c>
      <c r="Z7" s="33">
        <v>968.23017184138621</v>
      </c>
      <c r="AA7" s="34">
        <v>968.23017184138621</v>
      </c>
      <c r="AB7" s="33">
        <v>959.04266494560886</v>
      </c>
      <c r="AC7" s="34">
        <v>959.04266494560886</v>
      </c>
      <c r="AD7" s="33">
        <v>948.16764338892563</v>
      </c>
      <c r="AE7" s="34">
        <v>948.16764338892563</v>
      </c>
      <c r="AF7" s="33">
        <v>935.72787556222886</v>
      </c>
      <c r="AG7" s="34">
        <v>935.72787556222886</v>
      </c>
      <c r="AH7" s="33">
        <v>922.7234980931687</v>
      </c>
      <c r="AI7" s="34">
        <v>922.7234980931687</v>
      </c>
      <c r="AJ7" s="33">
        <v>911.61894125736853</v>
      </c>
      <c r="AK7" s="34">
        <v>911.61894125736853</v>
      </c>
      <c r="AL7" s="33">
        <v>905.10442579077346</v>
      </c>
      <c r="AM7" s="34">
        <v>905.10442579077346</v>
      </c>
      <c r="AN7" s="33">
        <v>902.88011619433121</v>
      </c>
      <c r="AO7" s="34">
        <v>902.88011619433121</v>
      </c>
      <c r="AP7" s="33">
        <v>902.73675256370996</v>
      </c>
      <c r="AQ7" s="34">
        <v>902.73675256370996</v>
      </c>
      <c r="AR7" s="33">
        <v>902.65056896404906</v>
      </c>
      <c r="AS7" s="34">
        <v>902.65056896404906</v>
      </c>
      <c r="AT7" s="33">
        <v>902.60643303563893</v>
      </c>
      <c r="AU7" s="34">
        <v>902.60643303563893</v>
      </c>
      <c r="AV7" s="33">
        <v>902.59012956981837</v>
      </c>
      <c r="AW7" s="34">
        <v>902.59012956981837</v>
      </c>
    </row>
    <row r="8" spans="1:49" x14ac:dyDescent="0.2">
      <c r="B8" s="35">
        <v>1005.7716594496609</v>
      </c>
      <c r="C8" s="36">
        <v>1005.7716594496609</v>
      </c>
      <c r="D8" s="35">
        <v>1114.8420496286949</v>
      </c>
      <c r="E8" s="36">
        <v>1114.8420496286949</v>
      </c>
      <c r="F8" s="35">
        <v>1242.7853978655892</v>
      </c>
      <c r="G8" s="36">
        <v>1242.7853978655892</v>
      </c>
      <c r="H8" s="35">
        <v>1394.199309251157</v>
      </c>
      <c r="I8" s="36">
        <v>1394.199309251157</v>
      </c>
      <c r="J8" s="35">
        <v>1575.1491626832549</v>
      </c>
      <c r="K8" s="36">
        <v>1575.1491626832549</v>
      </c>
      <c r="L8" s="35">
        <v>1793.7632115484741</v>
      </c>
      <c r="M8" s="36">
        <v>1793.7632115484741</v>
      </c>
      <c r="N8" s="35">
        <v>2061.1223710707609</v>
      </c>
      <c r="O8" s="36">
        <v>2061.1223710707609</v>
      </c>
      <c r="P8" s="35">
        <v>2392.6343283757456</v>
      </c>
      <c r="Q8" s="36">
        <v>2392.6343283757456</v>
      </c>
      <c r="R8" s="35">
        <v>2810.2075039350298</v>
      </c>
      <c r="S8" s="36">
        <v>2810.2075039350298</v>
      </c>
      <c r="T8" s="35">
        <v>3345.8380522869743</v>
      </c>
      <c r="U8" s="36">
        <v>3345.8380522869743</v>
      </c>
      <c r="V8" s="35">
        <v>4047.7182860268163</v>
      </c>
      <c r="W8" s="36">
        <v>4047.7182860268163</v>
      </c>
      <c r="X8" s="35">
        <v>4991.1695537692149</v>
      </c>
      <c r="Y8" s="36">
        <v>4991.1695537692149</v>
      </c>
      <c r="Z8" s="35">
        <v>6299.1350814420775</v>
      </c>
      <c r="AA8" s="36">
        <v>6299.1350814420775</v>
      </c>
      <c r="AB8" s="35">
        <v>8182.4879284307526</v>
      </c>
      <c r="AC8" s="36">
        <v>8182.4879284307526</v>
      </c>
      <c r="AD8" s="35">
        <v>11021.993927029762</v>
      </c>
      <c r="AE8" s="36">
        <v>11021.993927029762</v>
      </c>
      <c r="AF8" s="35">
        <v>15530.411003222063</v>
      </c>
      <c r="AG8" s="36">
        <v>15530.411003222063</v>
      </c>
      <c r="AH8" s="35">
        <v>22989.735007769545</v>
      </c>
      <c r="AI8" s="36">
        <v>22989.735007769545</v>
      </c>
      <c r="AJ8" s="35">
        <v>34991.734663433024</v>
      </c>
      <c r="AK8" s="36">
        <v>34991.734663433024</v>
      </c>
      <c r="AL8" s="35">
        <v>50259.469359425711</v>
      </c>
      <c r="AM8" s="36">
        <v>50259.469359425711</v>
      </c>
      <c r="AN8" s="35">
        <v>60678.169830642015</v>
      </c>
      <c r="AO8" s="36">
        <v>60678.169830642015</v>
      </c>
      <c r="AP8" s="35">
        <v>61585.410654466352</v>
      </c>
      <c r="AQ8" s="36">
        <v>61585.410654466352</v>
      </c>
      <c r="AR8" s="35">
        <v>62150.14463069335</v>
      </c>
      <c r="AS8" s="36">
        <v>62150.14463069335</v>
      </c>
      <c r="AT8" s="35">
        <v>62444.496617344637</v>
      </c>
      <c r="AU8" s="36">
        <v>62444.496617344637</v>
      </c>
      <c r="AV8" s="35">
        <v>62553.689975732865</v>
      </c>
      <c r="AW8" s="36">
        <v>62553.689975732865</v>
      </c>
    </row>
    <row r="9" spans="1:49" x14ac:dyDescent="0.2">
      <c r="A9" t="s">
        <v>14</v>
      </c>
      <c r="B9" s="41">
        <v>1015.9116825427475</v>
      </c>
      <c r="C9" s="42">
        <v>1005.7716594496609</v>
      </c>
      <c r="D9" s="41">
        <v>1013.8095558368311</v>
      </c>
      <c r="E9" s="42">
        <v>1114.8420496286949</v>
      </c>
      <c r="F9" s="41">
        <v>1011.5545823437972</v>
      </c>
      <c r="G9" s="42">
        <v>1242.7853978655892</v>
      </c>
      <c r="H9" s="41">
        <v>1009.1194201589736</v>
      </c>
      <c r="I9" s="42">
        <v>1394.199309251157</v>
      </c>
      <c r="J9" s="41">
        <v>1006.4693281063029</v>
      </c>
      <c r="K9" s="42">
        <v>1575.1491626832549</v>
      </c>
      <c r="L9" s="41">
        <v>1003.5598057992922</v>
      </c>
      <c r="M9" s="42">
        <v>1793.7632115484741</v>
      </c>
      <c r="N9" s="41">
        <v>1000.3334854686068</v>
      </c>
      <c r="O9" s="42">
        <v>2061.1223710707609</v>
      </c>
      <c r="P9" s="41">
        <v>996.71599493596648</v>
      </c>
      <c r="Q9" s="42">
        <v>2392.6343283757456</v>
      </c>
      <c r="R9" s="41">
        <v>992.61076369582497</v>
      </c>
      <c r="S9" s="42">
        <v>2810.2075039350298</v>
      </c>
      <c r="T9" s="41">
        <v>987.89233322876794</v>
      </c>
      <c r="U9" s="42">
        <v>3345.8380522869743</v>
      </c>
      <c r="V9" s="41">
        <v>982.399160374232</v>
      </c>
      <c r="W9" s="42">
        <v>4047.7182860268163</v>
      </c>
      <c r="X9" s="41">
        <v>975.92718413350042</v>
      </c>
      <c r="Y9" s="42">
        <v>4991.1695537692149</v>
      </c>
      <c r="Z9" s="41">
        <v>968.23017184138621</v>
      </c>
      <c r="AA9" s="42">
        <v>6299.1350814420775</v>
      </c>
      <c r="AB9" s="41">
        <v>959.04266494560886</v>
      </c>
      <c r="AC9" s="42">
        <v>8182.4879284307526</v>
      </c>
      <c r="AD9" s="41">
        <v>948.16764338892563</v>
      </c>
      <c r="AE9" s="42">
        <v>11021.993927029762</v>
      </c>
      <c r="AF9" s="41">
        <v>935.72787556222886</v>
      </c>
      <c r="AG9" s="42">
        <v>15530.411003222063</v>
      </c>
      <c r="AH9" s="41">
        <v>922.7234980931687</v>
      </c>
      <c r="AI9" s="42">
        <v>22989.735007769545</v>
      </c>
      <c r="AJ9" s="41">
        <v>911.61894125736853</v>
      </c>
      <c r="AK9" s="42">
        <v>34991.734663433024</v>
      </c>
      <c r="AL9" s="41">
        <v>905.10442579077346</v>
      </c>
      <c r="AM9" s="42">
        <v>50259.469359425711</v>
      </c>
      <c r="AN9" s="41">
        <v>902.88011619433121</v>
      </c>
      <c r="AO9" s="42">
        <v>60678.169830642015</v>
      </c>
      <c r="AP9" s="41">
        <v>902.73675256370996</v>
      </c>
      <c r="AQ9" s="42">
        <v>61585.410654466352</v>
      </c>
      <c r="AR9" s="41">
        <v>902.65056896404906</v>
      </c>
      <c r="AS9" s="42">
        <v>62150.14463069335</v>
      </c>
      <c r="AT9" s="41">
        <v>902.60643303563893</v>
      </c>
      <c r="AU9" s="42">
        <v>62444.496617344637</v>
      </c>
      <c r="AV9" s="41">
        <v>902.59012956981837</v>
      </c>
      <c r="AW9" s="42">
        <v>62553.689975732865</v>
      </c>
    </row>
    <row r="10" spans="1:49" x14ac:dyDescent="0.2">
      <c r="A10" t="s">
        <v>15</v>
      </c>
      <c r="B10" s="41">
        <v>1015.9116825427475</v>
      </c>
      <c r="C10" s="42">
        <v>1005.7716594496609</v>
      </c>
      <c r="D10" s="41">
        <v>1013.8095558368311</v>
      </c>
      <c r="E10" s="42">
        <v>1114.8420496286949</v>
      </c>
      <c r="F10" s="41">
        <v>1011.5545823437972</v>
      </c>
      <c r="G10" s="42">
        <v>1242.7853978655892</v>
      </c>
      <c r="H10" s="41">
        <v>1009.1194201589736</v>
      </c>
      <c r="I10" s="42">
        <v>1394.199309251157</v>
      </c>
      <c r="J10" s="41">
        <v>1006.4693281063029</v>
      </c>
      <c r="K10" s="42">
        <v>1575.1491626832549</v>
      </c>
      <c r="L10" s="41">
        <v>1003.5598057992922</v>
      </c>
      <c r="M10" s="42">
        <v>1793.7632115484741</v>
      </c>
      <c r="N10" s="41">
        <v>1000.3334854686068</v>
      </c>
      <c r="O10" s="42">
        <v>2061.1223710707609</v>
      </c>
      <c r="P10" s="41">
        <v>996.71599493596648</v>
      </c>
      <c r="Q10" s="42">
        <v>2392.6343283757456</v>
      </c>
      <c r="R10" s="41">
        <v>992.61076369582497</v>
      </c>
      <c r="S10" s="42">
        <v>2810.2075039350298</v>
      </c>
      <c r="T10" s="41">
        <v>987.89233322876794</v>
      </c>
      <c r="U10" s="42">
        <v>3345.8380522869743</v>
      </c>
      <c r="V10" s="41">
        <v>982.399160374232</v>
      </c>
      <c r="W10" s="42">
        <v>4047.7182860268163</v>
      </c>
      <c r="X10" s="41">
        <v>975.92718413350042</v>
      </c>
      <c r="Y10" s="42">
        <v>4991.1695537692149</v>
      </c>
      <c r="Z10" s="41">
        <v>968.23017184138621</v>
      </c>
      <c r="AA10" s="42">
        <v>6299.1350814420775</v>
      </c>
      <c r="AB10" s="41">
        <v>959.04266494560886</v>
      </c>
      <c r="AC10" s="42">
        <v>8182.4879284307526</v>
      </c>
      <c r="AD10" s="41">
        <v>948.16764338892563</v>
      </c>
      <c r="AE10" s="42">
        <v>11021.993927029762</v>
      </c>
      <c r="AF10" s="41">
        <v>935.72787556222886</v>
      </c>
      <c r="AG10" s="42">
        <v>15530.411003222063</v>
      </c>
      <c r="AH10" s="41">
        <v>922.7234980931687</v>
      </c>
      <c r="AI10" s="42">
        <v>22989.735007769545</v>
      </c>
      <c r="AJ10" s="41">
        <v>911.61894125736853</v>
      </c>
      <c r="AK10" s="42">
        <v>34991.734663433024</v>
      </c>
      <c r="AL10" s="41">
        <v>905.10442579077346</v>
      </c>
      <c r="AM10" s="42">
        <v>50259.469359425711</v>
      </c>
      <c r="AN10" s="41">
        <v>902.88011619433121</v>
      </c>
      <c r="AO10" s="42">
        <v>60678.169830642015</v>
      </c>
      <c r="AP10" s="41">
        <v>902.73675256370996</v>
      </c>
      <c r="AQ10" s="42">
        <v>61585.410654466352</v>
      </c>
      <c r="AR10" s="41">
        <v>902.65056896404906</v>
      </c>
      <c r="AS10" s="42">
        <v>62150.14463069335</v>
      </c>
      <c r="AT10" s="41">
        <v>902.60643303563893</v>
      </c>
      <c r="AU10" s="42">
        <v>62444.496617344637</v>
      </c>
      <c r="AV10" s="41">
        <v>902.59012956981837</v>
      </c>
      <c r="AW10" s="42">
        <v>62553.689975732865</v>
      </c>
    </row>
    <row r="11" spans="1:49" x14ac:dyDescent="0.2">
      <c r="A11" t="s">
        <v>29</v>
      </c>
      <c r="B11" s="41">
        <v>1015.9116825427475</v>
      </c>
      <c r="C11" s="42">
        <v>1005.7716594496609</v>
      </c>
      <c r="D11" s="41">
        <v>1013.8095558368311</v>
      </c>
      <c r="E11" s="42">
        <v>1114.8420496286949</v>
      </c>
      <c r="F11" s="41">
        <v>1011.5545823437972</v>
      </c>
      <c r="G11" s="42">
        <v>1242.7853978655892</v>
      </c>
      <c r="H11" s="41">
        <v>1009.1194201589736</v>
      </c>
      <c r="I11" s="42">
        <v>1394.199309251157</v>
      </c>
      <c r="J11" s="41">
        <v>1006.4693281063029</v>
      </c>
      <c r="K11" s="42">
        <v>1575.1491626832549</v>
      </c>
      <c r="L11" s="41">
        <v>1003.5598057992922</v>
      </c>
      <c r="M11" s="42">
        <v>1793.7632115484741</v>
      </c>
      <c r="N11" s="41">
        <v>1000.3334854686068</v>
      </c>
      <c r="O11" s="42">
        <v>2061.1223710707609</v>
      </c>
      <c r="P11" s="41">
        <v>996.71599493596648</v>
      </c>
      <c r="Q11" s="42">
        <v>2392.6343283757456</v>
      </c>
      <c r="R11" s="41">
        <v>992.61076369582497</v>
      </c>
      <c r="S11" s="42">
        <v>2810.2075039350298</v>
      </c>
      <c r="T11" s="41">
        <v>987.89233322876794</v>
      </c>
      <c r="U11" s="42">
        <v>3345.8380522869743</v>
      </c>
      <c r="V11" s="41">
        <v>982.399160374232</v>
      </c>
      <c r="W11" s="42">
        <v>4047.7182860268163</v>
      </c>
      <c r="X11" s="41">
        <v>975.92718413350042</v>
      </c>
      <c r="Y11" s="42">
        <v>4991.1695537692149</v>
      </c>
      <c r="Z11" s="41">
        <v>968.23017184138621</v>
      </c>
      <c r="AA11" s="42">
        <v>6299.1350814420775</v>
      </c>
      <c r="AB11" s="41">
        <v>959.04266494560886</v>
      </c>
      <c r="AC11" s="42">
        <v>8182.4879284307526</v>
      </c>
      <c r="AD11" s="41">
        <v>948.16764338892563</v>
      </c>
      <c r="AE11" s="42">
        <v>11021.993927029762</v>
      </c>
      <c r="AF11" s="41">
        <v>935.72787556222886</v>
      </c>
      <c r="AG11" s="42">
        <v>15530.411003222063</v>
      </c>
      <c r="AH11" s="41">
        <v>922.7234980931687</v>
      </c>
      <c r="AI11" s="42">
        <v>22989.735007769545</v>
      </c>
      <c r="AJ11" s="41">
        <v>911.61894125736853</v>
      </c>
      <c r="AK11" s="42">
        <v>34991.734663433024</v>
      </c>
      <c r="AL11" s="41">
        <v>905.10442579077346</v>
      </c>
      <c r="AM11" s="42">
        <v>50259.469359425711</v>
      </c>
      <c r="AN11" s="41">
        <v>902.88011619433121</v>
      </c>
      <c r="AO11" s="42">
        <v>60678.169830642015</v>
      </c>
      <c r="AP11" s="41">
        <v>902.73675256370996</v>
      </c>
      <c r="AQ11" s="42">
        <v>61585.410654466352</v>
      </c>
      <c r="AR11" s="41">
        <v>902.65056896404906</v>
      </c>
      <c r="AS11" s="42">
        <v>62150.14463069335</v>
      </c>
      <c r="AT11" s="41">
        <v>902.60643303563893</v>
      </c>
      <c r="AU11" s="42">
        <v>62444.496617344637</v>
      </c>
      <c r="AV11" s="41">
        <v>902.59012956981837</v>
      </c>
      <c r="AW11" s="42">
        <v>62553.689975732865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998.56302571113008</v>
      </c>
      <c r="E13" s="98">
        <v>998.56302571113008</v>
      </c>
      <c r="F13" s="97">
        <v>996.26227764105136</v>
      </c>
      <c r="G13" s="98">
        <v>996.26227764105136</v>
      </c>
      <c r="H13" s="97">
        <v>992.92323150250536</v>
      </c>
      <c r="I13" s="98">
        <v>992.92323150250536</v>
      </c>
      <c r="J13" s="97">
        <v>988.32355718331758</v>
      </c>
      <c r="K13" s="98">
        <v>988.32355718331758</v>
      </c>
      <c r="L13" s="97">
        <v>982.17631029047186</v>
      </c>
      <c r="M13" s="98">
        <v>982.17631029047186</v>
      </c>
      <c r="N13" s="97">
        <v>974.10611512548849</v>
      </c>
      <c r="O13" s="98">
        <v>974.10611512548849</v>
      </c>
      <c r="P13" s="97">
        <v>963.61449061506744</v>
      </c>
      <c r="Q13" s="98">
        <v>963.61449061506744</v>
      </c>
      <c r="R13" s="97">
        <v>950.02848490861129</v>
      </c>
      <c r="S13" s="98">
        <v>950.02848490861129</v>
      </c>
      <c r="T13" s="97">
        <v>932.42163916751701</v>
      </c>
      <c r="U13" s="98">
        <v>932.42163916751701</v>
      </c>
      <c r="V13" s="97">
        <v>909.49127866693368</v>
      </c>
      <c r="W13" s="98">
        <v>909.49127866693368</v>
      </c>
      <c r="X13" s="97">
        <v>879.35956029652084</v>
      </c>
      <c r="Y13" s="98">
        <v>879.35956029652084</v>
      </c>
      <c r="Z13" s="97">
        <v>839.24463267402928</v>
      </c>
      <c r="AA13" s="98">
        <v>839.24463267402928</v>
      </c>
      <c r="AB13" s="97">
        <v>784.91087215235677</v>
      </c>
      <c r="AC13" s="98">
        <v>784.91087215235677</v>
      </c>
      <c r="AD13" s="97">
        <v>709.79292232162572</v>
      </c>
      <c r="AE13" s="98">
        <v>709.79292232162572</v>
      </c>
      <c r="AF13" s="97">
        <v>603.97190364164737</v>
      </c>
      <c r="AG13" s="98">
        <v>603.97190364164737</v>
      </c>
      <c r="AH13" s="97">
        <v>455.29804037662308</v>
      </c>
      <c r="AI13" s="98">
        <v>455.29804037662308</v>
      </c>
      <c r="AJ13" s="97">
        <v>263.85959269164528</v>
      </c>
      <c r="AK13" s="98">
        <v>263.85959269164528</v>
      </c>
      <c r="AL13" s="97">
        <v>84.715198923831451</v>
      </c>
      <c r="AM13" s="98">
        <v>84.715198923831451</v>
      </c>
      <c r="AN13" s="97">
        <v>6.7419799994267562</v>
      </c>
      <c r="AO13" s="98">
        <v>6.7419799994267562</v>
      </c>
      <c r="AP13" s="97">
        <v>2.8137710046729119</v>
      </c>
      <c r="AQ13" s="98">
        <v>2.8137710046729119</v>
      </c>
      <c r="AR13" s="97">
        <v>0.90059514148395914</v>
      </c>
      <c r="AS13" s="98">
        <v>0.90059514148395914</v>
      </c>
      <c r="AT13" s="97">
        <v>0.17895440924578945</v>
      </c>
      <c r="AU13" s="98">
        <v>0.17895440924578945</v>
      </c>
      <c r="AV13" s="97">
        <v>1.1208958847471209E-2</v>
      </c>
      <c r="AW13" s="98">
        <v>1.1208958847471209E-2</v>
      </c>
    </row>
    <row r="14" spans="1:49" x14ac:dyDescent="0.2">
      <c r="A14" t="s">
        <v>36</v>
      </c>
      <c r="B14" s="41">
        <v>1457.0034251455234</v>
      </c>
      <c r="C14" s="42">
        <v>1457.0034251455236</v>
      </c>
      <c r="D14" s="41">
        <v>1454.9097486847938</v>
      </c>
      <c r="E14" s="42">
        <v>1454.9097486847941</v>
      </c>
      <c r="F14" s="41">
        <v>1451.5575508662921</v>
      </c>
      <c r="G14" s="42">
        <v>1451.5575508662923</v>
      </c>
      <c r="H14" s="41">
        <v>1446.6925492057117</v>
      </c>
      <c r="I14" s="42">
        <v>1446.6925492057119</v>
      </c>
      <c r="J14" s="41">
        <v>1439.9908079681011</v>
      </c>
      <c r="K14" s="42">
        <v>1439.9908079681013</v>
      </c>
      <c r="L14" s="41">
        <v>1431.0342481900097</v>
      </c>
      <c r="M14" s="42">
        <v>1431.03424819001</v>
      </c>
      <c r="N14" s="41">
        <v>1419.2759461930361</v>
      </c>
      <c r="O14" s="42">
        <v>1419.2759461930364</v>
      </c>
      <c r="P14" s="41">
        <v>1403.989613346012</v>
      </c>
      <c r="Q14" s="42">
        <v>1403.9896133460122</v>
      </c>
      <c r="R14" s="41">
        <v>1384.1947564976588</v>
      </c>
      <c r="S14" s="42">
        <v>1384.194756497659</v>
      </c>
      <c r="T14" s="41">
        <v>1358.5415219468755</v>
      </c>
      <c r="U14" s="42">
        <v>1358.5415219468757</v>
      </c>
      <c r="V14" s="41">
        <v>1325.1319081577039</v>
      </c>
      <c r="W14" s="42">
        <v>1325.1319081577042</v>
      </c>
      <c r="X14" s="41">
        <v>1281.2298912864921</v>
      </c>
      <c r="Y14" s="42">
        <v>1281.2298912864924</v>
      </c>
      <c r="Z14" s="41">
        <v>1222.7823043410572</v>
      </c>
      <c r="AA14" s="42">
        <v>1222.7823043410574</v>
      </c>
      <c r="AB14" s="41">
        <v>1143.6178291599438</v>
      </c>
      <c r="AC14" s="42">
        <v>1143.617829159944</v>
      </c>
      <c r="AD14" s="41">
        <v>1034.170718966659</v>
      </c>
      <c r="AE14" s="42">
        <v>1034.1707189666593</v>
      </c>
      <c r="AF14" s="41">
        <v>879.98913229754214</v>
      </c>
      <c r="AG14" s="42">
        <v>879.98913229754226</v>
      </c>
      <c r="AH14" s="41">
        <v>663.37080429078458</v>
      </c>
      <c r="AI14" s="42">
        <v>663.37080429078469</v>
      </c>
      <c r="AJ14" s="41">
        <v>384.44433030922983</v>
      </c>
      <c r="AK14" s="42">
        <v>384.44433030922988</v>
      </c>
      <c r="AL14" s="41">
        <v>123.43033499390677</v>
      </c>
      <c r="AM14" s="42">
        <v>123.4303349939068</v>
      </c>
      <c r="AN14" s="41">
        <v>9.8230879514273965</v>
      </c>
      <c r="AO14" s="42">
        <v>9.8230879514273983</v>
      </c>
      <c r="AP14" s="41">
        <v>4.0996739913835931</v>
      </c>
      <c r="AQ14" s="42">
        <v>4.0996739913835931</v>
      </c>
      <c r="AR14" s="41">
        <v>1.3121702058115456</v>
      </c>
      <c r="AS14" s="42">
        <v>1.3121702058115459</v>
      </c>
      <c r="AT14" s="41">
        <v>0.26073718721600891</v>
      </c>
      <c r="AU14" s="42">
        <v>0.26073718721600897</v>
      </c>
      <c r="AV14" s="41">
        <v>1.6331491433080769E-2</v>
      </c>
      <c r="AW14" s="42">
        <v>1.6331491433080773E-2</v>
      </c>
    </row>
    <row r="15" spans="1:49" x14ac:dyDescent="0.2">
      <c r="A15" t="s">
        <v>18</v>
      </c>
      <c r="B15" s="154">
        <v>1000</v>
      </c>
      <c r="C15" s="155">
        <v>1000</v>
      </c>
      <c r="D15" s="154">
        <v>987.46263049911909</v>
      </c>
      <c r="E15" s="155">
        <v>987.46263049911909</v>
      </c>
      <c r="F15" s="154">
        <v>974.22460848398578</v>
      </c>
      <c r="G15" s="155">
        <v>974.22460848398578</v>
      </c>
      <c r="H15" s="154">
        <v>960.14403173055689</v>
      </c>
      <c r="I15" s="155">
        <v>960.14403173055689</v>
      </c>
      <c r="J15" s="154">
        <v>945.04029459784135</v>
      </c>
      <c r="K15" s="155">
        <v>945.04029459784135</v>
      </c>
      <c r="L15" s="154">
        <v>928.6808112100166</v>
      </c>
      <c r="M15" s="155">
        <v>928.6808112100166</v>
      </c>
      <c r="N15" s="154">
        <v>910.76258190889678</v>
      </c>
      <c r="O15" s="155">
        <v>910.76258190889678</v>
      </c>
      <c r="P15" s="154">
        <v>890.88505876085731</v>
      </c>
      <c r="Q15" s="155">
        <v>890.88505876085731</v>
      </c>
      <c r="R15" s="154">
        <v>868.51109414176381</v>
      </c>
      <c r="S15" s="155">
        <v>868.51109414176381</v>
      </c>
      <c r="T15" s="154">
        <v>842.90599648910757</v>
      </c>
      <c r="U15" s="155">
        <v>842.90599648910757</v>
      </c>
      <c r="V15" s="154">
        <v>813.04404879504682</v>
      </c>
      <c r="W15" s="155">
        <v>813.04404879504682</v>
      </c>
      <c r="X15" s="154">
        <v>777.45539413501399</v>
      </c>
      <c r="Y15" s="155">
        <v>777.45539413501399</v>
      </c>
      <c r="Z15" s="154">
        <v>733.97083009844687</v>
      </c>
      <c r="AA15" s="155">
        <v>733.97083009844687</v>
      </c>
      <c r="AB15" s="154">
        <v>679.288972698507</v>
      </c>
      <c r="AC15" s="155">
        <v>679.288972698507</v>
      </c>
      <c r="AD15" s="154">
        <v>608.27315891406568</v>
      </c>
      <c r="AE15" s="155">
        <v>608.27315891406568</v>
      </c>
      <c r="AF15" s="154">
        <v>513.10300950770886</v>
      </c>
      <c r="AG15" s="155">
        <v>513.10300950770886</v>
      </c>
      <c r="AH15" s="154">
        <v>384.11853388148944</v>
      </c>
      <c r="AI15" s="155">
        <v>384.11853388148944</v>
      </c>
      <c r="AJ15" s="154">
        <v>221.57973626087286</v>
      </c>
      <c r="AK15" s="155">
        <v>221.57973626087286</v>
      </c>
      <c r="AL15" s="154">
        <v>70.971071235303498</v>
      </c>
      <c r="AM15" s="155">
        <v>70.971071235303498</v>
      </c>
      <c r="AN15" s="154">
        <v>5.6423021230490233</v>
      </c>
      <c r="AO15" s="155">
        <v>5.6423021230490233</v>
      </c>
      <c r="AP15" s="154">
        <v>2.3544763495361343</v>
      </c>
      <c r="AQ15" s="155">
        <v>2.3544763495361343</v>
      </c>
      <c r="AR15" s="154">
        <v>0.75347910117152883</v>
      </c>
      <c r="AS15" s="155">
        <v>0.75347910117152883</v>
      </c>
      <c r="AT15" s="154">
        <v>0.14969710068431721</v>
      </c>
      <c r="AU15" s="155">
        <v>0.14969710068431721</v>
      </c>
      <c r="AV15" s="154">
        <v>9.3744834052095216E-3</v>
      </c>
      <c r="AW15" s="155">
        <v>9.3744834052095216E-3</v>
      </c>
    </row>
    <row r="16" spans="1:49" s="29" customFormat="1" x14ac:dyDescent="0.2">
      <c r="A16" t="s">
        <v>61</v>
      </c>
      <c r="B16" s="41">
        <v>1000</v>
      </c>
      <c r="C16" s="42">
        <v>1000</v>
      </c>
      <c r="D16" s="41">
        <v>993.37857374798125</v>
      </c>
      <c r="E16" s="42">
        <v>990.63002185072219</v>
      </c>
      <c r="F16" s="41">
        <v>985.96495786117646</v>
      </c>
      <c r="G16" s="42">
        <v>980.51095631779299</v>
      </c>
      <c r="H16" s="41">
        <v>977.599974164419</v>
      </c>
      <c r="I16" s="42">
        <v>969.49163360376428</v>
      </c>
      <c r="J16" s="41">
        <v>968.0809240626669</v>
      </c>
      <c r="K16" s="42">
        <v>957.37959738057805</v>
      </c>
      <c r="L16" s="41">
        <v>957.14644187573549</v>
      </c>
      <c r="M16" s="42">
        <v>943.92682536829182</v>
      </c>
      <c r="N16" s="41">
        <v>944.4552116975691</v>
      </c>
      <c r="O16" s="42">
        <v>928.80976777746821</v>
      </c>
      <c r="P16" s="41">
        <v>929.55484621830954</v>
      </c>
      <c r="Q16" s="42">
        <v>911.60007465337878</v>
      </c>
      <c r="R16" s="41">
        <v>911.83632127270641</v>
      </c>
      <c r="S16" s="42">
        <v>891.72205077111062</v>
      </c>
      <c r="T16" s="41">
        <v>890.46346904738039</v>
      </c>
      <c r="U16" s="42">
        <v>868.3865826895435</v>
      </c>
      <c r="V16" s="41">
        <v>864.264048298783</v>
      </c>
      <c r="W16" s="42">
        <v>840.489370254611</v>
      </c>
      <c r="X16" s="41">
        <v>831.55240923393637</v>
      </c>
      <c r="Y16" s="42">
        <v>806.44482014542814</v>
      </c>
      <c r="Z16" s="41">
        <v>789.83538082967164</v>
      </c>
      <c r="AA16" s="42">
        <v>763.9099698428779</v>
      </c>
      <c r="AB16" s="41">
        <v>735.31764436148978</v>
      </c>
      <c r="AC16" s="42">
        <v>709.31850647034094</v>
      </c>
      <c r="AD16" s="41">
        <v>662.1072562383863</v>
      </c>
      <c r="AE16" s="42">
        <v>637.12865616992121</v>
      </c>
      <c r="AF16" s="41">
        <v>561.27445528039573</v>
      </c>
      <c r="AG16" s="42">
        <v>538.92500439347407</v>
      </c>
      <c r="AH16" s="41">
        <v>421.84304983202713</v>
      </c>
      <c r="AI16" s="42">
        <v>404.34159279294147</v>
      </c>
      <c r="AJ16" s="41">
        <v>243.984053816055</v>
      </c>
      <c r="AK16" s="42">
        <v>233.59048891580326</v>
      </c>
      <c r="AL16" s="41">
        <v>78.253547802941355</v>
      </c>
      <c r="AM16" s="42">
        <v>74.875211962091569</v>
      </c>
      <c r="AN16" s="41">
        <v>6.2249572606519905</v>
      </c>
      <c r="AO16" s="42">
        <v>5.9546664267905003</v>
      </c>
      <c r="AP16" s="41">
        <v>2.5978285450069936</v>
      </c>
      <c r="AQ16" s="42">
        <v>2.4849388103158847</v>
      </c>
      <c r="AR16" s="41">
        <v>0.83142650539031537</v>
      </c>
      <c r="AS16" s="42">
        <v>0.79526718390742068</v>
      </c>
      <c r="AT16" s="41">
        <v>0.16519859204957155</v>
      </c>
      <c r="AU16" s="42">
        <v>0.15800755648875286</v>
      </c>
      <c r="AV16" s="41">
        <v>1.034644235615716E-2</v>
      </c>
      <c r="AW16" s="42">
        <v>9.8955580495767477E-3</v>
      </c>
    </row>
    <row r="17" spans="1:49" x14ac:dyDescent="0.2">
      <c r="A17" t="s">
        <v>62</v>
      </c>
      <c r="B17" s="35">
        <v>999.99999999999977</v>
      </c>
      <c r="C17" s="36">
        <v>999.99999999999977</v>
      </c>
      <c r="D17" s="35">
        <v>998.11919363496168</v>
      </c>
      <c r="E17" s="36">
        <v>1053.1180563161488</v>
      </c>
      <c r="F17" s="35">
        <v>996.10342453639009</v>
      </c>
      <c r="G17" s="36">
        <v>1115.3676910958868</v>
      </c>
      <c r="H17" s="35">
        <v>993.92865773757808</v>
      </c>
      <c r="I17" s="36">
        <v>1188.9363614388469</v>
      </c>
      <c r="J17" s="35">
        <v>991.56441422656792</v>
      </c>
      <c r="K17" s="36">
        <v>1276.7042094374838</v>
      </c>
      <c r="L17" s="35">
        <v>988.97169704046769</v>
      </c>
      <c r="M17" s="36">
        <v>1382.5241873415387</v>
      </c>
      <c r="N17" s="35">
        <v>986.10034871984499</v>
      </c>
      <c r="O17" s="36">
        <v>1511.6409043120275</v>
      </c>
      <c r="P17" s="35">
        <v>982.88546171881876</v>
      </c>
      <c r="Q17" s="36">
        <v>1671.337618576724</v>
      </c>
      <c r="R17" s="35">
        <v>979.24310534044548</v>
      </c>
      <c r="S17" s="36">
        <v>1871.9605222959267</v>
      </c>
      <c r="T17" s="35">
        <v>975.06455683774686</v>
      </c>
      <c r="U17" s="36">
        <v>2128.6098090046221</v>
      </c>
      <c r="V17" s="35">
        <v>970.21065062846867</v>
      </c>
      <c r="W17" s="36">
        <v>2464.0220061799682</v>
      </c>
      <c r="X17" s="35">
        <v>964.50684071858518</v>
      </c>
      <c r="Y17" s="36">
        <v>2913.733288009897</v>
      </c>
      <c r="Z17" s="35">
        <v>957.74478249369724</v>
      </c>
      <c r="AA17" s="36">
        <v>3535.7671207747985</v>
      </c>
      <c r="AB17" s="35">
        <v>949.70421941131065</v>
      </c>
      <c r="AC17" s="36">
        <v>4429.7095294535711</v>
      </c>
      <c r="AD17" s="35">
        <v>940.23119233338093</v>
      </c>
      <c r="AE17" s="36">
        <v>5775.5483521433143</v>
      </c>
      <c r="AF17" s="35">
        <v>929.45554386557842</v>
      </c>
      <c r="AG17" s="36">
        <v>7910.6465933905974</v>
      </c>
      <c r="AH17" s="35">
        <v>918.26157989049443</v>
      </c>
      <c r="AI17" s="36">
        <v>11443.05047866633</v>
      </c>
      <c r="AJ17" s="35">
        <v>908.76178566234375</v>
      </c>
      <c r="AK17" s="36">
        <v>17131.637596606757</v>
      </c>
      <c r="AL17" s="35">
        <v>903.21449937877162</v>
      </c>
      <c r="AM17" s="36">
        <v>24382.430707872878</v>
      </c>
      <c r="AN17" s="35">
        <v>901.32490459745225</v>
      </c>
      <c r="AO17" s="36">
        <v>29346.481763043146</v>
      </c>
      <c r="AP17" s="35">
        <v>901.20318977720149</v>
      </c>
      <c r="AQ17" s="36">
        <v>29780.205053467082</v>
      </c>
      <c r="AR17" s="35">
        <v>901.13002735788223</v>
      </c>
      <c r="AS17" s="36">
        <v>30050.538040036801</v>
      </c>
      <c r="AT17" s="35">
        <v>901.09256036781483</v>
      </c>
      <c r="AU17" s="36">
        <v>30191.652714918353</v>
      </c>
      <c r="AV17" s="35">
        <v>901.07872037908487</v>
      </c>
      <c r="AW17" s="36">
        <v>30244.094473987687</v>
      </c>
    </row>
    <row r="18" spans="1:49" x14ac:dyDescent="0.2">
      <c r="A18" t="s">
        <v>19</v>
      </c>
      <c r="B18" s="33">
        <v>27857.010133999996</v>
      </c>
      <c r="C18" s="34">
        <v>1236.7674480000003</v>
      </c>
      <c r="D18" s="33">
        <v>27872.154536110738</v>
      </c>
      <c r="E18" s="34">
        <v>1155.5042537494533</v>
      </c>
      <c r="F18" s="33">
        <v>27882.381609818553</v>
      </c>
      <c r="G18" s="34">
        <v>1074.0880934273453</v>
      </c>
      <c r="H18" s="33">
        <v>27886.607777536632</v>
      </c>
      <c r="I18" s="34">
        <v>992.55388178129351</v>
      </c>
      <c r="J18" s="33">
        <v>27883.429124907962</v>
      </c>
      <c r="K18" s="34">
        <v>910.94866453338113</v>
      </c>
      <c r="L18" s="33">
        <v>27870.996348720164</v>
      </c>
      <c r="M18" s="34">
        <v>829.3370673290957</v>
      </c>
      <c r="N18" s="33">
        <v>27846.829287791159</v>
      </c>
      <c r="O18" s="34">
        <v>747.81080933318287</v>
      </c>
      <c r="P18" s="33">
        <v>27807.531994074972</v>
      </c>
      <c r="Q18" s="34">
        <v>666.50075755340083</v>
      </c>
      <c r="R18" s="33">
        <v>27748.342906211128</v>
      </c>
      <c r="S18" s="34">
        <v>585.60020459191242</v>
      </c>
      <c r="T18" s="33">
        <v>27662.391276999104</v>
      </c>
      <c r="U18" s="34">
        <v>505.39588160107411</v>
      </c>
      <c r="V18" s="33">
        <v>27539.432798247348</v>
      </c>
      <c r="W18" s="34">
        <v>426.32117419720299</v>
      </c>
      <c r="X18" s="33">
        <v>27363.57373214652</v>
      </c>
      <c r="Y18" s="34">
        <v>349.03396813895068</v>
      </c>
      <c r="Z18" s="33">
        <v>27108.966044843539</v>
      </c>
      <c r="AA18" s="34">
        <v>274.53437032798729</v>
      </c>
      <c r="AB18" s="33">
        <v>26731.165196685346</v>
      </c>
      <c r="AC18" s="34">
        <v>204.33196051860341</v>
      </c>
      <c r="AD18" s="33">
        <v>26148.733863315509</v>
      </c>
      <c r="AE18" s="34">
        <v>140.6523502435119</v>
      </c>
      <c r="AF18" s="33">
        <v>25202.499858458796</v>
      </c>
      <c r="AG18" s="34">
        <v>86.577296835411389</v>
      </c>
      <c r="AH18" s="33">
        <v>23568.629899271247</v>
      </c>
      <c r="AI18" s="34">
        <v>45.68764924194317</v>
      </c>
      <c r="AJ18" s="33">
        <v>20627.01703094965</v>
      </c>
      <c r="AK18" s="34">
        <v>20.235413780672125</v>
      </c>
      <c r="AL18" s="33">
        <v>15554.845943536426</v>
      </c>
      <c r="AM18" s="34">
        <v>8.0518773586108185</v>
      </c>
      <c r="AN18" s="33">
        <v>8266.9260592134433</v>
      </c>
      <c r="AO18" s="34">
        <v>3.0152821959620413</v>
      </c>
      <c r="AP18" s="33">
        <v>6644.897980566373</v>
      </c>
      <c r="AQ18" s="34">
        <v>2.3565077548213207</v>
      </c>
      <c r="AR18" s="33">
        <v>4998.1679151509006</v>
      </c>
      <c r="AS18" s="34">
        <v>1.7420642029990754</v>
      </c>
      <c r="AT18" s="33">
        <v>3337.1199968967899</v>
      </c>
      <c r="AU18" s="34">
        <v>1.1527098343531643</v>
      </c>
      <c r="AV18" s="33">
        <v>1669.4865352124716</v>
      </c>
      <c r="AW18" s="34">
        <v>0.57475698610499371</v>
      </c>
    </row>
    <row r="19" spans="1:49" x14ac:dyDescent="0.2">
      <c r="A19" t="s">
        <v>3</v>
      </c>
      <c r="B19" s="41">
        <v>1886.3937400000138</v>
      </c>
      <c r="C19" s="42">
        <v>262.7871129999973</v>
      </c>
      <c r="D19" s="41">
        <v>1882.686109512272</v>
      </c>
      <c r="E19" s="42">
        <v>265.07968077116595</v>
      </c>
      <c r="F19" s="41">
        <v>1878.2979109591888</v>
      </c>
      <c r="G19" s="42">
        <v>268.47109151862759</v>
      </c>
      <c r="H19" s="41">
        <v>1873.0971130273813</v>
      </c>
      <c r="I19" s="42">
        <v>273.16589315398221</v>
      </c>
      <c r="J19" s="41">
        <v>1866.9148692682004</v>
      </c>
      <c r="K19" s="42">
        <v>279.41805754244871</v>
      </c>
      <c r="L19" s="41">
        <v>1859.5325901804933</v>
      </c>
      <c r="M19" s="42">
        <v>287.54547800088397</v>
      </c>
      <c r="N19" s="41">
        <v>1850.6637918375632</v>
      </c>
      <c r="O19" s="42">
        <v>297.94614759985939</v>
      </c>
      <c r="P19" s="41">
        <v>1839.9278604384353</v>
      </c>
      <c r="Q19" s="42">
        <v>311.11986364369216</v>
      </c>
      <c r="R19" s="41">
        <v>1826.8120012160493</v>
      </c>
      <c r="S19" s="42">
        <v>327.6888896289733</v>
      </c>
      <c r="T19" s="41">
        <v>1810.6131496836565</v>
      </c>
      <c r="U19" s="42">
        <v>348.42136814731572</v>
      </c>
      <c r="V19" s="41">
        <v>1790.34959532166</v>
      </c>
      <c r="W19" s="42">
        <v>374.23448387773431</v>
      </c>
      <c r="X19" s="41">
        <v>1764.6180028944684</v>
      </c>
      <c r="Y19" s="42">
        <v>406.15416099106307</v>
      </c>
      <c r="Z19" s="41">
        <v>1731.3533396642829</v>
      </c>
      <c r="AA19" s="42">
        <v>445.1417826951523</v>
      </c>
      <c r="AB19" s="41">
        <v>1687.3994511670649</v>
      </c>
      <c r="AC19" s="42">
        <v>491.57755568732642</v>
      </c>
      <c r="AD19" s="41">
        <v>1627.6815543986218</v>
      </c>
      <c r="AE19" s="42">
        <v>543.8766516125055</v>
      </c>
      <c r="AF19" s="41">
        <v>1543.4807928632283</v>
      </c>
      <c r="AG19" s="42">
        <v>595.06312842101738</v>
      </c>
      <c r="AH19" s="41">
        <v>1418.6873974278033</v>
      </c>
      <c r="AI19" s="42">
        <v>625.73096966639287</v>
      </c>
      <c r="AJ19" s="41">
        <v>1223.1416019575104</v>
      </c>
      <c r="AK19" s="42">
        <v>597.19350328471376</v>
      </c>
      <c r="AL19" s="41">
        <v>914.19785404965683</v>
      </c>
      <c r="AM19" s="42">
        <v>469.32316608133459</v>
      </c>
      <c r="AN19" s="41">
        <v>484.38506696273186</v>
      </c>
      <c r="AO19" s="42">
        <v>251.91221751209912</v>
      </c>
      <c r="AP19" s="41">
        <v>389.26852713424142</v>
      </c>
      <c r="AQ19" s="42">
        <v>202.58043146236469</v>
      </c>
      <c r="AR19" s="41">
        <v>292.76575698786723</v>
      </c>
      <c r="AS19" s="42">
        <v>152.4182605770969</v>
      </c>
      <c r="AT19" s="41">
        <v>195.45863609664659</v>
      </c>
      <c r="AU19" s="42">
        <v>101.77860061376576</v>
      </c>
      <c r="AV19" s="41">
        <v>97.781390871144936</v>
      </c>
      <c r="AW19" s="42">
        <v>50.92008301615266</v>
      </c>
    </row>
    <row r="20" spans="1:49" x14ac:dyDescent="0.2">
      <c r="A20" t="s">
        <v>127</v>
      </c>
      <c r="B20" s="82">
        <v>26548.356269999993</v>
      </c>
      <c r="C20" s="83">
        <v>1408.5418709999938</v>
      </c>
      <c r="D20" s="82">
        <v>26551.666149381424</v>
      </c>
      <c r="E20" s="83">
        <v>1338.1147774499941</v>
      </c>
      <c r="F20" s="82">
        <v>26549.421664460235</v>
      </c>
      <c r="G20" s="83">
        <v>1267.6876838999945</v>
      </c>
      <c r="H20" s="82">
        <v>26540.439441457325</v>
      </c>
      <c r="I20" s="83">
        <v>1197.2605903499946</v>
      </c>
      <c r="J20" s="82">
        <v>26523.19080047464</v>
      </c>
      <c r="K20" s="83">
        <v>1126.8334967999949</v>
      </c>
      <c r="L20" s="82">
        <v>26495.670085907564</v>
      </c>
      <c r="M20" s="83">
        <v>1056.4064032499953</v>
      </c>
      <c r="N20" s="82">
        <v>26455.201753675323</v>
      </c>
      <c r="O20" s="83">
        <v>985.97930969999561</v>
      </c>
      <c r="P20" s="82">
        <v>26398.147928072081</v>
      </c>
      <c r="Q20" s="83">
        <v>915.55221614999596</v>
      </c>
      <c r="R20" s="82">
        <v>26319.454909806154</v>
      </c>
      <c r="S20" s="83">
        <v>845.12512259999642</v>
      </c>
      <c r="T20" s="82">
        <v>26211.915762957553</v>
      </c>
      <c r="U20" s="83">
        <v>774.69802904999653</v>
      </c>
      <c r="V20" s="82">
        <v>26064.9433044914</v>
      </c>
      <c r="W20" s="83">
        <v>704.27093549999688</v>
      </c>
      <c r="X20" s="82">
        <v>25862.405741471699</v>
      </c>
      <c r="Y20" s="83">
        <v>633.84384194999734</v>
      </c>
      <c r="Z20" s="82">
        <v>25578.620328640856</v>
      </c>
      <c r="AA20" s="83">
        <v>563.41674839999746</v>
      </c>
      <c r="AB20" s="82">
        <v>25170.474390150819</v>
      </c>
      <c r="AC20" s="83">
        <v>492.98965484999781</v>
      </c>
      <c r="AD20" s="82">
        <v>24560.955852254363</v>
      </c>
      <c r="AE20" s="83">
        <v>422.56256129999809</v>
      </c>
      <c r="AF20" s="82">
        <v>23603.150253522213</v>
      </c>
      <c r="AG20" s="83">
        <v>352.13546774999827</v>
      </c>
      <c r="AH20" s="82">
        <v>22003.624205718206</v>
      </c>
      <c r="AI20" s="83">
        <v>281.70837419999856</v>
      </c>
      <c r="AJ20" s="82">
        <v>19204.149086911624</v>
      </c>
      <c r="AK20" s="83">
        <v>211.28128064999876</v>
      </c>
      <c r="AL20" s="82">
        <v>14457.870377620866</v>
      </c>
      <c r="AM20" s="83">
        <v>140.85418709999902</v>
      </c>
      <c r="AN20" s="82">
        <v>7679.5215036888776</v>
      </c>
      <c r="AO20" s="83">
        <v>70.427093549999285</v>
      </c>
      <c r="AP20" s="82">
        <v>6172.5179461680364</v>
      </c>
      <c r="AQ20" s="83">
        <v>56.341674839999335</v>
      </c>
      <c r="AR20" s="82">
        <v>4642.7492274874721</v>
      </c>
      <c r="AS20" s="83">
        <v>42.256256129999379</v>
      </c>
      <c r="AT20" s="82">
        <v>3099.7827695145456</v>
      </c>
      <c r="AU20" s="83">
        <v>28.170837419999433</v>
      </c>
      <c r="AV20" s="82">
        <v>1550.7454994686366</v>
      </c>
      <c r="AW20" s="83">
        <v>14.08541870999948</v>
      </c>
    </row>
    <row r="21" spans="1:49" x14ac:dyDescent="0.2">
      <c r="A21" t="s">
        <v>76</v>
      </c>
      <c r="B21" s="82">
        <v>24661.962530000252</v>
      </c>
      <c r="C21" s="83">
        <v>1145.7547579999964</v>
      </c>
      <c r="D21" s="82">
        <v>24668.9844374122</v>
      </c>
      <c r="E21" s="83">
        <v>1073.319548369898</v>
      </c>
      <c r="F21" s="82">
        <v>24671.142673147493</v>
      </c>
      <c r="G21" s="83">
        <v>1000.4613839093586</v>
      </c>
      <c r="H21" s="82">
        <v>24667.38836643978</v>
      </c>
      <c r="I21" s="83">
        <v>927.17219769294093</v>
      </c>
      <c r="J21" s="82">
        <v>24656.365004492534</v>
      </c>
      <c r="K21" s="83">
        <v>853.45513039822356</v>
      </c>
      <c r="L21" s="82">
        <v>24636.290063222084</v>
      </c>
      <c r="M21" s="83">
        <v>779.33056764466926</v>
      </c>
      <c r="N21" s="82">
        <v>24604.780803332265</v>
      </c>
      <c r="O21" s="83">
        <v>704.84727069107612</v>
      </c>
      <c r="P21" s="82">
        <v>24558.58890379169</v>
      </c>
      <c r="Q21" s="83">
        <v>630.09722176888556</v>
      </c>
      <c r="R21" s="82">
        <v>24493.186283905641</v>
      </c>
      <c r="S21" s="83">
        <v>555.24099936273103</v>
      </c>
      <c r="T21" s="82">
        <v>24402.087675643528</v>
      </c>
      <c r="U21" s="83">
        <v>480.54163608960107</v>
      </c>
      <c r="V21" s="82">
        <v>24275.714725151982</v>
      </c>
      <c r="W21" s="83">
        <v>406.41989742766708</v>
      </c>
      <c r="X21" s="82">
        <v>24099.378293977996</v>
      </c>
      <c r="Y21" s="83">
        <v>333.53239622134635</v>
      </c>
      <c r="Z21" s="82">
        <v>23849.516115969855</v>
      </c>
      <c r="AA21" s="83">
        <v>262.88675597245987</v>
      </c>
      <c r="AB21" s="82">
        <v>23486.243731381997</v>
      </c>
      <c r="AC21" s="83">
        <v>196.00172150322612</v>
      </c>
      <c r="AD21" s="82">
        <v>22937.696095427978</v>
      </c>
      <c r="AE21" s="83">
        <v>135.1014275334438</v>
      </c>
      <c r="AF21" s="82">
        <v>22065.676200040874</v>
      </c>
      <c r="AG21" s="83">
        <v>83.241971429972949</v>
      </c>
      <c r="AH21" s="82">
        <v>20592.571974654067</v>
      </c>
      <c r="AI21" s="83">
        <v>43.955153508723477</v>
      </c>
      <c r="AJ21" s="82">
        <v>17989.422437239096</v>
      </c>
      <c r="AK21" s="83">
        <v>19.474665429803299</v>
      </c>
      <c r="AL21" s="82">
        <v>13550.858508071022</v>
      </c>
      <c r="AM21" s="83">
        <v>7.7502877228277276</v>
      </c>
      <c r="AN21" s="82">
        <v>7199.1147423273778</v>
      </c>
      <c r="AO21" s="83">
        <v>2.9024709951174663</v>
      </c>
      <c r="AP21" s="82">
        <v>5786.4554942588784</v>
      </c>
      <c r="AQ21" s="83">
        <v>2.2683499579726099</v>
      </c>
      <c r="AR21" s="82">
        <v>4352.3987959021269</v>
      </c>
      <c r="AS21" s="83">
        <v>1.6768958780894054</v>
      </c>
      <c r="AT21" s="82">
        <v>2905.9380622296258</v>
      </c>
      <c r="AU21" s="83">
        <v>1.1095894691941872</v>
      </c>
      <c r="AV21" s="82">
        <v>1453.7717598906399</v>
      </c>
      <c r="AW21" s="83">
        <v>0.55325676055050199</v>
      </c>
    </row>
    <row r="22" spans="1:49" x14ac:dyDescent="0.2">
      <c r="A22" t="s">
        <v>28</v>
      </c>
      <c r="B22" s="41">
        <v>6533.6044688320826</v>
      </c>
      <c r="C22" s="42">
        <v>379.90788307663479</v>
      </c>
      <c r="D22" s="41">
        <v>6535.6292020022111</v>
      </c>
      <c r="E22" s="42">
        <v>356.8163591154273</v>
      </c>
      <c r="F22" s="41">
        <v>6535.2795105637251</v>
      </c>
      <c r="G22" s="42">
        <v>333.834797795123</v>
      </c>
      <c r="H22" s="41">
        <v>6532.1007186383586</v>
      </c>
      <c r="I22" s="42">
        <v>310.98183531012074</v>
      </c>
      <c r="J22" s="41">
        <v>6525.5156394116811</v>
      </c>
      <c r="K22" s="42">
        <v>288.27944598284557</v>
      </c>
      <c r="L22" s="41">
        <v>6514.7820309273538</v>
      </c>
      <c r="M22" s="42">
        <v>265.7530800737307</v>
      </c>
      <c r="N22" s="41">
        <v>6498.9294958757228</v>
      </c>
      <c r="O22" s="42">
        <v>243.4321711711778</v>
      </c>
      <c r="P22" s="41">
        <v>6476.6687612656624</v>
      </c>
      <c r="Q22" s="42">
        <v>221.35038134381801</v>
      </c>
      <c r="R22" s="41">
        <v>6446.2510467889742</v>
      </c>
      <c r="S22" s="42">
        <v>199.54603324047076</v>
      </c>
      <c r="T22" s="41">
        <v>6405.2510596345101</v>
      </c>
      <c r="U22" s="42">
        <v>178.06169598134034</v>
      </c>
      <c r="V22" s="41">
        <v>6350.2141718097419</v>
      </c>
      <c r="W22" s="42">
        <v>156.94465309574244</v>
      </c>
      <c r="X22" s="41">
        <v>6276.0641526003856</v>
      </c>
      <c r="Y22" s="42">
        <v>136.24731691625652</v>
      </c>
      <c r="Z22" s="41">
        <v>6175.060969487321</v>
      </c>
      <c r="AA22" s="42">
        <v>116.03029419046565</v>
      </c>
      <c r="AB22" s="41">
        <v>6034.8760633985867</v>
      </c>
      <c r="AC22" s="42">
        <v>96.372121096727298</v>
      </c>
      <c r="AD22" s="41">
        <v>5834.8685754648795</v>
      </c>
      <c r="AE22" s="42">
        <v>77.395834223161884</v>
      </c>
      <c r="AF22" s="41">
        <v>5538.6932946880215</v>
      </c>
      <c r="AG22" s="42">
        <v>59.333342802904212</v>
      </c>
      <c r="AH22" s="41">
        <v>5080.4956421439365</v>
      </c>
      <c r="AI22" s="42">
        <v>42.652076698925065</v>
      </c>
      <c r="AJ22" s="41">
        <v>4348.580012860175</v>
      </c>
      <c r="AK22" s="42">
        <v>28.168759070577053</v>
      </c>
      <c r="AL22" s="41">
        <v>3214.1589493026609</v>
      </c>
      <c r="AM22" s="42">
        <v>16.682738910703115</v>
      </c>
      <c r="AN22" s="41">
        <v>1689.9899524499019</v>
      </c>
      <c r="AO22" s="42">
        <v>7.8226557947360389</v>
      </c>
      <c r="AP22" s="41">
        <v>1357.2401635972133</v>
      </c>
      <c r="AQ22" s="42">
        <v>6.2261302450978899</v>
      </c>
      <c r="AR22" s="41">
        <v>1020.3524405445721</v>
      </c>
      <c r="AS22" s="42">
        <v>4.6548773975401829</v>
      </c>
      <c r="AT22" s="41">
        <v>681.07115461459023</v>
      </c>
      <c r="AU22" s="42">
        <v>3.0981794542407126</v>
      </c>
      <c r="AV22" s="41">
        <v>340.69020601767704</v>
      </c>
      <c r="AW22" s="42">
        <v>1.5481525985471933</v>
      </c>
    </row>
    <row r="23" spans="1:49" x14ac:dyDescent="0.2">
      <c r="A23" t="s">
        <v>7</v>
      </c>
      <c r="B23" s="116">
        <v>3278.5018080150408</v>
      </c>
      <c r="C23" s="8">
        <v>0</v>
      </c>
      <c r="D23" s="116">
        <v>3287.1771400738412</v>
      </c>
      <c r="E23" s="8">
        <v>0</v>
      </c>
      <c r="F23" s="116">
        <v>3295.4429992439382</v>
      </c>
      <c r="G23" s="8">
        <v>0</v>
      </c>
      <c r="H23" s="116">
        <v>3303.1901251875888</v>
      </c>
      <c r="I23" s="8">
        <v>0</v>
      </c>
      <c r="J23" s="116">
        <v>3310.2725923129683</v>
      </c>
      <c r="K23" s="8">
        <v>0</v>
      </c>
      <c r="L23" s="116">
        <v>3316.492542554668</v>
      </c>
      <c r="M23" s="8">
        <v>0</v>
      </c>
      <c r="N23" s="116">
        <v>3321.5773215269051</v>
      </c>
      <c r="O23" s="8">
        <v>0</v>
      </c>
      <c r="P23" s="116">
        <v>3325.1445966517454</v>
      </c>
      <c r="Q23" s="8">
        <v>0</v>
      </c>
      <c r="R23" s="116">
        <v>3326.6473472493562</v>
      </c>
      <c r="S23" s="8">
        <v>0</v>
      </c>
      <c r="T23" s="116">
        <v>3325.2842039069565</v>
      </c>
      <c r="U23" s="8">
        <v>0</v>
      </c>
      <c r="V23" s="116">
        <v>3319.8491260183528</v>
      </c>
      <c r="W23" s="8">
        <v>0</v>
      </c>
      <c r="X23" s="116">
        <v>3308.4656398382358</v>
      </c>
      <c r="Y23" s="8">
        <v>0</v>
      </c>
      <c r="Z23" s="116">
        <v>3288.0925052497637</v>
      </c>
      <c r="AA23" s="8">
        <v>0</v>
      </c>
      <c r="AB23" s="116">
        <v>3253.5424977856524</v>
      </c>
      <c r="AC23" s="8">
        <v>0</v>
      </c>
      <c r="AD23" s="116">
        <v>3195.3913120775464</v>
      </c>
      <c r="AE23" s="8">
        <v>0</v>
      </c>
      <c r="AF23" s="116">
        <v>3095.2289691575347</v>
      </c>
      <c r="AG23" s="8">
        <v>0</v>
      </c>
      <c r="AH23" s="116">
        <v>2914.7941911913535</v>
      </c>
      <c r="AI23" s="8">
        <v>0</v>
      </c>
      <c r="AJ23" s="116">
        <v>2576.3207839777033</v>
      </c>
      <c r="AK23" s="8">
        <v>0</v>
      </c>
      <c r="AL23" s="116">
        <v>1964.5869047367296</v>
      </c>
      <c r="AM23" s="8">
        <v>0</v>
      </c>
      <c r="AN23" s="116">
        <v>1051.3041064131899</v>
      </c>
      <c r="AO23" s="8">
        <v>0</v>
      </c>
      <c r="AP23" s="116">
        <v>845.51364386675868</v>
      </c>
      <c r="AQ23" s="8">
        <v>0</v>
      </c>
      <c r="AR23" s="116">
        <v>636.20427620240548</v>
      </c>
      <c r="AS23" s="8">
        <v>0</v>
      </c>
      <c r="AT23" s="116">
        <v>424.85157683933778</v>
      </c>
      <c r="AU23" s="8">
        <v>0</v>
      </c>
      <c r="AV23" s="116">
        <v>212.55817816345242</v>
      </c>
      <c r="AW23" s="8">
        <v>0</v>
      </c>
    </row>
    <row r="24" spans="1:49" x14ac:dyDescent="0.2">
      <c r="A24" t="s">
        <v>8</v>
      </c>
      <c r="B24" s="97">
        <v>3196.3846373657216</v>
      </c>
      <c r="C24" s="8">
        <v>0</v>
      </c>
      <c r="D24" s="97">
        <v>3204.8426778127559</v>
      </c>
      <c r="E24" s="8">
        <v>0</v>
      </c>
      <c r="F24" s="97">
        <v>3212.9014996488017</v>
      </c>
      <c r="G24" s="8">
        <v>0</v>
      </c>
      <c r="H24" s="97">
        <v>3220.4545819781656</v>
      </c>
      <c r="I24" s="8">
        <v>0</v>
      </c>
      <c r="J24" s="97">
        <v>3227.3596536303235</v>
      </c>
      <c r="K24" s="8">
        <v>0</v>
      </c>
      <c r="L24" s="97">
        <v>3233.4238112819289</v>
      </c>
      <c r="M24" s="8">
        <v>0</v>
      </c>
      <c r="N24" s="97">
        <v>3238.3812315357482</v>
      </c>
      <c r="O24" s="8">
        <v>0</v>
      </c>
      <c r="P24" s="97">
        <v>3241.8591544342362</v>
      </c>
      <c r="Q24" s="8">
        <v>0</v>
      </c>
      <c r="R24" s="97">
        <v>3243.324266560368</v>
      </c>
      <c r="S24" s="8">
        <v>0</v>
      </c>
      <c r="T24" s="97">
        <v>3241.9952649361812</v>
      </c>
      <c r="U24" s="8">
        <v>0</v>
      </c>
      <c r="V24" s="97">
        <v>3236.6963203500122</v>
      </c>
      <c r="W24" s="8">
        <v>0</v>
      </c>
      <c r="X24" s="97">
        <v>3225.5979602577863</v>
      </c>
      <c r="Y24" s="8">
        <v>0</v>
      </c>
      <c r="Z24" s="97">
        <v>3205.7351145600369</v>
      </c>
      <c r="AA24" s="8">
        <v>0</v>
      </c>
      <c r="AB24" s="97">
        <v>3172.0504869146143</v>
      </c>
      <c r="AC24" s="8">
        <v>0</v>
      </c>
      <c r="AD24" s="97">
        <v>3115.3558236055774</v>
      </c>
      <c r="AE24" s="8">
        <v>0</v>
      </c>
      <c r="AF24" s="97">
        <v>3017.7022636216693</v>
      </c>
      <c r="AG24" s="8">
        <v>0</v>
      </c>
      <c r="AH24" s="97">
        <v>2841.7868645955682</v>
      </c>
      <c r="AI24" s="8">
        <v>0</v>
      </c>
      <c r="AJ24" s="97">
        <v>2511.791256159926</v>
      </c>
      <c r="AK24" s="8">
        <v>0</v>
      </c>
      <c r="AL24" s="97">
        <v>1915.3795760621558</v>
      </c>
      <c r="AM24" s="8">
        <v>0</v>
      </c>
      <c r="AN24" s="97">
        <v>1024.9719206284988</v>
      </c>
      <c r="AO24" s="8">
        <v>0</v>
      </c>
      <c r="AP24" s="97">
        <v>824.33592544566784</v>
      </c>
      <c r="AQ24" s="8">
        <v>0</v>
      </c>
      <c r="AR24" s="97">
        <v>620.2691637093011</v>
      </c>
      <c r="AS24" s="8">
        <v>0</v>
      </c>
      <c r="AT24" s="97">
        <v>414.21024995224792</v>
      </c>
      <c r="AU24" s="8">
        <v>0</v>
      </c>
      <c r="AV24" s="97">
        <v>207.23419873276919</v>
      </c>
      <c r="AW24" s="8">
        <v>0</v>
      </c>
    </row>
    <row r="25" spans="1:49" x14ac:dyDescent="0.2">
      <c r="A25" t="s">
        <v>0</v>
      </c>
      <c r="B25" s="41">
        <v>3195.0476040000053</v>
      </c>
      <c r="C25" s="42">
        <v>91.012690000004284</v>
      </c>
      <c r="D25" s="41">
        <v>3203.1629780804869</v>
      </c>
      <c r="E25" s="42">
        <v>82.131776485561801</v>
      </c>
      <c r="F25" s="41">
        <v>3211.2082195011312</v>
      </c>
      <c r="G25" s="42">
        <v>73.41372912352864</v>
      </c>
      <c r="H25" s="41">
        <v>3219.1444217354183</v>
      </c>
      <c r="I25" s="42">
        <v>64.900803134047109</v>
      </c>
      <c r="J25" s="41">
        <v>3226.9185162437525</v>
      </c>
      <c r="K25" s="42">
        <v>56.641856269061371</v>
      </c>
      <c r="L25" s="41">
        <v>3234.4559131752972</v>
      </c>
      <c r="M25" s="42">
        <v>48.692648704629306</v>
      </c>
      <c r="N25" s="41">
        <v>3241.6482303554362</v>
      </c>
      <c r="O25" s="42">
        <v>41.116154479320976</v>
      </c>
      <c r="P25" s="41">
        <v>3248.332188800915</v>
      </c>
      <c r="Q25" s="42">
        <v>33.982001113319413</v>
      </c>
      <c r="R25" s="41">
        <v>3254.2516048767584</v>
      </c>
      <c r="S25" s="42">
        <v>27.365638262283564</v>
      </c>
      <c r="T25" s="41">
        <v>3258.9876062345829</v>
      </c>
      <c r="U25" s="42">
        <v>21.345745609431383</v>
      </c>
      <c r="V25" s="41">
        <v>3261.8247272074109</v>
      </c>
      <c r="W25" s="42">
        <v>16.000691272626611</v>
      </c>
      <c r="X25" s="41">
        <v>3261.4849956749445</v>
      </c>
      <c r="Y25" s="42">
        <v>11.402573290312803</v>
      </c>
      <c r="Z25" s="41">
        <v>3255.5760710745312</v>
      </c>
      <c r="AA25" s="42">
        <v>7.6090300992905853</v>
      </c>
      <c r="AB25" s="41">
        <v>3239.3929757408537</v>
      </c>
      <c r="AC25" s="42">
        <v>4.6522835258248092</v>
      </c>
      <c r="AD25" s="41">
        <v>3203.2037155492658</v>
      </c>
      <c r="AE25" s="42">
        <v>2.5251348234961193</v>
      </c>
      <c r="AF25" s="41">
        <v>3125.9905798239392</v>
      </c>
      <c r="AG25" s="42">
        <v>1.164206441329132</v>
      </c>
      <c r="AH25" s="41">
        <v>2962.0261409797163</v>
      </c>
      <c r="AI25" s="42">
        <v>0.43413321755332762</v>
      </c>
      <c r="AJ25" s="41">
        <v>2621.8758017106597</v>
      </c>
      <c r="AK25" s="42">
        <v>0.13055192414888397</v>
      </c>
      <c r="AL25" s="41">
        <v>1990.4342510929846</v>
      </c>
      <c r="AM25" s="42">
        <v>3.6846724368009502E-2</v>
      </c>
      <c r="AN25" s="41">
        <v>1060.2831457044815</v>
      </c>
      <c r="AO25" s="42">
        <v>1.150545639387881E-2</v>
      </c>
      <c r="AP25" s="41">
        <v>852.37431624639021</v>
      </c>
      <c r="AQ25" s="42">
        <v>8.8630039464587043E-3</v>
      </c>
      <c r="AR25" s="41">
        <v>641.19702252286299</v>
      </c>
      <c r="AS25" s="42">
        <v>6.4940709817506628E-3</v>
      </c>
      <c r="AT25" s="41">
        <v>428.12664299802208</v>
      </c>
      <c r="AU25" s="42">
        <v>4.27732077999115E-3</v>
      </c>
      <c r="AV25" s="41">
        <v>214.18579203843987</v>
      </c>
      <c r="AW25" s="42">
        <v>2.1290936825983028E-3</v>
      </c>
    </row>
    <row r="26" spans="1:49" x14ac:dyDescent="0.2">
      <c r="A26" t="s">
        <v>27</v>
      </c>
      <c r="B26" s="33">
        <v>5036.2953101960647</v>
      </c>
      <c r="C26" s="34">
        <v>74.905331803938267</v>
      </c>
      <c r="D26" s="33">
        <v>5040.9362175214192</v>
      </c>
      <c r="E26" s="34">
        <v>70.264424478582811</v>
      </c>
      <c r="F26" s="33">
        <v>5045.5859871504263</v>
      </c>
      <c r="G26" s="34">
        <v>65.614654849582692</v>
      </c>
      <c r="H26" s="33">
        <v>5050.2446099873559</v>
      </c>
      <c r="I26" s="34">
        <v>60.956032012646624</v>
      </c>
      <c r="J26" s="33">
        <v>5054.9120405919139</v>
      </c>
      <c r="K26" s="34">
        <v>56.2886014080904</v>
      </c>
      <c r="L26" s="33">
        <v>5059.5880895904556</v>
      </c>
      <c r="M26" s="34">
        <v>51.612552409547881</v>
      </c>
      <c r="N26" s="33">
        <v>5064.2721461430328</v>
      </c>
      <c r="O26" s="34">
        <v>46.92849585696856</v>
      </c>
      <c r="P26" s="33">
        <v>5068.962773750196</v>
      </c>
      <c r="Q26" s="34">
        <v>42.237868249807775</v>
      </c>
      <c r="R26" s="33">
        <v>5073.6567480499607</v>
      </c>
      <c r="S26" s="34">
        <v>37.54389395004452</v>
      </c>
      <c r="T26" s="33">
        <v>5078.3475927369172</v>
      </c>
      <c r="U26" s="34">
        <v>32.853049263087023</v>
      </c>
      <c r="V26" s="33">
        <v>5083.0227622017119</v>
      </c>
      <c r="W26" s="34">
        <v>28.177879798292643</v>
      </c>
      <c r="X26" s="33">
        <v>5087.6590209579917</v>
      </c>
      <c r="Y26" s="34">
        <v>23.541621042012785</v>
      </c>
      <c r="Z26" s="33">
        <v>5092.2146671463333</v>
      </c>
      <c r="AA26" s="34">
        <v>18.985974853668356</v>
      </c>
      <c r="AB26" s="33">
        <v>5096.6170139771693</v>
      </c>
      <c r="AC26" s="34">
        <v>14.583628022836402</v>
      </c>
      <c r="AD26" s="33">
        <v>5100.7437514561934</v>
      </c>
      <c r="AE26" s="34">
        <v>10.456890543807082</v>
      </c>
      <c r="AF26" s="33">
        <v>5104.4012628735763</v>
      </c>
      <c r="AG26" s="34">
        <v>6.7993791264313446</v>
      </c>
      <c r="AH26" s="33">
        <v>5107.3243214742724</v>
      </c>
      <c r="AI26" s="34">
        <v>3.8763205257326478</v>
      </c>
      <c r="AJ26" s="33">
        <v>5109.2740515357827</v>
      </c>
      <c r="AK26" s="34">
        <v>1.926590464224827</v>
      </c>
      <c r="AL26" s="33">
        <v>5110.279198945088</v>
      </c>
      <c r="AM26" s="34">
        <v>0.92144305491180234</v>
      </c>
      <c r="AN26" s="33">
        <v>5110.7165112480679</v>
      </c>
      <c r="AO26" s="34">
        <v>0.48413075193946892</v>
      </c>
      <c r="AP26" s="33">
        <v>5110.7778665334263</v>
      </c>
      <c r="AQ26" s="34">
        <v>0.42277546658189197</v>
      </c>
      <c r="AR26" s="33">
        <v>5110.83987682722</v>
      </c>
      <c r="AS26" s="34">
        <v>0.36076517278512432</v>
      </c>
      <c r="AT26" s="33">
        <v>5110.9083268948498</v>
      </c>
      <c r="AU26" s="34">
        <v>0.29231510515405956</v>
      </c>
      <c r="AV26" s="33">
        <v>5110.9945285001913</v>
      </c>
      <c r="AW26" s="34">
        <v>0.20611349981184465</v>
      </c>
    </row>
    <row r="27" spans="1:49" x14ac:dyDescent="0.2">
      <c r="A27" t="s">
        <v>2</v>
      </c>
      <c r="B27" s="35">
        <v>6425.1981590000069</v>
      </c>
      <c r="C27" s="36">
        <v>273.22915400000028</v>
      </c>
      <c r="D27" s="35">
        <v>6441.9116167748243</v>
      </c>
      <c r="E27" s="36">
        <v>256.51568551342257</v>
      </c>
      <c r="F27" s="35">
        <v>6458.6855202995139</v>
      </c>
      <c r="G27" s="36">
        <v>239.74178935402915</v>
      </c>
      <c r="H27" s="35">
        <v>6475.5199368291951</v>
      </c>
      <c r="I27" s="36">
        <v>222.90737137561513</v>
      </c>
      <c r="J27" s="35">
        <v>6492.4148825243383</v>
      </c>
      <c r="K27" s="36">
        <v>206.01242993084986</v>
      </c>
      <c r="L27" s="35">
        <v>6509.3698340500723</v>
      </c>
      <c r="M27" s="36">
        <v>189.05747103922585</v>
      </c>
      <c r="N27" s="35">
        <v>6526.3827199697771</v>
      </c>
      <c r="O27" s="36">
        <v>172.0445932498636</v>
      </c>
      <c r="P27" s="35">
        <v>6543.4484153292369</v>
      </c>
      <c r="Q27" s="36">
        <v>154.97883831957736</v>
      </c>
      <c r="R27" s="35">
        <v>6560.5554084927035</v>
      </c>
      <c r="S27" s="36">
        <v>137.87188305044265</v>
      </c>
      <c r="T27" s="35">
        <v>6577.6799581556406</v>
      </c>
      <c r="U27" s="36">
        <v>120.74731008425402</v>
      </c>
      <c r="V27" s="35">
        <v>6594.7761667867135</v>
      </c>
      <c r="W27" s="36">
        <v>103.65110508166478</v>
      </c>
      <c r="X27" s="35">
        <v>6611.7585697560071</v>
      </c>
      <c r="Y27" s="36">
        <v>86.668744406304967</v>
      </c>
      <c r="Z27" s="35">
        <v>6628.4732458132312</v>
      </c>
      <c r="AA27" s="36">
        <v>69.95406436593602</v>
      </c>
      <c r="AB27" s="35">
        <v>6644.6514589565768</v>
      </c>
      <c r="AC27" s="36">
        <v>53.775852715132345</v>
      </c>
      <c r="AD27" s="35">
        <v>6659.8400171464591</v>
      </c>
      <c r="AE27" s="36">
        <v>38.587297296508837</v>
      </c>
      <c r="AF27" s="35">
        <v>6673.3203384510807</v>
      </c>
      <c r="AG27" s="36">
        <v>25.106982362962654</v>
      </c>
      <c r="AH27" s="35">
        <v>6684.1063788339252</v>
      </c>
      <c r="AI27" s="36">
        <v>14.320931362039435</v>
      </c>
      <c r="AJ27" s="35">
        <v>6691.3071131297947</v>
      </c>
      <c r="AK27" s="36">
        <v>7.1201954540104042</v>
      </c>
      <c r="AL27" s="35">
        <v>6695.0235758071531</v>
      </c>
      <c r="AM27" s="36">
        <v>3.4060322662834377</v>
      </c>
      <c r="AN27" s="35">
        <v>6696.6377433983062</v>
      </c>
      <c r="AO27" s="36">
        <v>1.7896858801308753</v>
      </c>
      <c r="AP27" s="35">
        <v>6696.8664082326632</v>
      </c>
      <c r="AQ27" s="36">
        <v>1.5628910487239227</v>
      </c>
      <c r="AR27" s="35">
        <v>6697.0932521303648</v>
      </c>
      <c r="AS27" s="36">
        <v>1.3336696921884132</v>
      </c>
      <c r="AT27" s="35">
        <v>6697.3444909445798</v>
      </c>
      <c r="AU27" s="36">
        <v>1.0806378961779437</v>
      </c>
      <c r="AV27" s="35">
        <v>6697.6633741982287</v>
      </c>
      <c r="AW27" s="36">
        <v>0.76197732383523309</v>
      </c>
    </row>
    <row r="28" spans="1:49" x14ac:dyDescent="0.2">
      <c r="A28" t="s">
        <v>35</v>
      </c>
      <c r="B28" s="41">
        <v>13763.097676000001</v>
      </c>
      <c r="C28" s="42">
        <v>382.36647900000003</v>
      </c>
      <c r="D28" s="41">
        <v>13786.54079714565</v>
      </c>
      <c r="E28" s="42">
        <v>358.89084913360466</v>
      </c>
      <c r="F28" s="41">
        <v>13809.992639690263</v>
      </c>
      <c r="G28" s="42">
        <v>335.34127941376033</v>
      </c>
      <c r="H28" s="41">
        <v>13833.452768755491</v>
      </c>
      <c r="I28" s="42">
        <v>311.71782110252798</v>
      </c>
      <c r="J28" s="41">
        <v>13856.920649250951</v>
      </c>
      <c r="K28" s="42">
        <v>288.0206731467527</v>
      </c>
      <c r="L28" s="41">
        <v>13880.39501132801</v>
      </c>
      <c r="M28" s="42">
        <v>264.25075441236896</v>
      </c>
      <c r="N28" s="41">
        <v>13903.872471252811</v>
      </c>
      <c r="O28" s="42">
        <v>240.41119188975412</v>
      </c>
      <c r="P28" s="41">
        <v>13927.345507910351</v>
      </c>
      <c r="Q28" s="42">
        <v>216.50926245088627</v>
      </c>
      <c r="R28" s="41">
        <v>13950.797886023047</v>
      </c>
      <c r="S28" s="42">
        <v>192.56148370335865</v>
      </c>
      <c r="T28" s="41">
        <v>13974.197011231756</v>
      </c>
      <c r="U28" s="42">
        <v>168.60101965220542</v>
      </c>
      <c r="V28" s="41">
        <v>13997.480505805599</v>
      </c>
      <c r="W28" s="42">
        <v>144.69227819408366</v>
      </c>
      <c r="X28" s="41">
        <v>14020.533221420465</v>
      </c>
      <c r="Y28" s="42">
        <v>120.95472495194112</v>
      </c>
      <c r="Z28" s="41">
        <v>14043.149071986076</v>
      </c>
      <c r="AA28" s="42">
        <v>97.603068044833364</v>
      </c>
      <c r="AB28" s="41">
        <v>14064.969919354147</v>
      </c>
      <c r="AC28" s="42">
        <v>75.012057746226873</v>
      </c>
      <c r="AD28" s="41">
        <v>14085.394276951552</v>
      </c>
      <c r="AE28" s="42">
        <v>53.813035867474696</v>
      </c>
      <c r="AF28" s="41">
        <v>14103.471684451888</v>
      </c>
      <c r="AG28" s="42">
        <v>35.006443927746815</v>
      </c>
      <c r="AH28" s="41">
        <v>14117.902352147476</v>
      </c>
      <c r="AI28" s="42">
        <v>19.964241046082858</v>
      </c>
      <c r="AJ28" s="41">
        <v>14127.519616929649</v>
      </c>
      <c r="AK28" s="42">
        <v>9.9248810275025878</v>
      </c>
      <c r="AL28" s="41">
        <v>14132.477128945307</v>
      </c>
      <c r="AM28" s="42">
        <v>4.7474160573395068</v>
      </c>
      <c r="AN28" s="41">
        <v>14134.630575935904</v>
      </c>
      <c r="AO28" s="42">
        <v>2.4944482753566271</v>
      </c>
      <c r="AP28" s="41">
        <v>14134.934651784642</v>
      </c>
      <c r="AQ28" s="42">
        <v>2.1783359710506716</v>
      </c>
      <c r="AR28" s="41">
        <v>14135.238099840382</v>
      </c>
      <c r="AS28" s="42">
        <v>1.8588438978167485</v>
      </c>
      <c r="AT28" s="41">
        <v>14135.573806936465</v>
      </c>
      <c r="AU28" s="42">
        <v>1.5061670673322682</v>
      </c>
      <c r="AV28" s="41">
        <v>14135.998811150932</v>
      </c>
      <c r="AW28" s="42">
        <v>1.0620204111326979</v>
      </c>
    </row>
    <row r="29" spans="1:49" x14ac:dyDescent="0.2">
      <c r="A29" t="s">
        <v>53</v>
      </c>
      <c r="B29" s="35">
        <v>14362.768558000003</v>
      </c>
      <c r="C29" s="36">
        <v>817.26651000000004</v>
      </c>
      <c r="D29" s="35">
        <v>14370.119375268683</v>
      </c>
      <c r="E29" s="36">
        <v>761.24697372840853</v>
      </c>
      <c r="F29" s="35">
        <v>14374.894932053163</v>
      </c>
      <c r="G29" s="36">
        <v>705.30214824092752</v>
      </c>
      <c r="H29" s="35">
        <v>14376.52930850448</v>
      </c>
      <c r="I29" s="36">
        <v>649.48437092580389</v>
      </c>
      <c r="J29" s="35">
        <v>14374.289350361078</v>
      </c>
      <c r="K29" s="36">
        <v>593.85687229327698</v>
      </c>
      <c r="L29" s="35">
        <v>14367.209591402803</v>
      </c>
      <c r="M29" s="36">
        <v>538.49704629728615</v>
      </c>
      <c r="N29" s="35">
        <v>14353.995631326028</v>
      </c>
      <c r="O29" s="36">
        <v>483.50207222944084</v>
      </c>
      <c r="P29" s="35">
        <v>14332.876109397277</v>
      </c>
      <c r="Q29" s="36">
        <v>428.99565335949848</v>
      </c>
      <c r="R29" s="35">
        <v>14301.368869501817</v>
      </c>
      <c r="S29" s="36">
        <v>375.14133273343003</v>
      </c>
      <c r="T29" s="35">
        <v>14255.89592863335</v>
      </c>
      <c r="U29" s="36">
        <v>322.15970455736277</v>
      </c>
      <c r="V29" s="35">
        <v>14191.128873227462</v>
      </c>
      <c r="W29" s="36">
        <v>270.35860751103922</v>
      </c>
      <c r="X29" s="35">
        <v>14098.813949243598</v>
      </c>
      <c r="Y29" s="36">
        <v>220.17719605989629</v>
      </c>
      <c r="Z29" s="35">
        <v>13965.554167329487</v>
      </c>
      <c r="AA29" s="36">
        <v>172.25315131683044</v>
      </c>
      <c r="AB29" s="35">
        <v>13768.366972451686</v>
      </c>
      <c r="AC29" s="36">
        <v>127.51850877624781</v>
      </c>
      <c r="AD29" s="35">
        <v>13465.249396828303</v>
      </c>
      <c r="AE29" s="36">
        <v>87.317365458242747</v>
      </c>
      <c r="AF29" s="35">
        <v>12974.321783465582</v>
      </c>
      <c r="AG29" s="36">
        <v>53.480619660901496</v>
      </c>
      <c r="AH29" s="35">
        <v>12129.370583628428</v>
      </c>
      <c r="AI29" s="36">
        <v>28.097166249119201</v>
      </c>
      <c r="AJ29" s="35">
        <v>10612.451926046642</v>
      </c>
      <c r="AK29" s="36">
        <v>12.400558198088548</v>
      </c>
      <c r="AL29" s="35">
        <v>8001.4472313628939</v>
      </c>
      <c r="AM29" s="36">
        <v>4.9232151858385436</v>
      </c>
      <c r="AN29" s="35">
        <v>4252.2636422781734</v>
      </c>
      <c r="AO29" s="36">
        <v>1.8419212915278174</v>
      </c>
      <c r="AP29" s="35">
        <v>3417.9264766645351</v>
      </c>
      <c r="AQ29" s="36">
        <v>1.4394025105462409</v>
      </c>
      <c r="AR29" s="35">
        <v>2570.8941708759558</v>
      </c>
      <c r="AS29" s="36">
        <v>1.064043571261216</v>
      </c>
      <c r="AT29" s="35">
        <v>1716.5033177089085</v>
      </c>
      <c r="AU29" s="36">
        <v>0.70405390152632719</v>
      </c>
      <c r="AV29" s="35">
        <v>858.72784881163602</v>
      </c>
      <c r="AW29" s="36">
        <v>0.35104817333652205</v>
      </c>
    </row>
    <row r="30" spans="1:49" x14ac:dyDescent="0.2">
      <c r="A30" t="s">
        <v>48</v>
      </c>
      <c r="B30" s="119">
        <v>2924829.9599999995</v>
      </c>
      <c r="D30" s="119">
        <v>3024575.3510888699</v>
      </c>
      <c r="F30" s="119">
        <v>3129206.4490186945</v>
      </c>
      <c r="H30" s="119">
        <v>3239674.2335584243</v>
      </c>
      <c r="J30" s="119">
        <v>3357164.5283608818</v>
      </c>
      <c r="L30" s="119">
        <v>3483173.6341412966</v>
      </c>
      <c r="N30" s="119">
        <v>3619612.2102282932</v>
      </c>
      <c r="P30" s="119">
        <v>3768958.2880439255</v>
      </c>
      <c r="R30" s="119">
        <v>3934480.2291878038</v>
      </c>
      <c r="T30" s="119">
        <v>4120589.3395213578</v>
      </c>
      <c r="V30" s="119">
        <v>4333390.1071197661</v>
      </c>
      <c r="X30" s="119">
        <v>4581589.2002957147</v>
      </c>
      <c r="Z30" s="119">
        <v>4877982.7447509822</v>
      </c>
      <c r="AB30" s="119">
        <v>5241748.6589569952</v>
      </c>
      <c r="AD30" s="119">
        <v>5700939.3589944374</v>
      </c>
      <c r="AF30" s="119">
        <v>6288827.177224312</v>
      </c>
      <c r="AH30" s="119">
        <v>6998117.4482772611</v>
      </c>
      <c r="AJ30" s="119">
        <v>7557137.1303429902</v>
      </c>
      <c r="AL30" s="119">
        <v>6957948.6569122532</v>
      </c>
      <c r="AN30" s="119">
        <v>4126894.3040525145</v>
      </c>
      <c r="AP30" s="119">
        <v>3346485.1165765212</v>
      </c>
      <c r="AR30" s="119">
        <v>2530848.7321377262</v>
      </c>
      <c r="AT30" s="119">
        <v>1694522.3418353233</v>
      </c>
      <c r="AV30" s="119">
        <v>848613.09248438454</v>
      </c>
    </row>
    <row r="31" spans="1:49" x14ac:dyDescent="0.2">
      <c r="A31" t="s">
        <v>47</v>
      </c>
      <c r="B31" s="80">
        <v>1.0000000000000013</v>
      </c>
      <c r="D31" s="80">
        <v>0.99681571962465543</v>
      </c>
      <c r="F31" s="80">
        <v>0.99293483827626861</v>
      </c>
      <c r="H31" s="80">
        <v>0.98824098263734561</v>
      </c>
      <c r="J31" s="80">
        <v>0.9825903432946993</v>
      </c>
      <c r="L31" s="80">
        <v>0.97580316130964351</v>
      </c>
      <c r="N31" s="80">
        <v>0.96765167973738031</v>
      </c>
      <c r="P31" s="80">
        <v>0.95784323144723205</v>
      </c>
      <c r="R31" s="80">
        <v>0.94599518687526796</v>
      </c>
      <c r="T31" s="80">
        <v>0.93159740399197788</v>
      </c>
      <c r="V31" s="80">
        <v>0.9139542248171445</v>
      </c>
      <c r="X31" s="80">
        <v>0.89209177309842602</v>
      </c>
      <c r="Z31" s="80">
        <v>0.86460575968212949</v>
      </c>
      <c r="AB31" s="80">
        <v>0.82940606043189269</v>
      </c>
      <c r="AD31" s="80">
        <v>0.78329014378477457</v>
      </c>
      <c r="AF31" s="80">
        <v>0.72129041630413504</v>
      </c>
      <c r="AH31" s="80">
        <v>0.63603996796458306</v>
      </c>
      <c r="AJ31" s="80">
        <v>0.51879980000162085</v>
      </c>
      <c r="AL31" s="80">
        <v>0.36592539631425702</v>
      </c>
      <c r="AN31" s="80">
        <v>0.18739103396881041</v>
      </c>
      <c r="AP31" s="80">
        <v>0.15017300431364247</v>
      </c>
      <c r="AR31" s="80">
        <v>0.11274873692666064</v>
      </c>
      <c r="AT31" s="80">
        <v>7.5206678411812E-2</v>
      </c>
      <c r="AV31" s="80">
        <v>3.7610874875399575E-2</v>
      </c>
    </row>
    <row r="32" spans="1:49" x14ac:dyDescent="0.2">
      <c r="A32" t="s">
        <v>64</v>
      </c>
      <c r="B32" s="86">
        <v>14734457.915000005</v>
      </c>
      <c r="D32" s="86">
        <v>14742877.9118715</v>
      </c>
      <c r="F32" s="86">
        <v>14747075.595281292</v>
      </c>
      <c r="H32" s="86">
        <v>14746159.132497746</v>
      </c>
      <c r="J32" s="86">
        <v>14738968.248787327</v>
      </c>
      <c r="L32" s="86">
        <v>14723974.765930537</v>
      </c>
      <c r="N32" s="86">
        <v>14699140.937575435</v>
      </c>
      <c r="P32" s="86">
        <v>14661714.012601873</v>
      </c>
      <c r="R32" s="86">
        <v>14607924.827858636</v>
      </c>
      <c r="T32" s="86">
        <v>14532527.883741368</v>
      </c>
      <c r="V32" s="86">
        <v>14428098.893560629</v>
      </c>
      <c r="X32" s="86">
        <v>14283900.771134298</v>
      </c>
      <c r="Z32" s="86">
        <v>14083980.651314119</v>
      </c>
      <c r="AB32" s="86">
        <v>13803753.412284523</v>
      </c>
      <c r="AD32" s="86">
        <v>13403306.885493439</v>
      </c>
      <c r="AF32" s="86">
        <v>12812831.930840859</v>
      </c>
      <c r="AH32" s="86">
        <v>11898227.167761149</v>
      </c>
      <c r="AJ32" s="86">
        <v>10390012.20991407</v>
      </c>
      <c r="AL32" s="86">
        <v>7866340.0066999262</v>
      </c>
      <c r="AN32" s="86">
        <v>4199148.4687078167</v>
      </c>
      <c r="AP32" s="86">
        <v>3376638.1637920737</v>
      </c>
      <c r="AR32" s="86">
        <v>2540498.97895008</v>
      </c>
      <c r="AT32" s="86">
        <v>1696439.7481455102</v>
      </c>
      <c r="AV32" s="86">
        <v>848733.17797731725</v>
      </c>
    </row>
    <row r="33" spans="1:49 16319:16321" x14ac:dyDescent="0.2">
      <c r="A33" t="s">
        <v>54</v>
      </c>
      <c r="B33" s="117">
        <v>7019665.6910000062</v>
      </c>
      <c r="D33" s="117">
        <v>7023677.2195333736</v>
      </c>
      <c r="F33" s="117">
        <v>7025676.9478074536</v>
      </c>
      <c r="H33" s="117">
        <v>7025240.3495913809</v>
      </c>
      <c r="J33" s="117">
        <v>7021814.4691045173</v>
      </c>
      <c r="L33" s="117">
        <v>7014671.4881741256</v>
      </c>
      <c r="N33" s="117">
        <v>7002840.2882633377</v>
      </c>
      <c r="P33" s="117">
        <v>6985009.8692578785</v>
      </c>
      <c r="R33" s="117">
        <v>6959383.9345210548</v>
      </c>
      <c r="T33" s="117">
        <v>6923464.0122874938</v>
      </c>
      <c r="V33" s="117">
        <v>6873712.8128122101</v>
      </c>
      <c r="X33" s="117">
        <v>6805015.0758636594</v>
      </c>
      <c r="Z33" s="117">
        <v>6709770.8402629485</v>
      </c>
      <c r="AB33" s="117">
        <v>6576267.3399694823</v>
      </c>
      <c r="AD33" s="117">
        <v>6385490.0014677243</v>
      </c>
      <c r="AF33" s="117">
        <v>6104180.9099533549</v>
      </c>
      <c r="AH33" s="117">
        <v>5668452.6518055014</v>
      </c>
      <c r="AJ33" s="117">
        <v>4949921.6504923506</v>
      </c>
      <c r="AL33" s="117">
        <v>3747615.0953226415</v>
      </c>
      <c r="AN33" s="117">
        <v>2000522.7614748683</v>
      </c>
      <c r="AP33" s="117">
        <v>1608669.3656673334</v>
      </c>
      <c r="AR33" s="117">
        <v>1210323.0144966817</v>
      </c>
      <c r="AT33" s="117">
        <v>808203.46196040022</v>
      </c>
      <c r="AV33" s="117">
        <v>404346.27487730968</v>
      </c>
    </row>
    <row r="34" spans="1:49 16319:16321" x14ac:dyDescent="0.2">
      <c r="A34" t="s">
        <v>75</v>
      </c>
      <c r="B34" s="117">
        <v>1136879.4409999985</v>
      </c>
      <c r="D34" s="117">
        <v>1137528.9642826107</v>
      </c>
      <c r="F34" s="117">
        <v>1137852.9461468435</v>
      </c>
      <c r="H34" s="117">
        <v>1137782.2186881022</v>
      </c>
      <c r="J34" s="117">
        <v>1137227.4457021649</v>
      </c>
      <c r="L34" s="117">
        <v>1136070.4936985488</v>
      </c>
      <c r="N34" s="117">
        <v>1134154.4453973346</v>
      </c>
      <c r="P34" s="117">
        <v>1131266.465832107</v>
      </c>
      <c r="R34" s="117">
        <v>1127116.3522940194</v>
      </c>
      <c r="T34" s="117">
        <v>1121298.8340130425</v>
      </c>
      <c r="V34" s="117">
        <v>1113241.3392806435</v>
      </c>
      <c r="X34" s="117">
        <v>1102115.4050797259</v>
      </c>
      <c r="Z34" s="117">
        <v>1086689.9788143868</v>
      </c>
      <c r="AB34" s="117">
        <v>1065068.2524122871</v>
      </c>
      <c r="AD34" s="117">
        <v>1034170.6443616349</v>
      </c>
      <c r="AF34" s="117">
        <v>988610.86498102243</v>
      </c>
      <c r="AH34" s="117">
        <v>918041.9071030732</v>
      </c>
      <c r="AJ34" s="117">
        <v>801671.24839258438</v>
      </c>
      <c r="AL34" s="117">
        <v>606950.07768636127</v>
      </c>
      <c r="AN34" s="117">
        <v>323997.36668604449</v>
      </c>
      <c r="AP34" s="117">
        <v>260534.22065373059</v>
      </c>
      <c r="AR34" s="117">
        <v>196019.49902888061</v>
      </c>
      <c r="AT34" s="117">
        <v>130893.68360838974</v>
      </c>
      <c r="AV34" s="117">
        <v>65486.447244824863</v>
      </c>
    </row>
    <row r="35" spans="1:49 16319:16321" x14ac:dyDescent="0.2">
      <c r="A35" t="s">
        <v>78</v>
      </c>
      <c r="B35" s="233">
        <v>1</v>
      </c>
      <c r="D35" s="233">
        <v>1.0037720857092476</v>
      </c>
      <c r="F35" s="233">
        <v>1.0080163747718818</v>
      </c>
      <c r="H35" s="233">
        <v>1.0128475128067429</v>
      </c>
      <c r="J35" s="233">
        <v>1.0184153848288038</v>
      </c>
      <c r="L35" s="233">
        <v>1.0249190707242553</v>
      </c>
      <c r="N35" s="233">
        <v>1.0326275224250241</v>
      </c>
      <c r="P35" s="233">
        <v>1.041911299593804</v>
      </c>
      <c r="R35" s="233">
        <v>1.0532923945709687</v>
      </c>
      <c r="T35" s="233">
        <v>1.0675254768395308</v>
      </c>
      <c r="V35" s="233">
        <v>1.0857341499322184</v>
      </c>
      <c r="X35" s="233">
        <v>1.1096491235226187</v>
      </c>
      <c r="Z35" s="233">
        <v>1.1420393433943048</v>
      </c>
      <c r="AB35" s="233">
        <v>1.1875159898520724</v>
      </c>
      <c r="AD35" s="233">
        <v>1.2540332440266106</v>
      </c>
      <c r="AF35" s="233">
        <v>1.3554179203609475</v>
      </c>
      <c r="AH35" s="233">
        <v>1.513486160320658</v>
      </c>
      <c r="AJ35" s="233">
        <v>1.7472866051420375</v>
      </c>
      <c r="AL35" s="233">
        <v>2.0168812833476872</v>
      </c>
      <c r="AN35" s="233">
        <v>2.1871762184875507</v>
      </c>
      <c r="AP35" s="233">
        <v>2.2015622320507267</v>
      </c>
      <c r="AR35" s="233">
        <v>2.2104834252063346</v>
      </c>
      <c r="AT35" s="233">
        <v>2.2151230336841663</v>
      </c>
      <c r="AV35" s="233">
        <v>2.2168422753800461</v>
      </c>
    </row>
    <row r="36" spans="1:49 16319:16321" x14ac:dyDescent="0.2">
      <c r="A36" t="s">
        <v>21</v>
      </c>
      <c r="B36" s="37">
        <v>0.4719576767198812</v>
      </c>
      <c r="C36" s="38">
        <v>0.31738834428178975</v>
      </c>
      <c r="D36" s="37">
        <v>0.47197383433581225</v>
      </c>
      <c r="E36" s="38">
        <v>0.31941864157448829</v>
      </c>
      <c r="F36" s="37">
        <v>0.47199139369817517</v>
      </c>
      <c r="G36" s="38">
        <v>0.32171806102561235</v>
      </c>
      <c r="H36" s="37">
        <v>0.47201062115290793</v>
      </c>
      <c r="I36" s="38">
        <v>0.32433403831292235</v>
      </c>
      <c r="J36" s="37">
        <v>0.47203186219923965</v>
      </c>
      <c r="K36" s="38">
        <v>0.3273246391075148</v>
      </c>
      <c r="L36" s="37">
        <v>0.47205556622085565</v>
      </c>
      <c r="M36" s="38">
        <v>0.3307615487254662</v>
      </c>
      <c r="N36" s="37">
        <v>0.4720823274863622</v>
      </c>
      <c r="O36" s="38">
        <v>0.3347340409163021</v>
      </c>
      <c r="P36" s="37">
        <v>0.4721129346985129</v>
      </c>
      <c r="Q36" s="38">
        <v>0.33935447981547956</v>
      </c>
      <c r="R36" s="37">
        <v>0.47214845613554246</v>
      </c>
      <c r="S36" s="38">
        <v>0.3447659797566282</v>
      </c>
      <c r="T36" s="37">
        <v>0.47219033028450108</v>
      </c>
      <c r="U36" s="38">
        <v>0.35115370622613618</v>
      </c>
      <c r="V36" s="37">
        <v>0.47224052236632635</v>
      </c>
      <c r="W36" s="38">
        <v>0.3587614837830651</v>
      </c>
      <c r="X36" s="37">
        <v>0.47230169656409338</v>
      </c>
      <c r="Y36" s="38">
        <v>0.36791747630839017</v>
      </c>
      <c r="Z36" s="37">
        <v>0.47237740122923499</v>
      </c>
      <c r="AA36" s="38">
        <v>0.37907395244135095</v>
      </c>
      <c r="AB36" s="37">
        <v>0.47247210801497841</v>
      </c>
      <c r="AC36" s="38">
        <v>0.39286746414945556</v>
      </c>
      <c r="AD36" s="37">
        <v>0.47259056690645712</v>
      </c>
      <c r="AE36" s="38">
        <v>0.41019716606882267</v>
      </c>
      <c r="AF36" s="37">
        <v>0.47273492837385517</v>
      </c>
      <c r="AG36" s="38">
        <v>0.43225839891278883</v>
      </c>
      <c r="AH36" s="37">
        <v>0.47289649877575163</v>
      </c>
      <c r="AI36" s="38">
        <v>0.46018886719547519</v>
      </c>
      <c r="AJ36" s="37">
        <v>0.47304356385551105</v>
      </c>
      <c r="AK36" s="38">
        <v>0.49316440579250787</v>
      </c>
      <c r="AL36" s="37">
        <v>0.47313391938866695</v>
      </c>
      <c r="AM36" s="38">
        <v>0.52406237474242856</v>
      </c>
      <c r="AN36" s="37">
        <v>0.47316548474356646</v>
      </c>
      <c r="AO36" s="38">
        <v>0.5410597851539688</v>
      </c>
      <c r="AP36" s="37">
        <v>0.47316753157460817</v>
      </c>
      <c r="AQ36" s="38">
        <v>0.5424286744065232</v>
      </c>
      <c r="AR36" s="37">
        <v>0.47316876299739147</v>
      </c>
      <c r="AS36" s="38">
        <v>0.54327355846036751</v>
      </c>
      <c r="AT36" s="37">
        <v>0.47316939377213263</v>
      </c>
      <c r="AU36" s="38">
        <v>0.54371210386214108</v>
      </c>
      <c r="AV36" s="37">
        <v>0.47316962679264085</v>
      </c>
      <c r="AW36" s="38">
        <v>0.5438746526009387</v>
      </c>
    </row>
    <row r="37" spans="1:49 16319:16321" x14ac:dyDescent="0.2">
      <c r="B37" s="39">
        <v>2.1403217525954435E-2</v>
      </c>
      <c r="C37" s="40">
        <v>0.3496246130199252</v>
      </c>
      <c r="D37" s="39">
        <v>2.084886200663174E-2</v>
      </c>
      <c r="E37" s="40">
        <v>0.34633849187988081</v>
      </c>
      <c r="F37" s="39">
        <v>2.0279261654393057E-2</v>
      </c>
      <c r="G37" s="40">
        <v>0.34300607369673253</v>
      </c>
      <c r="H37" s="39">
        <v>1.9693196154482034E-2</v>
      </c>
      <c r="I37" s="40">
        <v>0.33963121363155574</v>
      </c>
      <c r="J37" s="39">
        <v>1.9089311522501384E-2</v>
      </c>
      <c r="K37" s="40">
        <v>0.33621936591286095</v>
      </c>
      <c r="L37" s="39">
        <v>1.8466086866904898E-2</v>
      </c>
      <c r="M37" s="40">
        <v>0.33277789339762121</v>
      </c>
      <c r="N37" s="39">
        <v>1.7821803250641644E-2</v>
      </c>
      <c r="O37" s="40">
        <v>0.32931648765885352</v>
      </c>
      <c r="P37" s="39">
        <v>1.7154489582556352E-2</v>
      </c>
      <c r="Q37" s="40">
        <v>0.32584757483994548</v>
      </c>
      <c r="R37" s="39">
        <v>1.6461857678879279E-2</v>
      </c>
      <c r="S37" s="40">
        <v>0.32238679922433872</v>
      </c>
      <c r="T37" s="39">
        <v>1.5741175593346111E-2</v>
      </c>
      <c r="U37" s="40">
        <v>0.31895335796194596</v>
      </c>
      <c r="V37" s="39">
        <v>1.4989120335067595E-2</v>
      </c>
      <c r="W37" s="40">
        <v>0.31557046636753244</v>
      </c>
      <c r="X37" s="39">
        <v>1.4201550551660613E-2</v>
      </c>
      <c r="Y37" s="40">
        <v>0.31226574260573342</v>
      </c>
      <c r="Z37" s="39">
        <v>1.3373272436366886E-2</v>
      </c>
      <c r="AA37" s="40">
        <v>0.30907192697055846</v>
      </c>
      <c r="AB37" s="39">
        <v>1.2498000718768948E-2</v>
      </c>
      <c r="AC37" s="40">
        <v>0.3060285355507697</v>
      </c>
      <c r="AD37" s="39">
        <v>1.1569314105447997E-2</v>
      </c>
      <c r="AE37" s="40">
        <v>0.30318591985101723</v>
      </c>
      <c r="AF37" s="39">
        <v>1.0585288908362767E-2</v>
      </c>
      <c r="AG37" s="40">
        <v>0.30061441650797455</v>
      </c>
      <c r="AH37" s="39">
        <v>9.5645005001892547E-3</v>
      </c>
      <c r="AI37" s="40">
        <v>0.29842036377727743</v>
      </c>
      <c r="AJ37" s="39">
        <v>8.5861942276648107E-3</v>
      </c>
      <c r="AK37" s="40">
        <v>0.2967543456514759</v>
      </c>
      <c r="AL37" s="39">
        <v>7.8297218746098043E-3</v>
      </c>
      <c r="AM37" s="40">
        <v>0.29574868398802356</v>
      </c>
      <c r="AN37" s="39">
        <v>7.4651511955405358E-3</v>
      </c>
      <c r="AO37" s="40">
        <v>0.29535703330004875</v>
      </c>
      <c r="AP37" s="39">
        <v>7.4372241713433103E-3</v>
      </c>
      <c r="AQ37" s="40">
        <v>0.29533055327111152</v>
      </c>
      <c r="AR37" s="39">
        <v>7.4201031123975287E-3</v>
      </c>
      <c r="AS37" s="40">
        <v>0.29531484935988295</v>
      </c>
      <c r="AT37" s="39">
        <v>7.4112572171226351E-3</v>
      </c>
      <c r="AU37" s="40">
        <v>0.29530701728987047</v>
      </c>
      <c r="AV37" s="39">
        <v>7.4079890289539688E-3</v>
      </c>
      <c r="AW37" s="40">
        <v>0.29530423924983523</v>
      </c>
    </row>
    <row r="38" spans="1:49 16319:16321" x14ac:dyDescent="0.2">
      <c r="A38" t="s">
        <v>22</v>
      </c>
      <c r="B38" s="37">
        <v>0.18079094942242827</v>
      </c>
      <c r="C38" s="38">
        <v>6.0565413429233668E-2</v>
      </c>
      <c r="D38" s="37">
        <v>0.18085922317165898</v>
      </c>
      <c r="E38" s="38">
        <v>6.0808451592094415E-2</v>
      </c>
      <c r="F38" s="37">
        <v>0.18095964891943322</v>
      </c>
      <c r="G38" s="38">
        <v>6.1088708878813278E-2</v>
      </c>
      <c r="H38" s="37">
        <v>0.18109928071120418</v>
      </c>
      <c r="I38" s="38">
        <v>6.1413322874977298E-2</v>
      </c>
      <c r="J38" s="37">
        <v>0.1812873164899369</v>
      </c>
      <c r="K38" s="38">
        <v>6.1791189338779411E-2</v>
      </c>
      <c r="L38" s="37">
        <v>0.18153596040432879</v>
      </c>
      <c r="M38" s="38">
        <v>6.223350485920956E-2</v>
      </c>
      <c r="N38" s="37">
        <v>0.1818617155226126</v>
      </c>
      <c r="O38" s="38">
        <v>6.2754503239682152E-2</v>
      </c>
      <c r="P38" s="37">
        <v>0.18228740237825686</v>
      </c>
      <c r="Q38" s="38">
        <v>6.3372573505925275E-2</v>
      </c>
      <c r="R38" s="37">
        <v>0.18284539603675881</v>
      </c>
      <c r="S38" s="38">
        <v>6.4111818362850057E-2</v>
      </c>
      <c r="T38" s="37">
        <v>0.18358310176024056</v>
      </c>
      <c r="U38" s="38">
        <v>6.5004584443802485E-2</v>
      </c>
      <c r="V38" s="37">
        <v>0.18457252912359196</v>
      </c>
      <c r="W38" s="38">
        <v>6.6095426414964853E-2</v>
      </c>
      <c r="X38" s="37">
        <v>0.18592816387068067</v>
      </c>
      <c r="Y38" s="38">
        <v>6.74479368513521E-2</v>
      </c>
      <c r="Z38" s="37">
        <v>0.18784245252005602</v>
      </c>
      <c r="AA38" s="38">
        <v>6.9157005117376519E-2</v>
      </c>
      <c r="AB38" s="37">
        <v>0.19066198485837602</v>
      </c>
      <c r="AC38" s="38">
        <v>7.1372231665680297E-2</v>
      </c>
      <c r="AD38" s="37">
        <v>0.19506656720431542</v>
      </c>
      <c r="AE38" s="38">
        <v>7.4345651001942251E-2</v>
      </c>
      <c r="AF38" s="37">
        <v>0.20253551399824213</v>
      </c>
      <c r="AG38" s="38">
        <v>7.8535359441371452E-2</v>
      </c>
      <c r="AH38" s="37">
        <v>0.21670009429068227</v>
      </c>
      <c r="AI38" s="38">
        <v>8.4843947763765082E-2</v>
      </c>
      <c r="AJ38" s="37">
        <v>0.24769815450627744</v>
      </c>
      <c r="AK38" s="38">
        <v>9.5208849451104957E-2</v>
      </c>
      <c r="AL38" s="37">
        <v>0.32853293549130808</v>
      </c>
      <c r="AM38" s="38">
        <v>0.11443828735498499</v>
      </c>
      <c r="AN38" s="37">
        <v>0.61821243768742828</v>
      </c>
      <c r="AO38" s="38">
        <v>0.16055901918162074</v>
      </c>
      <c r="AP38" s="37">
        <v>0.76912811626008037</v>
      </c>
      <c r="AQ38" s="38">
        <v>0.17940762796850987</v>
      </c>
      <c r="AR38" s="37">
        <v>1.022542652345628</v>
      </c>
      <c r="AS38" s="38">
        <v>0.20709062970471692</v>
      </c>
      <c r="AT38" s="37">
        <v>1.531532678371625</v>
      </c>
      <c r="AU38" s="38">
        <v>0.25358949532870978</v>
      </c>
      <c r="AV38" s="37">
        <v>3.0614170409285313</v>
      </c>
      <c r="AW38" s="38">
        <v>0.35860982083685866</v>
      </c>
    </row>
    <row r="39" spans="1:49 16319:16321" x14ac:dyDescent="0.2">
      <c r="A39" t="s">
        <v>23</v>
      </c>
      <c r="B39" s="39">
        <v>0.23064923795098646</v>
      </c>
      <c r="C39" s="40">
        <v>0.22092201281804777</v>
      </c>
      <c r="D39" s="39">
        <v>0.23112356127434575</v>
      </c>
      <c r="E39" s="40">
        <v>0.22199458347389397</v>
      </c>
      <c r="F39" s="39">
        <v>0.23164038175365695</v>
      </c>
      <c r="G39" s="40">
        <v>0.22320495946382637</v>
      </c>
      <c r="H39" s="39">
        <v>0.2322089509232238</v>
      </c>
      <c r="I39" s="40">
        <v>0.22457961775896026</v>
      </c>
      <c r="J39" s="39">
        <v>0.23284133574247995</v>
      </c>
      <c r="K39" s="40">
        <v>0.2261515252743429</v>
      </c>
      <c r="L39" s="39">
        <v>0.2335535390484518</v>
      </c>
      <c r="M39" s="40">
        <v>0.22796216217380824</v>
      </c>
      <c r="N39" s="39">
        <v>0.23436717525435216</v>
      </c>
      <c r="O39" s="40">
        <v>0.23006433058018302</v>
      </c>
      <c r="P39" s="39">
        <v>0.23531208798837192</v>
      </c>
      <c r="Q39" s="40">
        <v>0.23252612478412715</v>
      </c>
      <c r="R39" s="39">
        <v>0.23643052958755972</v>
      </c>
      <c r="S39" s="40">
        <v>0.23543687650608236</v>
      </c>
      <c r="T39" s="39">
        <v>0.2377842136744299</v>
      </c>
      <c r="U39" s="40">
        <v>0.2389162921188264</v>
      </c>
      <c r="V39" s="39">
        <v>0.23946666640158309</v>
      </c>
      <c r="W39" s="40">
        <v>0.24312915087280884</v>
      </c>
      <c r="X39" s="39">
        <v>0.24162628151119614</v>
      </c>
      <c r="Y39" s="40">
        <v>0.24831034316924155</v>
      </c>
      <c r="Z39" s="39">
        <v>0.24451221174752436</v>
      </c>
      <c r="AA39" s="40">
        <v>0.25480985962654373</v>
      </c>
      <c r="AB39" s="39">
        <v>0.24857320696893942</v>
      </c>
      <c r="AC39" s="40">
        <v>0.26317886139127178</v>
      </c>
      <c r="AD39" s="39">
        <v>0.25469072621101779</v>
      </c>
      <c r="AE39" s="40">
        <v>0.27434520098457305</v>
      </c>
      <c r="AF39" s="39">
        <v>0.26478803197815681</v>
      </c>
      <c r="AG39" s="40">
        <v>0.28999499038059051</v>
      </c>
      <c r="AH39" s="39">
        <v>0.28360182188785615</v>
      </c>
      <c r="AI39" s="40">
        <v>0.31345301410019188</v>
      </c>
      <c r="AJ39" s="39">
        <v>0.3243952871658502</v>
      </c>
      <c r="AK39" s="40">
        <v>0.35186804338101874</v>
      </c>
      <c r="AL39" s="39">
        <v>0.43041400732028245</v>
      </c>
      <c r="AM39" s="40">
        <v>0.42301094696145208</v>
      </c>
      <c r="AN39" s="39">
        <v>0.8100517284698513</v>
      </c>
      <c r="AO39" s="40">
        <v>0.5935384364778723</v>
      </c>
      <c r="AP39" s="39">
        <v>1.0078208014356693</v>
      </c>
      <c r="AQ39" s="40">
        <v>0.66322338448762164</v>
      </c>
      <c r="AR39" s="39">
        <v>1.3399096160474175</v>
      </c>
      <c r="AS39" s="40">
        <v>0.76556862249532209</v>
      </c>
      <c r="AT39" s="39">
        <v>2.0069234840738375</v>
      </c>
      <c r="AU39" s="40">
        <v>0.93747607938500555</v>
      </c>
      <c r="AV39" s="39">
        <v>4.0118103578150945</v>
      </c>
      <c r="AW39" s="40">
        <v>1.3257382550475669</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0.10799999999999903</v>
      </c>
      <c r="G42" s="135"/>
      <c r="H42" s="177">
        <f>10.8%+(1-10.8%)*(1-SUM(H26:I26)/SUM($B$26:$C$26))</f>
        <v>0.10800000000000021</v>
      </c>
      <c r="I42" s="135"/>
      <c r="J42" s="177">
        <f>10.8%+(1-10.8%)*(1-SUM(J26:K26)/SUM($B$26:$C$26))</f>
        <v>0.10799999999999982</v>
      </c>
      <c r="K42" s="135"/>
      <c r="L42" s="177">
        <f>10.8%+(1-10.8%)*(1-SUM(L26:M26)/SUM($B$26:$C$26))</f>
        <v>0.10800000000000001</v>
      </c>
      <c r="M42" s="135"/>
      <c r="N42" s="177">
        <f>10.8%+(1-10.8%)*(1-SUM(N26:O26)/SUM($B$26:$C$26))</f>
        <v>0.1080000000000003</v>
      </c>
      <c r="O42" s="135"/>
      <c r="P42" s="177">
        <f>10.8%+(1-10.8%)*(1-SUM(P26:Q26)/SUM($B$26:$C$26))</f>
        <v>0.10800000000000001</v>
      </c>
      <c r="Q42" s="135"/>
      <c r="R42" s="177">
        <f>10.8%+(1-10.8%)*(1-SUM(R26:S26)/SUM($B$26:$C$26))</f>
        <v>0.10799999999999961</v>
      </c>
      <c r="S42" s="135"/>
      <c r="T42" s="177">
        <f>10.8%+(1-10.8%)*(1-SUM(T26:U26)/SUM($B$26:$C$26))</f>
        <v>0.10799999999999982</v>
      </c>
      <c r="U42" s="135"/>
      <c r="V42" s="177">
        <f>10.8%+(1-10.8%)*(1-SUM(V26:W26)/SUM($B$26:$C$26))</f>
        <v>0.10799999999999982</v>
      </c>
      <c r="W42" s="135"/>
      <c r="X42" s="177">
        <f>10.8%+(1-10.8%)*(1-SUM(X26:Y26)/SUM($B$26:$C$26))</f>
        <v>0.10799999999999982</v>
      </c>
      <c r="Y42" s="162"/>
      <c r="Z42" s="177">
        <f>10.8%+(1-10.8%)*(1-SUM(Z26:AA26)/SUM($B$26:$C$26))</f>
        <v>0.1080000000000003</v>
      </c>
      <c r="AA42" s="135"/>
      <c r="AB42" s="177">
        <f>10.8%+(1-10.8%)*(1-SUM(AB26:AC26)/SUM($B$26:$C$26))</f>
        <v>0.10799999999999961</v>
      </c>
      <c r="AC42" s="135"/>
      <c r="AD42" s="177">
        <f>10.8%+(1-10.8%)*(1-SUM(AD26:AE26)/SUM($B$26:$C$26))</f>
        <v>0.10800000000000051</v>
      </c>
      <c r="AE42" s="135"/>
      <c r="AF42" s="177">
        <f>10.8%+(1-10.8%)*(1-SUM(AF26:AG26)/SUM($B$26:$C$26))</f>
        <v>0.10799999999999922</v>
      </c>
      <c r="AG42" s="135"/>
      <c r="AH42" s="177">
        <f>10.8%+(1-10.8%)*(1-SUM(AH26:AI26)/SUM($B$26:$C$26))</f>
        <v>0.10799999999999961</v>
      </c>
      <c r="AI42" s="135"/>
      <c r="AJ42" s="177">
        <f>10.8%+(1-10.8%)*(1-SUM(AJ26:AK26)/SUM($B$26:$C$26))</f>
        <v>0.10799999999999922</v>
      </c>
      <c r="AK42" s="135"/>
      <c r="AL42" s="177">
        <f>10.8%+(1-10.8%)*(1-SUM(AL26:AM26)/SUM($B$26:$C$26))</f>
        <v>0.10800000000000061</v>
      </c>
      <c r="AM42" s="135"/>
      <c r="AN42" s="177">
        <f>10.8%+(1-10.8%)*(1-SUM(AN26:AO26)/SUM($B$26:$C$26))</f>
        <v>0.10799999999999942</v>
      </c>
      <c r="AO42" s="135"/>
      <c r="AP42" s="177">
        <f>10.8%+(1-10.8%)*(1-SUM(AP26:AQ26)/SUM($B$26:$C$26))</f>
        <v>0.10799999999999922</v>
      </c>
      <c r="AQ42" s="135"/>
      <c r="AR42" s="177">
        <f>10.8%+(1-10.8%)*(1-SUM(AR26:AS26)/SUM($B$26:$C$26))</f>
        <v>0.10799999999999961</v>
      </c>
      <c r="AS42" s="135"/>
      <c r="AT42" s="177">
        <f>10.8%+(1-10.8%)*(1-SUM(AT26:AU26)/SUM($B$26:$C$26))</f>
        <v>0.10800000000000001</v>
      </c>
      <c r="AU42" s="135"/>
      <c r="AV42" s="177">
        <f>10.8%+(1-10.8%)*(1-SUM(AV26:AW26)/SUM($B$26:$C$26))</f>
        <v>0.10800000000000001</v>
      </c>
    </row>
    <row r="43" spans="1:49 16319:16321" x14ac:dyDescent="0.2">
      <c r="A43" t="s">
        <v>108</v>
      </c>
      <c r="B43" s="162">
        <f>SUM(B15:C15*B27:C27)/SUM(B15:C15*B27:C27,B13:C13*B26:C26)</f>
        <v>0.56058995943839085</v>
      </c>
      <c r="C43" s="135"/>
      <c r="D43" s="162">
        <f t="array" ref="D43">SUM(D15:E15*D27:E27)/SUM(D15:E15*D27:E27,D13:E13*D26:E26)</f>
        <v>0.56445432904115878</v>
      </c>
      <c r="E43" s="135"/>
      <c r="F43" s="162">
        <f t="array" ref="F43">SUM(F15:G15*F27:G27)/SUM(F15:G15*F27:G27,F13:G13*F26:G26)</f>
        <v>0.56170134625276147</v>
      </c>
      <c r="G43" s="135"/>
      <c r="H43" s="162">
        <f t="array" ref="H43">SUM(H15:I15*H27:I27)/SUM(H15:I15*H27:I27,H13:I13*H26:I26)</f>
        <v>0.55894176892916581</v>
      </c>
      <c r="I43" s="135"/>
      <c r="J43" s="162">
        <f t="array" ref="J43">SUM(J15:K15*J27:K27)/SUM(J15:K15*J27:K27,J13:K13*J26:K26)</f>
        <v>0.55617579392982763</v>
      </c>
      <c r="K43" s="135"/>
      <c r="L43" s="162">
        <f t="array" ref="L43">SUM(L15:M15*L27:M27)/SUM(L15:M15*L27:M27,L13:M13*L26:M26)</f>
        <v>0.55340369899187658</v>
      </c>
      <c r="M43" s="135"/>
      <c r="N43" s="162">
        <f t="array" ref="N43">SUM(N15:O15*N27:O27)/SUM(N15:O15*N27:O27,N13:O13*N26:O26)</f>
        <v>0.55062603194889059</v>
      </c>
      <c r="O43" s="135"/>
      <c r="P43" s="162">
        <f t="array" ref="P43">SUM(P15:Q15*P27:Q27)/SUM(P15:Q15*P27:Q27,P13:Q13*P26:Q26)</f>
        <v>0.54784380451159187</v>
      </c>
      <c r="Q43" s="135"/>
      <c r="R43" s="162">
        <f t="array" ref="R43">SUM(R15:S15*R27:S27)/SUM(R15:S15*R27:S27,R13:S13*R26:S26)</f>
        <v>0.54505912797836331</v>
      </c>
      <c r="S43" s="135"/>
      <c r="T43" s="162">
        <f t="array" ref="T43">SUM(T15:U15*T27:U27)/SUM(T15:U15*T27:U27,T13:U13*T26:U26)</f>
        <v>0.54227600955021071</v>
      </c>
      <c r="U43" s="135"/>
      <c r="V43" s="162">
        <f t="array" ref="V43">SUM(V15:W15*V27:W27)/SUM(V15:W15*V27:W27,V13:W13*V26:W26)</f>
        <v>0.53950208149305612</v>
      </c>
      <c r="W43" s="135"/>
      <c r="X43" s="162">
        <f t="array" ref="X43">SUM(X15:Y15*X27:Y27)/SUM(X15:Y15*X27:Y27,X13:Y13*X26:Y26)</f>
        <v>0.53675130876640942</v>
      </c>
      <c r="Y43" s="135"/>
      <c r="Z43" s="162">
        <f t="array" ref="Z43">SUM(Z15:AA15*Z27:AA27)/SUM(Z15:AA15*Z27:AA27,Z13:AA13*Z26:AA26)</f>
        <v>0.53404859259757043</v>
      </c>
      <c r="AA43" s="135"/>
      <c r="AB43" s="162">
        <f t="array" ref="AB43">SUM(AB15:AC15*AB27:AC27)/SUM(AB15:AC15*AB27:AC27,AB13:AC13*AB26:AC26)</f>
        <v>0.53143719658050403</v>
      </c>
      <c r="AC43" s="135"/>
      <c r="AD43" s="162">
        <f t="array" ref="AD43">SUM(AD15:AE15*AD27:AE27)/SUM(AD15:AE15*AD27:AE27,AD13:AE13*AD26:AE26)</f>
        <v>0.52898975524523961</v>
      </c>
      <c r="AE43" s="135"/>
      <c r="AF43" s="162">
        <f t="array" ref="AF43">SUM(AF15:AG15*AF27:AG27)/SUM(AF15:AG15*AF27:AG27,AF13:AG13*AF26:AG26)</f>
        <v>0.5268210743570455</v>
      </c>
      <c r="AG43" s="135"/>
      <c r="AH43" s="162">
        <f t="array" ref="AH43">SUM(AH15:AI15*AH27:AI27)/SUM(AH15:AI15*AH27:AI27,AH13:AI13*AH26:AI26)</f>
        <v>0.52508825881270249</v>
      </c>
      <c r="AI43" s="135"/>
      <c r="AJ43" s="162">
        <f t="array" ref="AJ43">SUM(AJ15:AK15*AJ27:AK27)/SUM(AJ15:AK15*AJ27:AK27,AJ13:AK13*AJ26:AK26)</f>
        <v>0.52393265378798648</v>
      </c>
      <c r="AK43" s="135"/>
      <c r="AL43" s="162">
        <f t="array" ref="AL43">SUM(AL15:AM15*AL27:AM27)/SUM(AL15:AM15*AL27:AM27,AL13:AM13*AL26:AM26)</f>
        <v>0.52333705469242797</v>
      </c>
      <c r="AM43" s="135"/>
      <c r="AN43" s="162">
        <f t="array" ref="AN43">SUM(AN15:AO15*AN27:AO27)/SUM(AN15:AO15*AN27:AO27,AN13:AO13*AN26:AO26)</f>
        <v>0.52307783128462226</v>
      </c>
      <c r="AO43" s="135"/>
      <c r="AP43" s="162">
        <f t="array" ref="AP43">SUM(AP15:AQ15*AP27:AQ27)/SUM(AP15:AQ15*AP27:AQ27,AP13:AQ13*AP26:AQ26)</f>
        <v>0.52304154287889992</v>
      </c>
      <c r="AQ43" s="135"/>
      <c r="AR43" s="162">
        <f t="array" ref="AR43">SUM(AR15:AS15*AR27:AS27)/SUM(AR15:AS15*AR27:AS27,AR13:AS13*AR26:AS26)</f>
        <v>0.52300470773160379</v>
      </c>
      <c r="AS43" s="135"/>
      <c r="AT43" s="162">
        <f t="array" ref="AT43">SUM(AT15:AU15*AT27:AU27)/SUM(AT15:AU15*AT27:AU27,AT13:AU13*AT26:AU26)</f>
        <v>0.52296407145775547</v>
      </c>
      <c r="AU43" s="135"/>
      <c r="AV43" s="162">
        <f t="array" ref="AV43">SUM(AV15:AW15*AV27:AW27)/SUM(AV15:AW15*AV27:AW27,AV13:AW13*AV26:AW26)</f>
        <v>0.52291300346897762</v>
      </c>
    </row>
    <row r="44" spans="1:49 16319:16321" x14ac:dyDescent="0.2">
      <c r="A44" t="s">
        <v>142</v>
      </c>
      <c r="B44" s="193">
        <f>(SUM(B11:C11*B24:C24)+B34)/B32</f>
        <v>0.29754226190682342</v>
      </c>
      <c r="D44" s="193">
        <f>(SUM(D11:E11*D24:E24)+D34)/D32</f>
        <v>0.29754225207756813</v>
      </c>
      <c r="F44" s="193">
        <f>(SUM(F11:G11*F24:G24)+F34)/F32</f>
        <v>0.29754225862515155</v>
      </c>
      <c r="H44" s="193">
        <f>(SUM(H11:I11*H24:I24)+H34)/H32</f>
        <v>0.29754225759253916</v>
      </c>
      <c r="J44" s="193">
        <f>(SUM(J11:K11*J24:K24)+J34)/J32</f>
        <v>0.2975422616986565</v>
      </c>
      <c r="L44" s="193">
        <f>(SUM(L11:M11*L24:M24)+L34)/L32</f>
        <v>0.29754225577406945</v>
      </c>
      <c r="N44" s="193">
        <f>(SUM(N11:O11*N24:O24)+N34)/N32</f>
        <v>0.29754226104706083</v>
      </c>
      <c r="P44" s="193">
        <f>(SUM(P11:Q11*P24:Q24)+P34)/P32</f>
        <v>0.29754224742323498</v>
      </c>
      <c r="R44" s="193">
        <f>(SUM(R11:S11*R24:S24)+R34)/R32</f>
        <v>0.29754225741554929</v>
      </c>
      <c r="T44" s="193">
        <f>(SUM(T11:U11*T24:U24)+T34)/T32</f>
        <v>0.29754225384594613</v>
      </c>
      <c r="V44" s="193">
        <f>(SUM(V11:W11*V24:W24)+V34)/V32</f>
        <v>0.29754225545923085</v>
      </c>
      <c r="X44" s="193">
        <f>(SUM(X11:Y11*X24:Y24)+X34)/X32</f>
        <v>0.29754226157672814</v>
      </c>
      <c r="Z44" s="193">
        <f>(SUM(Z11:AA11*Z24:AA24)+Z34)/Z32</f>
        <v>0.29754226048811078</v>
      </c>
      <c r="AB44" s="193">
        <f>(SUM(AB11:AC11*AB24:AC24)+AB34)/AB32</f>
        <v>0.29754226130044675</v>
      </c>
      <c r="AD44" s="193">
        <f>(SUM(AD11:AE11*AD24:AE24)+AD34)/AD32</f>
        <v>0.29754226087772528</v>
      </c>
      <c r="AF44" s="193">
        <f>(SUM(AF11:AG11*AF24:AG24)+AF34)/AF32</f>
        <v>0.29754226183382593</v>
      </c>
      <c r="AH44" s="193">
        <f>(SUM(AH11:AI11*AH24:AI24)+AH34)/AH32</f>
        <v>0.29754226186152627</v>
      </c>
      <c r="AJ44" s="193">
        <f>(SUM(AJ11:AK11*AJ24:AK24)+AJ34)/AJ32</f>
        <v>0.29754226188904348</v>
      </c>
      <c r="AL44" s="193">
        <f>(SUM(AL11:AM11*AL24:AM24)+AL34)/AL32</f>
        <v>0.29754226324516392</v>
      </c>
      <c r="AN44" s="193">
        <f>(SUM(AN11:AO11*AN24:AO24)+AN34)/AN32</f>
        <v>0.29754226191090344</v>
      </c>
      <c r="AP44" s="193">
        <f>(SUM(AP11:AQ11*AP24:AQ24)+AP34)/AP32</f>
        <v>0.29754226194134203</v>
      </c>
      <c r="AR44" s="193">
        <f>(SUM(AR11:AS11*AR24:AS24)+AR34)/AR32</f>
        <v>0.29754226190412864</v>
      </c>
      <c r="AT44" s="193">
        <f>(SUM(AT11:AU11*AT24:AU24)+AT34)/AT32</f>
        <v>0.29754226190253896</v>
      </c>
      <c r="AV44" s="193">
        <f>(SUM(AV11:AW11*AV24:AW24)+AV34)/AV32</f>
        <v>0.29754226190634625</v>
      </c>
    </row>
    <row r="45" spans="1:49 16319:16321" x14ac:dyDescent="0.2">
      <c r="A45" t="s">
        <v>82</v>
      </c>
      <c r="B45" s="193">
        <f>SUM(B11:C11*B24:C24)/B32</f>
        <v>0.22038438833194082</v>
      </c>
      <c r="D45" s="193">
        <f>SUM(D11:E11*D24:E24)/D32</f>
        <v>0.22038438839027333</v>
      </c>
      <c r="F45" s="193">
        <f>SUM(F11:G11*F24:G24)/F32</f>
        <v>0.22038438832095855</v>
      </c>
      <c r="H45" s="193">
        <f>SUM(H11:I11*H24:I24)/H32</f>
        <v>0.22038438831519999</v>
      </c>
      <c r="J45" s="193">
        <f>SUM(J11:K11*J24:K24)/J32</f>
        <v>0.22038438833152085</v>
      </c>
      <c r="L45" s="193">
        <f>SUM(L11:M11*L24:M24)/L32</f>
        <v>0.22038438829882251</v>
      </c>
      <c r="N45" s="193">
        <f>SUM(N11:O11*N24:O24)/N32</f>
        <v>0.22038438833777252</v>
      </c>
      <c r="P45" s="193">
        <f>SUM(P11:Q11*P24:Q24)/P32</f>
        <v>0.22038438819478642</v>
      </c>
      <c r="R45" s="193">
        <f>SUM(R11:S11*R24:S24)/R32</f>
        <v>0.22038438827423865</v>
      </c>
      <c r="T45" s="193">
        <f>SUM(T11:U11*T24:U24)/T32</f>
        <v>0.2203843881956401</v>
      </c>
      <c r="V45" s="193">
        <f>SUM(V11:W11*V24:W24)/V32</f>
        <v>0.22038438819665668</v>
      </c>
      <c r="X45" s="193">
        <f>SUM(X11:Y11*X24:Y24)/X32</f>
        <v>0.22038438833618151</v>
      </c>
      <c r="Z45" s="193">
        <f>SUM(Z11:AA11*Z24:AA24)/Z32</f>
        <v>0.22038438831274731</v>
      </c>
      <c r="AB45" s="193">
        <f>SUM(AB11:AC11*AB24:AC24)/AB32</f>
        <v>0.22038438832189591</v>
      </c>
      <c r="AD45" s="193">
        <f>SUM(AD11:AE11*AD24:AE24)/AD32</f>
        <v>0.22038438833203805</v>
      </c>
      <c r="AF45" s="193">
        <f>SUM(AF11:AG11*AF24:AG24)/AF32</f>
        <v>0.22038438835845414</v>
      </c>
      <c r="AH45" s="193">
        <f>SUM(AH11:AI11*AH24:AI24)/AH32</f>
        <v>0.22038438832633656</v>
      </c>
      <c r="AJ45" s="193">
        <f>SUM(AJ11:AK11*AJ24:AK24)/AJ32</f>
        <v>0.22038438832777513</v>
      </c>
      <c r="AL45" s="193">
        <f>SUM(AL11:AM11*AL24:AM24)/AL32</f>
        <v>0.22038438840509736</v>
      </c>
      <c r="AN45" s="193">
        <f>SUM(AN11:AO11*AN24:AO24)/AN32</f>
        <v>0.22038438833237131</v>
      </c>
      <c r="AP45" s="193">
        <f>SUM(AP11:AQ11*AP24:AQ24)/AP32</f>
        <v>0.22038438833573715</v>
      </c>
      <c r="AR45" s="193">
        <f>SUM(AR11:AS11*AR24:AS24)/AR32</f>
        <v>0.22038438833163454</v>
      </c>
      <c r="AT45" s="193">
        <f>SUM(AT11:AU11*AT24:AU24)/AT32</f>
        <v>0.22038438833144502</v>
      </c>
      <c r="AV45" s="193">
        <f>SUM(AV11:AW11*AV24:AW24)/AV32</f>
        <v>0.22038438833188462</v>
      </c>
      <c r="XCQ45" s="193"/>
    </row>
    <row r="46" spans="1:49 16319:16321" x14ac:dyDescent="0.2">
      <c r="A46" t="s">
        <v>139</v>
      </c>
      <c r="B46" s="193">
        <f>B34/B32</f>
        <v>7.7157873574882588E-2</v>
      </c>
      <c r="D46" s="193">
        <f>D34/D32</f>
        <v>7.7157863687294798E-2</v>
      </c>
      <c r="F46" s="193">
        <f>F34/F32</f>
        <v>7.715787030419298E-2</v>
      </c>
      <c r="H46" s="193">
        <f>H34/H32</f>
        <v>7.7157869277339169E-2</v>
      </c>
      <c r="J46" s="193">
        <f>J34/J32</f>
        <v>7.7157873367135602E-2</v>
      </c>
      <c r="L46" s="193">
        <f>L34/L32</f>
        <v>7.7157867475246958E-2</v>
      </c>
      <c r="N46" s="193">
        <f>N34/N32</f>
        <v>7.7157872709288339E-2</v>
      </c>
      <c r="P46" s="193">
        <f>P34/P32</f>
        <v>7.7157859228448561E-2</v>
      </c>
      <c r="R46" s="193">
        <f>R34/R32</f>
        <v>7.7157869141310648E-2</v>
      </c>
      <c r="T46" s="193">
        <f>T34/T32</f>
        <v>7.7157865650306023E-2</v>
      </c>
      <c r="V46" s="193">
        <f>V34/V32</f>
        <v>7.715786726257412E-2</v>
      </c>
      <c r="X46" s="193">
        <f>X34/X32</f>
        <v>7.7157873240546598E-2</v>
      </c>
      <c r="Z46" s="193">
        <f>Z34/Z32</f>
        <v>7.7157872175363448E-2</v>
      </c>
      <c r="AB46" s="193">
        <f>AB34/AB32</f>
        <v>7.715787297855084E-2</v>
      </c>
      <c r="AD46" s="193">
        <f>AD34/AD32</f>
        <v>7.7157872545687234E-2</v>
      </c>
      <c r="AF46" s="193">
        <f>AF34/AF32</f>
        <v>7.7157873475371772E-2</v>
      </c>
      <c r="AH46" s="193">
        <f>AH34/AH32</f>
        <v>7.7157873535189714E-2</v>
      </c>
      <c r="AJ46" s="193">
        <f>AJ34/AJ32</f>
        <v>7.7157873561268381E-2</v>
      </c>
      <c r="AL46" s="193">
        <f>AL34/AL32</f>
        <v>7.7157874840066559E-2</v>
      </c>
      <c r="AN46" s="193">
        <f>AN34/AN32</f>
        <v>7.7157873578532127E-2</v>
      </c>
      <c r="AP46" s="193">
        <f>AP34/AP32</f>
        <v>7.7157873605604888E-2</v>
      </c>
      <c r="AR46" s="193">
        <f>AR34/AR32</f>
        <v>7.7157873572494096E-2</v>
      </c>
      <c r="AT46" s="193">
        <f>AT34/AT32</f>
        <v>7.7157873571093952E-2</v>
      </c>
      <c r="AV46" s="193">
        <f>AV34/AV32</f>
        <v>7.7157873574461605E-2</v>
      </c>
      <c r="XCS46" s="193"/>
    </row>
    <row r="48" spans="1:49 16319:16321" x14ac:dyDescent="0.2">
      <c r="A48" t="s">
        <v>159</v>
      </c>
      <c r="B48" s="191">
        <f>B24/$B$24</f>
        <v>1</v>
      </c>
      <c r="C48" s="191"/>
      <c r="D48" s="191">
        <f>D24/$B$24</f>
        <v>1.0026461272364282</v>
      </c>
      <c r="E48" s="191"/>
      <c r="F48" s="191">
        <f>F24/$B$24</f>
        <v>1.0051673575482745</v>
      </c>
      <c r="G48" s="191"/>
      <c r="H48" s="191">
        <f>H24/$B$24</f>
        <v>1.0075303655045349</v>
      </c>
      <c r="I48" s="191"/>
      <c r="J48" s="191">
        <f>J24/$B$24</f>
        <v>1.0096906410769544</v>
      </c>
      <c r="K48" s="191"/>
      <c r="L48" s="191">
        <f>L24/$B$24</f>
        <v>1.0115878337929733</v>
      </c>
      <c r="M48" s="191"/>
      <c r="N48" s="191">
        <f>N24/$B$24</f>
        <v>1.0131387798824605</v>
      </c>
      <c r="O48" s="191"/>
      <c r="P48" s="191">
        <f>P24/$B$24</f>
        <v>1.014226860102166</v>
      </c>
      <c r="Q48" s="191"/>
      <c r="R48" s="191">
        <f>R24/$B$24</f>
        <v>1.0146852255031895</v>
      </c>
      <c r="S48" s="191"/>
      <c r="T48" s="191">
        <f>T24/$B$24</f>
        <v>1.0142694427439276</v>
      </c>
      <c r="U48" s="191"/>
      <c r="V48" s="191">
        <f>V24/$B$24</f>
        <v>1.0126116495846738</v>
      </c>
      <c r="W48" s="191"/>
      <c r="X48" s="191">
        <f>X24/$B$24</f>
        <v>1.0091394892061991</v>
      </c>
      <c r="Y48" s="191"/>
      <c r="Z48" s="191">
        <f>Z24/$B$24</f>
        <v>1.0029253291625195</v>
      </c>
      <c r="AA48" s="191"/>
      <c r="AB48" s="191">
        <f>AB24/$B$24</f>
        <v>0.99238697678413257</v>
      </c>
      <c r="AC48" s="191"/>
      <c r="AD48" s="191">
        <f>AD24/$B$24</f>
        <v>0.97464985508536184</v>
      </c>
      <c r="AE48" s="191"/>
      <c r="AF48" s="191">
        <f>AF24/$B$24</f>
        <v>0.94409860075810148</v>
      </c>
      <c r="AG48" s="191"/>
      <c r="AH48" s="191">
        <f>AH24/$B$24</f>
        <v>0.88906285913625438</v>
      </c>
      <c r="AI48" s="191"/>
      <c r="AJ48" s="191">
        <f>AJ24/$B$24</f>
        <v>0.78582259055968984</v>
      </c>
      <c r="AK48" s="191"/>
      <c r="AL48" s="191">
        <f>AL24/$B$24</f>
        <v>0.59923313160480673</v>
      </c>
      <c r="AM48" s="191"/>
      <c r="AN48" s="191">
        <f>AN24/$B$24</f>
        <v>0.32066601392291211</v>
      </c>
      <c r="AO48" s="191"/>
      <c r="AP48" s="191">
        <f>AP24/$B$24</f>
        <v>0.25789634820828028</v>
      </c>
      <c r="AQ48" s="191"/>
      <c r="AR48" s="191">
        <f>AR24/$B$24</f>
        <v>0.19405335529972126</v>
      </c>
      <c r="AS48" s="191"/>
      <c r="AT48" s="191">
        <f>AT24/$B$24</f>
        <v>0.12958711073446294</v>
      </c>
      <c r="AU48" s="191"/>
      <c r="AV48" s="191">
        <f>AV24/$B$24</f>
        <v>6.4833936538864059E-2</v>
      </c>
    </row>
    <row r="49" spans="1:48 16321:16384" x14ac:dyDescent="0.2">
      <c r="A49" t="s">
        <v>160</v>
      </c>
      <c r="B49" s="191">
        <f>B13/B35/$B$13*$B$35</f>
        <v>1</v>
      </c>
      <c r="C49" s="191"/>
      <c r="D49" s="191">
        <f>D13/D35/$B$13*$B$35</f>
        <v>0.99481051518339758</v>
      </c>
      <c r="E49" s="191"/>
      <c r="F49" s="191">
        <f>F13/F35/$B$13*$B$35</f>
        <v>0.98833937877895051</v>
      </c>
      <c r="G49" s="191"/>
      <c r="H49" s="191">
        <f>H13/H35/$B$13*$B$35</f>
        <v>0.9803284491966372</v>
      </c>
      <c r="I49" s="191"/>
      <c r="J49" s="191">
        <f>J13/J35/$B$13*$B$35</f>
        <v>0.97045230453726439</v>
      </c>
      <c r="K49" s="191"/>
      <c r="L49" s="191">
        <f>L13/L35/$B$13*$B$35</f>
        <v>0.95829645319841761</v>
      </c>
      <c r="M49" s="191"/>
      <c r="N49" s="191">
        <f>N13/N35/$B$13*$B$35</f>
        <v>0.94332767040519716</v>
      </c>
      <c r="O49" s="191"/>
      <c r="P49" s="191">
        <f>P13/P35/$B$13*$B$35</f>
        <v>0.92485271154150928</v>
      </c>
      <c r="Q49" s="191"/>
      <c r="R49" s="191">
        <f>R13/R35/$B$13*$B$35</f>
        <v>0.90196083234378677</v>
      </c>
      <c r="S49" s="191"/>
      <c r="T49" s="191">
        <f>T13/T35/$B$13*$B$35</f>
        <v>0.87344204836029182</v>
      </c>
      <c r="U49" s="191"/>
      <c r="V49" s="191">
        <f>V13/V35/$B$13*$B$35</f>
        <v>0.83767400953881077</v>
      </c>
      <c r="W49" s="191"/>
      <c r="X49" s="191">
        <f>X13/X35/$B$13*$B$35</f>
        <v>0.79246632260201688</v>
      </c>
      <c r="Y49" s="191"/>
      <c r="Z49" s="191">
        <f>Z13/Z35/$B$13*$B$35</f>
        <v>0.7348649041981985</v>
      </c>
      <c r="AA49" s="191"/>
      <c r="AB49" s="191">
        <f>AB13/AB35/$B$13*$B$35</f>
        <v>0.66096867651452196</v>
      </c>
      <c r="AC49" s="191"/>
      <c r="AD49" s="191">
        <f>AD13/AD35/$B$13*$B$35</f>
        <v>0.56600805895905248</v>
      </c>
      <c r="AE49" s="191"/>
      <c r="AF49" s="191">
        <f>AF13/AF35/$B$13*$B$35</f>
        <v>0.4455982871178284</v>
      </c>
      <c r="AG49" s="191"/>
      <c r="AH49" s="191">
        <f>AH13/AH35/$B$13*$B$35</f>
        <v>0.30082735628065493</v>
      </c>
      <c r="AI49" s="191"/>
      <c r="AJ49" s="191">
        <f>AJ13/AJ35/$B$13*$B$35</f>
        <v>0.15101105446304044</v>
      </c>
      <c r="AK49" s="191"/>
      <c r="AL49" s="191">
        <f>AL13/AL35/$B$13*$B$35</f>
        <v>4.2003066627312007E-2</v>
      </c>
      <c r="AM49" s="191"/>
      <c r="AN49" s="191">
        <f>AN13/AN35/$B$13*$B$35</f>
        <v>3.0825042547732565E-3</v>
      </c>
      <c r="AO49" s="191"/>
      <c r="AP49" s="191">
        <f>AP13/AP35/$B$13*$B$35</f>
        <v>1.27807924923018E-3</v>
      </c>
      <c r="AQ49" s="191"/>
      <c r="AR49" s="191">
        <f>AR13/AR35/$B$13*$B$35</f>
        <v>4.0741999293656512E-4</v>
      </c>
      <c r="AS49" s="191"/>
      <c r="AT49" s="191">
        <f>AT13/AT35/$B$13*$B$35</f>
        <v>8.0787570949571405E-5</v>
      </c>
      <c r="AU49" s="191"/>
      <c r="AV49" s="191">
        <f>AV13/AV35/$B$13*$B$35</f>
        <v>5.0562725963666461E-6</v>
      </c>
    </row>
    <row r="51" spans="1:48 16321:16384" x14ac:dyDescent="0.2">
      <c r="A51" t="s">
        <v>166</v>
      </c>
      <c r="B51" s="29">
        <f>B30-B10*B23</f>
        <v>-405838.32800000021</v>
      </c>
      <c r="D51" s="29">
        <f>D30-D10*D23</f>
        <v>-307996.24524637591</v>
      </c>
      <c r="F51" s="29">
        <f>F30-F10*F23</f>
        <v>-204314.01771929767</v>
      </c>
      <c r="H51" s="29">
        <f>H30-H10*H23</f>
        <v>-93639.070245722774</v>
      </c>
      <c r="J51" s="29">
        <f>J30-J10*J23</f>
        <v>25476.696526939049</v>
      </c>
      <c r="L51" s="29">
        <f>L30-L10*L23</f>
        <v>154875.02220033295</v>
      </c>
      <c r="N51" s="29">
        <f>N30-N10*N23</f>
        <v>296927.19093180494</v>
      </c>
      <c r="P51" s="29">
        <f>P30-P10*P23</f>
        <v>454733.48308622837</v>
      </c>
      <c r="R51" s="29">
        <f>R30-R10*R23</f>
        <v>632414.26528793015</v>
      </c>
      <c r="T51" s="29">
        <f>T30-T10*T23</f>
        <v>835566.56867494853</v>
      </c>
      <c r="V51" s="29">
        <f>V30-V10*V23</f>
        <v>1071973.1131502083</v>
      </c>
      <c r="X51" s="29">
        <f>X30-X10*X23</f>
        <v>1352767.6446059453</v>
      </c>
      <c r="Z51" s="29">
        <f>Z30-Z10*Z23</f>
        <v>1694352.3733626292</v>
      </c>
      <c r="AB51" s="29">
        <f>AB30-AB10*AB23</f>
        <v>2121462.5913668503</v>
      </c>
      <c r="AD51" s="29">
        <f>AD30-AD10*AD23</f>
        <v>2671172.7089164234</v>
      </c>
      <c r="AF51" s="29">
        <f>AF30-AF10*AF23</f>
        <v>3392535.1495358646</v>
      </c>
      <c r="AH51" s="29">
        <f>AH30-AH10*AH23</f>
        <v>4308568.3559595272</v>
      </c>
      <c r="AJ51" s="29">
        <f>AJ30-AJ10*AJ23</f>
        <v>5208514.3049138822</v>
      </c>
      <c r="AL51" s="29">
        <f>AL30-AL10*AL23</f>
        <v>5179792.3545844425</v>
      </c>
      <c r="AN51" s="29">
        <f>AN30-AN10*AN23</f>
        <v>3177692.730298596</v>
      </c>
      <c r="AP51" s="29">
        <f>AP30-AP10*AP23</f>
        <v>2583208.8754639341</v>
      </c>
      <c r="AQ51" s="29"/>
      <c r="AR51" s="29">
        <f>AR30-AR10*AR23</f>
        <v>1956578.5802462639</v>
      </c>
      <c r="AT51" s="29">
        <f>AT30-AT10*AT23</f>
        <v>1311048.5754948019</v>
      </c>
      <c r="AV51" s="29">
        <f>AV30-AV10*AV23</f>
        <v>656760.17891470948</v>
      </c>
      <c r="XFD51" s="29"/>
    </row>
    <row r="52" spans="1:48 16321:16384" x14ac:dyDescent="0.2">
      <c r="A52" t="s">
        <v>167</v>
      </c>
      <c r="B52" s="29">
        <f t="array" ref="B52">Calibration!sL*SUM(B13:C13*B26:C26)</f>
        <v>2049247.8195702801</v>
      </c>
      <c r="D52" s="29">
        <f t="array" ref="D52">Calibration!sL*SUM(D13:E13*D26:E26)</f>
        <v>2046303.1031420345</v>
      </c>
      <c r="F52" s="29">
        <f t="array" ref="F52">Calibration!sL*SUM(F13:G13*F26:G26)</f>
        <v>2041588.3001760477</v>
      </c>
      <c r="H52" s="29">
        <f t="array" ref="H52">Calibration!sL*SUM(H13:I13*H26:I26)</f>
        <v>2034745.7671571851</v>
      </c>
      <c r="J52" s="29">
        <f t="array" ref="J52">Calibration!sL*SUM(J13:K13*J26:K26)</f>
        <v>2025319.894587857</v>
      </c>
      <c r="L52" s="29">
        <f t="array" ref="L52">Calibration!sL*SUM(L13:M13*L26:M26)</f>
        <v>2012722.6622963324</v>
      </c>
      <c r="N52" s="29">
        <f t="array" ref="N52">Calibration!sL*SUM(N13:O13*N26:O26)</f>
        <v>1996184.8324509831</v>
      </c>
      <c r="P52" s="29">
        <f t="array" ref="P52">Calibration!sL*SUM(P13:Q13*P26:Q26)</f>
        <v>1974684.8937992533</v>
      </c>
      <c r="R52" s="29">
        <f t="array" ref="R52">Calibration!sL*SUM(R13:S13*R26:S26)</f>
        <v>1946843.8012286294</v>
      </c>
      <c r="T52" s="29">
        <f t="array" ref="T52">Calibration!sL*SUM(T13:U13*T26:U26)</f>
        <v>1910763.0109841814</v>
      </c>
      <c r="V52" s="29">
        <f t="array" ref="V52">Calibration!sL*SUM(V13:W13*V26:W26)</f>
        <v>1863773.0197264003</v>
      </c>
      <c r="X52" s="29">
        <f t="array" ref="X52">Calibration!sL*SUM(X13:Y13*X26:Y26)</f>
        <v>1802025.6615559261</v>
      </c>
      <c r="Z52" s="29">
        <f t="array" ref="Z52">Calibration!sL*SUM(Z13:AA13*Z26:AA26)</f>
        <v>1719820.2335933149</v>
      </c>
      <c r="AB52" s="29">
        <f t="array" ref="AB52">Calibration!sL*SUM(AB13:AC13*AB26:AC26)</f>
        <v>1608476.8933152251</v>
      </c>
      <c r="AD52" s="29">
        <f t="array" ref="AD52">Calibration!sL*SUM(AD13:AE13*AD26:AE26)</f>
        <v>1454541.598414008</v>
      </c>
      <c r="AF52" s="29">
        <f t="array" ref="AF52">Calibration!sL*SUM(AF13:AG13*AF26:AG26)</f>
        <v>1237688.1066193583</v>
      </c>
      <c r="AH52" s="29">
        <f t="array" ref="AH52">Calibration!sL*SUM(AH13:AI13*AH26:AI26)</f>
        <v>933018.51649641665</v>
      </c>
      <c r="AJ52" s="29">
        <f t="array" ref="AJ52">Calibration!sL*SUM(AJ13:AK13*AJ26:AK26)</f>
        <v>540713.69499605673</v>
      </c>
      <c r="AL52" s="29">
        <f t="array" ref="AL52">Calibration!sL*SUM(AL13:AM13*AL26:AM26)</f>
        <v>173602.43667912405</v>
      </c>
      <c r="AN52" s="29">
        <f t="array" ref="AN52">Calibration!sL*SUM(AN13:AO13*AN26:AO26)</f>
        <v>13815.98781341173</v>
      </c>
      <c r="AP52" s="29">
        <f t="array" ref="AP52">Calibration!sL*SUM(AP13:AQ13*AP26:AQ26)</f>
        <v>5766.1140960960474</v>
      </c>
      <c r="AQ52" s="29"/>
      <c r="AR52" s="29">
        <f t="array" ref="AR52">Calibration!sL*SUM(AR13:AS13*AR26:AS26)</f>
        <v>1845.542630001592</v>
      </c>
      <c r="AT52" s="29">
        <f t="array" ref="AT52">Calibration!sL*SUM(AT13:AU13*AT26:AU26)</f>
        <v>366.72193294942167</v>
      </c>
      <c r="AV52" s="29">
        <f t="array" ref="AV52">Calibration!sL*SUM(AV13:AW13*AV26:AW26)</f>
        <v>22.969934477833377</v>
      </c>
    </row>
    <row r="53" spans="1:48 16321:16384" x14ac:dyDescent="0.2">
      <c r="A53" t="s">
        <v>168</v>
      </c>
      <c r="B53" s="29">
        <f t="array" ref="B53">Calibration!sK*SUM(B15:C15*B27:C27)</f>
        <v>2740714.4444297305</v>
      </c>
      <c r="D53" s="29">
        <f t="array" ref="D53">Calibration!sK*SUM(D15:E15*D27:E27)</f>
        <v>2706353.0904156612</v>
      </c>
      <c r="F53" s="29">
        <f t="array" ref="F53">Calibration!sK*SUM(F15:G15*F27:G27)</f>
        <v>2670071.4552570195</v>
      </c>
      <c r="H53" s="29">
        <f t="array" ref="H53">Calibration!sK*SUM(H15:I15*H27:I27)</f>
        <v>2631480.6146131395</v>
      </c>
      <c r="J53" s="29">
        <f t="array" ref="J53">Calibration!sK*SUM(J15:K15*J27:K27)</f>
        <v>2590085.5857617664</v>
      </c>
      <c r="L53" s="29">
        <f t="array" ref="L53">Calibration!sK*SUM(L15:M15*L27:M27)</f>
        <v>2545248.9105421244</v>
      </c>
      <c r="N53" s="29">
        <f t="array" ref="N53">Calibration!sK*SUM(N15:O15*N27:O27)</f>
        <v>2496140.1637656749</v>
      </c>
      <c r="P53" s="29">
        <f t="array" ref="P53">Calibration!sK*SUM(P15:Q15*P27:Q27)</f>
        <v>2441661.5272382498</v>
      </c>
      <c r="R53" s="29">
        <f t="array" ref="R53">Calibration!sK*SUM(R15:S15*R27:S27)</f>
        <v>2380340.8932369309</v>
      </c>
      <c r="T53" s="29">
        <f t="array" ref="T53">Calibration!sK*SUM(T15:U15*T27:U27)</f>
        <v>2310164.624437192</v>
      </c>
      <c r="V53" s="29">
        <f t="array" ref="V53">Calibration!sK*SUM(V15:W15*V27:W27)</f>
        <v>2228321.5548072285</v>
      </c>
      <c r="X53" s="29">
        <f t="array" ref="X53">Calibration!sK*SUM(X15:Y15*X27:Y27)</f>
        <v>2130783.2289753738</v>
      </c>
      <c r="Z53" s="29">
        <f t="array" ref="Z53">Calibration!sK*SUM(Z15:AA15*Z27:AA27)</f>
        <v>2011604.454993767</v>
      </c>
      <c r="AB53" s="29">
        <f t="array" ref="AB53">Calibration!sK*SUM(AB15:AC15*AB27:AC27)</f>
        <v>1861737.0990474487</v>
      </c>
      <c r="AD53" s="29">
        <f t="array" ref="AD53">Calibration!sK*SUM(AD15:AE15*AD27:AE27)</f>
        <v>1667103.0331538047</v>
      </c>
      <c r="AF53" s="29">
        <f t="array" ref="AF53">Calibration!sK*SUM(AF15:AG15*AF27:AG27)</f>
        <v>1406268.8312786233</v>
      </c>
      <c r="AH53" s="29">
        <f t="array" ref="AH53">Calibration!sK*SUM(AH15:AI15*AH27:AI27)</f>
        <v>1052759.2137414713</v>
      </c>
      <c r="AJ53" s="29">
        <f t="array" ref="AJ53">Calibration!sK*SUM(AJ15:AK15*AJ27:AK27)</f>
        <v>607286.7833627268</v>
      </c>
      <c r="AL53" s="29">
        <f t="array" ref="AL53">Calibration!sK*SUM(AL15:AM15*AL27:AM27)</f>
        <v>194511.50671644913</v>
      </c>
      <c r="AN53" s="29">
        <f t="array" ref="AN53">Calibration!sK*SUM(AN15:AO15*AN27:AO27)</f>
        <v>15463.939196916506</v>
      </c>
      <c r="AP53" s="29">
        <f t="array" ref="AP53">Calibration!sK*SUM(AP15:AQ15*AP27:AQ27)</f>
        <v>6452.9492537311908</v>
      </c>
      <c r="AQ53" s="29"/>
      <c r="AR53" s="29">
        <f t="array" ref="AR53">Calibration!sK*SUM(AR15:AS15*AR27:AS27)</f>
        <v>2065.0709355598888</v>
      </c>
      <c r="AT53" s="29">
        <f t="array" ref="AT53">Calibration!sK*SUM(AT15:AU15*AT27:AU27)</f>
        <v>410.27687235554941</v>
      </c>
      <c r="AV53" s="29">
        <f t="array" ref="AV53">Calibration!sK*SUM(AV15:AW15*AV27:AW27)</f>
        <v>25.692774554193576</v>
      </c>
      <c r="XFD53" s="29"/>
    </row>
    <row r="55" spans="1:48 16321:16384" x14ac:dyDescent="0.2">
      <c r="A55" t="s">
        <v>169</v>
      </c>
      <c r="B55" s="193">
        <f>B30/B32</f>
        <v>0.19850271905982084</v>
      </c>
      <c r="D55" s="193">
        <f>D30/D32</f>
        <v>0.20515501580959114</v>
      </c>
      <c r="F55" s="193">
        <f>F30/F32</f>
        <v>0.21219165988543282</v>
      </c>
      <c r="H55" s="193">
        <f>H30/H32</f>
        <v>0.21969613947938449</v>
      </c>
      <c r="J55" s="193">
        <f>J30/J32</f>
        <v>0.22777473101871282</v>
      </c>
      <c r="L55" s="193">
        <f>L30/L32</f>
        <v>0.23656476525624937</v>
      </c>
      <c r="N55" s="193">
        <f>N30/N32</f>
        <v>0.24624651369764564</v>
      </c>
      <c r="P55" s="193">
        <f>P30/P32</f>
        <v>0.25706123341407916</v>
      </c>
      <c r="R55" s="193">
        <f>R30/R32</f>
        <v>0.2693387510924477</v>
      </c>
      <c r="T55" s="193">
        <f>T30/T32</f>
        <v>0.28354250358131922</v>
      </c>
      <c r="V55" s="193">
        <f>V30/V32</f>
        <v>0.30034380406512123</v>
      </c>
      <c r="X55" s="193">
        <f>X30/X32</f>
        <v>0.32075196220590141</v>
      </c>
      <c r="Z55" s="193">
        <f>Z30/Z32</f>
        <v>0.34634971926745989</v>
      </c>
      <c r="AB55" s="193">
        <f>AB30/AB32</f>
        <v>0.3797335769771249</v>
      </c>
      <c r="AD55" s="193">
        <f>AD30/AD32</f>
        <v>0.42533826970451843</v>
      </c>
      <c r="AF55" s="193">
        <f>AF30/AF32</f>
        <v>0.49082257623991166</v>
      </c>
      <c r="AH55" s="193">
        <f>AH30/AH32</f>
        <v>0.58816471980288088</v>
      </c>
      <c r="AJ55" s="193">
        <f>AJ30/AJ32</f>
        <v>0.72734631852809839</v>
      </c>
      <c r="AL55" s="193">
        <f>AL30/AL32</f>
        <v>0.8845217281462564</v>
      </c>
      <c r="AN55" s="193">
        <f>AN30/AN32</f>
        <v>0.98279313884856834</v>
      </c>
      <c r="AP55" s="193">
        <f>AP30/AP32</f>
        <v>0.99107009820036807</v>
      </c>
      <c r="AR55" s="193">
        <f>AR30/AR32</f>
        <v>0.99620143645310888</v>
      </c>
      <c r="AT55" s="193">
        <f>AT30/AT32</f>
        <v>0.99886974688474317</v>
      </c>
      <c r="AV55" s="193">
        <f>AV30/AV32</f>
        <v>0.99985851207888576</v>
      </c>
      <c r="XCS55" s="193"/>
      <c r="XFD55" s="193"/>
    </row>
    <row r="56" spans="1:48 16321:16384" x14ac:dyDescent="0.2">
      <c r="A56" t="s">
        <v>170</v>
      </c>
      <c r="B56" s="193">
        <f>(Model!$C$52*B5*B20+B2*C5*C20)/B32</f>
        <v>2.9221206744340551E-2</v>
      </c>
      <c r="D56" s="193">
        <f>(Model!$C$52*D5*D20+D2*E5*E20)/D32</f>
        <v>3.6257638471995417E-2</v>
      </c>
      <c r="F56" s="193">
        <f>(Model!$C$52*F5*F20+F2*G5*G20)/F32</f>
        <v>4.3768932233845308E-2</v>
      </c>
      <c r="H56" s="193">
        <f>(Model!$C$52*H5*H20+H2*I5*I20)/H32</f>
        <v>5.1857037124434985E-2</v>
      </c>
      <c r="J56" s="193">
        <f>(Model!$C$52*J5*J20+J2*K5*K20)/J32</f>
        <v>6.0651786643313339E-2</v>
      </c>
      <c r="L56" s="193">
        <f>(Model!$C$52*L5*L20+L2*M5*M20)/L32</f>
        <v>7.0321034477189834E-2</v>
      </c>
      <c r="N56" s="193">
        <f>(Model!$C$52*N5*N20+N2*O5*O20)/N32</f>
        <v>8.1085268015143347E-2</v>
      </c>
      <c r="P56" s="193">
        <f>(Model!$C$52*P5*P20+P2*Q5*Q20)/P32</f>
        <v>9.3239767447523436E-2</v>
      </c>
      <c r="R56" s="193">
        <f>(Model!$C$52*R5*R20+R2*S5*S20)/R32</f>
        <v>0.10718857160623771</v>
      </c>
      <c r="T56" s="193">
        <f>(Model!$C$52*T5*T20+T2*U5*U20)/T32</f>
        <v>0.12349982359348102</v>
      </c>
      <c r="V56" s="193">
        <f>(Model!$C$52*V5*V20+V2*W5*W20)/V32</f>
        <v>0.14299713545517498</v>
      </c>
      <c r="X56" s="193">
        <f>(Model!$C$52*X5*X20+X2*Y5*Y20)/X32</f>
        <v>0.16691941594985962</v>
      </c>
      <c r="Z56" s="193">
        <f>(Model!$C$52*Z5*Z20+Z2*AA5*AA20)/Z32</f>
        <v>0.19720975976933192</v>
      </c>
      <c r="AB56" s="193">
        <f>(Model!$C$52*AB5*AB20+AB2*AC5*AC20)/AB32</f>
        <v>0.23705494405811159</v>
      </c>
      <c r="AD56" s="193">
        <f>(Model!$C$52*AD5*AD20+AD2*AE5*AE20)/AD32</f>
        <v>0.29189375173864712</v>
      </c>
      <c r="AF56" s="193">
        <f>(Model!$C$52*AF5*AF20+AF2*AG5*AG20)/AF32</f>
        <v>0.37110789690275864</v>
      </c>
      <c r="AH56" s="193">
        <f>(Model!$C$52*AH5*AH20+AH2*AI5*AI20)/AH32</f>
        <v>0.48934827948897192</v>
      </c>
      <c r="AJ56" s="193">
        <f>(Model!$C$52*AJ5*AJ20+AJ2*AK5*AK20)/AJ32</f>
        <v>0.65879829469170392</v>
      </c>
      <c r="AL56" s="193">
        <f>(Model!$C$52*AL5*AL20+AL2*AM5*AM20)/AL32</f>
        <v>0.85032657740945272</v>
      </c>
      <c r="AN56" s="193">
        <f>(Model!$C$52*AN5*AN20+AN2*AO5*AO20)/AN32</f>
        <v>0.97010432135576941</v>
      </c>
      <c r="AP56" s="193">
        <f>(Model!$C$52*AP5*AP20+AP2*AQ5*AQ20)/AP32</f>
        <v>0.98019318825573565</v>
      </c>
      <c r="AR56" s="193">
        <f>(Model!$C$52*AR5*AR20+AR2*AS5*AS20)/AR32</f>
        <v>0.98644790415098105</v>
      </c>
      <c r="AT56" s="193">
        <f>(Model!$C$52*AT5*AT20+AT2*AU5*AU20)/AT32</f>
        <v>0.98970042087391952</v>
      </c>
      <c r="AV56" s="193">
        <f>(Model!$C$52*AV5*AV20+AV2*AW5*AW20)/AV32</f>
        <v>0.99090568965838088</v>
      </c>
      <c r="XFD56" s="193"/>
    </row>
    <row r="57" spans="1:48 16321:16384" x14ac:dyDescent="0.2">
      <c r="A57" t="s">
        <v>171</v>
      </c>
      <c r="B57" s="193">
        <f t="array" ref="B57">SUM(Model!tauL*B13:C13*B26:C26)/B32</f>
        <v>0.15852881819439493</v>
      </c>
      <c r="D57" s="193">
        <f t="array" ref="D57">SUM(Model!tauL*D13:E13*D26:E26)/D32</f>
        <v>0.15821060700498576</v>
      </c>
      <c r="F57" s="193">
        <f t="array" ref="F57">SUM(Model!tauL*F13:G13*F26:G26)/F32</f>
        <v>0.15780115032115505</v>
      </c>
      <c r="H57" s="193">
        <f t="array" ref="H57">SUM(Model!tauL*H13:I13*H26:I26)/H32</f>
        <v>0.15728204253901068</v>
      </c>
      <c r="J57" s="193">
        <f t="array" ref="J57">SUM(Model!tauL*J13:K13*J26:K26)/J32</f>
        <v>0.15662981989064967</v>
      </c>
      <c r="L57" s="193">
        <f t="array" ref="L57">SUM(Model!tauL*L13:M13*L26:M26)/L32</f>
        <v>0.1558141070485545</v>
      </c>
      <c r="N57" s="193">
        <f t="array" ref="N57">SUM(Model!tauL*N13:O13*N26:O26)/N32</f>
        <v>0.15479491869725498</v>
      </c>
      <c r="P57" s="193">
        <f t="array" ref="P57">SUM(Model!tauL*P13:Q13*P26:Q26)/P32</f>
        <v>0.15351858644143604</v>
      </c>
      <c r="R57" s="193">
        <f t="array" ref="R57">SUM(Model!tauL*R13:S13*R26:S26)/R32</f>
        <v>0.15191144205839849</v>
      </c>
      <c r="T57" s="193">
        <f t="array" ref="T57">SUM(Model!tauL*T13:U13*T26:U26)/T32</f>
        <v>0.14986960533325375</v>
      </c>
      <c r="V57" s="193">
        <f t="array" ref="V57">SUM(Model!tauL*V13:W13*V26:W26)/V32</f>
        <v>0.14724203569485214</v>
      </c>
      <c r="X57" s="193">
        <f t="array" ref="X57">SUM(Model!tauL*X13:Y13*X26:Y26)/X32</f>
        <v>0.14380104753371112</v>
      </c>
      <c r="Y57" s="193"/>
      <c r="Z57" s="193">
        <f t="array" ref="Z57">SUM(Model!tauL*Z13:AA13*Z26:AA26)/Z32</f>
        <v>0.1391891995728344</v>
      </c>
      <c r="AB57" s="193">
        <f t="array" ref="AB57">SUM(Model!tauL*AB13:AC13*AB26:AC26)/AB32</f>
        <v>0.13282063031605656</v>
      </c>
      <c r="AD57" s="193">
        <f t="array" ref="AD57">SUM(Model!tauL*AD13:AE13*AD26:AE26)/AD32</f>
        <v>0.123697831932586</v>
      </c>
      <c r="AF57" s="193">
        <f t="array" ref="AF57">SUM(Model!tauL*AF13:AG13*AF26:AG26)/AF32</f>
        <v>0.1101067620276268</v>
      </c>
      <c r="AH57" s="193">
        <f t="array" ref="AH57">SUM(Model!tauL*AH13:AI13*AH26:AI26)/AH32</f>
        <v>8.9383202178421134E-2</v>
      </c>
      <c r="AJ57" s="193">
        <f t="array" ref="AJ57">SUM(Model!tauL*AJ13:AK13*AJ26:AK26)/AJ32</f>
        <v>5.9319736673485418E-2</v>
      </c>
      <c r="AL57" s="193">
        <f t="array" ref="AL57">SUM(Model!tauL*AL13:AM13*AL26:AM26)/AL32</f>
        <v>2.5155387151832635E-2</v>
      </c>
      <c r="AN57" s="193">
        <f t="array" ref="AN57">SUM(Model!tauL*AN13:AO13*AN26:AO26)/AN32</f>
        <v>3.7503224903079235E-3</v>
      </c>
      <c r="AP57" s="193">
        <f t="array" ref="AP57">SUM(Model!tauL*AP13:AQ13*AP26:AQ26)/AP32</f>
        <v>1.9464650496765761E-3</v>
      </c>
      <c r="AR57" s="193">
        <f t="array" ref="AR57">SUM(Model!tauL*AR13:AS13*AR26:AS26)/AR32</f>
        <v>8.280431326493714E-4</v>
      </c>
      <c r="AT57" s="193">
        <f t="array" ref="AT57">SUM(Model!tauL*AT13:AU13*AT26:AU26)/AT32</f>
        <v>2.4640320277975205E-4</v>
      </c>
      <c r="AV57" s="193">
        <f t="array" ref="AV57">SUM(Model!tauL*AV13:AW13*AV26:AW26)/AV32</f>
        <v>3.0848672491666459E-5</v>
      </c>
      <c r="XFD57" s="193"/>
    </row>
    <row r="58" spans="1:48 16321:16384" x14ac:dyDescent="0.2">
      <c r="A58" t="s">
        <v>172</v>
      </c>
      <c r="B58" s="193">
        <f t="array" ref="B58">SUM(Model!tauY/(1+Model!tauY)*B3:C3*B18:C18)/B32</f>
        <v>1.075269412108535E-2</v>
      </c>
      <c r="D58" s="193">
        <f t="array" ref="D58">SUM(Model!tauY/(1+Model!tauY)*D3:E3*D18:E18)/D32</f>
        <v>1.0686770332609953E-2</v>
      </c>
      <c r="F58" s="193">
        <f t="array" ref="F58">SUM(Model!tauY/(1+Model!tauY)*F3:G3*F18:G18)/F32</f>
        <v>1.0621577330432451E-2</v>
      </c>
      <c r="H58" s="193">
        <f t="array" ref="H58">SUM(Model!tauY/(1+Model!tauY)*H3:I3*H18:I18)/H32</f>
        <v>1.0557059815938791E-2</v>
      </c>
      <c r="J58" s="193">
        <f t="array" ref="J58">SUM(Model!tauY/(1+Model!tauY)*J3:K3*J18:K18)/J32</f>
        <v>1.049312448474979E-2</v>
      </c>
      <c r="L58" s="193">
        <f t="array" ref="L58">SUM(Model!tauY/(1+Model!tauY)*L3:M3*L18:M18)/L32</f>
        <v>1.0429623730505039E-2</v>
      </c>
      <c r="N58" s="193">
        <f t="array" ref="N58">SUM(Model!tauY/(1+Model!tauY)*N3:O3*N18:O18)/N32</f>
        <v>1.0366326985247299E-2</v>
      </c>
      <c r="P58" s="193">
        <f t="array" ref="P58">SUM(Model!tauY/(1+Model!tauY)*P3:Q3*P18:Q18)/P32</f>
        <v>1.0302879525119742E-2</v>
      </c>
      <c r="R58" s="193">
        <f t="array" ref="R58">SUM(Model!tauY/(1+Model!tauY)*R3:S3*R18:S18)/R32</f>
        <v>1.023873742781148E-2</v>
      </c>
      <c r="T58" s="193">
        <f t="array" ref="T58">SUM(Model!tauY/(1+Model!tauY)*T3:U3*T18:U18)/T32</f>
        <v>1.0173074654584446E-2</v>
      </c>
      <c r="V58" s="193">
        <f t="array" ref="V58">SUM(Model!tauY/(1+Model!tauY)*V3:W3*V18:W18)/V32</f>
        <v>1.0104632915094131E-2</v>
      </c>
      <c r="X58" s="193">
        <f t="array" ref="X58">SUM(Model!tauY/(1+Model!tauY)*X3:Y3*X18:Y18)/X32</f>
        <v>1.0031498722330705E-2</v>
      </c>
      <c r="Y58" s="193"/>
      <c r="Z58" s="193">
        <f t="array" ref="Z58">SUM(Model!tauY/(1+Model!tauY)*Z3:AA3*Z18:AA18)/Z32</f>
        <v>9.9507599252935935E-3</v>
      </c>
      <c r="AB58" s="193">
        <f t="array" ref="AB58">SUM(Model!tauY/(1+Model!tauY)*AB3:AC3*AB18:AC18)/AB32</f>
        <v>9.8580026029567256E-3</v>
      </c>
      <c r="AD58" s="193">
        <f t="array" ref="AD58">SUM(Model!tauY/(1+Model!tauY)*AD3:AE3*AD18:AE18)/AD32</f>
        <v>9.7466860332852939E-3</v>
      </c>
      <c r="AF58" s="193">
        <f t="array" ref="AF58">SUM(Model!tauY/(1+Model!tauY)*AF3:AG3*AF18:AG18)/AF32</f>
        <v>9.6079173095262073E-3</v>
      </c>
      <c r="AH58" s="193">
        <f t="array" ref="AH58">SUM(Model!tauY/(1+Model!tauY)*AH3:AI3*AH18:AI18)/AH32</f>
        <v>9.4332381354877981E-3</v>
      </c>
      <c r="AJ58" s="193">
        <f t="array" ref="AJ58">SUM(Model!tauY/(1+Model!tauY)*AJ3:AK3*AJ18:AK18)/AJ32</f>
        <v>9.2282871629089346E-3</v>
      </c>
      <c r="AL58" s="193">
        <f t="array" ref="AL58">SUM(Model!tauY/(1+Model!tauY)*AL3:AM3*AL18:AM18)/AL32</f>
        <v>9.0397635849710951E-3</v>
      </c>
      <c r="AN58" s="193">
        <f t="array" ref="AN58">SUM(Model!tauY/(1+Model!tauY)*AN3:AO3*AN18:AO18)/AN32</f>
        <v>8.9384950024910762E-3</v>
      </c>
      <c r="AP58" s="193">
        <f t="array" ref="AP58">SUM(Model!tauY/(1+Model!tauY)*AP3:AQ3*AP18:AQ18)/AP32</f>
        <v>8.930444894955876E-3</v>
      </c>
      <c r="AR58" s="193">
        <f t="array" ref="AR58">SUM(Model!tauY/(1+Model!tauY)*AR3:AS3*AR18:AS18)/AR32</f>
        <v>8.9254891694784781E-3</v>
      </c>
      <c r="AT58" s="193">
        <f t="array" ref="AT58">SUM(Model!tauY/(1+Model!tauY)*AT3:AU3*AT18:AU18)/AT32</f>
        <v>8.9229228080438972E-3</v>
      </c>
      <c r="AV58" s="193">
        <f t="array" ref="AV58">SUM(Model!tauY/(1+Model!tauY)*AV3:AW3*AV18:AW18)/AV32</f>
        <v>8.9219737480131702E-3</v>
      </c>
      <c r="XFD58" s="193"/>
    </row>
    <row r="59" spans="1:48 16321:16384" x14ac:dyDescent="0.2">
      <c r="A59" t="s">
        <v>173</v>
      </c>
      <c r="B59" s="193">
        <f>(B2*C5*C20)/B32</f>
        <v>5.5174232040962052E-4</v>
      </c>
      <c r="D59" s="193">
        <f>(D2*E5*E20)/D32</f>
        <v>7.6602719852364443E-3</v>
      </c>
      <c r="F59" s="193">
        <f>(F2*G5*G20)/F32</f>
        <v>1.5245706999316497E-2</v>
      </c>
      <c r="H59" s="193">
        <f>(H2*I5*I20)/H32</f>
        <v>2.3410336110394246E-2</v>
      </c>
      <c r="J59" s="193">
        <f>(J2*K5*K20)/J32</f>
        <v>3.2284396506071379E-2</v>
      </c>
      <c r="L59" s="193">
        <f>(L2*M5*M20)/L32</f>
        <v>4.2036225325681222E-2</v>
      </c>
      <c r="N59" s="193">
        <f>(N2*O5*O20)/N32</f>
        <v>5.2886893024454019E-2</v>
      </c>
      <c r="P59" s="193">
        <f>(P2*Q5*Q20)/P32</f>
        <v>6.5132392129295058E-2</v>
      </c>
      <c r="R59" s="193">
        <f>(R2*S5*S20)/R32</f>
        <v>7.9177643652446283E-2</v>
      </c>
      <c r="T59" s="193">
        <f>(T2*U5*U20)/T32</f>
        <v>9.5591910323986173E-2</v>
      </c>
      <c r="V59" s="193">
        <f>(V2*W5*W20)/V32</f>
        <v>0.11520027110151161</v>
      </c>
      <c r="X59" s="193">
        <f>(X2*Y5*Y20)/X32</f>
        <v>0.13924364914692103</v>
      </c>
      <c r="Z59" s="193">
        <f>(Z2*AA5*AA20)/Z32</f>
        <v>0.16966807782221033</v>
      </c>
      <c r="AB59" s="193">
        <f>(AB2*AC5*AC20)/AB32</f>
        <v>0.20966492797296632</v>
      </c>
      <c r="AD59" s="193">
        <f>(AD2*AE5*AE20)/AD32</f>
        <v>0.26468061619768946</v>
      </c>
      <c r="AF59" s="193">
        <f>(AF2*AG5*AG20)/AF32</f>
        <v>0.34410971246040395</v>
      </c>
      <c r="AH59" s="193">
        <f>(AH2*AI5*AI20)/AH32</f>
        <v>0.46262168070553139</v>
      </c>
      <c r="AJ59" s="193">
        <f>(AJ2*AK5*AK20)/AJ32</f>
        <v>0.63240749793427631</v>
      </c>
      <c r="AL59" s="193">
        <f>(AL2*AM5*AM20)/AL32</f>
        <v>0.82427161492139289</v>
      </c>
      <c r="AN59" s="193">
        <f>(AN2*AO5*AO20)/AN32</f>
        <v>0.94424225805380058</v>
      </c>
      <c r="AP59" s="193">
        <f>(AP2*AQ5*AQ20)/AP32</f>
        <v>0.95434684477378451</v>
      </c>
      <c r="AR59" s="193">
        <f>(AR2*AS5*AS20)/AR32</f>
        <v>0.96061126540193387</v>
      </c>
      <c r="AT59" s="193">
        <f>(AT2*AU5*AU20)/AT32</f>
        <v>0.963868815598935</v>
      </c>
      <c r="AV59" s="193">
        <f>(AV2*AW5*AW20)/AV32</f>
        <v>0.96507594691723286</v>
      </c>
      <c r="XFD59" s="193"/>
    </row>
    <row r="60" spans="1:48 16321:16384" x14ac:dyDescent="0.2">
      <c r="A60" t="s">
        <v>174</v>
      </c>
      <c r="B60" s="193">
        <f>Model!$C$52*B5*B20/B32</f>
        <v>2.8669464423930927E-2</v>
      </c>
      <c r="D60" s="193">
        <f>Model!$C$52*D5*D20/D32</f>
        <v>2.8597366486758969E-2</v>
      </c>
      <c r="F60" s="193">
        <f>Model!$C$52*F5*F20/F32</f>
        <v>2.8523225234528812E-2</v>
      </c>
      <c r="H60" s="193">
        <f>Model!$C$52*H5*H20/H32</f>
        <v>2.8446701014040739E-2</v>
      </c>
      <c r="J60" s="193">
        <f>Model!$C$52*J5*J20/J32</f>
        <v>2.836739013724196E-2</v>
      </c>
      <c r="L60" s="193">
        <f>Model!$C$52*L5*L20/L32</f>
        <v>2.8284809151508612E-2</v>
      </c>
      <c r="N60" s="193">
        <f>Model!$C$52*N5*N20/N32</f>
        <v>2.8198374990689331E-2</v>
      </c>
      <c r="P60" s="193">
        <f>Model!$C$52*P5*P20/P32</f>
        <v>2.8107375318228378E-2</v>
      </c>
      <c r="R60" s="193">
        <f>Model!$C$52*R5*R20/R32</f>
        <v>2.8010927953791429E-2</v>
      </c>
      <c r="T60" s="193">
        <f>Model!$C$52*T5*T20/T32</f>
        <v>2.7907913269494836E-2</v>
      </c>
      <c r="V60" s="193">
        <f>Model!$C$52*V5*V20/V32</f>
        <v>2.7796864353663353E-2</v>
      </c>
      <c r="X60" s="193">
        <f>Model!$C$52*X5*X20/X32</f>
        <v>2.7675766802938592E-2</v>
      </c>
      <c r="Z60" s="193">
        <f>Model!$C$52*Z5*Z20/Z32</f>
        <v>2.7541681947121574E-2</v>
      </c>
      <c r="AB60" s="193">
        <f>Model!$C$52*AB5*AB20/AB32</f>
        <v>2.7390016085145266E-2</v>
      </c>
      <c r="AD60" s="193">
        <f>Model!$C$52*AD5*AD20/AD32</f>
        <v>2.7213135540957681E-2</v>
      </c>
      <c r="AF60" s="193">
        <f>Model!$C$52*AF5*AF20/AF32</f>
        <v>2.6998184442354699E-2</v>
      </c>
      <c r="AH60" s="193">
        <f>Model!$C$52*AH5*AH20/AH32</f>
        <v>2.6726598783440511E-2</v>
      </c>
      <c r="AJ60" s="193">
        <f>Model!$C$52*AJ5*AJ20/AJ32</f>
        <v>2.6390796757427674E-2</v>
      </c>
      <c r="AL60" s="193">
        <f>Model!$C$52*AL5*AL20/AL32</f>
        <v>2.6054962488059785E-2</v>
      </c>
      <c r="AN60" s="193">
        <f>Model!$C$52*AN5*AN20/AN32</f>
        <v>2.5862063301968767E-2</v>
      </c>
      <c r="AP60" s="193">
        <f>Model!$C$52*AP5*AP20/AP32</f>
        <v>2.5846343481951171E-2</v>
      </c>
      <c r="AR60" s="193">
        <f>Model!$C$52*AR5*AR20/AR32</f>
        <v>2.5836638749047215E-2</v>
      </c>
      <c r="AT60" s="193">
        <f>Model!$C$52*AT5*AT20/AT32</f>
        <v>2.5831605274984435E-2</v>
      </c>
      <c r="AV60" s="193">
        <f>Model!$C$52*AV5*AV20/AV32</f>
        <v>2.5829742741148021E-2</v>
      </c>
      <c r="XFD60" s="193"/>
    </row>
    <row r="62" spans="1:48 16321:16384" x14ac:dyDescent="0.2">
      <c r="A62" t="s">
        <v>175</v>
      </c>
      <c r="B62">
        <f>B13/B15</f>
        <v>1</v>
      </c>
      <c r="D62">
        <f>D13/D15</f>
        <v>1.0112413319442786</v>
      </c>
      <c r="F62">
        <f>F13/F15</f>
        <v>1.0226207272585313</v>
      </c>
      <c r="H62">
        <f>H13/H15</f>
        <v>1.0341398776523847</v>
      </c>
      <c r="J62">
        <f>J13/J15</f>
        <v>1.0458004413493238</v>
      </c>
      <c r="L62">
        <f>L13/L15</f>
        <v>1.0576037519400814</v>
      </c>
      <c r="N62">
        <f>N13/N15</f>
        <v>1.0695499952181038</v>
      </c>
      <c r="P62">
        <f>P13/P15</f>
        <v>1.081637278725238</v>
      </c>
      <c r="R62">
        <f>R13/R15</f>
        <v>1.0938587789110519</v>
      </c>
      <c r="T62">
        <f>T13/T15</f>
        <v>1.1061988442973025</v>
      </c>
      <c r="V62">
        <f>V13/V15</f>
        <v>1.1186248518943398</v>
      </c>
      <c r="X62">
        <f>X13/X15</f>
        <v>1.1310739714847358</v>
      </c>
      <c r="Z62">
        <f>Z13/Z15</f>
        <v>1.1434304992222404</v>
      </c>
      <c r="AB62">
        <f>AB13/AB15</f>
        <v>1.1554889063402014</v>
      </c>
      <c r="AD62">
        <f>AD13/AD15</f>
        <v>1.1668983119176271</v>
      </c>
      <c r="AF62">
        <f>AF13/AF15</f>
        <v>1.1770967865129494</v>
      </c>
      <c r="AH62">
        <f>AH13/AH15</f>
        <v>1.1853060975107605</v>
      </c>
      <c r="AJ62">
        <f>AJ13/AJ15</f>
        <v>1.1908110242580801</v>
      </c>
      <c r="AL62">
        <f>AL13/AL15</f>
        <v>1.1936581687341241</v>
      </c>
      <c r="AN62">
        <f>AN13/AN15</f>
        <v>1.1948987935058468</v>
      </c>
      <c r="AP62">
        <f>AP13/AP15</f>
        <v>1.1950729533670046</v>
      </c>
      <c r="AR62">
        <f>AR13/AR15</f>
        <v>1.1952489990547721</v>
      </c>
      <c r="AT62">
        <f>AT13/AT15</f>
        <v>1.1954433882000852</v>
      </c>
      <c r="AV62">
        <f>AV13/AV15</f>
        <v>1.1956881635997398</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0.99811787712945255</v>
      </c>
      <c r="E65" s="191"/>
      <c r="F65" s="191">
        <f t="array" ref="F65">SQRT((F9:G9*$B$22:$C$22+F10:G10*$B$23:$C$23+F11:G11*$B$24:$C$24+F4:G4*($B$25:$C$25-$B$19:$C$19))/($B$9:$C$9*$B$22:$C$22+$B$10:$C$10*$B$23:$C$23+$B$11:$C$11*$B$24:$C$24+$B$4:$C$4*($B$25:$C$25-$B$19:$C$19))*(F9:G9*F22:G22+F10:G10*F23:G23+F11:G11*F24:G24+F4:G4*(F25:G25-F19:G19))/($B$9:$C$9*F22:G22+$B$10:$C$10*F23:G23+$B$11:$C$11*F24:G24+$B$4:$C$4*(F25:G25-F19:G19)))</f>
        <v>0.99610034992442531</v>
      </c>
      <c r="G65" s="191"/>
      <c r="H65" s="191">
        <f t="array" ref="H65">SQRT((H9:I9*$B$22:$C$22+H10:I10*$B$23:$C$23+H11:I11*$B$24:$C$24+H4:I4*($B$25:$C$25-$B$19:$C$19))/($B$9:$C$9*$B$22:$C$22+$B$10:$C$10*$B$23:$C$23+$B$11:$C$11*$B$24:$C$24+$B$4:$C$4*($B$25:$C$25-$B$19:$C$19))*(H9:I9*H22:I22+H10:I10*H23:I23+H11:I11*H24:I24+H4:I4*(H25:I25-H19:I19))/($B$9:$C$9*H22:I22+$B$10:$C$10*H23:I23+$B$11:$C$11*H24:I24+$B$4:$C$4*(H25:I25-H19:I19)))</f>
        <v>0.99392332811542372</v>
      </c>
      <c r="I65" s="191"/>
      <c r="J65" s="191">
        <f t="array" ref="J65">SQRT((J9:K9*$B$22:$C$22+J10:K10*$B$23:$C$23+J11:K11*$B$24:$C$24+J4:K4*($B$25:$C$25-$B$19:$C$19))/($B$9:$C$9*$B$22:$C$22+$B$10:$C$10*$B$23:$C$23+$B$11:$C$11*$B$24:$C$24+$B$4:$C$4*($B$25:$C$25-$B$19:$C$19))*(J9:K9*J22:K22+J10:K10*J23:K23+J11:K11*J24:K24+J4:K4*(J25:K25-J19:K19))/($B$9:$C$9*J22:K22+$B$10:$C$10*J23:K23+$B$11:$C$11*J24:K24+$B$4:$C$4*(J25:K25-J19:K19)))</f>
        <v>0.99155623764608503</v>
      </c>
      <c r="K65" s="191"/>
      <c r="L65" s="191">
        <f t="array" ref="L65">SQRT((L9:M9*$B$22:$C$22+L10:M10*$B$23:$C$23+L11:M11*$B$24:$C$24+L4:M4*($B$25:$C$25-$B$19:$C$19))/($B$9:$C$9*$B$22:$C$22+$B$10:$C$10*$B$23:$C$23+$B$11:$C$11*$B$24:$C$24+$B$4:$C$4*($B$25:$C$25-$B$19:$C$19))*(L9:M9*L22:M22+L10:M10*L23:M23+L11:M11*L24:M24+L4:M4*(L25:M25-L19:M19))/($B$9:$C$9*L22:M22+$B$10:$C$10*L23:M23+$B$11:$C$11*L24:M24+$B$4:$C$4*(L25:M25-L19:M19)))</f>
        <v>0.98895997243435285</v>
      </c>
      <c r="M65" s="191"/>
      <c r="N65" s="191">
        <f t="array" ref="N65">SQRT((N9:O9*$B$22:$C$22+N10:O10*$B$23:$C$23+N11:O11*$B$24:$C$24+N4:O4*($B$25:$C$25-$B$19:$C$19))/($B$9:$C$9*$B$22:$C$22+$B$10:$C$10*$B$23:$C$23+$B$11:$C$11*$B$24:$C$24+$B$4:$C$4*($B$25:$C$25-$B$19:$C$19))*(N9:O9*N22:O22+N10:O10*N23:O23+N11:O11*N24:O24+N4:O4*(N25:O25-N19:O19))/($B$9:$C$9*N22:O22+$B$10:$C$10*N23:O23+$B$11:$C$11*N24:O24+$B$4:$C$4*(N25:O25-N19:O19)))</f>
        <v>0.98608421027715121</v>
      </c>
      <c r="O65" s="191"/>
      <c r="P65" s="191">
        <f t="array" ref="P65">SQRT((P9:Q9*$B$22:$C$22+P10:Q10*$B$23:$C$23+P11:Q11*$B$24:$C$24+P4:Q4*($B$25:$C$25-$B$19:$C$19))/($B$9:$C$9*$B$22:$C$22+$B$10:$C$10*$B$23:$C$23+$B$11:$C$11*$B$24:$C$24+$B$4:$C$4*($B$25:$C$25-$B$19:$C$19))*(P9:Q9*P22:Q22+P10:Q10*P23:Q23+P11:Q11*P24:Q24+P4:Q4*(P25:Q25-P19:Q19))/($B$9:$C$9*P22:Q22+$B$10:$C$10*P23:Q23+$B$11:$C$11*P24:Q24+$B$4:$C$4*(P25:Q25-P19:Q19)))</f>
        <v>0.98286386122751002</v>
      </c>
      <c r="Q65" s="191"/>
      <c r="R65" s="191">
        <f t="array" ref="R65">SQRT((R9:S9*$B$22:$C$22+R10:S10*$B$23:$C$23+R11:S11*$B$24:$C$24+R4:S4*($B$25:$C$25-$B$19:$C$19))/($B$9:$C$9*$B$22:$C$22+$B$10:$C$10*$B$23:$C$23+$B$11:$C$11*$B$24:$C$24+$B$4:$C$4*($B$25:$C$25-$B$19:$C$19))*(R9:S9*R22:S22+R10:S10*R23:S23+R11:S11*R24:S24+R4:S4*(R25:S25-R19:S19))/($B$9:$C$9*R22:S22+$B$10:$C$10*R23:S23+$B$11:$C$11*R24:S24+$B$4:$C$4*(R25:S25-R19:S19)))</f>
        <v>0.97921465353467874</v>
      </c>
      <c r="S65" s="191"/>
      <c r="T65" s="191">
        <f t="array" ref="T65">SQRT((T9:U9*$B$22:$C$22+T10:U10*$B$23:$C$23+T11:U11*$B$24:$C$24+T4:U4*($B$25:$C$25-$B$19:$C$19))/($B$9:$C$9*$B$22:$C$22+$B$10:$C$10*$B$23:$C$23+$B$11:$C$11*$B$24:$C$24+$B$4:$C$4*($B$25:$C$25-$B$19:$C$19))*(T9:U9*T22:U22+T10:U10*T23:U23+T11:U11*T24:U24+T4:U4*(T25:U25-T19:U19))/($B$9:$C$9*T22:U22+$B$10:$C$10*T23:U23+$B$11:$C$11*T24:U24+$B$4:$C$4*(T25:U25-T19:U19)))</f>
        <v>0.97502751351566519</v>
      </c>
      <c r="U65" s="191"/>
      <c r="V65" s="191">
        <f t="array" ref="V65">SQRT((V9:W9*$B$22:$C$22+V10:W10*$B$23:$C$23+V11:W11*$B$24:$C$24+V4:W4*($B$25:$C$25-$B$19:$C$19))/($B$9:$C$9*$B$22:$C$22+$B$10:$C$10*$B$23:$C$23+$B$11:$C$11*$B$24:$C$24+$B$4:$C$4*($B$25:$C$25-$B$19:$C$19))*(V9:W9*V22:W22+V10:W10*V23:W23+V11:W11*V24:W24+V4:W4*(V25:W25-V19:W19))/($B$9:$C$9*V22:W22+$B$10:$C$10*V23:W23+$B$11:$C$11*V24:W24+$B$4:$C$4*(V25:W25-V19:W19)))</f>
        <v>0.97016269105851383</v>
      </c>
      <c r="W65" s="191"/>
      <c r="X65" s="191">
        <f t="array" ref="X65">SQRT((X9:Y9*$B$22:$C$22+X10:Y10*$B$23:$C$23+X11:Y11*$B$24:$C$24+X4:Y4*($B$25:$C$25-$B$19:$C$19))/($B$9:$C$9*$B$22:$C$22+$B$10:$C$10*$B$23:$C$23+$B$11:$C$11*$B$24:$C$24+$B$4:$C$4*($B$25:$C$25-$B$19:$C$19))*(X9:Y9*X22:Y22+X10:Y10*X23:Y23+X11:Y11*X24:Y24+X4:Y4*(X25:Y25-X19:Y19))/($B$9:$C$9*X22:Y22+$B$10:$C$10*X23:Y23+$B$11:$C$11*X24:Y24+$B$4:$C$4*(X25:Y25-X19:Y19)))</f>
        <v>0.96444485571192751</v>
      </c>
      <c r="Y65" s="191"/>
      <c r="Z65" s="191">
        <f t="array" ref="Z65">SQRT((Z9:AA9*$B$22:$C$22+Z10:AA10*$B$23:$C$23+Z11:AA11*$B$24:$C$24+Z4:AA4*($B$25:$C$25-$B$19:$C$19))/($B$9:$C$9*$B$22:$C$22+$B$10:$C$10*$B$23:$C$23+$B$11:$C$11*$B$24:$C$24+$B$4:$C$4*($B$25:$C$25-$B$19:$C$19))*(Z9:AA9*Z22:AA22+Z10:AA10*Z23:AA23+Z11:AA11*Z24:AA24+Z4:AA4*(Z25:AA25-Z19:AA19))/($B$9:$C$9*Z22:AA22+$B$10:$C$10*Z23:AA23+$B$11:$C$11*Z24:AA24+$B$4:$C$4*(Z25:AA25-Z19:AA19)))</f>
        <v>0.95766459017951433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0.94960019447311605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0.94009606702148785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0.92928102629021858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0.91804149638148713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0.90849915831641337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0.90292525066723661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0.9010261737174865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0.9009038411667547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0.90083030445596368</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0.90079264638672984</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0.90077873602067793</v>
      </c>
    </row>
    <row r="66" spans="1:48 16384:16384" x14ac:dyDescent="0.2">
      <c r="A66" t="s">
        <v>182</v>
      </c>
      <c r="B66" s="191">
        <f t="array" ref="B66">SQRT((B9:C9*$B$22:$C$22)/($B$9:$C$9*$B$22:$C$22)*(B9:C9*B22:C22)/($B$9:$C$9*B22:C22))</f>
        <v>1</v>
      </c>
      <c r="C66" s="191"/>
      <c r="D66" s="191">
        <f t="array" ref="D66">SQRT((D9:E9*$B$22:$C$22)/($B$9:$C$9*$B$22:$C$22)*(D9:E9*D22:E22)/($B$9:$C$9*D22:E22))</f>
        <v>0.99793079778287919</v>
      </c>
      <c r="E66" s="191"/>
      <c r="F66" s="191">
        <f t="array" ref="F66">SQRT((F9:G9*$B$22:$C$22)/($B$9:$C$9*$B$22:$C$22)*(F9:G9*F22:G22)/($B$9:$C$9*F22:G22))</f>
        <v>0.99571114273630079</v>
      </c>
      <c r="G66" s="191"/>
      <c r="H66" s="191">
        <f t="array" ref="H66">SQRT((H9:I9*$B$22:$C$22)/($B$9:$C$9*$B$22:$C$22)*(H9:I9*H22:I22)/($B$9:$C$9*H22:I22))</f>
        <v>0.9933141211972546</v>
      </c>
      <c r="I66" s="191"/>
      <c r="J66" s="191">
        <f t="array" ref="J66">SQRT((J9:K9*$B$22:$C$22)/($B$9:$C$9*$B$22:$C$22)*(J9:K9*J22:K22)/($B$9:$C$9*J22:K22))</f>
        <v>0.99070553612218426</v>
      </c>
      <c r="K66" s="191"/>
      <c r="L66" s="191">
        <f t="array" ref="L66">SQRT((L9:M9*$B$22:$C$22)/($B$9:$C$9*$B$22:$C$22)*(L9:M9*L22:M22)/($B$9:$C$9*L22:M22))</f>
        <v>0.98784158411040268</v>
      </c>
      <c r="M66" s="191"/>
      <c r="N66" s="191">
        <f t="array" ref="N66">SQRT((N9:O9*$B$22:$C$22)/($B$9:$C$9*$B$22:$C$22)*(N9:O9*N22:O22)/($B$9:$C$9*N22:O22))</f>
        <v>0.98466579591333203</v>
      </c>
      <c r="O66" s="191"/>
      <c r="P66" s="191">
        <f t="array" ref="P66">SQRT((P9:Q9*$B$22:$C$22)/($B$9:$C$9*$B$22:$C$22)*(P9:Q9*P22:Q22)/($B$9:$C$9*P22:Q22))</f>
        <v>0.98110496420443194</v>
      </c>
      <c r="Q66" s="191"/>
      <c r="R66" s="191">
        <f t="array" ref="R66">SQRT((R9:S9*$B$22:$C$22)/($B$9:$C$9*$B$22:$C$22)*(R9:S9*R22:S22)/($B$9:$C$9*R22:S22))</f>
        <v>0.97706403101044947</v>
      </c>
      <c r="S66" s="191"/>
      <c r="T66" s="191">
        <f t="array" ref="T66">SQRT((T9:U9*$B$22:$C$22)/($B$9:$C$9*$B$22:$C$22)*(T9:U9*T22:U22)/($B$9:$C$9*T22:U22))</f>
        <v>0.97241950280180911</v>
      </c>
      <c r="U66" s="191"/>
      <c r="V66" s="191">
        <f t="array" ref="V66">SQRT((V9:W9*$B$22:$C$22)/($B$9:$C$9*$B$22:$C$22)*(V9:W9*V22:W22)/($B$9:$C$9*V22:W22))</f>
        <v>0.96701236658226408</v>
      </c>
      <c r="W66" s="191"/>
      <c r="X66" s="191">
        <f t="array" ref="X66">SQRT((X9:Y9*$B$22:$C$22)/($B$9:$C$9*$B$22:$C$22)*(X9:Y9*X22:Y22)/($B$9:$C$9*X22:Y22))</f>
        <v>0.96064175745162317</v>
      </c>
      <c r="Y66" s="191"/>
      <c r="Z66" s="191">
        <f t="array" ref="Z66">SQRT((Z9:AA9*$B$22:$C$22)/($B$9:$C$9*$B$22:$C$22)*(Z9:AA9*Z22:AA22)/($B$9:$C$9*Z22:AA22))</f>
        <v>0.9530652993555323</v>
      </c>
      <c r="AA66" s="191"/>
      <c r="AB66" s="191">
        <f t="array" ref="AB66">SQRT((AB9:AC9*$B$22:$C$22)/($B$9:$C$9*$B$22:$C$22)*(AB9:AC9*AB22:AC22)/($B$9:$C$9*AB22:AC22))</f>
        <v>0.94402169147735371</v>
      </c>
      <c r="AC66" s="191"/>
      <c r="AD66" s="191">
        <f t="array" ref="AD66">SQRT((AD9:AE9*$B$22:$C$22)/($B$9:$C$9*$B$22:$C$22)*(AD9:AE9*AD22:AE22)/($B$9:$C$9*AD22:AE22))</f>
        <v>0.93331699957986136</v>
      </c>
      <c r="AE66" s="191"/>
      <c r="AF66" s="191">
        <f t="array" ref="AF66">SQRT((AF9:AG9*$B$22:$C$22)/($B$9:$C$9*$B$22:$C$22)*(AF9:AG9*AF22:AG22)/($B$9:$C$9*AF22:AG22))</f>
        <v>0.92107206919815632</v>
      </c>
      <c r="AG66" s="191"/>
      <c r="AH66" s="191">
        <f t="array" ref="AH66">SQRT((AH9:AI9*$B$22:$C$22)/($B$9:$C$9*$B$22:$C$22)*(AH9:AI9*AH22:AI22)/($B$9:$C$9*AH22:AI22))</f>
        <v>0.90827137235361233</v>
      </c>
      <c r="AI66" s="191"/>
      <c r="AJ66" s="191">
        <f t="array" ref="AJ66">SQRT((AJ9:AK9*$B$22:$C$22)/($B$9:$C$9*$B$22:$C$22)*(AJ9:AK9*AJ22:AK22)/($B$9:$C$9*AJ22:AK22))</f>
        <v>0.89734074026558841</v>
      </c>
      <c r="AK66" s="191"/>
      <c r="AL66" s="191">
        <f t="array" ref="AL66">SQRT((AL9:AM9*$B$22:$C$22)/($B$9:$C$9*$B$22:$C$22)*(AL9:AM9*AL22:AM22)/($B$9:$C$9*AL22:AM22))</f>
        <v>0.8909282581782777</v>
      </c>
      <c r="AM66" s="191"/>
      <c r="AN66" s="191">
        <f t="array" ref="AN66">SQRT((AN9:AO9*$B$22:$C$22)/($B$9:$C$9*$B$22:$C$22)*(AN9:AO9*AN22:AO22)/($B$9:$C$9*AN22:AO22))</f>
        <v>0.88873878675604245</v>
      </c>
      <c r="AO66" s="191"/>
      <c r="AP66" s="191">
        <f t="array" ref="AP66">SQRT((AP9:AQ9*$B$22:$C$22)/($B$9:$C$9*$B$22:$C$22)*(AP9:AQ9*AP22:AQ22)/($B$9:$C$9*AP22:AQ22))</f>
        <v>0.88859766855346167</v>
      </c>
      <c r="AQ66" s="191"/>
      <c r="AR66" s="191">
        <f t="array" ref="AR66">SQRT((AR9:AS9*$B$22:$C$22)/($B$9:$C$9*$B$22:$C$22)*(AR9:AS9*AR22:AS22)/($B$9:$C$9*AR22:AS22))</f>
        <v>0.88851283480153054</v>
      </c>
      <c r="AS66" s="191"/>
      <c r="AT66" s="191">
        <f t="array" ref="AT66">SQRT((AT9:AU9*$B$22:$C$22)/($B$9:$C$9*$B$22:$C$22)*(AT9:AU9*AT22:AU22)/($B$9:$C$9*AT22:AU22))</f>
        <v>0.88846939015061388</v>
      </c>
      <c r="AU66" s="191"/>
      <c r="AV66" s="191">
        <f t="array" ref="AV66">SQRT((AV9:AW9*$B$22:$C$22)/($B$9:$C$9*$B$22:$C$22)*(AV9:AW9*AV22:AW22)/($B$9:$C$9*AV22:AW22))</f>
        <v>0.88845334203727822</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0.99793079778287919</v>
      </c>
      <c r="E68" s="191"/>
      <c r="F68" s="191">
        <f>F66/F67</f>
        <v>0.99571114273630079</v>
      </c>
      <c r="G68" s="191"/>
      <c r="H68" s="191">
        <f>H66/H67</f>
        <v>0.9933141211972546</v>
      </c>
      <c r="I68" s="191"/>
      <c r="J68" s="191">
        <f>J66/J67</f>
        <v>0.99070553612218426</v>
      </c>
      <c r="K68" s="191"/>
      <c r="L68" s="191">
        <f>L66/L67</f>
        <v>0.98784158411040268</v>
      </c>
      <c r="M68" s="191"/>
      <c r="N68" s="191">
        <f>N66/N67</f>
        <v>0.98466579591333203</v>
      </c>
      <c r="O68" s="191"/>
      <c r="P68" s="191">
        <f>P66/P67</f>
        <v>0.98110496420443194</v>
      </c>
      <c r="Q68" s="191"/>
      <c r="R68" s="191">
        <f>R66/R67</f>
        <v>0.97706403101044947</v>
      </c>
      <c r="S68" s="191"/>
      <c r="T68" s="191">
        <f>T66/T67</f>
        <v>0.97241950280180911</v>
      </c>
      <c r="U68" s="191"/>
      <c r="V68" s="191">
        <f>V66/V67</f>
        <v>0.96701236658226408</v>
      </c>
      <c r="W68" s="191"/>
      <c r="X68" s="191">
        <f>X66/X67</f>
        <v>0.96064175745162317</v>
      </c>
      <c r="Y68" s="191"/>
      <c r="Z68" s="191">
        <f>Z66/Z67</f>
        <v>0.9530652993555323</v>
      </c>
      <c r="AA68" s="191"/>
      <c r="AB68" s="191">
        <f>AB66/AB67</f>
        <v>0.94402169147735371</v>
      </c>
      <c r="AC68" s="191"/>
      <c r="AD68" s="191">
        <f>AD66/AD67</f>
        <v>0.93331699957986136</v>
      </c>
      <c r="AE68" s="191"/>
      <c r="AF68" s="191">
        <f>AF66/AF67</f>
        <v>0.92107206919815632</v>
      </c>
      <c r="AG68" s="191"/>
      <c r="AH68" s="191">
        <f>AH66/AH67</f>
        <v>0.90827137235361233</v>
      </c>
      <c r="AI68" s="191"/>
      <c r="AJ68" s="191">
        <f>AJ66/AJ67</f>
        <v>0.89734074026558841</v>
      </c>
      <c r="AK68" s="191"/>
      <c r="AL68" s="191">
        <f>AL66/AL67</f>
        <v>0.8909282581782777</v>
      </c>
      <c r="AM68" s="191"/>
      <c r="AN68" s="191">
        <f>AN66/AN67</f>
        <v>0.88873878675604245</v>
      </c>
      <c r="AO68" s="191"/>
      <c r="AP68" s="191">
        <f>AP66/AP67</f>
        <v>0.88859766855346167</v>
      </c>
      <c r="AQ68" s="191"/>
      <c r="AR68" s="191">
        <f>AR66/AR67</f>
        <v>0.88851283480153054</v>
      </c>
      <c r="AS68" s="191"/>
      <c r="AT68" s="191">
        <f>AT66/AT67</f>
        <v>0.88846939015061388</v>
      </c>
      <c r="AU68" s="191"/>
      <c r="AV68" s="191">
        <f>AV66/AV67</f>
        <v>0.88845334203727822</v>
      </c>
      <c r="XFD68" s="191"/>
    </row>
    <row r="69" spans="1:48 16384:16384" x14ac:dyDescent="0.2">
      <c r="A69" t="s">
        <v>177</v>
      </c>
      <c r="B69" s="191">
        <f>B32/B65/($B$32)</f>
        <v>1</v>
      </c>
      <c r="C69" s="191"/>
      <c r="D69" s="191">
        <f>D32/D65/($B$32)</f>
        <v>1.0024581988850159</v>
      </c>
      <c r="E69" s="191"/>
      <c r="F69" s="191">
        <f>F32/F65/($B$32)</f>
        <v>1.0047746076501536</v>
      </c>
      <c r="G69" s="191"/>
      <c r="H69" s="191">
        <f>H32/H65/($B$32)</f>
        <v>1.0069128184809908</v>
      </c>
      <c r="I69" s="191"/>
      <c r="J69" s="191">
        <f>J32/J65/($B$32)</f>
        <v>1.0088243812194544</v>
      </c>
      <c r="K69" s="191"/>
      <c r="L69" s="191">
        <f>L32/L65/($B$32)</f>
        <v>1.0104438563789926</v>
      </c>
      <c r="M69" s="191"/>
      <c r="N69" s="191">
        <f>N32/N65/($B$32)</f>
        <v>1.0116814493529294</v>
      </c>
      <c r="O69" s="191"/>
      <c r="P69" s="191">
        <f>P32/P65/($B$32)</f>
        <v>1.0124118376396833</v>
      </c>
      <c r="Q69" s="191"/>
      <c r="R69" s="191">
        <f>R32/R65/($B$32)</f>
        <v>1.0124567001910776</v>
      </c>
      <c r="S69" s="191"/>
      <c r="T69" s="191">
        <f>T32/T65/($B$32)</f>
        <v>1.0115564680568001</v>
      </c>
      <c r="U69" s="191"/>
      <c r="V69" s="191">
        <f>V32/V65/($B$32)</f>
        <v>1.0093234849366912</v>
      </c>
      <c r="W69" s="191"/>
      <c r="X69" s="191">
        <f>X32/X65/($B$32)</f>
        <v>1.00516014644572</v>
      </c>
      <c r="Y69" s="191"/>
      <c r="Z69" s="191">
        <f>Z32/Z65/($B$32)</f>
        <v>0.99810866868701287</v>
      </c>
      <c r="AA69" s="191"/>
      <c r="AB69" s="191">
        <f>AB32/AB65/($B$32)</f>
        <v>0.98655711942682922</v>
      </c>
      <c r="AC69" s="191"/>
      <c r="AD69" s="191">
        <f>AD32/AD65/($B$32)</f>
        <v>0.96762161900207466</v>
      </c>
      <c r="AE69" s="191"/>
      <c r="AF69" s="191">
        <f>AF32/AF65/($B$32)</f>
        <v>0.93575875006745146</v>
      </c>
      <c r="AG69" s="191"/>
      <c r="AH69" s="191">
        <f>AH32/AH65/($B$32)</f>
        <v>0.87960113609209911</v>
      </c>
      <c r="AI69" s="191"/>
      <c r="AJ69" s="191">
        <f>AJ32/AJ65/($B$32)</f>
        <v>0.7761709173735879</v>
      </c>
      <c r="AK69" s="191"/>
      <c r="AL69" s="191">
        <f>AL32/AL65/($B$32)</f>
        <v>0.59127123713911878</v>
      </c>
      <c r="AM69" s="191"/>
      <c r="AN69" s="191">
        <f>AN32/AN65/($B$32)</f>
        <v>0.3162930583818373</v>
      </c>
      <c r="AO69" s="191"/>
      <c r="AP69" s="191">
        <f>AP32/AP65/($B$32)</f>
        <v>0.25437353385638861</v>
      </c>
      <c r="AQ69" s="191"/>
      <c r="AR69" s="191">
        <f>AR32/AR65/($B$32)</f>
        <v>0.19139997396565392</v>
      </c>
      <c r="AS69" s="191"/>
      <c r="AT69" s="191">
        <f>AT32/AT65/($B$32)</f>
        <v>0.1278142996700905</v>
      </c>
      <c r="AU69" s="191"/>
      <c r="AV69" s="191">
        <f>AV32/AV65/($B$32)</f>
        <v>6.394681101139911E-2</v>
      </c>
    </row>
    <row r="70" spans="1:48 16384:16384" x14ac:dyDescent="0.2">
      <c r="A70" t="s">
        <v>178</v>
      </c>
      <c r="B70" s="138">
        <f>B18/$B$18</f>
        <v>1</v>
      </c>
      <c r="C70" s="138"/>
      <c r="D70" s="138">
        <f>D18/$B$18</f>
        <v>1.0005436477941421</v>
      </c>
      <c r="E70" s="138"/>
      <c r="F70" s="138">
        <f>F18/$B$18</f>
        <v>1.0009107752661364</v>
      </c>
      <c r="G70" s="138"/>
      <c r="H70" s="138">
        <f>H18/$B$18</f>
        <v>1.0010624845736948</v>
      </c>
      <c r="I70" s="138"/>
      <c r="J70" s="138">
        <f>J18/$B$18</f>
        <v>1.0009483785510678</v>
      </c>
      <c r="K70" s="138"/>
      <c r="L70" s="138">
        <f>L18/$B$18</f>
        <v>1.0005020716384454</v>
      </c>
      <c r="M70" s="138"/>
      <c r="N70" s="138">
        <f>N18/$B$18</f>
        <v>0.99963453198459329</v>
      </c>
      <c r="O70" s="138"/>
      <c r="P70" s="138">
        <f>P18/$B$18</f>
        <v>0.99822385318140672</v>
      </c>
      <c r="Q70" s="138"/>
      <c r="R70" s="138">
        <f>R18/$B$18</f>
        <v>0.99609910657080036</v>
      </c>
      <c r="S70" s="138"/>
      <c r="T70" s="138">
        <f>T18/$B$18</f>
        <v>0.99301364877046305</v>
      </c>
      <c r="U70" s="138"/>
      <c r="V70" s="138">
        <f>V18/$B$18</f>
        <v>0.98859973363167786</v>
      </c>
      <c r="W70" s="138"/>
      <c r="X70" s="138">
        <f>X18/$B$18</f>
        <v>0.98228681400193674</v>
      </c>
      <c r="Y70" s="138"/>
      <c r="Z70" s="138">
        <f>Z18/$B$18</f>
        <v>0.97314700732210113</v>
      </c>
      <c r="AA70" s="138"/>
      <c r="AB70" s="138">
        <f>AB18/$B$18</f>
        <v>0.95958486097757723</v>
      </c>
      <c r="AC70" s="138"/>
      <c r="AD70" s="138">
        <f>AD18/$B$18</f>
        <v>0.93867696990929028</v>
      </c>
      <c r="AE70" s="138"/>
      <c r="AF70" s="138">
        <f>AF18/$B$18</f>
        <v>0.90470943354034528</v>
      </c>
      <c r="AG70" s="138"/>
      <c r="AH70" s="138">
        <f>AH18/$B$18</f>
        <v>0.8460574119727694</v>
      </c>
      <c r="AI70" s="138"/>
      <c r="AJ70" s="138">
        <f>AJ18/$B$18</f>
        <v>0.74046054948926454</v>
      </c>
      <c r="AK70" s="138"/>
      <c r="AL70" s="138">
        <f>AL18/$B$18</f>
        <v>0.55838174551803199</v>
      </c>
      <c r="AM70" s="138"/>
      <c r="AN70" s="138">
        <f>AN18/$B$18</f>
        <v>0.29676286218252501</v>
      </c>
      <c r="AO70" s="138"/>
      <c r="AP70" s="138">
        <f>AP18/$B$18</f>
        <v>0.23853593578788818</v>
      </c>
      <c r="AQ70" s="138"/>
      <c r="AR70" s="138">
        <f>AR18/$B$18</f>
        <v>0.17942226718188051</v>
      </c>
      <c r="AS70" s="138"/>
      <c r="AT70" s="138">
        <f>AT18/$B$18</f>
        <v>0.11979462192260802</v>
      </c>
      <c r="AU70" s="138"/>
      <c r="AV70" s="138">
        <f>AV18/$B$18</f>
        <v>5.9930571413865853E-2</v>
      </c>
    </row>
    <row r="71" spans="1:48 16384:16384" x14ac:dyDescent="0.2">
      <c r="A71" t="s">
        <v>179</v>
      </c>
      <c r="B71" s="138">
        <f>C18/$C$18</f>
        <v>1</v>
      </c>
      <c r="D71" s="138">
        <f>E18/$C$18</f>
        <v>0.93429387684648457</v>
      </c>
      <c r="E71" s="138"/>
      <c r="F71" s="138">
        <f>G18/$C$18</f>
        <v>0.86846407153121075</v>
      </c>
      <c r="G71" s="138"/>
      <c r="H71" s="138">
        <f>I18/$C$18</f>
        <v>0.80253881470309629</v>
      </c>
      <c r="I71" s="138"/>
      <c r="J71" s="138">
        <f>K18/$C$18</f>
        <v>0.73655614562502691</v>
      </c>
      <c r="K71" s="138"/>
      <c r="L71" s="138">
        <f>M18/$C$18</f>
        <v>0.67056831797298044</v>
      </c>
      <c r="M71" s="138"/>
      <c r="N71" s="138">
        <f>O18/$C$18</f>
        <v>0.60464949214379926</v>
      </c>
      <c r="O71" s="138"/>
      <c r="P71" s="138">
        <f>Q18/$C$18</f>
        <v>0.53890548189250265</v>
      </c>
      <c r="Q71" s="138"/>
      <c r="R71" s="138">
        <f>S18/$C$18</f>
        <v>0.47349257577800696</v>
      </c>
      <c r="S71" s="138"/>
      <c r="T71" s="138">
        <f>U18/$C$18</f>
        <v>0.40864261298141313</v>
      </c>
      <c r="U71" s="138"/>
      <c r="V71" s="138">
        <f>W18/$C$18</f>
        <v>0.34470601153564878</v>
      </c>
      <c r="W71" s="138"/>
      <c r="X71" s="138">
        <f>Y18/$C$18</f>
        <v>0.28221471118388508</v>
      </c>
      <c r="Y71" s="138"/>
      <c r="Z71" s="138">
        <f>AA18/$C$18</f>
        <v>0.22197735780638628</v>
      </c>
      <c r="AA71" s="138"/>
      <c r="AB71" s="138">
        <f>AC18/$C$18</f>
        <v>0.16521453636981831</v>
      </c>
      <c r="AC71" s="138"/>
      <c r="AD71" s="138">
        <f>AE18/$C$18</f>
        <v>0.11372578609742959</v>
      </c>
      <c r="AE71" s="138"/>
      <c r="AF71" s="138">
        <f>AG18/$C$18</f>
        <v>7.0002890984410329E-2</v>
      </c>
      <c r="AG71" s="138"/>
      <c r="AH71" s="138">
        <f>AI18/$C$18</f>
        <v>3.6941180264588563E-2</v>
      </c>
      <c r="AI71" s="138"/>
      <c r="AJ71" s="138">
        <f>AK18/$C$18</f>
        <v>1.6361534913774768E-2</v>
      </c>
      <c r="AK71" s="138"/>
      <c r="AL71" s="138">
        <f>AM18/$C$18</f>
        <v>6.5104214795042182E-3</v>
      </c>
      <c r="AM71" s="138"/>
      <c r="AN71" s="138">
        <f>AO18/$C$18</f>
        <v>2.4380348955966706E-3</v>
      </c>
      <c r="AO71" s="138"/>
      <c r="AP71" s="138">
        <f>AQ18/$C$18</f>
        <v>1.9053765998062718E-3</v>
      </c>
      <c r="AQ71" s="138"/>
      <c r="AR71" s="138">
        <f>AS18/$C$18</f>
        <v>1.4085624632312241E-3</v>
      </c>
      <c r="AS71" s="138"/>
      <c r="AT71" s="138">
        <f>AU18/$C$18</f>
        <v>9.3203442265337182E-4</v>
      </c>
      <c r="AU71" s="138"/>
      <c r="AV71" s="138">
        <f>AW18/$C$18</f>
        <v>4.6472518906803698E-4</v>
      </c>
      <c r="XFD71" s="138"/>
    </row>
    <row r="72" spans="1:48 16384:16384" x14ac:dyDescent="0.2">
      <c r="A72" t="s">
        <v>180</v>
      </c>
      <c r="B72" s="138">
        <f>C19/$C$19</f>
        <v>1</v>
      </c>
      <c r="D72" s="138">
        <f>E19/$C$19</f>
        <v>1.0087240494596426</v>
      </c>
      <c r="E72" s="138"/>
      <c r="F72" s="138">
        <f>G19/$C$19</f>
        <v>1.0216295938325954</v>
      </c>
      <c r="G72" s="138"/>
      <c r="H72" s="138">
        <f>I19/$C$19</f>
        <v>1.0394950118957509</v>
      </c>
      <c r="I72" s="138"/>
      <c r="J72" s="138">
        <f>K19/$C$19</f>
        <v>1.0632867584433319</v>
      </c>
      <c r="K72" s="138"/>
      <c r="L72" s="138">
        <f>M19/$C$19</f>
        <v>1.0942145325097694</v>
      </c>
      <c r="M72" s="138"/>
      <c r="N72" s="138">
        <f>O19/$C$19</f>
        <v>1.1337928416598664</v>
      </c>
      <c r="O72" s="138"/>
      <c r="P72" s="138">
        <f>Q19/$C$19</f>
        <v>1.1839235953845855</v>
      </c>
      <c r="Q72" s="138"/>
      <c r="R72" s="138">
        <f>S19/$C$19</f>
        <v>1.2469747313254917</v>
      </c>
      <c r="S72" s="138"/>
      <c r="T72" s="138">
        <f>U19/$C$19</f>
        <v>1.3258693098368157</v>
      </c>
      <c r="U72" s="138"/>
      <c r="V72" s="138">
        <f>W19/$C$19</f>
        <v>1.4240975503153313</v>
      </c>
      <c r="W72" s="138"/>
      <c r="X72" s="138">
        <f>Y19/$C$19</f>
        <v>1.5455634652490255</v>
      </c>
      <c r="Y72" s="138"/>
      <c r="Z72" s="138">
        <f>AA19/$C$19</f>
        <v>1.6939254654209654</v>
      </c>
      <c r="AA72" s="138"/>
      <c r="AB72" s="138">
        <f>AC19/$C$19</f>
        <v>1.8706303748134387</v>
      </c>
      <c r="AC72" s="138"/>
      <c r="AD72" s="138">
        <f>AE19/$C$19</f>
        <v>2.0696473483937967</v>
      </c>
      <c r="AE72" s="138"/>
      <c r="AF72" s="138">
        <f>AG19/$C$19</f>
        <v>2.2644304038646808</v>
      </c>
      <c r="AG72" s="138"/>
      <c r="AH72" s="138">
        <f>AI19/$C$19</f>
        <v>2.3811326306035383</v>
      </c>
      <c r="AI72" s="138"/>
      <c r="AJ72" s="138">
        <f>AK19/$C$19</f>
        <v>2.2725372506555139</v>
      </c>
      <c r="AK72" s="138"/>
      <c r="AL72" s="138">
        <f>AM19/$C$19</f>
        <v>1.7859443742256089</v>
      </c>
      <c r="AM72" s="138"/>
      <c r="AN72" s="138">
        <f>AO19/$C$19</f>
        <v>0.95861708984223171</v>
      </c>
      <c r="AO72" s="138"/>
      <c r="AP72" s="138">
        <f>AQ19/$C$19</f>
        <v>0.77089180344382702</v>
      </c>
      <c r="AQ72" s="138"/>
      <c r="AR72" s="138">
        <f>AS19/$C$19</f>
        <v>0.58000660244362312</v>
      </c>
      <c r="AS72" s="138"/>
      <c r="AT72" s="138">
        <f>AU19/$C$19</f>
        <v>0.38730438282095975</v>
      </c>
      <c r="AU72" s="138"/>
      <c r="AV72" s="138">
        <f>AW19/$C$19</f>
        <v>0.19376933075159275</v>
      </c>
      <c r="XFD72" s="138"/>
    </row>
    <row r="73" spans="1:48 16384:16384" x14ac:dyDescent="0.2">
      <c r="A73" t="s">
        <v>184</v>
      </c>
      <c r="B73" s="193">
        <f t="array" ref="B73">SUM(B9:C9*B22:C22)/B32</f>
        <v>0.47641153352875198</v>
      </c>
      <c r="D73" s="193">
        <f t="array" ref="D73">SUM(D9:E9*D22:E22)/D32</f>
        <v>0.47641154335800723</v>
      </c>
      <c r="E73" s="138"/>
      <c r="F73" s="193">
        <f t="array" ref="F73">SUM(F9:G9*F22:G22)/F32</f>
        <v>0.47641153681042375</v>
      </c>
      <c r="G73" s="138"/>
      <c r="H73" s="193">
        <f t="array" ref="H73">SUM(H9:I9*H22:I22)/H32</f>
        <v>0.47641153784303614</v>
      </c>
      <c r="I73" s="138"/>
      <c r="J73" s="193">
        <f t="array" ref="J73">SUM(J9:K9*J22:K22)/J32</f>
        <v>0.4764115337369188</v>
      </c>
      <c r="K73" s="138"/>
      <c r="L73" s="193">
        <f t="array" ref="L73">SUM(L9:M9*L22:M22)/L32</f>
        <v>0.47641153966150585</v>
      </c>
      <c r="M73" s="138"/>
      <c r="N73" s="193">
        <f t="array" ref="N73">SUM(N9:O9*N22:O22)/N32</f>
        <v>0.47641153438851436</v>
      </c>
      <c r="O73" s="138"/>
      <c r="P73" s="193">
        <f t="array" ref="P73">SUM(P9:Q9*P22:Q22)/P32</f>
        <v>0.47641154801234026</v>
      </c>
      <c r="Q73" s="138"/>
      <c r="R73" s="193">
        <f t="array" ref="R73">SUM(R9:S9*R22:S22)/R32</f>
        <v>0.47641153802002589</v>
      </c>
      <c r="S73" s="138"/>
      <c r="T73" s="193">
        <f t="array" ref="T73">SUM(T9:U9*T22:U22)/T32</f>
        <v>0.47641154158962928</v>
      </c>
      <c r="U73" s="138"/>
      <c r="V73" s="193">
        <f t="array" ref="V73">SUM(V9:W9*V22:W22)/V32</f>
        <v>0.47641153997634444</v>
      </c>
      <c r="W73" s="138"/>
      <c r="X73" s="193">
        <f t="array" ref="X73">SUM(X9:Y9*X22:Y22)/X32</f>
        <v>0.47641153385884732</v>
      </c>
      <c r="Y73" s="138"/>
      <c r="Z73" s="193">
        <f t="array" ref="Z73">SUM(Z9:AA9*Z22:AA22)/Z32</f>
        <v>0.47641153494746469</v>
      </c>
      <c r="AA73" s="138"/>
      <c r="AB73" s="193">
        <f t="array" ref="AB73">SUM(AB9:AC9*AB22:AC22)/AB32</f>
        <v>0.47641153413512838</v>
      </c>
      <c r="AC73" s="138"/>
      <c r="AD73" s="193">
        <f t="array" ref="AD73">SUM(AD9:AE9*AD22:AE22)/AD32</f>
        <v>0.4764115345578499</v>
      </c>
      <c r="AE73" s="138"/>
      <c r="AF73" s="193">
        <f t="array" ref="AF73">SUM(AF9:AG9*AF22:AG22)/AF32</f>
        <v>0.4764115336017492</v>
      </c>
      <c r="AG73" s="138"/>
      <c r="AH73" s="193">
        <f t="array" ref="AH73">SUM(AH9:AI9*AH22:AI22)/AH32</f>
        <v>0.47641153357404892</v>
      </c>
      <c r="AI73" s="138"/>
      <c r="AJ73" s="193">
        <f t="array" ref="AJ73">SUM(AJ9:AK9*AJ22:AK22)/AJ32</f>
        <v>0.47641153354653176</v>
      </c>
      <c r="AK73" s="138"/>
      <c r="AL73" s="193">
        <f t="array" ref="AL73">SUM(AL9:AM9*AL22:AM22)/AL32</f>
        <v>0.47641153219041138</v>
      </c>
      <c r="AM73" s="138"/>
      <c r="AN73" s="193">
        <f t="array" ref="AN73">SUM(AN9:AO9*AN22:AO22)/AN32</f>
        <v>0.47641153352467197</v>
      </c>
      <c r="AO73" s="138"/>
      <c r="AP73" s="193">
        <f t="array" ref="AP73">SUM(AP9:AQ9*AP22:AQ22)/AP32</f>
        <v>0.47641153349423321</v>
      </c>
      <c r="AQ73" s="138"/>
      <c r="AR73" s="193">
        <f t="array" ref="AR73">SUM(AR9:AS9*AR22:AS22)/AR32</f>
        <v>0.47641153353144666</v>
      </c>
      <c r="AS73" s="138"/>
      <c r="AT73" s="193">
        <f t="array" ref="AT73">SUM(AT9:AU9*AT22:AU22)/AT32</f>
        <v>0.47641153353303628</v>
      </c>
      <c r="AU73" s="138"/>
      <c r="AV73" s="193">
        <f t="array" ref="AV73">SUM(AV9:AW9*AV22:AW22)/AV32</f>
        <v>0.47641153352922883</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0.22604620456442487</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0.22038438839027333</v>
      </c>
      <c r="E75" s="138"/>
      <c r="F75" s="193">
        <f t="array" ref="F75">SUM(F11:G11*F24:G24)/F32</f>
        <v>0.22038438832095855</v>
      </c>
      <c r="G75" s="138"/>
      <c r="H75" s="193">
        <f t="array" ref="H75">SUM(H11:I11*H24:I24)/H32</f>
        <v>0.22038438831519999</v>
      </c>
      <c r="I75" s="138"/>
      <c r="J75" s="193">
        <f t="array" ref="J75">SUM(J11:K11*J24:K24)/J32</f>
        <v>0.22038438833152085</v>
      </c>
      <c r="K75" s="138"/>
      <c r="L75" s="193">
        <f t="array" ref="L75">SUM(L11:M11*L24:M24)/L32</f>
        <v>0.22038438829882251</v>
      </c>
      <c r="M75" s="138"/>
      <c r="N75" s="193">
        <f t="array" ref="N75">SUM(N11:O11*N24:O24)/N32</f>
        <v>0.22038438833777252</v>
      </c>
      <c r="O75" s="138"/>
      <c r="P75" s="193">
        <f t="array" ref="P75">SUM(P11:Q11*P24:Q24)/P32</f>
        <v>0.22038438819478642</v>
      </c>
      <c r="Q75" s="138"/>
      <c r="R75" s="193">
        <f t="array" ref="R75">SUM(R11:S11*R24:S24)/R32</f>
        <v>0.22038438827423865</v>
      </c>
      <c r="S75" s="138"/>
      <c r="T75" s="193">
        <f t="array" ref="T75">SUM(T11:U11*T24:U24)/T32</f>
        <v>0.2203843881956401</v>
      </c>
      <c r="U75" s="138"/>
      <c r="V75" s="193">
        <f t="array" ref="V75">SUM(V11:W11*V24:W24)/V32</f>
        <v>0.22038438819665668</v>
      </c>
      <c r="W75" s="138"/>
      <c r="X75" s="193">
        <f t="array" ref="X75">SUM(X11:Y11*X24:Y24)/X32</f>
        <v>0.22038438833618151</v>
      </c>
      <c r="Y75" s="138"/>
      <c r="Z75" s="193">
        <f t="array" ref="Z75">SUM(Z11:AA11*Z24:AA24)/Z32</f>
        <v>0.22038438831274731</v>
      </c>
      <c r="AA75" s="138"/>
      <c r="AB75" s="193">
        <f t="array" ref="AB75">SUM(AB11:AC11*AB24:AC24)/AB32</f>
        <v>0.22038438832189591</v>
      </c>
      <c r="AC75" s="138"/>
      <c r="AD75" s="193">
        <f t="array" ref="AD75">SUM(AD11:AE11*AD24:AE24)/AD32</f>
        <v>0.22038438833203805</v>
      </c>
      <c r="AE75" s="138"/>
      <c r="AF75" s="193">
        <f t="array" ref="AF75">SUM(AF11:AG11*AF24:AG24)/AF32</f>
        <v>0.22038438835845414</v>
      </c>
      <c r="AG75" s="138"/>
      <c r="AH75" s="193">
        <f t="array" ref="AH75">SUM(AH11:AI11*AH24:AI24)/AH32</f>
        <v>0.22038438832633656</v>
      </c>
      <c r="AI75" s="138"/>
      <c r="AJ75" s="193">
        <f t="array" ref="AJ75">SUM(AJ11:AK11*AJ24:AK24)/AJ32</f>
        <v>0.22038438832777513</v>
      </c>
      <c r="AK75" s="138"/>
      <c r="AL75" s="193">
        <f t="array" ref="AL75">SUM(AL11:AM11*AL24:AM24)/AL32</f>
        <v>0.22038438840509736</v>
      </c>
      <c r="AM75" s="138"/>
      <c r="AN75" s="193">
        <f t="array" ref="AN75">SUM(AN11:AO11*AN24:AO24)/AN32</f>
        <v>0.22038438833237131</v>
      </c>
      <c r="AO75" s="138"/>
      <c r="AP75" s="193">
        <f t="array" ref="AP75">SUM(AP11:AQ11*AP24:AQ24)/AP32</f>
        <v>0.22038438833573715</v>
      </c>
      <c r="AQ75" s="138"/>
      <c r="AR75" s="193">
        <f t="array" ref="AR75">SUM(AR11:AS11*AR24:AS24)/AR32</f>
        <v>0.22038438833163454</v>
      </c>
      <c r="AS75" s="138"/>
      <c r="AT75" s="193">
        <f t="array" ref="AT75">SUM(AT11:AU11*AT24:AU24)/AT32</f>
        <v>0.22038438833144502</v>
      </c>
      <c r="AU75" s="138"/>
      <c r="AV75" s="193">
        <f t="array" ref="AV75">SUM(AV11:AW11*AV24:AW24)/AV32</f>
        <v>0.22038438833188462</v>
      </c>
      <c r="XFD75" s="193"/>
    </row>
    <row r="76" spans="1:48 16384:16384" x14ac:dyDescent="0.2">
      <c r="A76" t="s">
        <v>187</v>
      </c>
      <c r="B76" s="193">
        <f t="array" ref="B76">SUM(B12:C12*B25:C25)/B32</f>
        <v>0.22301874374724892</v>
      </c>
      <c r="D76" s="193">
        <f t="array" ref="D76">SUM(D12:E12*D25:E25)/D32</f>
        <v>0.22283944655884386</v>
      </c>
      <c r="E76" s="138"/>
      <c r="F76" s="193">
        <f t="array" ref="F76">SUM(F12:G12*F25:G25)/F32</f>
        <v>0.2227303933856323</v>
      </c>
      <c r="G76" s="138"/>
      <c r="H76" s="193">
        <f t="array" ref="H76">SUM(H12:I12*H25:I25)/H32</f>
        <v>0.22270512581354496</v>
      </c>
      <c r="I76" s="138"/>
      <c r="J76" s="193">
        <f t="array" ref="J76">SUM(J12:K12*J25:K25)/J32</f>
        <v>0.22278088378289129</v>
      </c>
      <c r="K76" s="138"/>
      <c r="L76" s="193">
        <f t="array" ref="L76">SUM(L12:M12*L25:M25)/L32</f>
        <v>0.22297977374130845</v>
      </c>
      <c r="M76" s="138"/>
      <c r="N76" s="193">
        <f t="array" ref="N76">SUM(N12:O12*N25:O25)/N32</f>
        <v>0.2233303564321247</v>
      </c>
      <c r="O76" s="138"/>
      <c r="P76" s="193">
        <f t="array" ref="P76">SUM(P12:Q12*P25:Q25)/P32</f>
        <v>0.22386974586279998</v>
      </c>
      <c r="Q76" s="138"/>
      <c r="R76" s="193">
        <f t="array" ref="R76">SUM(R12:S12*R25:S25)/R32</f>
        <v>0.22464636707882701</v>
      </c>
      <c r="S76" s="138"/>
      <c r="T76" s="193">
        <f t="array" ref="T76">SUM(T12:U12*T25:U25)/T32</f>
        <v>0.22572352023586828</v>
      </c>
      <c r="U76" s="138"/>
      <c r="V76" s="193">
        <f t="array" ref="V76">SUM(V12:W12*V25:W25)/V32</f>
        <v>0.22718345934979392</v>
      </c>
      <c r="W76" s="138"/>
      <c r="X76" s="193">
        <f t="array" ref="X76">SUM(X12:Y12*X25:Y25)/X32</f>
        <v>0.2291312171237769</v>
      </c>
      <c r="Y76" s="138"/>
      <c r="Z76" s="193">
        <f t="array" ref="Z76">SUM(Z12:AA12*Z25:AA25)/Z32</f>
        <v>0.23169480148848026</v>
      </c>
      <c r="AA76" s="138"/>
      <c r="AB76" s="193">
        <f t="array" ref="AB76">SUM(AB12:AC12*AB25:AC25)/AB32</f>
        <v>0.23501182340592019</v>
      </c>
      <c r="AC76" s="138"/>
      <c r="AD76" s="193">
        <f t="array" ref="AD76">SUM(AD12:AE12*AD25:AE25)/AD32</f>
        <v>0.23917447222240065</v>
      </c>
      <c r="AE76" s="138"/>
      <c r="AF76" s="193">
        <f t="array" ref="AF76">SUM(AF12:AG12*AF25:AG25)/AF32</f>
        <v>0.24406429454039086</v>
      </c>
      <c r="AG76" s="138"/>
      <c r="AH76" s="193">
        <f t="array" ref="AH76">SUM(AH12:AI12*AH25:AI25)/AH32</f>
        <v>0.24898333444365611</v>
      </c>
      <c r="AI76" s="138"/>
      <c r="AJ76" s="193">
        <f t="array" ref="AJ76">SUM(AJ12:AK12*AJ25:AK25)/AJ32</f>
        <v>0.2523583515265661</v>
      </c>
      <c r="AK76" s="138"/>
      <c r="AL76" s="193">
        <f t="array" ref="AL76">SUM(AL12:AM12*AL25:AM25)/AL32</f>
        <v>0.25303649424281516</v>
      </c>
      <c r="AM76" s="138"/>
      <c r="AN76" s="193">
        <f t="array" ref="AN76">SUM(AN12:AO12*AN25:AO25)/AN32</f>
        <v>0.252502301136105</v>
      </c>
      <c r="AO76" s="138"/>
      <c r="AP76" s="193">
        <f t="array" ref="AP76">SUM(AP12:AQ12*AP25:AQ25)/AP32</f>
        <v>0.25243545144709345</v>
      </c>
      <c r="AQ76" s="138"/>
      <c r="AR76" s="193">
        <f t="array" ref="AR76">SUM(AR12:AS12*AR25:AS25)/AR32</f>
        <v>0.25239274721489435</v>
      </c>
      <c r="AS76" s="138"/>
      <c r="AT76" s="193">
        <f t="array" ref="AT76">SUM(AT12:AU12*AT25:AU25)/AT32</f>
        <v>0.25237024821354259</v>
      </c>
      <c r="AU76" s="138"/>
      <c r="AV76" s="193">
        <f t="array" ref="AV76">SUM(AV12:AW12*AV25:AW25)/AV32</f>
        <v>0.25236190441213874</v>
      </c>
      <c r="XFD76" s="193"/>
    </row>
    <row r="77" spans="1:48 16384:16384" x14ac:dyDescent="0.2">
      <c r="A77" t="s">
        <v>188</v>
      </c>
      <c r="B77" s="193">
        <f t="array" ref="B77">SUM(B4:C4*B19:C19)/B32</f>
        <v>0.14586087017236635</v>
      </c>
      <c r="D77" s="193">
        <f t="array" ref="D77">SUM(D4:E4*D19:E19)/D32</f>
        <v>0.14568158287154903</v>
      </c>
      <c r="E77" s="138"/>
      <c r="F77" s="193">
        <f t="array" ref="F77">SUM(F4:G4*F19:G19)/F32</f>
        <v>0.14557252308143931</v>
      </c>
      <c r="G77" s="138"/>
      <c r="H77" s="193">
        <f t="array" ref="H77">SUM(H4:I4*H19:I19)/H32</f>
        <v>0.14554725653620579</v>
      </c>
      <c r="I77" s="138"/>
      <c r="J77" s="193">
        <f t="array" ref="J77">SUM(J4:K4*J19:K19)/J32</f>
        <v>0.14562301041575568</v>
      </c>
      <c r="K77" s="138"/>
      <c r="L77" s="193">
        <f t="array" ref="L77">SUM(L4:M4*L19:M19)/L32</f>
        <v>0.14582190626606148</v>
      </c>
      <c r="M77" s="138"/>
      <c r="N77" s="193">
        <f t="array" ref="N77">SUM(N4:O4*N19:O19)/N32</f>
        <v>0.14617248372283637</v>
      </c>
      <c r="O77" s="138"/>
      <c r="P77" s="193">
        <f t="array" ref="P77">SUM(P4:Q4*P19:Q19)/P32</f>
        <v>0.14671188663435142</v>
      </c>
      <c r="Q77" s="138"/>
      <c r="R77" s="193">
        <f t="array" ref="R77">SUM(R4:S4*R19:S19)/R32</f>
        <v>0.14748849793751637</v>
      </c>
      <c r="S77" s="138"/>
      <c r="T77" s="193">
        <f t="array" ref="T77">SUM(T4:U4*T19:U19)/T32</f>
        <v>0.14856565458556226</v>
      </c>
      <c r="U77" s="138"/>
      <c r="V77" s="193">
        <f t="array" ref="V77">SUM(V4:W4*V19:W19)/V32</f>
        <v>0.1500255920872198</v>
      </c>
      <c r="W77" s="138"/>
      <c r="X77" s="193">
        <f t="array" ref="X77">SUM(X4:Y4*X19:Y19)/X32</f>
        <v>0.15197334388323033</v>
      </c>
      <c r="Y77" s="138"/>
      <c r="Z77" s="193">
        <f t="array" ref="Z77">SUM(Z4:AA4*Z19:AA19)/Z32</f>
        <v>0.15453692931311683</v>
      </c>
      <c r="AA77" s="138"/>
      <c r="AB77" s="193">
        <f t="array" ref="AB77">SUM(AB4:AC4*AB19:AC19)/AB32</f>
        <v>0.15785395042736933</v>
      </c>
      <c r="AC77" s="138"/>
      <c r="AD77" s="193">
        <f t="array" ref="AD77">SUM(AD4:AE4*AD19:AE19)/AD32</f>
        <v>0.16201659967671345</v>
      </c>
      <c r="AE77" s="138"/>
      <c r="AF77" s="193">
        <f t="array" ref="AF77">SUM(AF4:AG4*AF19:AG19)/AF32</f>
        <v>0.16690642106501907</v>
      </c>
      <c r="AG77" s="138"/>
      <c r="AH77" s="193">
        <f t="array" ref="AH77">SUM(AH4:AI4*AH19:AI19)/AH32</f>
        <v>0.17182546090846643</v>
      </c>
      <c r="AI77" s="138"/>
      <c r="AJ77" s="193">
        <f t="array" ref="AJ77">SUM(AJ4:AK4*AJ19:AK19)/AJ32</f>
        <v>0.17520047796529772</v>
      </c>
      <c r="AK77" s="138"/>
      <c r="AL77" s="193">
        <f t="array" ref="AL77">SUM(AL4:AM4*AL19:AM19)/AL32</f>
        <v>0.17587861940274863</v>
      </c>
      <c r="AM77" s="138"/>
      <c r="AN77" s="193">
        <f t="array" ref="AN77">SUM(AN4:AO4*AN19:AO19)/AN32</f>
        <v>0.1753444275575729</v>
      </c>
      <c r="AO77" s="138"/>
      <c r="AP77" s="193">
        <f t="array" ref="AP77">SUM(AP4:AQ4*AP19:AQ19)/AP32</f>
        <v>0.17527757784148851</v>
      </c>
      <c r="AQ77" s="138"/>
      <c r="AR77" s="193">
        <f t="array" ref="AR77">SUM(AR4:AS4*AR19:AS19)/AR32</f>
        <v>0.17523487364240026</v>
      </c>
      <c r="AS77" s="138"/>
      <c r="AT77" s="193">
        <f t="array" ref="AT77">SUM(AT4:AU4*AT19:AU19)/AT32</f>
        <v>0.17521237464244863</v>
      </c>
      <c r="AU77" s="138"/>
      <c r="AV77" s="193">
        <f t="array" ref="AV77">SUM(AV4:AW4*AV19:AW19)/AV32</f>
        <v>0.1752040308376771</v>
      </c>
      <c r="XFD77" s="193"/>
    </row>
    <row r="78" spans="1:48 16384:16384" x14ac:dyDescent="0.2">
      <c r="A78" t="s">
        <v>189</v>
      </c>
      <c r="B78" s="193">
        <f t="array" ref="B78">SUM(B13:C13*B26:C26)/B32</f>
        <v>0.346887593115773</v>
      </c>
      <c r="D78" s="193">
        <f t="array" ref="D78">SUM(D13:E13*D26:E26)/D32</f>
        <v>0.34619129376241953</v>
      </c>
      <c r="E78" s="138"/>
      <c r="F78" s="193">
        <f t="array" ref="F78">SUM(F13:G13*F26:G26)/F32</f>
        <v>0.34529533399209533</v>
      </c>
      <c r="G78" s="138"/>
      <c r="H78" s="193">
        <f t="array" ref="H78">SUM(H13:I13*H26:I26)/H32</f>
        <v>0.34415943926224934</v>
      </c>
      <c r="I78" s="138"/>
      <c r="J78" s="193">
        <f t="array" ref="J78">SUM(J13:K13*J26:K26)/J32</f>
        <v>0.34273226692069997</v>
      </c>
      <c r="K78" s="138"/>
      <c r="L78" s="193">
        <f t="array" ref="L78">SUM(L13:M13*L26:M26)/L32</f>
        <v>0.34094735066578263</v>
      </c>
      <c r="M78" s="138"/>
      <c r="N78" s="193">
        <f t="array" ref="N78">SUM(N13:O13*N26:O26)/N32</f>
        <v>0.33871719593340849</v>
      </c>
      <c r="O78" s="138"/>
      <c r="P78" s="193">
        <f t="array" ref="P78">SUM(P13:Q13*P26:Q26)/P32</f>
        <v>0.33592436729013825</v>
      </c>
      <c r="Q78" s="138"/>
      <c r="R78" s="193">
        <f t="array" ref="R78">SUM(R13:S13*R26:S26)/R32</f>
        <v>0.33240766633209684</v>
      </c>
      <c r="S78" s="138"/>
      <c r="T78" s="193">
        <f t="array" ref="T78">SUM(T13:U13*T26:U26)/T32</f>
        <v>0.32793978575878474</v>
      </c>
      <c r="U78" s="138"/>
      <c r="V78" s="193">
        <f t="array" ref="V78">SUM(V13:W13*V26:W26)/V32</f>
        <v>0.32219022351520882</v>
      </c>
      <c r="W78" s="138"/>
      <c r="X78" s="193">
        <f t="array" ref="X78">SUM(X13:Y13*X26:Y26)/X32</f>
        <v>0.31466076537155191</v>
      </c>
      <c r="Y78" s="138"/>
      <c r="Z78" s="193">
        <f t="array" ref="Z78">SUM(Z13:AA13*Z26:AA26)/Z32</f>
        <v>0.30456926997541095</v>
      </c>
      <c r="AA78" s="138"/>
      <c r="AB78" s="193">
        <f t="array" ref="AB78">SUM(AB13:AC13*AB26:AC26)/AB32</f>
        <v>0.29063377429559217</v>
      </c>
      <c r="AC78" s="138"/>
      <c r="AD78" s="193">
        <f t="array" ref="AD78">SUM(AD13:AE13*AD26:AE26)/AD32</f>
        <v>0.27067156420807342</v>
      </c>
      <c r="AE78" s="138"/>
      <c r="AF78" s="193">
        <f t="array" ref="AF78">SUM(AF13:AG13*AF26:AG26)/AF32</f>
        <v>0.24093202800956157</v>
      </c>
      <c r="AG78" s="138"/>
      <c r="AH78" s="193">
        <f t="array" ref="AH78">SUM(AH13:AI13*AH26:AI26)/AH32</f>
        <v>0.19558540978102931</v>
      </c>
      <c r="AI78" s="138"/>
      <c r="AJ78" s="193">
        <f t="array" ref="AJ78">SUM(AJ13:AK13*AJ26:AK26)/AJ32</f>
        <v>0.12980151440789803</v>
      </c>
      <c r="AK78" s="138"/>
      <c r="AL78" s="193">
        <f t="array" ref="AL78">SUM(AL13:AM13*AL26:AM26)/AL32</f>
        <v>5.5044198287622061E-2</v>
      </c>
      <c r="AM78" s="138"/>
      <c r="AN78" s="193">
        <f t="array" ref="AN78">SUM(AN13:AO13*AN26:AO26)/AN32</f>
        <v>8.2063334407476499E-3</v>
      </c>
      <c r="AO78" s="138"/>
      <c r="AP78" s="193">
        <f t="array" ref="AP78">SUM(AP13:AQ13*AP26:AQ26)/AP32</f>
        <v>4.2591913814579493E-3</v>
      </c>
      <c r="AQ78" s="138"/>
      <c r="AR78" s="193">
        <f t="array" ref="AR78">SUM(AR13:AS13*AR26:AS26)/AR32</f>
        <v>1.8118969948325836E-3</v>
      </c>
      <c r="AS78" s="138"/>
      <c r="AT78" s="193">
        <f t="array" ref="AT78">SUM(AT13:AU13*AT26:AU26)/AT32</f>
        <v>5.391714574158608E-4</v>
      </c>
      <c r="AU78" s="138"/>
      <c r="AV78" s="193">
        <f t="array" ref="AV78">SUM(AV13:AW13*AV26:AW26)/AV32</f>
        <v>6.7502059709603559E-5</v>
      </c>
      <c r="XFD78" s="193"/>
    </row>
    <row r="79" spans="1:48 16384:16384" x14ac:dyDescent="0.2">
      <c r="A79" t="s">
        <v>190</v>
      </c>
      <c r="B79" s="193">
        <f t="array" ref="B79">SUM(B15:C15*B27:C27)/B32</f>
        <v>0.45460968782440642</v>
      </c>
      <c r="D79" s="193">
        <f t="array" ref="D79">SUM(D15:E15*D27:E27)/D32</f>
        <v>0.44865369459503407</v>
      </c>
      <c r="F79" s="193">
        <f t="array" ref="F79">SUM(F15:G15*F27:G27)/F32</f>
        <v>0.44251300408968891</v>
      </c>
      <c r="H79" s="193">
        <f t="array" ref="H79">SUM(H15:I15*H27:I27)/H32</f>
        <v>0.43614441863577325</v>
      </c>
      <c r="J79" s="193">
        <f t="array" ref="J79">SUM(J15:K15*J27:K27)/J32</f>
        <v>0.42949300207806013</v>
      </c>
      <c r="L79" s="193">
        <f t="array" ref="L79">SUM(L15:M15*L27:M27)/L32</f>
        <v>0.4224878813237028</v>
      </c>
      <c r="N79" s="193">
        <f t="array" ref="N79">SUM(N15:O15*N27:O27)/N32</f>
        <v>0.41503629228575023</v>
      </c>
      <c r="P79" s="193">
        <f t="array" ref="P79">SUM(P15:Q15*P27:Q27)/P32</f>
        <v>0.40701440175023929</v>
      </c>
      <c r="R79" s="193">
        <f t="array" ref="R79">SUM(R15:S15*R27:S27)/R32</f>
        <v>0.39825358389799403</v>
      </c>
      <c r="T79" s="193">
        <f t="array" ref="T79">SUM(T15:U15*T27:U27)/T32</f>
        <v>0.38851771395961504</v>
      </c>
      <c r="V79" s="193">
        <f t="array" ref="V79">SUM(V15:W15*V27:W27)/V32</f>
        <v>0.37746597593045811</v>
      </c>
      <c r="X79" s="193">
        <f t="array" ref="X79">SUM(X15:Y15*X27:Y27)/X32</f>
        <v>0.36458727423680171</v>
      </c>
      <c r="Z79" s="193">
        <f t="array" ref="Z79">SUM(Z15:AA15*Z27:AA27)/Z32</f>
        <v>0.34908101444654965</v>
      </c>
      <c r="AB79" s="193">
        <f t="array" ref="AB79">SUM(AB15:AC15*AB27:AC27)/AB32</f>
        <v>0.32963264927579172</v>
      </c>
      <c r="AD79" s="193">
        <f t="array" ref="AD79">SUM(AD15:AE15*AD27:AE27)/AD32</f>
        <v>0.30399017027076636</v>
      </c>
      <c r="AF79" s="193">
        <f t="array" ref="AF79">SUM(AF15:AG15*AF27:AG27)/AF32</f>
        <v>0.26824539928643149</v>
      </c>
      <c r="AH79" s="193">
        <f t="array" ref="AH79">SUM(AH15:AI15*AH27:AI27)/AH32</f>
        <v>0.21624986995338683</v>
      </c>
      <c r="AJ79" s="193">
        <f t="array" ref="AJ79">SUM(AJ15:AK15*AJ27:AK27)/AJ32</f>
        <v>0.14285216671664561</v>
      </c>
      <c r="AL79" s="193">
        <f t="array" ref="AL79">SUM(AL15:AM15*AL27:AM27)/AL32</f>
        <v>6.0434042321377196E-2</v>
      </c>
      <c r="AN79" s="193">
        <f t="array" ref="AN79">SUM(AN15:AO15*AN27:AO27)/AN32</f>
        <v>9.0005275086017314E-3</v>
      </c>
      <c r="AP79" s="193">
        <f t="array" ref="AP79">SUM(AP15:AQ15*AP27:AQ27)/AP32</f>
        <v>4.6707087343010583E-3</v>
      </c>
      <c r="AR79" s="193">
        <f t="array" ref="AR79">SUM(AR15:AS15*AR27:AS27)/AR32</f>
        <v>1.9866666895508333E-3</v>
      </c>
      <c r="AT79" s="193">
        <f t="array" ref="AT79">SUM(AT15:AU15*AT27:AU27)/AT32</f>
        <v>5.9108189491232494E-4</v>
      </c>
      <c r="AV79" s="193">
        <f t="array" ref="AV79">SUM(AV15:AW15*AV27:AW27)/AV32</f>
        <v>7.3985887353347407E-5</v>
      </c>
      <c r="XFD79" s="193"/>
    </row>
    <row r="80" spans="1:48 16384:16384" x14ac:dyDescent="0.2">
      <c r="A80" t="s">
        <v>169</v>
      </c>
      <c r="B80" s="236">
        <f>B55</f>
        <v>0.19850271905982084</v>
      </c>
      <c r="D80" s="236">
        <f>D55</f>
        <v>0.20515501580959114</v>
      </c>
      <c r="F80" s="236">
        <f>F55</f>
        <v>0.21219165988543282</v>
      </c>
      <c r="H80" s="236">
        <f>H55</f>
        <v>0.21969613947938449</v>
      </c>
      <c r="J80" s="236">
        <f>J55</f>
        <v>0.22777473101871282</v>
      </c>
      <c r="L80" s="236">
        <f>L55</f>
        <v>0.23656476525624937</v>
      </c>
      <c r="N80" s="236">
        <f>N55</f>
        <v>0.24624651369764564</v>
      </c>
      <c r="P80" s="236">
        <f>P55</f>
        <v>0.25706123341407916</v>
      </c>
      <c r="R80" s="236">
        <f>R55</f>
        <v>0.2693387510924477</v>
      </c>
      <c r="T80" s="236">
        <f>T55</f>
        <v>0.28354250358131922</v>
      </c>
      <c r="V80" s="236">
        <f>V55</f>
        <v>0.30034380406512123</v>
      </c>
      <c r="X80" s="236">
        <f>X55</f>
        <v>0.32075196220590141</v>
      </c>
      <c r="Z80" s="236">
        <f>Z55</f>
        <v>0.34634971926745989</v>
      </c>
      <c r="AB80" s="236">
        <f>AB55</f>
        <v>0.3797335769771249</v>
      </c>
      <c r="AD80" s="236">
        <f>AD55</f>
        <v>0.42533826970451843</v>
      </c>
      <c r="AF80" s="236">
        <f>AF55</f>
        <v>0.49082257623991166</v>
      </c>
      <c r="AH80" s="236">
        <f>AH55</f>
        <v>0.58816471980288088</v>
      </c>
      <c r="AJ80" s="236">
        <f>AJ55</f>
        <v>0.72734631852809839</v>
      </c>
      <c r="AL80" s="236">
        <f>AL55</f>
        <v>0.8845217281462564</v>
      </c>
      <c r="AN80" s="236">
        <f>AN55</f>
        <v>0.98279313884856834</v>
      </c>
      <c r="AP80" s="236">
        <f>AP55</f>
        <v>0.99107009820036807</v>
      </c>
      <c r="AR80" s="236">
        <f>AR55</f>
        <v>0.99620143645310888</v>
      </c>
      <c r="AT80" s="236">
        <f>AT55</f>
        <v>0.99886974688474317</v>
      </c>
      <c r="AV80" s="236">
        <f>AV55</f>
        <v>0.99985851207888576</v>
      </c>
      <c r="XFD80" s="236"/>
    </row>
    <row r="81" spans="1:48 16384:16384" x14ac:dyDescent="0.2">
      <c r="A81" t="s">
        <v>191</v>
      </c>
      <c r="B81" s="236">
        <f>B51/B$32</f>
        <v>-2.7543485504603994E-2</v>
      </c>
      <c r="D81" s="236">
        <f>D51/D$32</f>
        <v>-2.0891188754833694E-2</v>
      </c>
      <c r="F81" s="236">
        <f>F51/F$32</f>
        <v>-1.3854544678992031E-2</v>
      </c>
      <c r="H81" s="236">
        <f>H51/H$32</f>
        <v>-6.3500650850403456E-3</v>
      </c>
      <c r="J81" s="236">
        <f>J51/J$32</f>
        <v>1.728526454287951E-3</v>
      </c>
      <c r="L81" s="236">
        <f>L51/L$32</f>
        <v>1.0518560691824511E-2</v>
      </c>
      <c r="N81" s="236">
        <f>N51/N$32</f>
        <v>2.0200309133220809E-2</v>
      </c>
      <c r="P81" s="236">
        <f>P51/P$32</f>
        <v>3.101502884965434E-2</v>
      </c>
      <c r="R81" s="236">
        <f>R51/R$32</f>
        <v>4.3292546528022849E-2</v>
      </c>
      <c r="T81" s="236">
        <f>T51/T$32</f>
        <v>5.7496299016894348E-2</v>
      </c>
      <c r="V81" s="236">
        <f>V51/V$32</f>
        <v>7.4297599500696379E-2</v>
      </c>
      <c r="X81" s="236">
        <f>X51/X$32</f>
        <v>9.4705757641476582E-2</v>
      </c>
      <c r="Z81" s="236">
        <f>Z51/Z$32</f>
        <v>0.12030351470303505</v>
      </c>
      <c r="AB81" s="236">
        <f>AB51/AB$32</f>
        <v>0.15368737241270003</v>
      </c>
      <c r="AD81" s="236">
        <f>AD51/AD$32</f>
        <v>0.19929206514009359</v>
      </c>
      <c r="AF81" s="236">
        <f>AF51/AF$32</f>
        <v>0.26477637167548679</v>
      </c>
      <c r="AH81" s="236">
        <f>AH51/AH$32</f>
        <v>0.36211851523845606</v>
      </c>
      <c r="AJ81" s="236">
        <f>AJ51/AJ$32</f>
        <v>0.50130011396367347</v>
      </c>
      <c r="AL81" s="236">
        <f>AL51/AL$32</f>
        <v>0.65847552358183159</v>
      </c>
      <c r="AN81" s="236">
        <f>AN51/AN$32</f>
        <v>0.75674693428414352</v>
      </c>
      <c r="AP81" s="236">
        <f>AP51/AP$32</f>
        <v>0.76502389363594325</v>
      </c>
      <c r="AR81" s="236">
        <f>AR51/AR$32</f>
        <v>0.77015523188868407</v>
      </c>
      <c r="AT81" s="236">
        <f>AT51/AT$32</f>
        <v>0.77282354232031836</v>
      </c>
      <c r="AV81" s="236">
        <f>AV51/AV$32</f>
        <v>0.77381230751446095</v>
      </c>
      <c r="XFD81" s="236"/>
    </row>
    <row r="82" spans="1:48 16384:16384" x14ac:dyDescent="0.2">
      <c r="A82" t="s">
        <v>192</v>
      </c>
      <c r="B82" s="236">
        <f>B52/B$32</f>
        <v>0.13907860278212886</v>
      </c>
      <c r="D82" s="236">
        <f>D52/D$32</f>
        <v>0.13879943355525429</v>
      </c>
      <c r="F82" s="236">
        <f>F52/F$32</f>
        <v>0.13844021392480735</v>
      </c>
      <c r="H82" s="236">
        <f>H52/H$32</f>
        <v>0.13798479650697584</v>
      </c>
      <c r="J82" s="236">
        <f>J52/J$32</f>
        <v>0.1374125963501206</v>
      </c>
      <c r="L82" s="236">
        <f>L52/L$32</f>
        <v>0.13669696493595768</v>
      </c>
      <c r="N82" s="236">
        <f>N52/N$32</f>
        <v>0.13580282282674988</v>
      </c>
      <c r="P82" s="236">
        <f>P52/P$32</f>
        <v>0.13468308630914463</v>
      </c>
      <c r="R82" s="236">
        <f>R52/R$32</f>
        <v>0.13327312566093041</v>
      </c>
      <c r="T82" s="236">
        <f>T52/T$32</f>
        <v>0.13148180593700395</v>
      </c>
      <c r="V82" s="236">
        <f>V52/V$32</f>
        <v>0.12917661803373251</v>
      </c>
      <c r="X82" s="236">
        <f>X52/X$32</f>
        <v>0.12615781154105746</v>
      </c>
      <c r="Z82" s="236">
        <f>Z52/Z$32</f>
        <v>0.12211180036184198</v>
      </c>
      <c r="AB82" s="236">
        <f>AB52/AB$32</f>
        <v>0.11652460350992477</v>
      </c>
      <c r="AD82" s="236">
        <f>AD52/AD$32</f>
        <v>0.10852109937050505</v>
      </c>
      <c r="AF82" s="236">
        <f>AF52/AF$32</f>
        <v>9.6597544812884573E-2</v>
      </c>
      <c r="AH82" s="236">
        <f>AH52/AH$32</f>
        <v>7.8416599661542671E-2</v>
      </c>
      <c r="AJ82" s="236">
        <f>AJ52/AJ$32</f>
        <v>5.204168042075176E-2</v>
      </c>
      <c r="AL82" s="236">
        <f>AL52/AL$32</f>
        <v>2.2069022764241466E-2</v>
      </c>
      <c r="AN82" s="236">
        <f>AN52/AN$32</f>
        <v>3.2901879789126046E-3</v>
      </c>
      <c r="AP82" s="236">
        <f>AP52/AP$32</f>
        <v>1.7076493886512599E-3</v>
      </c>
      <c r="AR82" s="236">
        <f>AR52/AR$32</f>
        <v>7.2644887689122595E-4</v>
      </c>
      <c r="AT82" s="236">
        <f>AT52/AT$32</f>
        <v>2.1617150467637269E-4</v>
      </c>
      <c r="AV82" s="236">
        <f>AV52/AV$32</f>
        <v>2.7063787623543637E-5</v>
      </c>
    </row>
    <row r="83" spans="1:48 16384:16384" x14ac:dyDescent="0.2">
      <c r="A83" t="s">
        <v>193</v>
      </c>
      <c r="B83" s="236">
        <f>B53/B$32</f>
        <v>0.18600714462929935</v>
      </c>
      <c r="D83" s="236">
        <f>D53/D$32</f>
        <v>0.18357020295449963</v>
      </c>
      <c r="F83" s="236">
        <f>F53/F$32</f>
        <v>0.1810576909303549</v>
      </c>
      <c r="H83" s="236">
        <f>H53/H$32</f>
        <v>0.17845193388791347</v>
      </c>
      <c r="J83" s="236">
        <f>J53/J$32</f>
        <v>0.17573045426533637</v>
      </c>
      <c r="L83" s="236">
        <f>L53/L$32</f>
        <v>0.17286425377687531</v>
      </c>
      <c r="N83" s="236">
        <f>N53/N$32</f>
        <v>0.16981537726363233</v>
      </c>
      <c r="P83" s="236">
        <f>P53/P$32</f>
        <v>0.1665331573879848</v>
      </c>
      <c r="R83" s="236">
        <f>R53/R$32</f>
        <v>0.16294859956408081</v>
      </c>
      <c r="T83" s="236">
        <f>T53/T$32</f>
        <v>0.1589650914774261</v>
      </c>
      <c r="V83" s="236">
        <f>V53/V$32</f>
        <v>0.15444318556769426</v>
      </c>
      <c r="X83" s="236">
        <f>X53/X$32</f>
        <v>0.14917376304387239</v>
      </c>
      <c r="Z83" s="236">
        <f>Z53/Z$32</f>
        <v>0.14282925437035959</v>
      </c>
      <c r="AB83" s="236">
        <f>AB53/AB$32</f>
        <v>0.13487180214264136</v>
      </c>
      <c r="AD83" s="236">
        <f>AD53/AD$32</f>
        <v>0.12437997931377148</v>
      </c>
      <c r="AF83" s="236">
        <f>AF53/AF$32</f>
        <v>0.10975472392591784</v>
      </c>
      <c r="AH83" s="236">
        <f>AH53/AH$32</f>
        <v>8.8480342398737852E-2</v>
      </c>
      <c r="AJ83" s="236">
        <f>AJ53/AJ$32</f>
        <v>5.8449092368078111E-2</v>
      </c>
      <c r="AL83" s="236">
        <f>AL53/AL$32</f>
        <v>2.4727065770203119E-2</v>
      </c>
      <c r="AN83" s="236">
        <f>AN53/AN$32</f>
        <v>3.6826369232129457E-3</v>
      </c>
      <c r="AP83" s="236">
        <f>AP53/AP$32</f>
        <v>1.9110573714787138E-3</v>
      </c>
      <c r="AR83" s="236">
        <f>AR53/AR$32</f>
        <v>8.1286036824676348E-4</v>
      </c>
      <c r="AT83" s="236">
        <f>AT53/AT$32</f>
        <v>2.4184582612147001E-4</v>
      </c>
      <c r="AV83" s="236">
        <f>AV53/AV$32</f>
        <v>3.0271910207898373E-5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5"/>
  <sheetViews>
    <sheetView showGridLines="0" workbookViewId="0">
      <pane ySplit="1" topLeftCell="A46" activePane="bottomLeft" state="frozen"/>
      <selection pane="bottomLeft" sqref="A1:AE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8.4163688595046235E-2</v>
      </c>
      <c r="E2" s="227"/>
      <c r="F2" s="226">
        <v>0.17133023591262547</v>
      </c>
      <c r="G2" s="227"/>
      <c r="H2" s="226">
        <v>0.26860600590109218</v>
      </c>
      <c r="I2" s="227"/>
      <c r="J2" s="226">
        <v>0.37760752664307495</v>
      </c>
      <c r="K2" s="227"/>
      <c r="L2" s="226">
        <v>0.5003264951236438</v>
      </c>
      <c r="M2" s="227"/>
      <c r="N2" s="226">
        <v>0.63926903924058043</v>
      </c>
      <c r="O2" s="227"/>
      <c r="P2" s="226">
        <v>0.79767074079111611</v>
      </c>
      <c r="Q2" s="227"/>
      <c r="R2" s="226">
        <v>0.97984912373067801</v>
      </c>
      <c r="S2" s="227"/>
      <c r="T2" s="226">
        <v>1.191800705201413</v>
      </c>
      <c r="U2" s="227"/>
      <c r="V2" s="226">
        <v>1.4422478248964674</v>
      </c>
      <c r="W2" s="227"/>
      <c r="X2" s="226">
        <v>1.7445611838056605</v>
      </c>
      <c r="Y2" s="227"/>
      <c r="Z2" s="226">
        <v>2.1204236599043731</v>
      </c>
      <c r="AA2" s="227"/>
      <c r="AB2" s="226">
        <v>2.6071111616085711</v>
      </c>
      <c r="AC2" s="227"/>
      <c r="AD2" s="226">
        <v>3.2723577481742501</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998.15827604223693</v>
      </c>
      <c r="E3" s="85">
        <v>1033.2718005732038</v>
      </c>
      <c r="F3" s="84">
        <v>996.17051310378531</v>
      </c>
      <c r="G3" s="85">
        <v>1072.3046185360142</v>
      </c>
      <c r="H3" s="84">
        <v>994.01184224897884</v>
      </c>
      <c r="I3" s="85">
        <v>1118.4618980293189</v>
      </c>
      <c r="J3" s="84">
        <v>991.65065215525931</v>
      </c>
      <c r="K3" s="85">
        <v>1173.5326600092676</v>
      </c>
      <c r="L3" s="84">
        <v>989.04641345826872</v>
      </c>
      <c r="M3" s="85">
        <v>1239.9035918625707</v>
      </c>
      <c r="N3" s="84">
        <v>986.14676637114712</v>
      </c>
      <c r="O3" s="85">
        <v>1320.8168107445265</v>
      </c>
      <c r="P3" s="84">
        <v>982.88371706168016</v>
      </c>
      <c r="Q3" s="85">
        <v>1420.760880857214</v>
      </c>
      <c r="R3" s="84">
        <v>979.1686727712646</v>
      </c>
      <c r="S3" s="85">
        <v>1546.0957466137693</v>
      </c>
      <c r="T3" s="84">
        <v>974.88628161473923</v>
      </c>
      <c r="U3" s="85">
        <v>1706.0790092980694</v>
      </c>
      <c r="V3" s="84">
        <v>969.88747341450528</v>
      </c>
      <c r="W3" s="85">
        <v>1914.6085682530068</v>
      </c>
      <c r="X3" s="84">
        <v>963.98327287093821</v>
      </c>
      <c r="Y3" s="85">
        <v>2193.3442365778624</v>
      </c>
      <c r="Z3" s="84">
        <v>956.94465577330004</v>
      </c>
      <c r="AA3" s="85">
        <v>2577.5426665814666</v>
      </c>
      <c r="AB3" s="84">
        <v>948.52289859076848</v>
      </c>
      <c r="AC3" s="85">
        <v>3127.5172975291034</v>
      </c>
      <c r="AD3" s="84">
        <v>938.52928620163061</v>
      </c>
      <c r="AE3" s="85">
        <v>3951.8502479696349</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998.0671137251577</v>
      </c>
      <c r="E5" s="42">
        <v>1028.9824766875988</v>
      </c>
      <c r="F5" s="41">
        <v>995.98010927357154</v>
      </c>
      <c r="G5" s="42">
        <v>1062.4097817446313</v>
      </c>
      <c r="H5" s="41">
        <v>993.71265832181962</v>
      </c>
      <c r="I5" s="42">
        <v>1101.1734981657246</v>
      </c>
      <c r="J5" s="41">
        <v>991.2312764363744</v>
      </c>
      <c r="K5" s="42">
        <v>1146.3906596122051</v>
      </c>
      <c r="L5" s="41">
        <v>988.49300298139019</v>
      </c>
      <c r="M5" s="42">
        <v>1199.4729335567611</v>
      </c>
      <c r="N5" s="41">
        <v>985.44228820213334</v>
      </c>
      <c r="O5" s="42">
        <v>1262.219196476208</v>
      </c>
      <c r="P5" s="41">
        <v>982.00691536343254</v>
      </c>
      <c r="Q5" s="42">
        <v>1336.9376457734606</v>
      </c>
      <c r="R5" s="41">
        <v>978.09265512265802</v>
      </c>
      <c r="S5" s="42">
        <v>1426.6123127269261</v>
      </c>
      <c r="T5" s="41">
        <v>973.57658941087459</v>
      </c>
      <c r="U5" s="42">
        <v>1535.1218636396129</v>
      </c>
      <c r="V5" s="41">
        <v>968.29948104965047</v>
      </c>
      <c r="W5" s="42">
        <v>1667.5287797948261</v>
      </c>
      <c r="X5" s="41">
        <v>962.05878517405984</v>
      </c>
      <c r="Y5" s="42">
        <v>1830.4309115198048</v>
      </c>
      <c r="Z5" s="41">
        <v>954.60780581282825</v>
      </c>
      <c r="AA5" s="42">
        <v>2032.3226762922186</v>
      </c>
      <c r="AB5" s="41">
        <v>945.67629178947652</v>
      </c>
      <c r="AC5" s="42">
        <v>2283.7174895486796</v>
      </c>
      <c r="AD5" s="41">
        <v>935.05406742307275</v>
      </c>
      <c r="AE5" s="42">
        <v>2596.1754845807177</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999.99999999999932</v>
      </c>
      <c r="C6" s="42">
        <v>999.99999999999898</v>
      </c>
      <c r="D6" s="41">
        <v>997.91942276422003</v>
      </c>
      <c r="E6" s="42">
        <v>1035.8684680583099</v>
      </c>
      <c r="F6" s="41">
        <v>995.6733005692098</v>
      </c>
      <c r="G6" s="42">
        <v>1077.8381624804406</v>
      </c>
      <c r="H6" s="41">
        <v>993.23338642537817</v>
      </c>
      <c r="I6" s="42">
        <v>1127.3332185934494</v>
      </c>
      <c r="J6" s="41">
        <v>990.5637625754282</v>
      </c>
      <c r="K6" s="42">
        <v>1186.2190775618724</v>
      </c>
      <c r="L6" s="41">
        <v>987.61835798094785</v>
      </c>
      <c r="M6" s="42">
        <v>1256.9807110395634</v>
      </c>
      <c r="N6" s="41">
        <v>984.33762037253985</v>
      </c>
      <c r="O6" s="42">
        <v>1342.9896302941243</v>
      </c>
      <c r="P6" s="41">
        <v>980.64416075127042</v>
      </c>
      <c r="Q6" s="42">
        <v>1448.9089673026601</v>
      </c>
      <c r="R6" s="41">
        <v>976.43705302585136</v>
      </c>
      <c r="S6" s="42">
        <v>1581.3414163124992</v>
      </c>
      <c r="T6" s="41">
        <v>971.58473122726946</v>
      </c>
      <c r="U6" s="42">
        <v>1749.8938686522588</v>
      </c>
      <c r="V6" s="41">
        <v>965.91690380386638</v>
      </c>
      <c r="W6" s="42">
        <v>1968.9859047787756</v>
      </c>
      <c r="X6" s="41">
        <v>959.21722345407784</v>
      </c>
      <c r="Y6" s="42">
        <v>2261.0907639080719</v>
      </c>
      <c r="Z6" s="41">
        <v>951.22264292792761</v>
      </c>
      <c r="AA6" s="42">
        <v>2662.7945644715292</v>
      </c>
      <c r="AB6" s="41">
        <v>941.64586308548007</v>
      </c>
      <c r="AC6" s="42">
        <v>3236.6981146338353</v>
      </c>
      <c r="AD6" s="41">
        <v>930.26531910443782</v>
      </c>
      <c r="AE6" s="42">
        <v>4095.5244053982001</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1013.9480407951086</v>
      </c>
      <c r="E7" s="34">
        <v>1013.9480407951086</v>
      </c>
      <c r="F7" s="33">
        <v>1011.8278285912235</v>
      </c>
      <c r="G7" s="34">
        <v>1011.8278285912235</v>
      </c>
      <c r="H7" s="33">
        <v>1009.524298679746</v>
      </c>
      <c r="I7" s="34">
        <v>1009.524298679746</v>
      </c>
      <c r="J7" s="33">
        <v>1007.0034338334723</v>
      </c>
      <c r="K7" s="34">
        <v>1007.0034338334723</v>
      </c>
      <c r="L7" s="33">
        <v>1004.2215898405572</v>
      </c>
      <c r="M7" s="34">
        <v>1004.2215898405572</v>
      </c>
      <c r="N7" s="33">
        <v>1001.1223330562043</v>
      </c>
      <c r="O7" s="34">
        <v>1001.1223330562043</v>
      </c>
      <c r="P7" s="33">
        <v>997.63229765547817</v>
      </c>
      <c r="Q7" s="34">
        <v>997.63229765547817</v>
      </c>
      <c r="R7" s="33">
        <v>993.65575494836276</v>
      </c>
      <c r="S7" s="34">
        <v>993.65575494836276</v>
      </c>
      <c r="T7" s="33">
        <v>989.06783103263115</v>
      </c>
      <c r="U7" s="34">
        <v>989.06783103263115</v>
      </c>
      <c r="V7" s="33">
        <v>983.70675499841957</v>
      </c>
      <c r="W7" s="34">
        <v>983.70675499841957</v>
      </c>
      <c r="X7" s="33">
        <v>977.36675915121077</v>
      </c>
      <c r="Y7" s="34">
        <v>977.36675915121077</v>
      </c>
      <c r="Z7" s="33">
        <v>969.79722217175072</v>
      </c>
      <c r="AA7" s="34">
        <v>969.79722217175072</v>
      </c>
      <c r="AB7" s="33">
        <v>960.72359273263328</v>
      </c>
      <c r="AC7" s="34">
        <v>960.72359273263328</v>
      </c>
      <c r="AD7" s="33">
        <v>949.93235090421342</v>
      </c>
      <c r="AE7" s="34">
        <v>949.93235090421342</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1115.5854374252933</v>
      </c>
      <c r="E8" s="36">
        <v>1115.5854374252933</v>
      </c>
      <c r="F8" s="35">
        <v>1244.4327002868199</v>
      </c>
      <c r="G8" s="36">
        <v>1244.4327002868199</v>
      </c>
      <c r="H8" s="35">
        <v>1396.9553133121535</v>
      </c>
      <c r="I8" s="36">
        <v>1396.9553133121535</v>
      </c>
      <c r="J8" s="35">
        <v>1579.2764011550933</v>
      </c>
      <c r="K8" s="36">
        <v>1579.2764011550933</v>
      </c>
      <c r="L8" s="35">
        <v>1799.6010223988906</v>
      </c>
      <c r="M8" s="36">
        <v>1799.6010223988906</v>
      </c>
      <c r="N8" s="35">
        <v>2069.1168495185711</v>
      </c>
      <c r="O8" s="36">
        <v>2069.1168495185711</v>
      </c>
      <c r="P8" s="35">
        <v>2403.3736880691076</v>
      </c>
      <c r="Q8" s="36">
        <v>2403.3736880691076</v>
      </c>
      <c r="R8" s="35">
        <v>2824.4771372558007</v>
      </c>
      <c r="S8" s="36">
        <v>2824.4771372558007</v>
      </c>
      <c r="T8" s="35">
        <v>3364.6811832954108</v>
      </c>
      <c r="U8" s="36">
        <v>3364.6811832954108</v>
      </c>
      <c r="V8" s="35">
        <v>4072.5185354061746</v>
      </c>
      <c r="W8" s="36">
        <v>4072.5185354061746</v>
      </c>
      <c r="X8" s="35">
        <v>5023.7296293952695</v>
      </c>
      <c r="Y8" s="36">
        <v>5023.7296293952695</v>
      </c>
      <c r="Z8" s="35">
        <v>6341.7077636624153</v>
      </c>
      <c r="AA8" s="36">
        <v>6341.7077636624153</v>
      </c>
      <c r="AB8" s="35">
        <v>8237.6228465117474</v>
      </c>
      <c r="AC8" s="36">
        <v>8237.6228465117474</v>
      </c>
      <c r="AD8" s="35">
        <v>11091.790447168467</v>
      </c>
      <c r="AE8" s="36">
        <v>11091.790447168467</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1013.9480407951086</v>
      </c>
      <c r="E9" s="42">
        <v>1115.5854374252933</v>
      </c>
      <c r="F9" s="41">
        <v>1011.8278285912235</v>
      </c>
      <c r="G9" s="42">
        <v>1244.4327002868199</v>
      </c>
      <c r="H9" s="41">
        <v>1009.524298679746</v>
      </c>
      <c r="I9" s="42">
        <v>1396.9553133121535</v>
      </c>
      <c r="J9" s="41">
        <v>1007.0034338334723</v>
      </c>
      <c r="K9" s="42">
        <v>1579.2764011550933</v>
      </c>
      <c r="L9" s="41">
        <v>1004.2215898405572</v>
      </c>
      <c r="M9" s="42">
        <v>1799.6010223988906</v>
      </c>
      <c r="N9" s="41">
        <v>1001.1223330562043</v>
      </c>
      <c r="O9" s="42">
        <v>2069.1168495185711</v>
      </c>
      <c r="P9" s="41">
        <v>997.63229765547817</v>
      </c>
      <c r="Q9" s="42">
        <v>2403.3736880691076</v>
      </c>
      <c r="R9" s="41">
        <v>993.65575494836276</v>
      </c>
      <c r="S9" s="42">
        <v>2824.4771372558007</v>
      </c>
      <c r="T9" s="41">
        <v>989.06783103263115</v>
      </c>
      <c r="U9" s="42">
        <v>3364.6811832954108</v>
      </c>
      <c r="V9" s="41">
        <v>983.70675499841957</v>
      </c>
      <c r="W9" s="42">
        <v>4072.5185354061746</v>
      </c>
      <c r="X9" s="41">
        <v>977.36675915121077</v>
      </c>
      <c r="Y9" s="42">
        <v>5023.7296293952695</v>
      </c>
      <c r="Z9" s="41">
        <v>969.79722217175072</v>
      </c>
      <c r="AA9" s="42">
        <v>6341.7077636624153</v>
      </c>
      <c r="AB9" s="41">
        <v>960.72359273263328</v>
      </c>
      <c r="AC9" s="42">
        <v>8237.6228465117474</v>
      </c>
      <c r="AD9" s="41">
        <v>949.93235090421342</v>
      </c>
      <c r="AE9" s="42">
        <v>11091.790447168467</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1013.9480407951086</v>
      </c>
      <c r="E10" s="42">
        <v>1115.5854374252933</v>
      </c>
      <c r="F10" s="41">
        <v>1011.8278285912235</v>
      </c>
      <c r="G10" s="42">
        <v>1244.4327002868199</v>
      </c>
      <c r="H10" s="41">
        <v>1009.524298679746</v>
      </c>
      <c r="I10" s="42">
        <v>1396.9553133121535</v>
      </c>
      <c r="J10" s="41">
        <v>1007.0034338334723</v>
      </c>
      <c r="K10" s="42">
        <v>1579.2764011550933</v>
      </c>
      <c r="L10" s="41">
        <v>1004.2215898405572</v>
      </c>
      <c r="M10" s="42">
        <v>1799.6010223988906</v>
      </c>
      <c r="N10" s="41">
        <v>1001.1223330562043</v>
      </c>
      <c r="O10" s="42">
        <v>2069.1168495185711</v>
      </c>
      <c r="P10" s="41">
        <v>997.63229765547817</v>
      </c>
      <c r="Q10" s="42">
        <v>2403.3736880691076</v>
      </c>
      <c r="R10" s="41">
        <v>993.65575494836276</v>
      </c>
      <c r="S10" s="42">
        <v>2824.4771372558007</v>
      </c>
      <c r="T10" s="41">
        <v>989.06783103263115</v>
      </c>
      <c r="U10" s="42">
        <v>3364.6811832954108</v>
      </c>
      <c r="V10" s="41">
        <v>983.70675499841957</v>
      </c>
      <c r="W10" s="42">
        <v>4072.5185354061746</v>
      </c>
      <c r="X10" s="41">
        <v>977.36675915121077</v>
      </c>
      <c r="Y10" s="42">
        <v>5023.7296293952695</v>
      </c>
      <c r="Z10" s="41">
        <v>969.79722217175072</v>
      </c>
      <c r="AA10" s="42">
        <v>6341.7077636624153</v>
      </c>
      <c r="AB10" s="41">
        <v>960.72359273263328</v>
      </c>
      <c r="AC10" s="42">
        <v>8237.6228465117474</v>
      </c>
      <c r="AD10" s="41">
        <v>949.93235090421342</v>
      </c>
      <c r="AE10" s="42">
        <v>11091.790447168467</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1013.9480407951086</v>
      </c>
      <c r="E11" s="42">
        <v>1115.5854374252933</v>
      </c>
      <c r="F11" s="41">
        <v>1011.8278285912235</v>
      </c>
      <c r="G11" s="42">
        <v>1244.4327002868199</v>
      </c>
      <c r="H11" s="41">
        <v>1009.524298679746</v>
      </c>
      <c r="I11" s="42">
        <v>1396.9553133121535</v>
      </c>
      <c r="J11" s="41">
        <v>1007.0034338334723</v>
      </c>
      <c r="K11" s="42">
        <v>1579.2764011550933</v>
      </c>
      <c r="L11" s="41">
        <v>1004.2215898405572</v>
      </c>
      <c r="M11" s="42">
        <v>1799.6010223988906</v>
      </c>
      <c r="N11" s="41">
        <v>1001.1223330562043</v>
      </c>
      <c r="O11" s="42">
        <v>2069.1168495185711</v>
      </c>
      <c r="P11" s="41">
        <v>997.63229765547817</v>
      </c>
      <c r="Q11" s="42">
        <v>2403.3736880691076</v>
      </c>
      <c r="R11" s="41">
        <v>993.65575494836276</v>
      </c>
      <c r="S11" s="42">
        <v>2824.4771372558007</v>
      </c>
      <c r="T11" s="41">
        <v>989.06783103263115</v>
      </c>
      <c r="U11" s="42">
        <v>3364.6811832954108</v>
      </c>
      <c r="V11" s="41">
        <v>983.70675499841957</v>
      </c>
      <c r="W11" s="42">
        <v>4072.5185354061746</v>
      </c>
      <c r="X11" s="41">
        <v>977.36675915121077</v>
      </c>
      <c r="Y11" s="42">
        <v>5023.7296293952695</v>
      </c>
      <c r="Z11" s="41">
        <v>969.79722217175072</v>
      </c>
      <c r="AA11" s="42">
        <v>6341.7077636624153</v>
      </c>
      <c r="AB11" s="41">
        <v>960.72359273263328</v>
      </c>
      <c r="AC11" s="42">
        <v>8237.6228465117474</v>
      </c>
      <c r="AD11" s="41">
        <v>949.93235090421342</v>
      </c>
      <c r="AE11" s="42">
        <v>11091.790447168467</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1010.7837428028414</v>
      </c>
      <c r="E13" s="98">
        <v>1010.7837428028414</v>
      </c>
      <c r="F13" s="97">
        <v>1021.9545520374887</v>
      </c>
      <c r="G13" s="98">
        <v>1021.9545520374887</v>
      </c>
      <c r="H13" s="97">
        <v>1033.5866837555293</v>
      </c>
      <c r="I13" s="98">
        <v>1033.5866837555293</v>
      </c>
      <c r="J13" s="97">
        <v>1045.7699910132922</v>
      </c>
      <c r="K13" s="98">
        <v>1045.7699910132922</v>
      </c>
      <c r="L13" s="97">
        <v>1058.6148419663552</v>
      </c>
      <c r="M13" s="98">
        <v>1058.6148419663552</v>
      </c>
      <c r="N13" s="97">
        <v>1072.2587780092849</v>
      </c>
      <c r="O13" s="98">
        <v>1072.2587780092849</v>
      </c>
      <c r="P13" s="97">
        <v>1086.8745277865673</v>
      </c>
      <c r="Q13" s="98">
        <v>1086.8745277865673</v>
      </c>
      <c r="R13" s="97">
        <v>1102.683453849726</v>
      </c>
      <c r="S13" s="98">
        <v>1102.683453849726</v>
      </c>
      <c r="T13" s="97">
        <v>1119.9758298243482</v>
      </c>
      <c r="U13" s="98">
        <v>1119.9758298243482</v>
      </c>
      <c r="V13" s="97">
        <v>1139.1435287213071</v>
      </c>
      <c r="W13" s="98">
        <v>1139.1435287213071</v>
      </c>
      <c r="X13" s="97">
        <v>1160.7345359293486</v>
      </c>
      <c r="Y13" s="98">
        <v>1160.7345359293486</v>
      </c>
      <c r="Z13" s="97">
        <v>1185.5383581047054</v>
      </c>
      <c r="AA13" s="98">
        <v>1185.5383581047054</v>
      </c>
      <c r="AB13" s="97">
        <v>1214.6951302698037</v>
      </c>
      <c r="AC13" s="98">
        <v>1214.6951302698037</v>
      </c>
      <c r="AD13" s="97">
        <v>1249.6752972335439</v>
      </c>
      <c r="AE13" s="98">
        <v>1249.6752972335439</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1472.7153753451516</v>
      </c>
      <c r="E14" s="42">
        <v>1472.7153753451519</v>
      </c>
      <c r="F14" s="41">
        <v>1488.9912826616801</v>
      </c>
      <c r="G14" s="42">
        <v>1488.9912826616803</v>
      </c>
      <c r="H14" s="41">
        <v>1505.939338416609</v>
      </c>
      <c r="I14" s="42">
        <v>1505.9393384166092</v>
      </c>
      <c r="J14" s="41">
        <v>1523.6904588207697</v>
      </c>
      <c r="K14" s="42">
        <v>1523.6904588207699</v>
      </c>
      <c r="L14" s="41">
        <v>1542.4054506548664</v>
      </c>
      <c r="M14" s="42">
        <v>1542.4054506548666</v>
      </c>
      <c r="N14" s="41">
        <v>1562.2847122018813</v>
      </c>
      <c r="O14" s="42">
        <v>1562.2847122018816</v>
      </c>
      <c r="P14" s="41">
        <v>1583.5799096884518</v>
      </c>
      <c r="Q14" s="42">
        <v>1583.5799096884521</v>
      </c>
      <c r="R14" s="41">
        <v>1606.6135691103464</v>
      </c>
      <c r="S14" s="42">
        <v>1606.6135691103466</v>
      </c>
      <c r="T14" s="41">
        <v>1631.8086201342751</v>
      </c>
      <c r="U14" s="42">
        <v>1631.8086201342753</v>
      </c>
      <c r="V14" s="41">
        <v>1659.7360230793022</v>
      </c>
      <c r="W14" s="42">
        <v>1659.7360230793024</v>
      </c>
      <c r="X14" s="41">
        <v>1691.1941945337603</v>
      </c>
      <c r="Y14" s="42">
        <v>1691.1941945337605</v>
      </c>
      <c r="Z14" s="41">
        <v>1727.3334483999556</v>
      </c>
      <c r="AA14" s="42">
        <v>1727.3334483999558</v>
      </c>
      <c r="AB14" s="41">
        <v>1769.8149653106916</v>
      </c>
      <c r="AC14" s="42">
        <v>1769.8149653106918</v>
      </c>
      <c r="AD14" s="41">
        <v>1820.7811883890233</v>
      </c>
      <c r="AE14" s="42">
        <v>1820.7811883890236</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973.73798372873352</v>
      </c>
      <c r="E15" s="155">
        <v>973.73798372873352</v>
      </c>
      <c r="F15" s="154">
        <v>945.37786419752013</v>
      </c>
      <c r="G15" s="155">
        <v>945.37786419752013</v>
      </c>
      <c r="H15" s="154">
        <v>914.50082315508564</v>
      </c>
      <c r="I15" s="155">
        <v>914.50082315508564</v>
      </c>
      <c r="J15" s="154">
        <v>880.57896121618455</v>
      </c>
      <c r="K15" s="155">
        <v>880.57896121618455</v>
      </c>
      <c r="L15" s="154">
        <v>842.93782879247453</v>
      </c>
      <c r="M15" s="155">
        <v>842.93782879247453</v>
      </c>
      <c r="N15" s="154">
        <v>800.70360234518466</v>
      </c>
      <c r="O15" s="155">
        <v>800.70360234518466</v>
      </c>
      <c r="P15" s="154">
        <v>752.72913039477476</v>
      </c>
      <c r="Q15" s="155">
        <v>752.72913039477476</v>
      </c>
      <c r="R15" s="154">
        <v>697.48178139587321</v>
      </c>
      <c r="S15" s="155">
        <v>697.48178139587321</v>
      </c>
      <c r="T15" s="154">
        <v>632.87359997859085</v>
      </c>
      <c r="U15" s="155">
        <v>632.87359997859085</v>
      </c>
      <c r="V15" s="154">
        <v>555.99437600537283</v>
      </c>
      <c r="W15" s="155">
        <v>555.99437600537283</v>
      </c>
      <c r="X15" s="154">
        <v>462.67868656011223</v>
      </c>
      <c r="Y15" s="155">
        <v>462.67868656011223</v>
      </c>
      <c r="Z15" s="154">
        <v>346.79372780947159</v>
      </c>
      <c r="AA15" s="155">
        <v>346.79372780947159</v>
      </c>
      <c r="AB15" s="154">
        <v>199.08125542819172</v>
      </c>
      <c r="AC15" s="155">
        <v>199.08125542819172</v>
      </c>
      <c r="AD15" s="154">
        <v>5.5198362792609137</v>
      </c>
      <c r="AE15" s="155">
        <v>5.5198362792609137</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993.47633519037947</v>
      </c>
      <c r="E16" s="42">
        <v>984.30527100746224</v>
      </c>
      <c r="F16" s="41">
        <v>986.15166890584624</v>
      </c>
      <c r="G16" s="42">
        <v>967.20751247055398</v>
      </c>
      <c r="H16" s="41">
        <v>977.86620526616127</v>
      </c>
      <c r="I16" s="42">
        <v>948.42652333712681</v>
      </c>
      <c r="J16" s="41">
        <v>968.41648913005213</v>
      </c>
      <c r="K16" s="42">
        <v>927.60802366389282</v>
      </c>
      <c r="L16" s="41">
        <v>957.54016866701556</v>
      </c>
      <c r="M16" s="42">
        <v>904.29805895190327</v>
      </c>
      <c r="N16" s="41">
        <v>944.8943684020544</v>
      </c>
      <c r="O16" s="42">
        <v>877.9069359055926</v>
      </c>
      <c r="P16" s="41">
        <v>930.02472861935928</v>
      </c>
      <c r="Q16" s="42">
        <v>847.65821361992255</v>
      </c>
      <c r="R16" s="41">
        <v>912.31915692645543</v>
      </c>
      <c r="S16" s="42">
        <v>812.51189587109548</v>
      </c>
      <c r="T16" s="41">
        <v>890.93778788732686</v>
      </c>
      <c r="U16" s="42">
        <v>771.0477811486586</v>
      </c>
      <c r="V16" s="41">
        <v>864.703431749591</v>
      </c>
      <c r="W16" s="42">
        <v>721.28302238851802</v>
      </c>
      <c r="X16" s="41">
        <v>831.92485906467448</v>
      </c>
      <c r="Y16" s="42">
        <v>660.37607545764047</v>
      </c>
      <c r="Z16" s="41">
        <v>790.10422735188217</v>
      </c>
      <c r="AA16" s="42">
        <v>584.13918007886923</v>
      </c>
      <c r="AB16" s="41">
        <v>735.4464190821152</v>
      </c>
      <c r="AC16" s="42">
        <v>486.23722557149529</v>
      </c>
      <c r="AD16" s="41">
        <v>662.07542746526735</v>
      </c>
      <c r="AE16" s="42">
        <v>357.00752967588608</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998.24304450590557</v>
      </c>
      <c r="E17" s="36">
        <v>1050.526241413558</v>
      </c>
      <c r="F17" s="35">
        <v>996.34758711338895</v>
      </c>
      <c r="G17" s="36">
        <v>1109.8991618532937</v>
      </c>
      <c r="H17" s="35">
        <v>994.29009163246644</v>
      </c>
      <c r="I17" s="36">
        <v>1180.2466447868519</v>
      </c>
      <c r="J17" s="35">
        <v>992.04069635192661</v>
      </c>
      <c r="K17" s="36">
        <v>1264.3723207206194</v>
      </c>
      <c r="L17" s="35">
        <v>989.56114681258782</v>
      </c>
      <c r="M17" s="36">
        <v>1366.0294317920197</v>
      </c>
      <c r="N17" s="35">
        <v>986.80204216044558</v>
      </c>
      <c r="O17" s="36">
        <v>1490.3318037567269</v>
      </c>
      <c r="P17" s="35">
        <v>983.69932989140034</v>
      </c>
      <c r="Q17" s="36">
        <v>1644.3841215808923</v>
      </c>
      <c r="R17" s="35">
        <v>980.16967051990912</v>
      </c>
      <c r="S17" s="36">
        <v>1838.2850575345478</v>
      </c>
      <c r="T17" s="35">
        <v>976.10475967786192</v>
      </c>
      <c r="U17" s="36">
        <v>2086.7720066306524</v>
      </c>
      <c r="V17" s="35">
        <v>971.36502155401126</v>
      </c>
      <c r="W17" s="36">
        <v>2412.0316452780476</v>
      </c>
      <c r="X17" s="35">
        <v>965.77413241917986</v>
      </c>
      <c r="Y17" s="36">
        <v>2848.7160407940141</v>
      </c>
      <c r="Z17" s="35">
        <v>959.11958251977433</v>
      </c>
      <c r="AA17" s="36">
        <v>3453.3378837733489</v>
      </c>
      <c r="AB17" s="35">
        <v>951.17276092720704</v>
      </c>
      <c r="AC17" s="36">
        <v>4322.7241235794281</v>
      </c>
      <c r="AD17" s="35">
        <v>941.76508612411828</v>
      </c>
      <c r="AE17" s="36">
        <v>5631.4308006609781</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27870.877977440479</v>
      </c>
      <c r="E18" s="34">
        <v>1156.4256622211824</v>
      </c>
      <c r="F18" s="33">
        <v>27879.847178058229</v>
      </c>
      <c r="G18" s="34">
        <v>1075.8454107837513</v>
      </c>
      <c r="H18" s="33">
        <v>27882.82651918288</v>
      </c>
      <c r="I18" s="34">
        <v>995.05824830045003</v>
      </c>
      <c r="J18" s="33">
        <v>27878.402879831068</v>
      </c>
      <c r="K18" s="34">
        <v>914.1075635128559</v>
      </c>
      <c r="L18" s="33">
        <v>27864.715842254704</v>
      </c>
      <c r="M18" s="34">
        <v>833.05369835152658</v>
      </c>
      <c r="N18" s="33">
        <v>27839.270065175868</v>
      </c>
      <c r="O18" s="34">
        <v>751.98332633946359</v>
      </c>
      <c r="P18" s="33">
        <v>27798.6518691036</v>
      </c>
      <c r="Q18" s="34">
        <v>671.02176736349213</v>
      </c>
      <c r="R18" s="33">
        <v>27738.076456692157</v>
      </c>
      <c r="S18" s="34">
        <v>590.35452011207747</v>
      </c>
      <c r="T18" s="33">
        <v>27650.648382916668</v>
      </c>
      <c r="U18" s="34">
        <v>510.25882510261886</v>
      </c>
      <c r="V18" s="33">
        <v>27526.094198514766</v>
      </c>
      <c r="W18" s="34">
        <v>431.15698388212348</v>
      </c>
      <c r="X18" s="33">
        <v>27348.491893739636</v>
      </c>
      <c r="Y18" s="34">
        <v>353.69433044905492</v>
      </c>
      <c r="Z18" s="33">
        <v>27091.975046300573</v>
      </c>
      <c r="AA18" s="34">
        <v>278.85925270382967</v>
      </c>
      <c r="AB18" s="33">
        <v>26712.106418820564</v>
      </c>
      <c r="AC18" s="34">
        <v>208.15410456514292</v>
      </c>
      <c r="AD18" s="33">
        <v>26127.500954960884</v>
      </c>
      <c r="AE18" s="34">
        <v>143.8117812465583</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1882.9116763231423</v>
      </c>
      <c r="E19" s="42">
        <v>264.3283700364409</v>
      </c>
      <c r="F19" s="41">
        <v>1878.7425621293046</v>
      </c>
      <c r="G19" s="42">
        <v>266.9504976680098</v>
      </c>
      <c r="H19" s="41">
        <v>1873.7550317377838</v>
      </c>
      <c r="I19" s="42">
        <v>270.85356274046586</v>
      </c>
      <c r="J19" s="41">
        <v>1867.7810581449885</v>
      </c>
      <c r="K19" s="42">
        <v>276.28636914498293</v>
      </c>
      <c r="L19" s="41">
        <v>1860.6029919868822</v>
      </c>
      <c r="M19" s="42">
        <v>283.5609033283863</v>
      </c>
      <c r="N19" s="41">
        <v>1851.9351169232709</v>
      </c>
      <c r="O19" s="42">
        <v>293.07039335492664</v>
      </c>
      <c r="P19" s="41">
        <v>1841.3974593356604</v>
      </c>
      <c r="Q19" s="42">
        <v>305.30941668067288</v>
      </c>
      <c r="R19" s="41">
        <v>1828.4769395863605</v>
      </c>
      <c r="S19" s="42">
        <v>320.89824581862501</v>
      </c>
      <c r="T19" s="41">
        <v>1812.4692245735741</v>
      </c>
      <c r="U19" s="42">
        <v>340.60627253188574</v>
      </c>
      <c r="V19" s="41">
        <v>1792.3887135162195</v>
      </c>
      <c r="W19" s="42">
        <v>365.35990275937894</v>
      </c>
      <c r="X19" s="41">
        <v>1766.8240806952001</v>
      </c>
      <c r="Y19" s="42">
        <v>396.20815671905547</v>
      </c>
      <c r="Z19" s="41">
        <v>1733.6955109345672</v>
      </c>
      <c r="AA19" s="42">
        <v>434.15965089628929</v>
      </c>
      <c r="AB19" s="41">
        <v>1689.8207559175987</v>
      </c>
      <c r="AC19" s="42">
        <v>479.68581429493781</v>
      </c>
      <c r="AD19" s="41">
        <v>1630.0810807896637</v>
      </c>
      <c r="AE19" s="42">
        <v>531.36568470998657</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26551.184209177871</v>
      </c>
      <c r="E20" s="83">
        <v>1338.1147774499941</v>
      </c>
      <c r="F20" s="82">
        <v>26548.463603856122</v>
      </c>
      <c r="G20" s="83">
        <v>1267.6876838999945</v>
      </c>
      <c r="H20" s="82">
        <v>26539.007204634647</v>
      </c>
      <c r="I20" s="83">
        <v>1197.2605903499946</v>
      </c>
      <c r="J20" s="82">
        <v>26521.28181517707</v>
      </c>
      <c r="K20" s="83">
        <v>1126.8334967999949</v>
      </c>
      <c r="L20" s="82">
        <v>26493.276375161218</v>
      </c>
      <c r="M20" s="83">
        <v>1056.4064032499953</v>
      </c>
      <c r="N20" s="82">
        <v>26452.306755412777</v>
      </c>
      <c r="O20" s="83">
        <v>985.97930969999561</v>
      </c>
      <c r="P20" s="82">
        <v>26394.724815608646</v>
      </c>
      <c r="Q20" s="83">
        <v>915.55221614999607</v>
      </c>
      <c r="R20" s="82">
        <v>26315.46087288922</v>
      </c>
      <c r="S20" s="83">
        <v>845.12512259999642</v>
      </c>
      <c r="T20" s="82">
        <v>26207.289611882894</v>
      </c>
      <c r="U20" s="83">
        <v>774.69802904999653</v>
      </c>
      <c r="V20" s="82">
        <v>26059.596983164945</v>
      </c>
      <c r="W20" s="83">
        <v>704.27093549999688</v>
      </c>
      <c r="X20" s="82">
        <v>25856.216433744259</v>
      </c>
      <c r="Y20" s="83">
        <v>633.84384194999723</v>
      </c>
      <c r="Z20" s="82">
        <v>25571.42228113638</v>
      </c>
      <c r="AA20" s="83">
        <v>563.41674839999746</v>
      </c>
      <c r="AB20" s="82">
        <v>25162.049036547156</v>
      </c>
      <c r="AC20" s="83">
        <v>492.98965484999781</v>
      </c>
      <c r="AD20" s="82">
        <v>24551.012448359379</v>
      </c>
      <c r="AE20" s="83">
        <v>422.56256129999809</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1145.7547579999964</v>
      </c>
      <c r="D21" s="82">
        <v>24668.276369647374</v>
      </c>
      <c r="E21" s="83">
        <v>1074.0442069403816</v>
      </c>
      <c r="F21" s="82">
        <v>24669.737659098271</v>
      </c>
      <c r="G21" s="83">
        <v>1001.8696665945203</v>
      </c>
      <c r="H21" s="82">
        <v>24665.292872574966</v>
      </c>
      <c r="I21" s="83">
        <v>929.21786217453928</v>
      </c>
      <c r="J21" s="82">
        <v>24653.580003993</v>
      </c>
      <c r="K21" s="83">
        <v>856.08572636641918</v>
      </c>
      <c r="L21" s="82">
        <v>24632.809966275909</v>
      </c>
      <c r="M21" s="83">
        <v>782.48627798722703</v>
      </c>
      <c r="N21" s="82">
        <v>24600.590366842676</v>
      </c>
      <c r="O21" s="83">
        <v>708.4582046696238</v>
      </c>
      <c r="P21" s="82">
        <v>24553.661566940467</v>
      </c>
      <c r="Q21" s="83">
        <v>634.08226247425068</v>
      </c>
      <c r="R21" s="82">
        <v>24487.479232090911</v>
      </c>
      <c r="S21" s="83">
        <v>559.50459512936152</v>
      </c>
      <c r="T21" s="82">
        <v>24395.540248353096</v>
      </c>
      <c r="U21" s="83">
        <v>484.97218217916833</v>
      </c>
      <c r="V21" s="82">
        <v>24268.242361972509</v>
      </c>
      <c r="W21" s="83">
        <v>410.8878263280784</v>
      </c>
      <c r="X21" s="82">
        <v>24090.868603179781</v>
      </c>
      <c r="Y21" s="83">
        <v>337.88975645114107</v>
      </c>
      <c r="Z21" s="82">
        <v>23839.827587402608</v>
      </c>
      <c r="AA21" s="83">
        <v>266.96955742043639</v>
      </c>
      <c r="AB21" s="82">
        <v>23475.207970816187</v>
      </c>
      <c r="AC21" s="83">
        <v>199.63656621012822</v>
      </c>
      <c r="AD21" s="82">
        <v>22925.118812773435</v>
      </c>
      <c r="AE21" s="83">
        <v>138.12175046133234</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6533.6044688320826</v>
      </c>
      <c r="C22" s="42">
        <v>379.90788307663479</v>
      </c>
      <c r="D22" s="41">
        <v>6535.5754618386618</v>
      </c>
      <c r="E22" s="42">
        <v>356.69997683418188</v>
      </c>
      <c r="F22" s="41">
        <v>6535.173070290718</v>
      </c>
      <c r="G22" s="42">
        <v>333.61820838548073</v>
      </c>
      <c r="H22" s="41">
        <v>6531.9424139947478</v>
      </c>
      <c r="I22" s="42">
        <v>310.68081391133808</v>
      </c>
      <c r="J22" s="41">
        <v>6525.3059774342519</v>
      </c>
      <c r="K22" s="42">
        <v>287.90956515349046</v>
      </c>
      <c r="L22" s="41">
        <v>6514.5208964763733</v>
      </c>
      <c r="M22" s="42">
        <v>265.32978460071365</v>
      </c>
      <c r="N22" s="41">
        <v>6498.6165201505846</v>
      </c>
      <c r="O22" s="42">
        <v>242.97059596400658</v>
      </c>
      <c r="P22" s="41">
        <v>6476.3024466780453</v>
      </c>
      <c r="Q22" s="42">
        <v>220.86564639837172</v>
      </c>
      <c r="R22" s="41">
        <v>6445.8287832912738</v>
      </c>
      <c r="S22" s="42">
        <v>199.05313768209808</v>
      </c>
      <c r="T22" s="41">
        <v>6404.7695050181683</v>
      </c>
      <c r="U22" s="42">
        <v>177.57602439332842</v>
      </c>
      <c r="V22" s="41">
        <v>6349.6681341236108</v>
      </c>
      <c r="W22" s="42">
        <v>156.48189872450803</v>
      </c>
      <c r="X22" s="41">
        <v>6275.4462381081357</v>
      </c>
      <c r="Y22" s="42">
        <v>135.82350273685375</v>
      </c>
      <c r="Z22" s="41">
        <v>6174.3603390708358</v>
      </c>
      <c r="AA22" s="42">
        <v>115.66136867414313</v>
      </c>
      <c r="AB22" s="41">
        <v>6034.0758774297092</v>
      </c>
      <c r="AC22" s="42">
        <v>96.072751134669375</v>
      </c>
      <c r="AD22" s="41">
        <v>5833.936096453137</v>
      </c>
      <c r="AE22" s="42">
        <v>77.176985328766435</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3287.1895332006607</v>
      </c>
      <c r="E23" s="8">
        <v>0</v>
      </c>
      <c r="F23" s="116">
        <v>3295.471429446497</v>
      </c>
      <c r="G23" s="8">
        <v>0</v>
      </c>
      <c r="H23" s="116">
        <v>3303.2384351297983</v>
      </c>
      <c r="I23" s="8">
        <v>0</v>
      </c>
      <c r="J23" s="116">
        <v>3310.3448769784359</v>
      </c>
      <c r="K23" s="8">
        <v>0</v>
      </c>
      <c r="L23" s="116">
        <v>3316.5932135232392</v>
      </c>
      <c r="M23" s="8">
        <v>0</v>
      </c>
      <c r="N23" s="116">
        <v>3321.7109285015777</v>
      </c>
      <c r="O23" s="8">
        <v>0</v>
      </c>
      <c r="P23" s="116">
        <v>3325.3157145974328</v>
      </c>
      <c r="Q23" s="8">
        <v>0</v>
      </c>
      <c r="R23" s="116">
        <v>3326.8599952275713</v>
      </c>
      <c r="S23" s="8">
        <v>0</v>
      </c>
      <c r="T23" s="116">
        <v>3325.5412935940049</v>
      </c>
      <c r="U23" s="8">
        <v>0</v>
      </c>
      <c r="V23" s="116">
        <v>3320.1505859668573</v>
      </c>
      <c r="W23" s="8">
        <v>0</v>
      </c>
      <c r="X23" s="116">
        <v>3308.805451421028</v>
      </c>
      <c r="Y23" s="8">
        <v>0</v>
      </c>
      <c r="Z23" s="116">
        <v>3288.4534240942353</v>
      </c>
      <c r="AA23" s="8">
        <v>0</v>
      </c>
      <c r="AB23" s="116">
        <v>3253.8864765873791</v>
      </c>
      <c r="AC23" s="8">
        <v>0</v>
      </c>
      <c r="AD23" s="116">
        <v>3195.6415618760789</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3204.8547610127498</v>
      </c>
      <c r="E24" s="8">
        <v>0</v>
      </c>
      <c r="F24" s="97">
        <v>3212.9292177838875</v>
      </c>
      <c r="G24" s="8">
        <v>0</v>
      </c>
      <c r="H24" s="97">
        <v>3220.5016819296325</v>
      </c>
      <c r="I24" s="8">
        <v>0</v>
      </c>
      <c r="J24" s="97">
        <v>3227.4301281097196</v>
      </c>
      <c r="K24" s="8">
        <v>0</v>
      </c>
      <c r="L24" s="97">
        <v>3233.5219607824456</v>
      </c>
      <c r="M24" s="8">
        <v>0</v>
      </c>
      <c r="N24" s="97">
        <v>3238.5114908737664</v>
      </c>
      <c r="O24" s="8">
        <v>0</v>
      </c>
      <c r="P24" s="97">
        <v>3242.0259864341115</v>
      </c>
      <c r="Q24" s="8">
        <v>0</v>
      </c>
      <c r="R24" s="97">
        <v>3243.531588263786</v>
      </c>
      <c r="S24" s="8">
        <v>0</v>
      </c>
      <c r="T24" s="97">
        <v>3242.2459152346632</v>
      </c>
      <c r="U24" s="8">
        <v>0</v>
      </c>
      <c r="V24" s="97">
        <v>3236.9902296812247</v>
      </c>
      <c r="W24" s="8">
        <v>0</v>
      </c>
      <c r="X24" s="97">
        <v>3225.9292580908345</v>
      </c>
      <c r="Y24" s="8">
        <v>0</v>
      </c>
      <c r="Z24" s="97">
        <v>3206.0869931767784</v>
      </c>
      <c r="AA24" s="8">
        <v>0</v>
      </c>
      <c r="AB24" s="97">
        <v>3172.3858501142909</v>
      </c>
      <c r="AC24" s="8">
        <v>0</v>
      </c>
      <c r="AD24" s="97">
        <v>3115.599805587573</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3195.0476040000053</v>
      </c>
      <c r="C25" s="42">
        <v>91.012690000004284</v>
      </c>
      <c r="D25" s="41">
        <v>3202.5953949841878</v>
      </c>
      <c r="E25" s="42">
        <v>82.333182404321633</v>
      </c>
      <c r="F25" s="41">
        <v>3210.0825495047052</v>
      </c>
      <c r="G25" s="42">
        <v>73.780639982964857</v>
      </c>
      <c r="H25" s="41">
        <v>3217.4673885374814</v>
      </c>
      <c r="I25" s="42">
        <v>65.396574888275396</v>
      </c>
      <c r="J25" s="41">
        <v>3224.6934252318033</v>
      </c>
      <c r="K25" s="42">
        <v>57.229647978973901</v>
      </c>
      <c r="L25" s="41">
        <v>3231.6819344559694</v>
      </c>
      <c r="M25" s="42">
        <v>49.336132774277843</v>
      </c>
      <c r="N25" s="41">
        <v>3238.3195712353927</v>
      </c>
      <c r="O25" s="42">
        <v>41.780256525484923</v>
      </c>
      <c r="P25" s="41">
        <v>3244.4374371111558</v>
      </c>
      <c r="Q25" s="42">
        <v>34.634132378254058</v>
      </c>
      <c r="R25" s="41">
        <v>3249.7734519095425</v>
      </c>
      <c r="S25" s="42">
        <v>27.976800649264224</v>
      </c>
      <c r="T25" s="41">
        <v>3253.903371433571</v>
      </c>
      <c r="U25" s="42">
        <v>21.891992887076398</v>
      </c>
      <c r="V25" s="41">
        <v>3256.1084329934311</v>
      </c>
      <c r="W25" s="42">
        <v>16.46449944476937</v>
      </c>
      <c r="X25" s="41">
        <v>3255.1126332222057</v>
      </c>
      <c r="Y25" s="42">
        <v>11.774002867974216</v>
      </c>
      <c r="Z25" s="41">
        <v>3248.5369306995071</v>
      </c>
      <c r="AA25" s="42">
        <v>7.8864407034786819</v>
      </c>
      <c r="AB25" s="41">
        <v>3231.7121371582616</v>
      </c>
      <c r="AC25" s="42">
        <v>4.842249536567155</v>
      </c>
      <c r="AD25" s="41">
        <v>3194.9818546039764</v>
      </c>
      <c r="AE25" s="42">
        <v>2.6414347462188581</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5040.8468162813315</v>
      </c>
      <c r="E26" s="34">
        <v>70.35382571867116</v>
      </c>
      <c r="F26" s="33">
        <v>5045.4097613888944</v>
      </c>
      <c r="G26" s="34">
        <v>65.79088061110852</v>
      </c>
      <c r="H26" s="33">
        <v>5049.9841475690228</v>
      </c>
      <c r="I26" s="34">
        <v>61.216494430980212</v>
      </c>
      <c r="J26" s="33">
        <v>5054.5699487070005</v>
      </c>
      <c r="K26" s="34">
        <v>56.630693293004732</v>
      </c>
      <c r="L26" s="33">
        <v>5059.1670255637764</v>
      </c>
      <c r="M26" s="34">
        <v>52.033616436227177</v>
      </c>
      <c r="N26" s="33">
        <v>5063.7748829223847</v>
      </c>
      <c r="O26" s="34">
        <v>47.425759077620064</v>
      </c>
      <c r="P26" s="33">
        <v>5068.3922756594629</v>
      </c>
      <c r="Q26" s="34">
        <v>42.808366340539166</v>
      </c>
      <c r="R26" s="33">
        <v>5073.0163699389923</v>
      </c>
      <c r="S26" s="34">
        <v>38.184272061012521</v>
      </c>
      <c r="T26" s="33">
        <v>5077.641275367766</v>
      </c>
      <c r="U26" s="34">
        <v>33.559366632239396</v>
      </c>
      <c r="V26" s="33">
        <v>5082.2552450660678</v>
      </c>
      <c r="W26" s="34">
        <v>28.945396933937751</v>
      </c>
      <c r="X26" s="33">
        <v>5086.8358887773929</v>
      </c>
      <c r="Y26" s="34">
        <v>24.364753222610531</v>
      </c>
      <c r="Z26" s="33">
        <v>5091.3416536558834</v>
      </c>
      <c r="AA26" s="34">
        <v>19.858988344118245</v>
      </c>
      <c r="AB26" s="33">
        <v>5095.6967254061437</v>
      </c>
      <c r="AC26" s="34">
        <v>15.503916593860163</v>
      </c>
      <c r="AD26" s="33">
        <v>5099.761768299164</v>
      </c>
      <c r="AE26" s="34">
        <v>11.438873700846218</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6441.5264056583628</v>
      </c>
      <c r="E27" s="36">
        <v>256.90089120296773</v>
      </c>
      <c r="F27" s="35">
        <v>6457.931400704093</v>
      </c>
      <c r="G27" s="36">
        <v>240.4959091000039</v>
      </c>
      <c r="H27" s="35">
        <v>6474.4133012335778</v>
      </c>
      <c r="I27" s="36">
        <v>224.01400708278609</v>
      </c>
      <c r="J27" s="35">
        <v>6490.9722811931979</v>
      </c>
      <c r="K27" s="36">
        <v>207.45501844931673</v>
      </c>
      <c r="L27" s="35">
        <v>6507.6081783860573</v>
      </c>
      <c r="M27" s="36">
        <v>190.81912660195414</v>
      </c>
      <c r="N27" s="35">
        <v>6524.3193712330121</v>
      </c>
      <c r="O27" s="36">
        <v>174.1079242611745</v>
      </c>
      <c r="P27" s="35">
        <v>6541.1016024725977</v>
      </c>
      <c r="Q27" s="36">
        <v>157.32568314208376</v>
      </c>
      <c r="R27" s="35">
        <v>6557.9447146584889</v>
      </c>
      <c r="S27" s="36">
        <v>140.48257488904696</v>
      </c>
      <c r="T27" s="35">
        <v>6574.8273814226031</v>
      </c>
      <c r="U27" s="36">
        <v>123.59988503771918</v>
      </c>
      <c r="V27" s="35">
        <v>6591.7066070987121</v>
      </c>
      <c r="W27" s="36">
        <v>106.72066583613012</v>
      </c>
      <c r="X27" s="35">
        <v>6608.4999107086041</v>
      </c>
      <c r="Y27" s="36">
        <v>89.92735359482387</v>
      </c>
      <c r="Z27" s="35">
        <v>6625.0537335140716</v>
      </c>
      <c r="AA27" s="36">
        <v>73.37357462293626</v>
      </c>
      <c r="AB27" s="35">
        <v>6641.0868741361592</v>
      </c>
      <c r="AC27" s="36">
        <v>57.340438530797101</v>
      </c>
      <c r="AD27" s="35">
        <v>6656.0815114559382</v>
      </c>
      <c r="AE27" s="36">
        <v>42.345810382092615</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13763.097676000001</v>
      </c>
      <c r="C28" s="42">
        <v>382.36647900000003</v>
      </c>
      <c r="D28" s="41">
        <v>13786.026922149424</v>
      </c>
      <c r="E28" s="42">
        <v>359.40609844692398</v>
      </c>
      <c r="F28" s="41">
        <v>13808.987979988005</v>
      </c>
      <c r="G28" s="42">
        <v>336.35135349750624</v>
      </c>
      <c r="H28" s="41">
        <v>13831.980287090573</v>
      </c>
      <c r="I28" s="42">
        <v>313.20224881939475</v>
      </c>
      <c r="J28" s="41">
        <v>13855.003257287144</v>
      </c>
      <c r="K28" s="42">
        <v>289.95886843140119</v>
      </c>
      <c r="L28" s="41">
        <v>13878.05580955087</v>
      </c>
      <c r="M28" s="42">
        <v>266.62181701953273</v>
      </c>
      <c r="N28" s="41">
        <v>13901.134924919275</v>
      </c>
      <c r="O28" s="42">
        <v>243.19363013872965</v>
      </c>
      <c r="P28" s="41">
        <v>13924.233952824874</v>
      </c>
      <c r="Q28" s="42">
        <v>219.68062076320021</v>
      </c>
      <c r="R28" s="41">
        <v>13947.338274946918</v>
      </c>
      <c r="S28" s="42">
        <v>196.09731918816081</v>
      </c>
      <c r="T28" s="41">
        <v>13970.418186800272</v>
      </c>
      <c r="U28" s="42">
        <v>172.47383102273022</v>
      </c>
      <c r="V28" s="41">
        <v>13993.414927560829</v>
      </c>
      <c r="W28" s="42">
        <v>148.87055712238788</v>
      </c>
      <c r="X28" s="41">
        <v>14016.217036398415</v>
      </c>
      <c r="Y28" s="42">
        <v>125.40278056784639</v>
      </c>
      <c r="Z28" s="41">
        <v>14038.61849717875</v>
      </c>
      <c r="AA28" s="42">
        <v>102.28485867670229</v>
      </c>
      <c r="AB28" s="41">
        <v>14060.2441847666</v>
      </c>
      <c r="AC28" s="42">
        <v>79.908466012152161</v>
      </c>
      <c r="AD28" s="41">
        <v>14080.405972033952</v>
      </c>
      <c r="AE28" s="42">
        <v>58.994387837224565</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14369.491537696074</v>
      </c>
      <c r="E29" s="36">
        <v>761.96442639252598</v>
      </c>
      <c r="F29" s="35">
        <v>14373.648889923421</v>
      </c>
      <c r="G29" s="36">
        <v>706.65361939478066</v>
      </c>
      <c r="H29" s="35">
        <v>14374.670981331945</v>
      </c>
      <c r="I29" s="36">
        <v>651.38481038606506</v>
      </c>
      <c r="J29" s="35">
        <v>14371.820164648225</v>
      </c>
      <c r="K29" s="36">
        <v>596.21991279395479</v>
      </c>
      <c r="L29" s="35">
        <v>14364.12551858181</v>
      </c>
      <c r="M29" s="36">
        <v>541.23517957031106</v>
      </c>
      <c r="N29" s="35">
        <v>14350.285257419297</v>
      </c>
      <c r="O29" s="36">
        <v>486.52680793160505</v>
      </c>
      <c r="P29" s="35">
        <v>14328.519268471344</v>
      </c>
      <c r="Q29" s="36">
        <v>432.21797617292242</v>
      </c>
      <c r="R29" s="35">
        <v>14296.334073775992</v>
      </c>
      <c r="S29" s="36">
        <v>378.47104234398557</v>
      </c>
      <c r="T29" s="35">
        <v>14250.139433842696</v>
      </c>
      <c r="U29" s="36">
        <v>325.50516721802018</v>
      </c>
      <c r="V29" s="35">
        <v>14184.592462151317</v>
      </c>
      <c r="W29" s="36">
        <v>273.62642924668086</v>
      </c>
      <c r="X29" s="35">
        <v>14091.425121345335</v>
      </c>
      <c r="Y29" s="36">
        <v>223.27177671089242</v>
      </c>
      <c r="Z29" s="35">
        <v>13957.23044836436</v>
      </c>
      <c r="AA29" s="36">
        <v>175.07732332594895</v>
      </c>
      <c r="AB29" s="35">
        <v>13759.027594172552</v>
      </c>
      <c r="AC29" s="36">
        <v>129.9759559104362</v>
      </c>
      <c r="AD29" s="35">
        <v>13454.834741215378</v>
      </c>
      <c r="AE29" s="36">
        <v>89.320658843243621</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3056115.9268520637</v>
      </c>
      <c r="F30" s="119">
        <v>3195226.7261189949</v>
      </c>
      <c r="H30" s="119">
        <v>3343705.099632516</v>
      </c>
      <c r="J30" s="119">
        <v>3503477.5246454282</v>
      </c>
      <c r="L30" s="119">
        <v>3676980.8703901633</v>
      </c>
      <c r="N30" s="119">
        <v>3867339.5168966316</v>
      </c>
      <c r="P30" s="119">
        <v>4078612.9108642647</v>
      </c>
      <c r="R30" s="119">
        <v>4316171.0256134234</v>
      </c>
      <c r="T30" s="119">
        <v>4587266.198422404</v>
      </c>
      <c r="V30" s="119">
        <v>4901935.9216996878</v>
      </c>
      <c r="X30" s="119">
        <v>5274473.421782882</v>
      </c>
      <c r="Z30" s="119">
        <v>5725826.6724294238</v>
      </c>
      <c r="AB30" s="119">
        <v>6287327.5674325004</v>
      </c>
      <c r="AD30" s="119">
        <v>7004989.2484990973</v>
      </c>
      <c r="AF30" s="119"/>
      <c r="AH30" s="119"/>
      <c r="AJ30" s="119"/>
      <c r="AL30" s="119"/>
      <c r="AN30" s="119"/>
      <c r="AP30" s="119"/>
      <c r="AR30" s="119"/>
      <c r="AT30" s="119"/>
      <c r="AV30" s="119"/>
    </row>
    <row r="31" spans="1:49" x14ac:dyDescent="0.2">
      <c r="A31" t="s">
        <v>47</v>
      </c>
      <c r="B31" s="80">
        <v>1.0000000000000013</v>
      </c>
      <c r="D31" s="80">
        <v>0.99678956878842817</v>
      </c>
      <c r="F31" s="80">
        <v>0.99288156068627331</v>
      </c>
      <c r="H31" s="80">
        <v>0.98815943137863127</v>
      </c>
      <c r="J31" s="80">
        <v>0.98247920910041198</v>
      </c>
      <c r="L31" s="80">
        <v>0.9756609572818139</v>
      </c>
      <c r="N31" s="80">
        <v>0.96747677567927037</v>
      </c>
      <c r="P31" s="80">
        <v>0.9576338686332958</v>
      </c>
      <c r="R31" s="80">
        <v>0.94574959084229204</v>
      </c>
      <c r="T31" s="80">
        <v>0.9313143102111564</v>
      </c>
      <c r="V31" s="80">
        <v>0.91363332056245761</v>
      </c>
      <c r="X31" s="80">
        <v>0.89173480508155878</v>
      </c>
      <c r="Z31" s="80">
        <v>0.86421823316760449</v>
      </c>
      <c r="AB31" s="80">
        <v>0.8289996817388634</v>
      </c>
      <c r="AD31" s="80">
        <v>0.7828852572545848</v>
      </c>
      <c r="AF31" s="80"/>
      <c r="AH31" s="80"/>
      <c r="AJ31" s="80"/>
      <c r="AL31" s="80"/>
      <c r="AN31" s="80"/>
      <c r="AP31" s="80"/>
      <c r="AR31" s="80"/>
      <c r="AT31" s="80"/>
      <c r="AV31" s="80"/>
    </row>
    <row r="32" spans="1:49" x14ac:dyDescent="0.2">
      <c r="A32" t="s">
        <v>64</v>
      </c>
      <c r="B32" s="86">
        <v>14734457.915000005</v>
      </c>
      <c r="D32" s="86">
        <v>14744947.358587729</v>
      </c>
      <c r="F32" s="86">
        <v>14751186.409285281</v>
      </c>
      <c r="H32" s="86">
        <v>14752291.333632976</v>
      </c>
      <c r="J32" s="86">
        <v>14747111.833679331</v>
      </c>
      <c r="L32" s="86">
        <v>14734131.529244348</v>
      </c>
      <c r="N32" s="86">
        <v>14711324.177672779</v>
      </c>
      <c r="P32" s="86">
        <v>14675948.05750525</v>
      </c>
      <c r="R32" s="86">
        <v>14624238.378765587</v>
      </c>
      <c r="T32" s="86">
        <v>14550945.107008113</v>
      </c>
      <c r="V32" s="86">
        <v>14448614.898538183</v>
      </c>
      <c r="X32" s="86">
        <v>14306439.99065925</v>
      </c>
      <c r="Z32" s="86">
        <v>14108323.570718681</v>
      </c>
      <c r="AB32" s="86">
        <v>13829409.399529196</v>
      </c>
      <c r="AD32" s="86">
        <v>13429304.452908766</v>
      </c>
      <c r="AF32" s="86"/>
      <c r="AH32" s="86"/>
      <c r="AJ32" s="86"/>
      <c r="AL32" s="86"/>
      <c r="AN32" s="86"/>
      <c r="AP32" s="86"/>
      <c r="AR32" s="86"/>
      <c r="AT32" s="86"/>
      <c r="AV32" s="86"/>
    </row>
    <row r="33" spans="1:49 16319:16321" x14ac:dyDescent="0.2">
      <c r="A33" t="s">
        <v>54</v>
      </c>
      <c r="B33" s="117">
        <v>7019665.6910000062</v>
      </c>
      <c r="D33" s="117">
        <v>7024663.2346860515</v>
      </c>
      <c r="F33" s="117">
        <v>7027635.3851060914</v>
      </c>
      <c r="H33" s="117">
        <v>7028161.7982421229</v>
      </c>
      <c r="J33" s="117">
        <v>7025694.3080041064</v>
      </c>
      <c r="L33" s="117">
        <v>7019510.2833493566</v>
      </c>
      <c r="N33" s="117">
        <v>7008644.6863374375</v>
      </c>
      <c r="P33" s="117">
        <v>6991791.1733434377</v>
      </c>
      <c r="R33" s="117">
        <v>6967155.9024112932</v>
      </c>
      <c r="T33" s="117">
        <v>6932238.1904728953</v>
      </c>
      <c r="V33" s="117">
        <v>6883486.8685467159</v>
      </c>
      <c r="X33" s="117">
        <v>6815753.1070347875</v>
      </c>
      <c r="Z33" s="117">
        <v>6721368.1051949598</v>
      </c>
      <c r="AB33" s="117">
        <v>6588490.1454597767</v>
      </c>
      <c r="AD33" s="117">
        <v>6397875.5797395501</v>
      </c>
      <c r="AF33" s="117"/>
      <c r="AH33" s="117"/>
      <c r="AJ33" s="117"/>
      <c r="AL33" s="117"/>
      <c r="AN33" s="117"/>
      <c r="AP33" s="117"/>
      <c r="AR33" s="117"/>
      <c r="AT33" s="117"/>
      <c r="AV33" s="117"/>
    </row>
    <row r="34" spans="1:49 16319:16321" x14ac:dyDescent="0.2">
      <c r="A34" t="s">
        <v>75</v>
      </c>
      <c r="B34" s="117">
        <v>1136879.4409999985</v>
      </c>
      <c r="D34" s="117">
        <v>1137688.5310289264</v>
      </c>
      <c r="F34" s="117">
        <v>1138170.1296903559</v>
      </c>
      <c r="H34" s="117">
        <v>1138255.3689475071</v>
      </c>
      <c r="J34" s="117">
        <v>1137855.6459208056</v>
      </c>
      <c r="L34" s="117">
        <v>1136854.1719149787</v>
      </c>
      <c r="N34" s="117">
        <v>1135094.3174826801</v>
      </c>
      <c r="P34" s="117">
        <v>1132364.6934730764</v>
      </c>
      <c r="R34" s="117">
        <v>1128375.0671538212</v>
      </c>
      <c r="T34" s="117">
        <v>1122719.8672151878</v>
      </c>
      <c r="V34" s="117">
        <v>1114824.316162602</v>
      </c>
      <c r="X34" s="117">
        <v>1103854.3986759242</v>
      </c>
      <c r="Z34" s="117">
        <v>1088568.2095721294</v>
      </c>
      <c r="AB34" s="117">
        <v>1067047.8164822923</v>
      </c>
      <c r="AD34" s="117">
        <v>1036176.5238505452</v>
      </c>
      <c r="AF34" s="117"/>
      <c r="AH34" s="117"/>
      <c r="AJ34" s="117"/>
      <c r="AL34" s="117"/>
      <c r="AN34" s="117"/>
      <c r="AP34" s="117"/>
      <c r="AR34" s="117"/>
      <c r="AT34" s="117"/>
      <c r="AV34" s="117"/>
    </row>
    <row r="35" spans="1:49 16319:16321" x14ac:dyDescent="0.2">
      <c r="A35" t="s">
        <v>78</v>
      </c>
      <c r="B35" s="233">
        <v>1</v>
      </c>
      <c r="D35" s="233">
        <v>1.0039394038106504</v>
      </c>
      <c r="F35" s="233">
        <v>1.0083520420838616</v>
      </c>
      <c r="H35" s="233">
        <v>1.0133544307763711</v>
      </c>
      <c r="J35" s="233">
        <v>1.0190987949617625</v>
      </c>
      <c r="L35" s="233">
        <v>1.0257871756520924</v>
      </c>
      <c r="N35" s="233">
        <v>1.0336923648962009</v>
      </c>
      <c r="P35" s="233">
        <v>1.0431896378968597</v>
      </c>
      <c r="R35" s="233">
        <v>1.0548068273141662</v>
      </c>
      <c r="T35" s="233">
        <v>1.0693052649133288</v>
      </c>
      <c r="V35" s="233">
        <v>1.0878157110117814</v>
      </c>
      <c r="X35" s="233">
        <v>1.1120748943331569</v>
      </c>
      <c r="Z35" s="233">
        <v>1.1448528136835823</v>
      </c>
      <c r="AB35" s="233">
        <v>1.1907479771645744</v>
      </c>
      <c r="AD35" s="233">
        <v>1.2576689303674737</v>
      </c>
      <c r="AF35" s="233"/>
      <c r="AH35" s="233"/>
      <c r="AJ35" s="233"/>
      <c r="AL35" s="233"/>
      <c r="AN35" s="233"/>
      <c r="AP35" s="233"/>
      <c r="AR35" s="233"/>
      <c r="AT35" s="233"/>
      <c r="AV35" s="233"/>
    </row>
    <row r="36" spans="1:49 16319:16321" x14ac:dyDescent="0.2">
      <c r="A36" t="s">
        <v>21</v>
      </c>
      <c r="B36" s="37">
        <v>0.4719576767198812</v>
      </c>
      <c r="C36" s="38">
        <v>0.31738834428178975</v>
      </c>
      <c r="D36" s="37">
        <v>0.47197276326609533</v>
      </c>
      <c r="E36" s="38">
        <v>0.31931957709079689</v>
      </c>
      <c r="F36" s="37">
        <v>0.47198925344510373</v>
      </c>
      <c r="G36" s="38">
        <v>0.3215161429774947</v>
      </c>
      <c r="H36" s="37">
        <v>0.47200740510262607</v>
      </c>
      <c r="I36" s="38">
        <v>0.32402538230529992</v>
      </c>
      <c r="J36" s="37">
        <v>0.47202755406212848</v>
      </c>
      <c r="K36" s="38">
        <v>0.3269053200222613</v>
      </c>
      <c r="L36" s="37">
        <v>0.47205013901516163</v>
      </c>
      <c r="M36" s="38">
        <v>0.33022767557994337</v>
      </c>
      <c r="N36" s="37">
        <v>0.47207573728326269</v>
      </c>
      <c r="O36" s="38">
        <v>0.33408189585655984</v>
      </c>
      <c r="P36" s="37">
        <v>0.47210512178554204</v>
      </c>
      <c r="Q36" s="38">
        <v>0.3385805930880903</v>
      </c>
      <c r="R36" s="37">
        <v>0.47213933445961531</v>
      </c>
      <c r="S36" s="38">
        <v>0.34386726219046176</v>
      </c>
      <c r="T36" s="37">
        <v>0.47217979204635357</v>
      </c>
      <c r="U36" s="38">
        <v>0.35012734729846573</v>
      </c>
      <c r="V36" s="37">
        <v>0.47222843225823546</v>
      </c>
      <c r="W36" s="38">
        <v>0.35760473677840443</v>
      </c>
      <c r="X36" s="37">
        <v>0.47228789536154298</v>
      </c>
      <c r="Y36" s="38">
        <v>0.3666269352986618</v>
      </c>
      <c r="Z36" s="37">
        <v>0.47236172364281154</v>
      </c>
      <c r="AA36" s="38">
        <v>0.37764402878519393</v>
      </c>
      <c r="AB36" s="37">
        <v>0.47245441968517732</v>
      </c>
      <c r="AC36" s="38">
        <v>0.39128751084126967</v>
      </c>
      <c r="AD36" s="37">
        <v>0.47257086382482144</v>
      </c>
      <c r="AE36" s="38">
        <v>0.40844597839260255</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0.3496246130199252</v>
      </c>
      <c r="D37" s="39">
        <v>2.0846078500457523E-2</v>
      </c>
      <c r="E37" s="40">
        <v>0.3462531637580244</v>
      </c>
      <c r="F37" s="39">
        <v>2.0273874861072683E-2</v>
      </c>
      <c r="G37" s="40">
        <v>0.34283448154981738</v>
      </c>
      <c r="H37" s="39">
        <v>1.9685389826989752E-2</v>
      </c>
      <c r="I37" s="40">
        <v>0.33937251881909852</v>
      </c>
      <c r="J37" s="39">
        <v>1.9079279652258353E-2</v>
      </c>
      <c r="K37" s="40">
        <v>0.33587296236106712</v>
      </c>
      <c r="L37" s="39">
        <v>1.8454038724571062E-2</v>
      </c>
      <c r="M37" s="40">
        <v>0.33234355796836879</v>
      </c>
      <c r="N37" s="39">
        <v>1.7807961142831594E-2</v>
      </c>
      <c r="O37" s="40">
        <v>0.32879452277613064</v>
      </c>
      <c r="P37" s="39">
        <v>1.7139103417264219E-2</v>
      </c>
      <c r="Q37" s="40">
        <v>0.32523908429459608</v>
      </c>
      <c r="R37" s="39">
        <v>1.6445209104314691E-2</v>
      </c>
      <c r="S37" s="40">
        <v>0.32169393925072054</v>
      </c>
      <c r="T37" s="39">
        <v>1.5723606830400225E-2</v>
      </c>
      <c r="U37" s="40">
        <v>0.31817973365070557</v>
      </c>
      <c r="V37" s="39">
        <v>1.4971053843180034E-2</v>
      </c>
      <c r="W37" s="40">
        <v>0.31472147320957333</v>
      </c>
      <c r="X37" s="39">
        <v>1.4183522960817971E-2</v>
      </c>
      <c r="Y37" s="40">
        <v>0.31134891674230969</v>
      </c>
      <c r="Z37" s="39">
        <v>1.3355971057303309E-2</v>
      </c>
      <c r="AA37" s="40">
        <v>0.30809717147114735</v>
      </c>
      <c r="AB37" s="39">
        <v>1.248228902156313E-2</v>
      </c>
      <c r="AC37" s="40">
        <v>0.3050080201089681</v>
      </c>
      <c r="AD37" s="39">
        <v>1.1556224809283446E-2</v>
      </c>
      <c r="AE37" s="40">
        <v>0.30213313394565866</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0.18086429930056538</v>
      </c>
      <c r="E38" s="38">
        <v>6.083730932046285E-2</v>
      </c>
      <c r="F38" s="37">
        <v>0.18096977824755409</v>
      </c>
      <c r="G38" s="38">
        <v>6.1152726917503876E-2</v>
      </c>
      <c r="H38" s="37">
        <v>0.18111449870746515</v>
      </c>
      <c r="I38" s="38">
        <v>6.1520513533290536E-2</v>
      </c>
      <c r="J38" s="37">
        <v>0.18130773023456748</v>
      </c>
      <c r="K38" s="38">
        <v>6.1951892264600308E-2</v>
      </c>
      <c r="L38" s="37">
        <v>0.18156176629269399</v>
      </c>
      <c r="M38" s="38">
        <v>6.2461299360645019E-2</v>
      </c>
      <c r="N38" s="37">
        <v>0.1818932346669771</v>
      </c>
      <c r="O38" s="38">
        <v>6.3067567346846889E-2</v>
      </c>
      <c r="P38" s="37">
        <v>0.18232511056741757</v>
      </c>
      <c r="Q38" s="38">
        <v>6.3795793851423449E-2</v>
      </c>
      <c r="R38" s="37">
        <v>0.18288998438156168</v>
      </c>
      <c r="S38" s="38">
        <v>6.4680240025541472E-2</v>
      </c>
      <c r="T38" s="37">
        <v>0.18363552293785892</v>
      </c>
      <c r="U38" s="38">
        <v>6.5769301737192351E-2</v>
      </c>
      <c r="V38" s="37">
        <v>0.18463408605716</v>
      </c>
      <c r="W38" s="38">
        <v>6.7134241160410613E-2</v>
      </c>
      <c r="X38" s="37">
        <v>0.18600059954098691</v>
      </c>
      <c r="Y38" s="38">
        <v>6.8886468131046166E-2</v>
      </c>
      <c r="Z38" s="37">
        <v>0.18792803569893696</v>
      </c>
      <c r="AA38" s="38">
        <v>7.1215095613879606E-2</v>
      </c>
      <c r="AB38" s="37">
        <v>0.19076356785610385</v>
      </c>
      <c r="AC38" s="38">
        <v>7.4482877127259012E-2</v>
      </c>
      <c r="AD38" s="37">
        <v>0.19518750672290613</v>
      </c>
      <c r="AE38" s="38">
        <v>7.9540588411423863E-2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0.23112032605762642</v>
      </c>
      <c r="E39" s="40">
        <v>0.22215080449661612</v>
      </c>
      <c r="F39" s="39">
        <v>0.2316343902267356</v>
      </c>
      <c r="G39" s="40">
        <v>0.22354132544452004</v>
      </c>
      <c r="H39" s="39">
        <v>0.23220075255926076</v>
      </c>
      <c r="I39" s="40">
        <v>0.22512652647762066</v>
      </c>
      <c r="J39" s="39">
        <v>0.23283156890917742</v>
      </c>
      <c r="K39" s="40">
        <v>0.22694814782199219</v>
      </c>
      <c r="L39" s="39">
        <v>0.23354295860134949</v>
      </c>
      <c r="M39" s="40">
        <v>0.22905981568721578</v>
      </c>
      <c r="N39" s="39">
        <v>0.23435669670787385</v>
      </c>
      <c r="O39" s="40">
        <v>0.23153162864488561</v>
      </c>
      <c r="P39" s="39">
        <v>0.23530283530557136</v>
      </c>
      <c r="Q39" s="40">
        <v>0.23445689960287164</v>
      </c>
      <c r="R39" s="39">
        <v>0.23642391803546647</v>
      </c>
      <c r="S39" s="40">
        <v>0.23796307151569984</v>
      </c>
      <c r="T39" s="39">
        <v>0.2377820328251222</v>
      </c>
      <c r="U39" s="40">
        <v>0.24222978409606505</v>
      </c>
      <c r="V39" s="39">
        <v>0.23947119266395531</v>
      </c>
      <c r="W39" s="40">
        <v>0.24752159845636898</v>
      </c>
      <c r="X39" s="39">
        <v>0.24164037769926761</v>
      </c>
      <c r="Y39" s="40">
        <v>0.25425161178198963</v>
      </c>
      <c r="Z39" s="39">
        <v>0.24453934134339633</v>
      </c>
      <c r="AA39" s="40">
        <v>0.26312045919761801</v>
      </c>
      <c r="AB39" s="39">
        <v>0.24861711652425303</v>
      </c>
      <c r="AC39" s="40">
        <v>0.27547109220155741</v>
      </c>
      <c r="AD39" s="39">
        <v>0.2547538520017596</v>
      </c>
      <c r="AE39" s="40">
        <v>0.29445299971281758</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0.10800000000000021</v>
      </c>
      <c r="G42" s="135"/>
      <c r="H42" s="177">
        <f>10.8%+(1-10.8%)*(1-SUM(H26:I26)/SUM($B$26:$C$26))</f>
        <v>0.10800000000000021</v>
      </c>
      <c r="I42" s="135"/>
      <c r="J42" s="177">
        <f>10.8%+(1-10.8%)*(1-SUM(J26:K26)/SUM($B$26:$C$26))</f>
        <v>0.10799999999999961</v>
      </c>
      <c r="K42" s="135"/>
      <c r="L42" s="177">
        <f>10.8%+(1-10.8%)*(1-SUM(L26:M26)/SUM($B$26:$C$26))</f>
        <v>0.10800000000000001</v>
      </c>
      <c r="M42" s="135"/>
      <c r="N42" s="177">
        <f>10.8%+(1-10.8%)*(1-SUM(N26:O26)/SUM($B$26:$C$26))</f>
        <v>0.10799999999999982</v>
      </c>
      <c r="O42" s="135"/>
      <c r="P42" s="177">
        <f>10.8%+(1-10.8%)*(1-SUM(P26:Q26)/SUM($B$26:$C$26))</f>
        <v>0.10800000000000021</v>
      </c>
      <c r="Q42" s="135"/>
      <c r="R42" s="177">
        <f>10.8%+(1-10.8%)*(1-SUM(R26:S26)/SUM($B$26:$C$26))</f>
        <v>0.10799999999999961</v>
      </c>
      <c r="S42" s="135"/>
      <c r="T42" s="177">
        <f>10.8%+(1-10.8%)*(1-SUM(T26:U26)/SUM($B$26:$C$26))</f>
        <v>0.10799999999999961</v>
      </c>
      <c r="U42" s="135"/>
      <c r="V42" s="177">
        <f>10.8%+(1-10.8%)*(1-SUM(V26:W26)/SUM($B$26:$C$26))</f>
        <v>0.10799999999999961</v>
      </c>
      <c r="W42" s="135"/>
      <c r="X42" s="177">
        <f>10.8%+(1-10.8%)*(1-SUM(X26:Y26)/SUM($B$26:$C$26))</f>
        <v>0.10800000000000001</v>
      </c>
      <c r="Y42" s="162"/>
      <c r="Z42" s="177">
        <f>10.8%+(1-10.8%)*(1-SUM(Z26:AA26)/SUM($B$26:$C$26))</f>
        <v>0.1080000000000003</v>
      </c>
      <c r="AA42" s="135"/>
      <c r="AB42" s="177">
        <f>10.8%+(1-10.8%)*(1-SUM(AB26:AC26)/SUM($B$26:$C$26))</f>
        <v>0.10799999999999982</v>
      </c>
      <c r="AC42" s="135"/>
      <c r="AD42" s="177">
        <f>10.8%+(1-10.8%)*(1-SUM(AD26:AE26)/SUM($B$26:$C$26))</f>
        <v>0.10799999999999882</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0.55801240965962196</v>
      </c>
      <c r="E43" s="135"/>
      <c r="F43" s="162">
        <f t="array" ref="F43">SUM(F15:G15*F27:G27)/SUM(F15:G15*F27:G27,F13:G13*F26:G26)</f>
        <v>0.54798952978394289</v>
      </c>
      <c r="G43" s="135"/>
      <c r="H43" s="162">
        <f t="array" ref="H43">SUM(H15:I15*H27:I27)/SUM(H15:I15*H27:I27,H13:I13*H26:I26)</f>
        <v>0.53693921184863047</v>
      </c>
      <c r="I43" s="135"/>
      <c r="J43" s="162">
        <f t="array" ref="J43">SUM(J15:K15*J27:K27)/SUM(J15:K15*J27:K27,J13:K13*J26:K26)</f>
        <v>0.52460743048148106</v>
      </c>
      <c r="K43" s="135"/>
      <c r="L43" s="162">
        <f t="array" ref="L43">SUM(L15:M15*L27:M27)/SUM(L15:M15*L27:M27,L13:M13*L26:M26)</f>
        <v>0.51065215247636431</v>
      </c>
      <c r="M43" s="135"/>
      <c r="N43" s="162">
        <f t="array" ref="N43">SUM(N15:O15*N27:O27)/SUM(N15:O15*N27:O27,N13:O13*N26:O26)</f>
        <v>0.49460185102140974</v>
      </c>
      <c r="O43" s="135"/>
      <c r="P43" s="162">
        <f t="array" ref="P43">SUM(P15:Q15*P27:Q27)/SUM(P15:Q15*P27:Q27,P13:Q13*P26:Q26)</f>
        <v>0.47578955311913584</v>
      </c>
      <c r="Q43" s="135"/>
      <c r="R43" s="162">
        <f t="array" ref="R43">SUM(R15:S15*R27:S27)/SUM(R15:S15*R27:S27,R13:S13*R26:S26)</f>
        <v>0.45324024651568923</v>
      </c>
      <c r="S43" s="135"/>
      <c r="T43" s="162">
        <f t="array" ref="T43">SUM(T15:U15*T27:U27)/SUM(T15:U15*T27:U27,T13:U13*T26:U26)</f>
        <v>0.42547113329057484</v>
      </c>
      <c r="U43" s="135"/>
      <c r="V43" s="162">
        <f t="array" ref="V43">SUM(V15:W15*V27:W27)/SUM(V15:W15*V27:W27,V13:W13*V26:W26)</f>
        <v>0.39011345005273762</v>
      </c>
      <c r="W43" s="135"/>
      <c r="X43" s="162">
        <f t="array" ref="X43">SUM(X15:Y15*X27:Y27)/SUM(X15:Y15*X27:Y27,X13:Y13*X26:Y26)</f>
        <v>0.34313894794893718</v>
      </c>
      <c r="Y43" s="135"/>
      <c r="Z43" s="162">
        <f t="array" ref="Z43">SUM(Z15:AA15*Z27:AA27)/SUM(Z15:AA15*Z27:AA27,Z13:AA13*Z26:AA26)</f>
        <v>0.27712179060639025</v>
      </c>
      <c r="AA43" s="135"/>
      <c r="AB43" s="162">
        <f t="array" ref="AB43">SUM(AB15:AC15*AB27:AC27)/SUM(AB15:AC15*AB27:AC27,AB13:AC13*AB26:AC26)</f>
        <v>0.17681209851505822</v>
      </c>
      <c r="AC43" s="135"/>
      <c r="AD43" s="162">
        <f t="array" ref="AD43">SUM(AD15:AE15*AD27:AE27)/SUM(AD15:AE15*AD27:AE27,AD13:AE13*AD26:AE26)</f>
        <v>5.7553559907766007E-3</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0.29754224483110603</v>
      </c>
      <c r="F44" s="193">
        <f>(SUM(F11:G11*F24:G24)+F34)/F32</f>
        <v>0.29754225875521184</v>
      </c>
      <c r="H44" s="193">
        <f>(SUM(H11:I11*H24:I24)+H34)/H32</f>
        <v>0.29754225777708382</v>
      </c>
      <c r="J44" s="193">
        <f>(SUM(J11:K11*J24:K24)+J34)/J32</f>
        <v>0.29754225212857427</v>
      </c>
      <c r="L44" s="193">
        <f>(SUM(L11:M11*L24:M24)+L34)/L32</f>
        <v>0.29754225605050783</v>
      </c>
      <c r="N44" s="193">
        <f>(SUM(N11:O11*N24:O24)+N34)/N32</f>
        <v>0.29754225003748086</v>
      </c>
      <c r="P44" s="193">
        <f>(SUM(P11:Q11*P24:Q24)+P34)/P32</f>
        <v>0.29754224464871809</v>
      </c>
      <c r="R44" s="193">
        <f>(SUM(R11:S11*R24:S24)+R34)/R32</f>
        <v>0.29754225714120403</v>
      </c>
      <c r="T44" s="193">
        <f>(SUM(T11:U11*T24:U24)+T34)/T32</f>
        <v>0.29754225381453298</v>
      </c>
      <c r="V44" s="193">
        <f>(SUM(V11:W11*V24:W24)+V34)/V32</f>
        <v>0.2975422558600313</v>
      </c>
      <c r="X44" s="193">
        <f>(SUM(X11:Y11*X24:Y24)+X34)/X32</f>
        <v>0.29754225549378471</v>
      </c>
      <c r="Z44" s="193">
        <f>(SUM(Z11:AA11*Z24:AA24)+Z34)/Z32</f>
        <v>0.29754225925951827</v>
      </c>
      <c r="AB44" s="193">
        <f>(SUM(AB11:AC11*AB24:AC24)+AB34)/AB32</f>
        <v>0.29754226149949303</v>
      </c>
      <c r="AD44" s="193">
        <f>(SUM(AD11:AE11*AD24:AE24)+AD34)/AD32</f>
        <v>0.29754225810135521</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0.2203843884236828</v>
      </c>
      <c r="F45" s="193">
        <f>SUM(F11:G11*F24:G24)/F32</f>
        <v>0.22038438832291063</v>
      </c>
      <c r="H45" s="193">
        <f>SUM(H11:I11*H24:I24)/H32</f>
        <v>0.2203843883176827</v>
      </c>
      <c r="J45" s="193">
        <f>SUM(J11:K11*J24:K24)/J32</f>
        <v>0.22038438835472124</v>
      </c>
      <c r="L45" s="193">
        <f>SUM(L11:M11*L24:M24)/L32</f>
        <v>0.22038438830251414</v>
      </c>
      <c r="N45" s="193">
        <f>SUM(N11:O11*N24:O24)/N32</f>
        <v>0.22038438825877021</v>
      </c>
      <c r="P45" s="193">
        <f>SUM(P11:Q11*P24:Q24)/P32</f>
        <v>0.22038438819977907</v>
      </c>
      <c r="R45" s="193">
        <f>SUM(R11:S11*R24:S24)/R32</f>
        <v>0.22038438827110804</v>
      </c>
      <c r="T45" s="193">
        <f>SUM(T11:U11*T24:U24)/T32</f>
        <v>0.22038438819421274</v>
      </c>
      <c r="V45" s="193">
        <f>SUM(V11:W11*V24:W24)/V32</f>
        <v>0.22038438820343034</v>
      </c>
      <c r="X45" s="193">
        <f>SUM(X11:Y11*X24:Y24)/X32</f>
        <v>0.22038438816993355</v>
      </c>
      <c r="Z45" s="193">
        <f>SUM(Z11:AA11*Z24:AA24)/Z32</f>
        <v>0.22038438829663404</v>
      </c>
      <c r="AB45" s="193">
        <f>SUM(AB11:AC11*AB24:AC24)/AB32</f>
        <v>0.22038438832823393</v>
      </c>
      <c r="AD45" s="193">
        <f>SUM(AD11:AE11*AD24:AE24)/AD32</f>
        <v>0.22038438834838292</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7.7157856407423231E-2</v>
      </c>
      <c r="F46" s="193">
        <f>F34/F32</f>
        <v>7.7157870432301184E-2</v>
      </c>
      <c r="H46" s="193">
        <f>H34/H32</f>
        <v>7.7157869459401091E-2</v>
      </c>
      <c r="J46" s="193">
        <f>J34/J32</f>
        <v>7.7157863773853017E-2</v>
      </c>
      <c r="L46" s="193">
        <f>L34/L32</f>
        <v>7.715786774799363E-2</v>
      </c>
      <c r="N46" s="193">
        <f>N34/N32</f>
        <v>7.7157861778710632E-2</v>
      </c>
      <c r="P46" s="193">
        <f>P34/P32</f>
        <v>7.7157856448939077E-2</v>
      </c>
      <c r="R46" s="193">
        <f>R34/R32</f>
        <v>7.7157868870096055E-2</v>
      </c>
      <c r="T46" s="193">
        <f>T34/T32</f>
        <v>7.7157865620320204E-2</v>
      </c>
      <c r="V46" s="193">
        <f>V34/V32</f>
        <v>7.7157867656600959E-2</v>
      </c>
      <c r="X46" s="193">
        <f>X34/X32</f>
        <v>7.7157867323851118E-2</v>
      </c>
      <c r="Z46" s="193">
        <f>Z34/Z32</f>
        <v>7.7157870962884179E-2</v>
      </c>
      <c r="AB46" s="193">
        <f>AB34/AB32</f>
        <v>7.7157873171259106E-2</v>
      </c>
      <c r="AD46" s="193">
        <f>AD34/AD32</f>
        <v>7.7157869752972272E-2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1.0026499075073796</v>
      </c>
      <c r="E48" s="191"/>
      <c r="F48" s="191">
        <f>F24/$B$24</f>
        <v>1.0051760292627989</v>
      </c>
      <c r="G48" s="191"/>
      <c r="H48" s="191">
        <f>H24/$B$24</f>
        <v>1.0075451008874159</v>
      </c>
      <c r="I48" s="191"/>
      <c r="J48" s="191">
        <f>J24/$B$24</f>
        <v>1.0097126892618229</v>
      </c>
      <c r="K48" s="191"/>
      <c r="L48" s="191">
        <f>L24/$B$24</f>
        <v>1.0116185402040132</v>
      </c>
      <c r="M48" s="191"/>
      <c r="N48" s="191">
        <f>N24/$B$24</f>
        <v>1.0131795319673302</v>
      </c>
      <c r="O48" s="191"/>
      <c r="P48" s="191">
        <f>P24/$B$24</f>
        <v>1.0142790540709159</v>
      </c>
      <c r="Q48" s="191"/>
      <c r="R48" s="191">
        <f>R24/$B$24</f>
        <v>1.0147500868158721</v>
      </c>
      <c r="S48" s="191"/>
      <c r="T48" s="191">
        <f>T24/$B$24</f>
        <v>1.0143478595575837</v>
      </c>
      <c r="U48" s="191"/>
      <c r="V48" s="191">
        <f>V24/$B$24</f>
        <v>1.0127036001364866</v>
      </c>
      <c r="W48" s="191"/>
      <c r="X48" s="191">
        <f>X24/$B$24</f>
        <v>1.0092431368802541</v>
      </c>
      <c r="Y48" s="191"/>
      <c r="Z48" s="191">
        <f>Z24/$B$24</f>
        <v>1.0030354156060057</v>
      </c>
      <c r="AA48" s="191"/>
      <c r="AB48" s="191">
        <f>AB24/$B$24</f>
        <v>0.99249189632221202</v>
      </c>
      <c r="AC48" s="191"/>
      <c r="AD48" s="191">
        <f>AD24/$B$24</f>
        <v>0.97472618569311897</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1.0068174821769242</v>
      </c>
      <c r="E49" s="191"/>
      <c r="F49" s="191">
        <f>F13/F35/$B$13*$B$35</f>
        <v>1.0134898422236702</v>
      </c>
      <c r="G49" s="191"/>
      <c r="H49" s="191">
        <f>H13/H35/$B$13*$B$35</f>
        <v>1.0199656234429819</v>
      </c>
      <c r="I49" s="191"/>
      <c r="J49" s="191">
        <f>J13/J35/$B$13*$B$35</f>
        <v>1.0261713547139759</v>
      </c>
      <c r="K49" s="191"/>
      <c r="L49" s="191">
        <f>L13/L35/$B$13*$B$35</f>
        <v>1.0320024144320135</v>
      </c>
      <c r="M49" s="191"/>
      <c r="N49" s="191">
        <f>N13/N35/$B$13*$B$35</f>
        <v>1.0373093721331266</v>
      </c>
      <c r="O49" s="191"/>
      <c r="P49" s="191">
        <f>P13/P35/$B$13*$B$35</f>
        <v>1.041876268995328</v>
      </c>
      <c r="Q49" s="191"/>
      <c r="R49" s="191">
        <f>R13/R35/$B$13*$B$35</f>
        <v>1.0453889994791437</v>
      </c>
      <c r="S49" s="191"/>
      <c r="T49" s="191">
        <f>T13/T35/$B$13*$B$35</f>
        <v>1.0473864354489328</v>
      </c>
      <c r="U49" s="191"/>
      <c r="V49" s="191">
        <f>V13/V35/$B$13*$B$35</f>
        <v>1.0471842952716555</v>
      </c>
      <c r="W49" s="191"/>
      <c r="X49" s="191">
        <f>X13/X35/$B$13*$B$35</f>
        <v>1.043755723507606</v>
      </c>
      <c r="Y49" s="191"/>
      <c r="Z49" s="191">
        <f>Z13/Z35/$B$13*$B$35</f>
        <v>1.0355377948456244</v>
      </c>
      <c r="AA49" s="191"/>
      <c r="AB49" s="191">
        <f>AB13/AB35/$B$13*$B$35</f>
        <v>1.0201110172466996</v>
      </c>
      <c r="AC49" s="191"/>
      <c r="AD49" s="191">
        <f>AD13/AD35/$B$13*$B$35</f>
        <v>0.99364408793052228</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-276923.46005893359</v>
      </c>
      <c r="F51" s="29">
        <f>F30-F10*F23</f>
        <v>-139222.97452226933</v>
      </c>
      <c r="H51" s="29">
        <f>H30-H10*H23</f>
        <v>9005.6350361248478</v>
      </c>
      <c r="J51" s="29">
        <f>J30-J10*J23</f>
        <v>169948.86635509972</v>
      </c>
      <c r="L51" s="29">
        <f>L30-L10*L23</f>
        <v>346386.36065145349</v>
      </c>
      <c r="N51" s="29">
        <f>N30-N10*N23</f>
        <v>541900.5224168417</v>
      </c>
      <c r="P51" s="29">
        <f>P30-P10*P23</f>
        <v>761170.55408055941</v>
      </c>
      <c r="R51" s="29">
        <f>R30-R10*R23</f>
        <v>1010417.4454480647</v>
      </c>
      <c r="T51" s="29">
        <f>T30-T10*T23</f>
        <v>1298080.2841579313</v>
      </c>
      <c r="V51" s="29">
        <f>V30-V10*V23</f>
        <v>1635881.3626721292</v>
      </c>
      <c r="X51" s="29">
        <f>X30-X10*X23</f>
        <v>2040556.9610656528</v>
      </c>
      <c r="Z51" s="29">
        <f>Z30-Z10*Z23</f>
        <v>2536693.6765016522</v>
      </c>
      <c r="AB51" s="29">
        <f>AB30-AB10*AB23</f>
        <v>3161242.0613013441</v>
      </c>
      <c r="AD51" s="29">
        <f>AD30-AD10*AD23</f>
        <v>3969345.9469789411</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2071346.3809958096</v>
      </c>
      <c r="F52" s="29">
        <f t="array" ref="F52">Calibration!sL*SUM(F13:G13*F26:G26)</f>
        <v>2094238.1374627464</v>
      </c>
      <c r="H52" s="29">
        <f t="array" ref="H52">Calibration!sL*SUM(H13:I13*H26:I26)</f>
        <v>2118075.2580228951</v>
      </c>
      <c r="J52" s="29">
        <f t="array" ref="J52">Calibration!sL*SUM(J13:K13*J26:K26)</f>
        <v>2143041.8738560216</v>
      </c>
      <c r="L52" s="29">
        <f t="array" ref="L52">Calibration!sL*SUM(L13:M13*L26:M26)</f>
        <v>2169364.1566642905</v>
      </c>
      <c r="N52" s="29">
        <f t="array" ref="N52">Calibration!sL*SUM(N13:O13*N26:O26)</f>
        <v>2197323.962850621</v>
      </c>
      <c r="P52" s="29">
        <f t="array" ref="P52">Calibration!sL*SUM(P13:Q13*P26:Q26)</f>
        <v>2227275.2562131002</v>
      </c>
      <c r="R52" s="29">
        <f t="array" ref="R52">Calibration!sL*SUM(R13:S13*R26:S26)</f>
        <v>2259671.6634777775</v>
      </c>
      <c r="T52" s="29">
        <f t="array" ref="T52">Calibration!sL*SUM(T13:U13*T26:U26)</f>
        <v>2295108.0272389618</v>
      </c>
      <c r="V52" s="29">
        <f t="array" ref="V52">Calibration!sL*SUM(V13:W13*V26:W26)</f>
        <v>2334387.3924097349</v>
      </c>
      <c r="X52" s="29">
        <f t="array" ref="X52">Calibration!sL*SUM(X13:Y13*X26:Y26)</f>
        <v>2378632.716853139</v>
      </c>
      <c r="Z52" s="29">
        <f t="array" ref="Z52">Calibration!sL*SUM(Z13:AA13*Z26:AA26)</f>
        <v>2429461.895362997</v>
      </c>
      <c r="AB52" s="29">
        <f t="array" ref="AB52">Calibration!sL*SUM(AB13:AC13*AB26:AC26)</f>
        <v>2489211.3471480333</v>
      </c>
      <c r="AD52" s="29">
        <f t="array" ref="AD52">Calibration!sL*SUM(AD13:AE13*AD26:AE26)</f>
        <v>2560894.3780266852</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2668737.7506653704</v>
      </c>
      <c r="F53" s="29">
        <f t="array" ref="F53">Calibration!sK*SUM(F15:G15*F27:G27)</f>
        <v>2591010.766614066</v>
      </c>
      <c r="H53" s="29">
        <f t="array" ref="H53">Calibration!sK*SUM(H15:I15*H27:I27)</f>
        <v>2506385.6137115192</v>
      </c>
      <c r="J53" s="29">
        <f t="array" ref="J53">Calibration!sK*SUM(J15:K15*J27:K27)</f>
        <v>2413415.4736534758</v>
      </c>
      <c r="L53" s="29">
        <f t="array" ref="L53">Calibration!sK*SUM(L15:M15*L27:M27)</f>
        <v>2310251.8803644758</v>
      </c>
      <c r="N53" s="29">
        <f t="array" ref="N53">Calibration!sK*SUM(N15:O15*N27:O27)</f>
        <v>2194499.9229192114</v>
      </c>
      <c r="P53" s="29">
        <f t="array" ref="P53">Calibration!sK*SUM(P15:Q15*P27:Q27)</f>
        <v>2063015.5919817181</v>
      </c>
      <c r="R53" s="29">
        <f t="array" ref="R53">Calibration!sK*SUM(R15:S15*R27:S27)</f>
        <v>1911598.3863053792</v>
      </c>
      <c r="T53" s="29">
        <f t="array" ref="T53">Calibration!sK*SUM(T15:U15*T27:U27)</f>
        <v>1734525.804908338</v>
      </c>
      <c r="V53" s="29">
        <f t="array" ref="V53">Calibration!sK*SUM(V15:W15*V27:W27)</f>
        <v>1523821.8082252163</v>
      </c>
      <c r="X53" s="29">
        <f t="array" ref="X53">Calibration!sK*SUM(X15:Y15*X27:Y27)</f>
        <v>1268070.1501663923</v>
      </c>
      <c r="Z53" s="29">
        <f t="array" ref="Z53">Calibration!sK*SUM(Z15:AA15*Z27:AA27)</f>
        <v>950462.57835502375</v>
      </c>
      <c r="AB53" s="29">
        <f t="array" ref="AB53">Calibration!sK*SUM(AB15:AC15*AB27:AC27)</f>
        <v>545624.87234012096</v>
      </c>
      <c r="AD53" s="29">
        <f t="array" ref="AD53">Calibration!sK*SUM(AD15:AE15*AD27:AE27)</f>
        <v>15128.295041418189</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0.2072652992600971</v>
      </c>
      <c r="F55" s="193">
        <f>F30/F32</f>
        <v>0.21660811798213922</v>
      </c>
      <c r="H55" s="193">
        <f>H30/H32</f>
        <v>0.22665666126111392</v>
      </c>
      <c r="J55" s="193">
        <f>J30/J32</f>
        <v>0.23757041813734778</v>
      </c>
      <c r="L55" s="193">
        <f>L30/L32</f>
        <v>0.24955531739974499</v>
      </c>
      <c r="N55" s="193">
        <f>N30/N32</f>
        <v>0.26288180929124327</v>
      </c>
      <c r="P55" s="193">
        <f>P30/P32</f>
        <v>0.27791137546159889</v>
      </c>
      <c r="R55" s="193">
        <f>R30/R32</f>
        <v>0.29513817498219325</v>
      </c>
      <c r="T55" s="193">
        <f>T30/T32</f>
        <v>0.3152555497039885</v>
      </c>
      <c r="V55" s="193">
        <f>V30/V32</f>
        <v>0.33926684018657277</v>
      </c>
      <c r="X55" s="193">
        <f>X30/X32</f>
        <v>0.36867826134430465</v>
      </c>
      <c r="Z55" s="193">
        <f>Z30/Z32</f>
        <v>0.40584741650759776</v>
      </c>
      <c r="AB55" s="193">
        <f>AB30/AB32</f>
        <v>0.45463456795534191</v>
      </c>
      <c r="AD55" s="193">
        <f>AD30/AD32</f>
        <v>0.52161966191643139</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3.6456021748205426E-2</v>
      </c>
      <c r="F56" s="193">
        <f>(Model!$C$52*F5*F20+F2*G5*G20)/F32</f>
        <v>4.416463825053394E-2</v>
      </c>
      <c r="H56" s="193">
        <f>(Model!$C$52*H5*H20+H2*I5*I20)/H32</f>
        <v>5.2449692762579256E-2</v>
      </c>
      <c r="J56" s="193">
        <f>(Model!$C$52*J5*J20+J2*K5*K20)/J32</f>
        <v>6.1441724673849715E-2</v>
      </c>
      <c r="L56" s="193">
        <f>(Model!$C$52*L5*L20+L2*M5*M20)/L32</f>
        <v>7.1309323687538312E-2</v>
      </c>
      <c r="N56" s="193">
        <f>(Model!$C$52*N5*N20+N2*O5*O20)/N32</f>
        <v>8.227388185767269E-2</v>
      </c>
      <c r="P56" s="193">
        <f>(Model!$C$52*P5*P20+P2*Q5*Q20)/P32</f>
        <v>9.4631402496209285E-2</v>
      </c>
      <c r="R56" s="193">
        <f>(Model!$C$52*R5*R20+R2*S5*S20)/R32</f>
        <v>0.10878657640335029</v>
      </c>
      <c r="T56" s="193">
        <f>(Model!$C$52*T5*T20+T2*U5*U20)/T32</f>
        <v>0.12530728699665447</v>
      </c>
      <c r="V56" s="193">
        <f>(Model!$C$52*V5*V20+V2*W5*W20)/V32</f>
        <v>0.14501540455469128</v>
      </c>
      <c r="X56" s="193">
        <f>(Model!$C$52*X5*X20+X2*Y5*Y20)/X32</f>
        <v>0.16914473605784974</v>
      </c>
      <c r="Z56" s="193">
        <f>(Model!$C$52*Z5*Z20+Z2*AA5*AA20)/Z32</f>
        <v>0.19962646159412512</v>
      </c>
      <c r="AB56" s="193">
        <f>(Model!$C$52*AB5*AB20+AB2*AC5*AC20)/AB32</f>
        <v>0.23962228432191651</v>
      </c>
      <c r="AD56" s="193">
        <f>(Model!$C$52*AD5*AD20+AD2*AE5*AE20)/AD32</f>
        <v>0.29452052079351598</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0.16012435984963083</v>
      </c>
      <c r="F57" s="193">
        <f t="array" ref="F57">SUM(Model!tauL*F13:G13*F26:G26)/F32</f>
        <v>0.16182552176964923</v>
      </c>
      <c r="H57" s="193">
        <f t="array" ref="H57">SUM(Model!tauL*H13:I13*H26:I26)/H32</f>
        <v>0.16365520020946883</v>
      </c>
      <c r="J57" s="193">
        <f t="array" ref="J57">SUM(Model!tauL*J13:K13*J26:K26)/J32</f>
        <v>0.16564242744154123</v>
      </c>
      <c r="L57" s="193">
        <f t="array" ref="L57">SUM(Model!tauL*L13:M13*L26:M26)/L32</f>
        <v>0.16782467733604572</v>
      </c>
      <c r="N57" s="193">
        <f t="array" ref="N57">SUM(Model!tauL*N13:O13*N26:O26)/N32</f>
        <v>0.17025121866616794</v>
      </c>
      <c r="P57" s="193">
        <f t="array" ref="P57">SUM(Model!tauL*P13:Q13*P26:Q26)/P32</f>
        <v>0.17298786128937349</v>
      </c>
      <c r="R57" s="193">
        <f t="array" ref="R57">SUM(Model!tauL*R13:S13*R26:S26)/R32</f>
        <v>0.17612458590548696</v>
      </c>
      <c r="T57" s="193">
        <f t="array" ref="T57">SUM(Model!tauL*T13:U13*T26:U26)/T32</f>
        <v>0.1797876404034251</v>
      </c>
      <c r="V57" s="193">
        <f t="array" ref="V57">SUM(Model!tauL*V13:W13*V26:W26)/V32</f>
        <v>0.18415970735382922</v>
      </c>
      <c r="X57" s="193">
        <f t="array" ref="X57">SUM(Model!tauL*X13:Y13*X26:Y26)/X32</f>
        <v>0.1895150540165258</v>
      </c>
      <c r="Y57" s="193"/>
      <c r="Z57" s="193">
        <f t="array" ref="Z57">SUM(Model!tauL*Z13:AA13*Z26:AA26)/Z32</f>
        <v>0.19628295307154398</v>
      </c>
      <c r="AB57" s="193">
        <f t="array" ref="AB57">SUM(Model!tauL*AB13:AC13*AB26:AC26)/AB32</f>
        <v>0.20516630719924425</v>
      </c>
      <c r="AD57" s="193">
        <f t="array" ref="AD57">SUM(Model!tauL*AD13:AE13*AD26:AE26)/AD32</f>
        <v>0.21736321547849161</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1.0684917662260814E-2</v>
      </c>
      <c r="F58" s="193">
        <f t="array" ref="F58">SUM(Model!tauY/(1+Model!tauY)*F3:G3*F18:G18)/F32</f>
        <v>1.0617957961956052E-2</v>
      </c>
      <c r="H58" s="193">
        <f t="array" ref="H58">SUM(Model!tauY/(1+Model!tauY)*H3:I3*H18:I18)/H32</f>
        <v>1.0551768289065854E-2</v>
      </c>
      <c r="J58" s="193">
        <f t="array" ref="J58">SUM(Model!tauY/(1+Model!tauY)*J3:K3*J18:K18)/J32</f>
        <v>1.0486266021956792E-2</v>
      </c>
      <c r="L58" s="193">
        <f t="array" ref="L58">SUM(Model!tauY/(1+Model!tauY)*L3:M3*L18:M18)/L32</f>
        <v>1.0421316376160936E-2</v>
      </c>
      <c r="N58" s="193">
        <f t="array" ref="N58">SUM(Model!tauY/(1+Model!tauY)*N3:O3*N18:O18)/N32</f>
        <v>1.0356708767402639E-2</v>
      </c>
      <c r="P58" s="193">
        <f t="array" ref="P58">SUM(Model!tauY/(1+Model!tauY)*P3:Q3*P18:Q18)/P32</f>
        <v>1.0292111676016121E-2</v>
      </c>
      <c r="R58" s="193">
        <f t="array" ref="R58">SUM(Model!tauY/(1+Model!tauY)*R3:S3*R18:S18)/R32</f>
        <v>1.0227012673355983E-2</v>
      </c>
      <c r="T58" s="193">
        <f t="array" ref="T58">SUM(Model!tauY/(1+Model!tauY)*T3:U3*T18:U18)/T32</f>
        <v>1.016062230390896E-2</v>
      </c>
      <c r="V58" s="193">
        <f t="array" ref="V58">SUM(Model!tauY/(1+Model!tauY)*V3:W3*V18:W18)/V32</f>
        <v>1.0091728278052209E-2</v>
      </c>
      <c r="X58" s="193">
        <f t="array" ref="X58">SUM(Model!tauY/(1+Model!tauY)*X3:Y3*X18:Y18)/X32</f>
        <v>1.0018471269929118E-2</v>
      </c>
      <c r="Y58" s="193"/>
      <c r="Z58" s="193">
        <f t="array" ref="Z58">SUM(Model!tauY/(1+Model!tauY)*Z3:AA3*Z18:AA18)/Z32</f>
        <v>9.9380018419286988E-3</v>
      </c>
      <c r="AB58" s="193">
        <f t="array" ref="AB58">SUM(Model!tauY/(1+Model!tauY)*AB3:AC3*AB18:AC18)/AB32</f>
        <v>9.8459764341811019E-3</v>
      </c>
      <c r="AD58" s="193">
        <f t="array" ref="AD58">SUM(Model!tauY/(1+Model!tauY)*AD3:AE3*AD18:AE18)/AD32</f>
        <v>9.735925644423769E-3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7.8592821470154159E-3</v>
      </c>
      <c r="F59" s="193">
        <f>(F2*G5*G20)/F32</f>
        <v>1.5642688365609541E-2</v>
      </c>
      <c r="H59" s="193">
        <f>(H2*I5*I20)/H32</f>
        <v>2.4004942866715819E-2</v>
      </c>
      <c r="J59" s="193">
        <f>(J2*K5*K20)/J32</f>
        <v>3.3076995642198917E-2</v>
      </c>
      <c r="L59" s="193">
        <f>(L2*M5*M20)/L32</f>
        <v>4.3027928355647158E-2</v>
      </c>
      <c r="N59" s="193">
        <f>(N2*O5*O20)/N32</f>
        <v>5.4079726701468891E-2</v>
      </c>
      <c r="P59" s="193">
        <f>(P2*Q5*Q20)/P32</f>
        <v>6.6529118124446701E-2</v>
      </c>
      <c r="R59" s="193">
        <f>(R2*S5*S20)/R32</f>
        <v>8.0781689316794747E-2</v>
      </c>
      <c r="T59" s="193">
        <f>(T2*U5*U20)/T32</f>
        <v>9.740645631909943E-2</v>
      </c>
      <c r="V59" s="193">
        <f>(V2*W5*W20)/V32</f>
        <v>0.11722676512221784</v>
      </c>
      <c r="X59" s="193">
        <f>(X2*Y5*Y20)/X32</f>
        <v>0.14147843412852532</v>
      </c>
      <c r="Z59" s="193">
        <f>(Z2*AA5*AA20)/Z32</f>
        <v>0.17209555205898025</v>
      </c>
      <c r="AB59" s="193">
        <f>(AB2*AC5*AC20)/AB32</f>
        <v>0.21224433105861348</v>
      </c>
      <c r="AD59" s="193">
        <f>(AD2*AE5*AE20)/AD32</f>
        <v>0.26732053257099953</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2.8596739601190017E-2</v>
      </c>
      <c r="F60" s="193">
        <f>Model!$C$52*F5*F20/F32</f>
        <v>2.8521949884924406E-2</v>
      </c>
      <c r="H60" s="193">
        <f>Model!$C$52*H5*H20/H32</f>
        <v>2.8444749895863434E-2</v>
      </c>
      <c r="J60" s="193">
        <f>Model!$C$52*J5*J20/J32</f>
        <v>2.8364729031650805E-2</v>
      </c>
      <c r="L60" s="193">
        <f>Model!$C$52*L5*L20/L32</f>
        <v>2.8281395331891151E-2</v>
      </c>
      <c r="N60" s="193">
        <f>Model!$C$52*N5*N20/N32</f>
        <v>2.8194155156203805E-2</v>
      </c>
      <c r="P60" s="193">
        <f>Model!$C$52*P5*P20/P32</f>
        <v>2.8102284371762591E-2</v>
      </c>
      <c r="R60" s="193">
        <f>Model!$C$52*R5*R20/R32</f>
        <v>2.800488708655555E-2</v>
      </c>
      <c r="T60" s="193">
        <f>Model!$C$52*T5*T20/T32</f>
        <v>2.7900830677555045E-2</v>
      </c>
      <c r="V60" s="193">
        <f>Model!$C$52*V5*V20/V32</f>
        <v>2.7788639432473439E-2</v>
      </c>
      <c r="X60" s="193">
        <f>Model!$C$52*X5*X20/X32</f>
        <v>2.766630192932442E-2</v>
      </c>
      <c r="Z60" s="193">
        <f>Model!$C$52*Z5*Z20/Z32</f>
        <v>2.7530909535144844E-2</v>
      </c>
      <c r="AB60" s="193">
        <f>Model!$C$52*AB5*AB20/AB32</f>
        <v>2.7377953263303025E-2</v>
      </c>
      <c r="AD60" s="193">
        <f>Model!$C$52*AD5*AD20/AD32</f>
        <v>2.7199988222516468E-2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1.0380448947182368</v>
      </c>
      <c r="F62">
        <f>F13/F15</f>
        <v>1.0810011432888482</v>
      </c>
      <c r="H62">
        <f>H13/H15</f>
        <v>1.1302195225911222</v>
      </c>
      <c r="J62">
        <f>J13/J15</f>
        <v>1.1875936594816654</v>
      </c>
      <c r="L62">
        <f>L13/L15</f>
        <v>1.2558634881564663</v>
      </c>
      <c r="N62">
        <f>N13/N15</f>
        <v>1.3391456899516139</v>
      </c>
      <c r="P62">
        <f>P13/P15</f>
        <v>1.4439118720123763</v>
      </c>
      <c r="R62">
        <f>R13/R15</f>
        <v>1.5809494717452275</v>
      </c>
      <c r="T62">
        <f>T13/T15</f>
        <v>1.7696674815669911</v>
      </c>
      <c r="V62">
        <f>V13/V15</f>
        <v>2.0488400204794499</v>
      </c>
      <c r="X62">
        <f>X13/X15</f>
        <v>2.5087270489139839</v>
      </c>
      <c r="Z62">
        <f>Z13/Z15</f>
        <v>3.4185692042159421</v>
      </c>
      <c r="AB62">
        <f>AB13/AB15</f>
        <v>6.1015042709932183</v>
      </c>
      <c r="AD62">
        <f>AD13/AD15</f>
        <v>226.39716723642951</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0.9982418208555327</v>
      </c>
      <c r="E65" s="191"/>
      <c r="F65" s="191">
        <f t="array" ref="F65">SQRT((F9:G9*$B$22:$C$22+F10:G10*$B$23:$C$23+F11:G11*$B$24:$C$24+F4:G4*($B$25:$C$25-$B$19:$C$19))/($B$9:$C$9*$B$22:$C$22+$B$10:$C$10*$B$23:$C$23+$B$11:$C$11*$B$24:$C$24+$B$4:$C$4*($B$25:$C$25-$B$19:$C$19))*(F9:G9*F22:G22+F10:G10*F23:G23+F11:G11*F24:G24+F4:G4*(F25:G25-F19:G19))/($B$9:$C$9*F22:G22+$B$10:$C$10*F23:G23+$B$11:$C$11*F24:G24+$B$4:$C$4*(F25:G25-F19:G19)))</f>
        <v>0.99634471214671316</v>
      </c>
      <c r="G65" s="191"/>
      <c r="H65" s="191">
        <f t="array" ref="H65">SQRT((H9:I9*$B$22:$C$22+H10:I10*$B$23:$C$23+H11:I11*$B$24:$C$24+H4:I4*($B$25:$C$25-$B$19:$C$19))/($B$9:$C$9*$B$22:$C$22+$B$10:$C$10*$B$23:$C$23+$B$11:$C$11*$B$24:$C$24+$B$4:$C$4*($B$25:$C$25-$B$19:$C$19))*(H9:I9*H22:I22+H10:I10*H23:I23+H11:I11*H24:I24+H4:I4*(H25:I25-H19:I19))/($B$9:$C$9*H22:I22+$B$10:$C$10*H23:I23+$B$11:$C$11*H24:I24+$B$4:$C$4*(H25:I25-H19:I19)))</f>
        <v>0.99428509620885031</v>
      </c>
      <c r="I65" s="191"/>
      <c r="J65" s="191">
        <f t="array" ref="J65">SQRT((J9:K9*$B$22:$C$22+J10:K10*$B$23:$C$23+J11:K11*$B$24:$C$24+J4:K4*($B$25:$C$25-$B$19:$C$19))/($B$9:$C$9*$B$22:$C$22+$B$10:$C$10*$B$23:$C$23+$B$11:$C$11*$B$24:$C$24+$B$4:$C$4*($B$25:$C$25-$B$19:$C$19))*(J9:K9*J22:K22+J10:K10*J23:K23+J11:K11*J24:K24+J4:K4*(J25:K25-J19:K19))/($B$9:$C$9*J22:K22+$B$10:$C$10*J23:K23+$B$11:$C$11*J24:K24+$B$4:$C$4*(J25:K25-J19:K19)))</f>
        <v>0.99203301961691726</v>
      </c>
      <c r="K65" s="191"/>
      <c r="L65" s="191">
        <f t="array" ref="L65">SQRT((L9:M9*$B$22:$C$22+L10:M10*$B$23:$C$23+L11:M11*$B$24:$C$24+L4:M4*($B$25:$C$25-$B$19:$C$19))/($B$9:$C$9*$B$22:$C$22+$B$10:$C$10*$B$23:$C$23+$B$11:$C$11*$B$24:$C$24+$B$4:$C$4*($B$25:$C$25-$B$19:$C$19))*(L9:M9*L22:M22+L10:M10*L23:M23+L11:M11*L24:M24+L4:M4*(L25:M25-L19:M19))/($B$9:$C$9*L22:M22+$B$10:$C$10*L23:M23+$B$11:$C$11*L24:M24+$B$4:$C$4*(L25:M25-L19:M19)))</f>
        <v>0.98955010442710523</v>
      </c>
      <c r="M65" s="191"/>
      <c r="N65" s="191">
        <f t="array" ref="N65">SQRT((N9:O9*$B$22:$C$22+N10:O10*$B$23:$C$23+N11:O11*$B$24:$C$24+N4:O4*($B$25:$C$25-$B$19:$C$19))/($B$9:$C$9*$B$22:$C$22+$B$10:$C$10*$B$23:$C$23+$B$11:$C$11*$B$24:$C$24+$B$4:$C$4*($B$25:$C$25-$B$19:$C$19))*(N9:O9*N22:O22+N10:O10*N23:O23+N11:O11*N24:O24+N4:O4*(N25:O25-N19:O19))/($B$9:$C$9*N22:O22+$B$10:$C$10*N23:O23+$B$11:$C$11*N24:O24+$B$4:$C$4*(N25:O25-N19:O19)))</f>
        <v>0.98678681127270773</v>
      </c>
      <c r="O65" s="191"/>
      <c r="P65" s="191">
        <f t="array" ref="P65">SQRT((P9:Q9*$B$22:$C$22+P10:Q10*$B$23:$C$23+P11:Q11*$B$24:$C$24+P4:Q4*($B$25:$C$25-$B$19:$C$19))/($B$9:$C$9*$B$22:$C$22+$B$10:$C$10*$B$23:$C$23+$B$11:$C$11*$B$24:$C$24+$B$4:$C$4*($B$25:$C$25-$B$19:$C$19))*(P9:Q9*P22:Q22+P10:Q10*P23:Q23+P11:Q11*P24:Q24+P4:Q4*(P25:Q25-P19:Q19))/($B$9:$C$9*P22:Q22+$B$10:$C$10*P23:Q23+$B$11:$C$11*P24:Q24+$B$4:$C$4*(P25:Q25-P19:Q19)))</f>
        <v>0.98367887679370203</v>
      </c>
      <c r="Q65" s="191"/>
      <c r="R65" s="191">
        <f t="array" ref="R65">SQRT((R9:S9*$B$22:$C$22+R10:S10*$B$23:$C$23+R11:S11*$B$24:$C$24+R4:S4*($B$25:$C$25-$B$19:$C$19))/($B$9:$C$9*$B$22:$C$22+$B$10:$C$10*$B$23:$C$23+$B$11:$C$11*$B$24:$C$24+$B$4:$C$4*($B$25:$C$25-$B$19:$C$19))*(R9:S9*R22:S22+R10:S10*R23:S23+R11:S11*R24:S24+R4:S4*(R25:S25-R19:S19))/($B$9:$C$9*R22:S22+$B$10:$C$10*R23:S23+$B$11:$C$11*R24:S24+$B$4:$C$4*(R25:S25-R19:S19)))</f>
        <v>0.98014268081632971</v>
      </c>
      <c r="S65" s="191"/>
      <c r="T65" s="191">
        <f t="array" ref="T65">SQRT((T9:U9*$B$22:$C$22+T10:U10*$B$23:$C$23+T11:U11*$B$24:$C$24+T4:U4*($B$25:$C$25-$B$19:$C$19))/($B$9:$C$9*$B$22:$C$22+$B$10:$C$10*$B$23:$C$23+$B$11:$C$11*$B$24:$C$24+$B$4:$C$4*($B$25:$C$25-$B$19:$C$19))*(T9:U9*T22:U22+T10:U10*T23:U23+T11:U11*T24:U24+T4:U4*(T25:U25-T19:U19))/($B$9:$C$9*T22:U22+$B$10:$C$10*T23:U23+$B$11:$C$11*T24:U24+$B$4:$C$4*(T25:U25-T19:U19)))</f>
        <v>0.97606953407082808</v>
      </c>
      <c r="U65" s="191"/>
      <c r="V65" s="191">
        <f t="array" ref="V65">SQRT((V9:W9*$B$22:$C$22+V10:W10*$B$23:$C$23+V11:W11*$B$24:$C$24+V4:W4*($B$25:$C$25-$B$19:$C$19))/($B$9:$C$9*$B$22:$C$22+$B$10:$C$10*$B$23:$C$23+$B$11:$C$11*$B$24:$C$24+$B$4:$C$4*($B$25:$C$25-$B$19:$C$19))*(V9:W9*V22:W22+V10:W10*V23:W23+V11:W11*V24:W24+V4:W4*(V25:W25-V19:W19))/($B$9:$C$9*V22:W22+$B$10:$C$10*V23:W23+$B$11:$C$11*V24:W24+$B$4:$C$4*(V25:W25-V19:W19)))</f>
        <v>0.97131929978668685</v>
      </c>
      <c r="W65" s="191"/>
      <c r="X65" s="191">
        <f t="array" ref="X65">SQRT((X9:Y9*$B$22:$C$22+X10:Y10*$B$23:$C$23+X11:Y11*$B$24:$C$24+X4:Y4*($B$25:$C$25-$B$19:$C$19))/($B$9:$C$9*$B$22:$C$22+$B$10:$C$10*$B$23:$C$23+$B$11:$C$11*$B$24:$C$24+$B$4:$C$4*($B$25:$C$25-$B$19:$C$19))*(X9:Y9*X22:Y22+X10:Y10*X23:Y23+X11:Y11*X24:Y24+X4:Y4*(X25:Y25-X19:Y19))/($B$9:$C$9*X22:Y22+$B$10:$C$10*X23:Y23+$B$11:$C$11*X24:Y24+$B$4:$C$4*(X25:Y25-X19:Y19)))</f>
        <v>0.96571489172215275</v>
      </c>
      <c r="Y65" s="191"/>
      <c r="Z65" s="191">
        <f t="array" ref="Z65">SQRT((Z9:AA9*$B$22:$C$22+Z10:AA10*$B$23:$C$23+Z11:AA11*$B$24:$C$24+Z4:AA4*($B$25:$C$25-$B$19:$C$19))/($B$9:$C$9*$B$22:$C$22+$B$10:$C$10*$B$23:$C$23+$B$11:$C$11*$B$24:$C$24+$B$4:$C$4*($B$25:$C$25-$B$19:$C$19))*(Z9:AA9*Z22:AA22+Z10:AA10*Z23:AA23+Z11:AA11*Z24:AA24+Z4:AA4*(Z25:AA25-Z19:AA19))/($B$9:$C$9*Z22:AA22+$B$10:$C$10*Z23:AA23+$B$11:$C$11*Z24:AA24+$B$4:$C$4*(Z25:AA25-Z19:AA19)))</f>
        <v>0.95904271247288642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0.9510727329886477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0.94163468745751433</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0.99806711372515766</v>
      </c>
      <c r="E66" s="191"/>
      <c r="F66" s="191">
        <f t="array" ref="F66">SQRT((F9:G9*$B$22:$C$22)/($B$9:$C$9*$B$22:$C$22)*(F9:G9*F22:G22)/($B$9:$C$9*F22:G22))</f>
        <v>0.9959801092735715</v>
      </c>
      <c r="G66" s="191"/>
      <c r="H66" s="191">
        <f t="array" ref="H66">SQRT((H9:I9*$B$22:$C$22)/($B$9:$C$9*$B$22:$C$22)*(H9:I9*H22:I22)/($B$9:$C$9*H22:I22))</f>
        <v>0.99371265832181954</v>
      </c>
      <c r="I66" s="191"/>
      <c r="J66" s="191">
        <f t="array" ref="J66">SQRT((J9:K9*$B$22:$C$22)/($B$9:$C$9*$B$22:$C$22)*(J9:K9*J22:K22)/($B$9:$C$9*J22:K22))</f>
        <v>0.99123127643637432</v>
      </c>
      <c r="K66" s="191"/>
      <c r="L66" s="191">
        <f t="array" ref="L66">SQRT((L9:M9*$B$22:$C$22)/($B$9:$C$9*$B$22:$C$22)*(L9:M9*L22:M22)/($B$9:$C$9*L22:M22))</f>
        <v>0.98849300298139009</v>
      </c>
      <c r="M66" s="191"/>
      <c r="N66" s="191">
        <f t="array" ref="N66">SQRT((N9:O9*$B$22:$C$22)/($B$9:$C$9*$B$22:$C$22)*(N9:O9*N22:O22)/($B$9:$C$9*N22:O22))</f>
        <v>0.98544228820213331</v>
      </c>
      <c r="O66" s="191"/>
      <c r="P66" s="191">
        <f t="array" ref="P66">SQRT((P9:Q9*$B$22:$C$22)/($B$9:$C$9*$B$22:$C$22)*(P9:Q9*P22:Q22)/($B$9:$C$9*P22:Q22))</f>
        <v>0.98200691536343254</v>
      </c>
      <c r="Q66" s="191"/>
      <c r="R66" s="191">
        <f t="array" ref="R66">SQRT((R9:S9*$B$22:$C$22)/($B$9:$C$9*$B$22:$C$22)*(R9:S9*R22:S22)/($B$9:$C$9*R22:S22))</f>
        <v>0.97809265512265797</v>
      </c>
      <c r="S66" s="191"/>
      <c r="T66" s="191">
        <f t="array" ref="T66">SQRT((T9:U9*$B$22:$C$22)/($B$9:$C$9*$B$22:$C$22)*(T9:U9*T22:U22)/($B$9:$C$9*T22:U22))</f>
        <v>0.97357658941087444</v>
      </c>
      <c r="U66" s="191"/>
      <c r="V66" s="191">
        <f t="array" ref="V66">SQRT((V9:W9*$B$22:$C$22)/($B$9:$C$9*$B$22:$C$22)*(V9:W9*V22:W22)/($B$9:$C$9*V22:W22))</f>
        <v>0.96829948104965047</v>
      </c>
      <c r="W66" s="191"/>
      <c r="X66" s="191">
        <f t="array" ref="X66">SQRT((X9:Y9*$B$22:$C$22)/($B$9:$C$9*$B$22:$C$22)*(X9:Y9*X22:Y22)/($B$9:$C$9*X22:Y22))</f>
        <v>0.96205878517405985</v>
      </c>
      <c r="Y66" s="191"/>
      <c r="Z66" s="191">
        <f t="array" ref="Z66">SQRT((Z9:AA9*$B$22:$C$22)/($B$9:$C$9*$B$22:$C$22)*(Z9:AA9*Z22:AA22)/($B$9:$C$9*Z22:AA22))</f>
        <v>0.95460780581282823</v>
      </c>
      <c r="AA66" s="191"/>
      <c r="AB66" s="191">
        <f t="array" ref="AB66">SQRT((AB9:AC9*$B$22:$C$22)/($B$9:$C$9*$B$22:$C$22)*(AB9:AC9*AB22:AC22)/($B$9:$C$9*AB22:AC22))</f>
        <v>0.94567629178947654</v>
      </c>
      <c r="AC66" s="191"/>
      <c r="AD66" s="191">
        <f t="array" ref="AD66">SQRT((AD9:AE9*$B$22:$C$22)/($B$9:$C$9*$B$22:$C$22)*(AD9:AE9*AD22:AE22)/($B$9:$C$9*AD22:AE22))</f>
        <v>0.93505406742307262</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0.99806711372515766</v>
      </c>
      <c r="E68" s="191"/>
      <c r="F68" s="191">
        <f>F66/F67</f>
        <v>0.9959801092735715</v>
      </c>
      <c r="G68" s="191"/>
      <c r="H68" s="191">
        <f>H66/H67</f>
        <v>0.99371265832181954</v>
      </c>
      <c r="I68" s="191"/>
      <c r="J68" s="191">
        <f>J66/J67</f>
        <v>0.99123127643637432</v>
      </c>
      <c r="K68" s="191"/>
      <c r="L68" s="191">
        <f>L66/L67</f>
        <v>0.98849300298139009</v>
      </c>
      <c r="M68" s="191"/>
      <c r="N68" s="191">
        <f>N66/N67</f>
        <v>0.98544228820213331</v>
      </c>
      <c r="O68" s="191"/>
      <c r="P68" s="191">
        <f>P66/P67</f>
        <v>0.98200691536343254</v>
      </c>
      <c r="Q68" s="191"/>
      <c r="R68" s="191">
        <f>R66/R67</f>
        <v>0.97809265512265797</v>
      </c>
      <c r="S68" s="191"/>
      <c r="T68" s="191">
        <f>T66/T67</f>
        <v>0.97357658941087444</v>
      </c>
      <c r="U68" s="191"/>
      <c r="V68" s="191">
        <f>V66/V67</f>
        <v>0.96829948104965047</v>
      </c>
      <c r="W68" s="191"/>
      <c r="X68" s="191">
        <f>X66/X67</f>
        <v>0.96205878517405985</v>
      </c>
      <c r="Y68" s="191"/>
      <c r="Z68" s="191">
        <f>Z66/Z67</f>
        <v>0.95460780581282823</v>
      </c>
      <c r="AA68" s="191"/>
      <c r="AB68" s="191">
        <f>AB66/AB67</f>
        <v>0.94567629178947654</v>
      </c>
      <c r="AC68" s="191"/>
      <c r="AD68" s="191">
        <f>AD66/AD67</f>
        <v>0.93505406742307262</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1.0024744284791223</v>
      </c>
      <c r="E69" s="191"/>
      <c r="F69" s="191">
        <f>F32/F65/($B$32)</f>
        <v>1.0048081946943075</v>
      </c>
      <c r="G69" s="191"/>
      <c r="H69" s="191">
        <f>H32/H65/($B$32)</f>
        <v>1.0069650289079963</v>
      </c>
      <c r="I69" s="191"/>
      <c r="J69" s="191">
        <f>J32/J65/($B$32)</f>
        <v>1.0088966575870997</v>
      </c>
      <c r="K69" s="191"/>
      <c r="L69" s="191">
        <f>L32/L65/($B$32)</f>
        <v>1.0105378639622986</v>
      </c>
      <c r="M69" s="191"/>
      <c r="N69" s="191">
        <f>N32/N65/($B$32)</f>
        <v>1.0117990484542654</v>
      </c>
      <c r="O69" s="191"/>
      <c r="P69" s="191">
        <f>P32/P65/($B$32)</f>
        <v>1.0125550820505362</v>
      </c>
      <c r="Q69" s="191"/>
      <c r="R69" s="191">
        <f>R32/R65/($B$32)</f>
        <v>1.0126276779897103</v>
      </c>
      <c r="S69" s="191"/>
      <c r="T69" s="191">
        <f>T32/T65/($B$32)</f>
        <v>1.0117571502132281</v>
      </c>
      <c r="U69" s="191"/>
      <c r="V69" s="191">
        <f>V32/V65/($B$32)</f>
        <v>1.0095551187507872</v>
      </c>
      <c r="W69" s="191"/>
      <c r="X69" s="191">
        <f>X32/X65/($B$32)</f>
        <v>1.0054222371931556</v>
      </c>
      <c r="Y69" s="191"/>
      <c r="Z69" s="191">
        <f>Z32/Z65/($B$32)</f>
        <v>0.99839707339903805</v>
      </c>
      <c r="AA69" s="191"/>
      <c r="AB69" s="191">
        <f>AB32/AB65/($B$32)</f>
        <v>0.98686044043288224</v>
      </c>
      <c r="AC69" s="191"/>
      <c r="AD69" s="191">
        <f>AD32/AD65/($B$32)</f>
        <v>0.96791430543944623</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1.0004978223927756</v>
      </c>
      <c r="E70" s="138"/>
      <c r="F70" s="138">
        <f>F18/$B$18</f>
        <v>1.0008197952310165</v>
      </c>
      <c r="G70" s="138"/>
      <c r="H70" s="138">
        <f>H18/$B$18</f>
        <v>1.0009267464476159</v>
      </c>
      <c r="I70" s="138"/>
      <c r="J70" s="138">
        <f>J18/$B$18</f>
        <v>1.0007679483809702</v>
      </c>
      <c r="K70" s="138"/>
      <c r="L70" s="138">
        <f>L18/$B$18</f>
        <v>1.0002766164860351</v>
      </c>
      <c r="M70" s="138"/>
      <c r="N70" s="138">
        <f>N18/$B$18</f>
        <v>0.99936317398246277</v>
      </c>
      <c r="O70" s="138"/>
      <c r="P70" s="138">
        <f>P18/$B$18</f>
        <v>0.99790507794570638</v>
      </c>
      <c r="Q70" s="138"/>
      <c r="R70" s="138">
        <f>R18/$B$18</f>
        <v>0.99573056560141471</v>
      </c>
      <c r="S70" s="138"/>
      <c r="T70" s="138">
        <f>T18/$B$18</f>
        <v>0.99259210697448608</v>
      </c>
      <c r="U70" s="138"/>
      <c r="V70" s="138">
        <f>V18/$B$18</f>
        <v>0.98812090982149792</v>
      </c>
      <c r="W70" s="138"/>
      <c r="X70" s="138">
        <f>X18/$B$18</f>
        <v>0.98174541209504373</v>
      </c>
      <c r="Y70" s="138"/>
      <c r="Z70" s="138">
        <f>Z18/$B$18</f>
        <v>0.97253707113507903</v>
      </c>
      <c r="AA70" s="138"/>
      <c r="AB70" s="138">
        <f>AB18/$B$18</f>
        <v>0.95890069646124521</v>
      </c>
      <c r="AC70" s="138"/>
      <c r="AD70" s="138">
        <f>AD18/$B$18</f>
        <v>0.93791475931122215</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0.93503889036799914</v>
      </c>
      <c r="E71" s="138"/>
      <c r="F71" s="138">
        <f>G18/$C$18</f>
        <v>0.86988496707567864</v>
      </c>
      <c r="G71" s="138"/>
      <c r="H71" s="138">
        <f>I18/$C$18</f>
        <v>0.80456374390317054</v>
      </c>
      <c r="I71" s="138"/>
      <c r="J71" s="138">
        <f>K18/$C$18</f>
        <v>0.7391103032272367</v>
      </c>
      <c r="K71" s="138"/>
      <c r="L71" s="138">
        <f>M18/$C$18</f>
        <v>0.67357343508569312</v>
      </c>
      <c r="M71" s="138"/>
      <c r="N71" s="138">
        <f>O18/$C$18</f>
        <v>0.60802322017409971</v>
      </c>
      <c r="O71" s="138"/>
      <c r="P71" s="138">
        <f>Q18/$C$18</f>
        <v>0.54256098707045852</v>
      </c>
      <c r="Q71" s="138"/>
      <c r="R71" s="138">
        <f>S18/$C$18</f>
        <v>0.47733672249116094</v>
      </c>
      <c r="S71" s="138"/>
      <c r="T71" s="138">
        <f>U18/$C$18</f>
        <v>0.41257459187478446</v>
      </c>
      <c r="U71" s="138"/>
      <c r="V71" s="138">
        <f>W18/$C$18</f>
        <v>0.34861605112533928</v>
      </c>
      <c r="W71" s="138"/>
      <c r="X71" s="138">
        <f>Y18/$C$18</f>
        <v>0.28598289114175879</v>
      </c>
      <c r="Y71" s="138"/>
      <c r="Z71" s="138">
        <f>AA18/$C$18</f>
        <v>0.2254742822951705</v>
      </c>
      <c r="AA71" s="138"/>
      <c r="AB71" s="138">
        <f>AC18/$C$18</f>
        <v>0.16830496703462952</v>
      </c>
      <c r="AC71" s="138"/>
      <c r="AD71" s="138">
        <f>AE18/$C$18</f>
        <v>0.11628037387232257</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1.0058650404079883</v>
      </c>
      <c r="E72" s="138"/>
      <c r="F72" s="138">
        <f>G19/$C$19</f>
        <v>1.015843184319364</v>
      </c>
      <c r="G72" s="138"/>
      <c r="H72" s="138">
        <f>I19/$C$19</f>
        <v>1.0306957584349603</v>
      </c>
      <c r="I72" s="138"/>
      <c r="J72" s="138">
        <f>K19/$C$19</f>
        <v>1.0513695515387993</v>
      </c>
      <c r="K72" s="138"/>
      <c r="L72" s="138">
        <f>M19/$C$19</f>
        <v>1.0790517848886647</v>
      </c>
      <c r="M72" s="138"/>
      <c r="N72" s="138">
        <f>O19/$C$19</f>
        <v>1.1152388334770802</v>
      </c>
      <c r="O72" s="138"/>
      <c r="P72" s="138">
        <f>Q19/$C$19</f>
        <v>1.1618127433847032</v>
      </c>
      <c r="Q72" s="138"/>
      <c r="R72" s="138">
        <f>S19/$C$19</f>
        <v>1.2211338758405108</v>
      </c>
      <c r="S72" s="138"/>
      <c r="T72" s="138">
        <f>U19/$C$19</f>
        <v>1.2961300447480057</v>
      </c>
      <c r="U72" s="138"/>
      <c r="V72" s="138">
        <f>W19/$C$19</f>
        <v>1.3903265597327168</v>
      </c>
      <c r="W72" s="138"/>
      <c r="X72" s="138">
        <f>Y19/$C$19</f>
        <v>1.5077153220944268</v>
      </c>
      <c r="Y72" s="138"/>
      <c r="Z72" s="138">
        <f>AA19/$C$19</f>
        <v>1.6521344823187496</v>
      </c>
      <c r="AA72" s="138"/>
      <c r="AB72" s="138">
        <f>AC19/$C$19</f>
        <v>1.8253779982542093</v>
      </c>
      <c r="AC72" s="138"/>
      <c r="AD72" s="138">
        <f>AE19/$C$19</f>
        <v>2.0220385948301507</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0.4764115506044691</v>
      </c>
      <c r="E73" s="138"/>
      <c r="F73" s="193">
        <f t="array" ref="F73">SUM(F9:G9*F22:G22)/F32</f>
        <v>0.47641153668036329</v>
      </c>
      <c r="G73" s="138"/>
      <c r="H73" s="193">
        <f t="array" ref="H73">SUM(H9:I9*H22:I22)/H32</f>
        <v>0.47641153765849148</v>
      </c>
      <c r="I73" s="138"/>
      <c r="J73" s="193">
        <f t="array" ref="J73">SUM(J9:K9*J22:K22)/J32</f>
        <v>0.47641154330700092</v>
      </c>
      <c r="K73" s="138"/>
      <c r="L73" s="193">
        <f t="array" ref="L73">SUM(L9:M9*L22:M22)/L32</f>
        <v>0.47641153938506736</v>
      </c>
      <c r="M73" s="138"/>
      <c r="N73" s="193">
        <f t="array" ref="N73">SUM(N9:O9*N22:O22)/N32</f>
        <v>0.47641154539809449</v>
      </c>
      <c r="O73" s="138"/>
      <c r="P73" s="193">
        <f t="array" ref="P73">SUM(P9:Q9*P22:Q22)/P32</f>
        <v>0.47641155078685682</v>
      </c>
      <c r="Q73" s="138"/>
      <c r="R73" s="193">
        <f t="array" ref="R73">SUM(R9:S9*R22:S22)/R32</f>
        <v>0.47641153829437116</v>
      </c>
      <c r="S73" s="138"/>
      <c r="T73" s="193">
        <f t="array" ref="T73">SUM(T9:U9*T22:U22)/T32</f>
        <v>0.47641154162104227</v>
      </c>
      <c r="U73" s="138"/>
      <c r="V73" s="193">
        <f t="array" ref="V73">SUM(V9:W9*V22:W22)/V32</f>
        <v>0.47641153957554394</v>
      </c>
      <c r="W73" s="138"/>
      <c r="X73" s="193">
        <f t="array" ref="X73">SUM(X9:Y9*X22:Y22)/X32</f>
        <v>0.47641153994179047</v>
      </c>
      <c r="Y73" s="138"/>
      <c r="Z73" s="193">
        <f t="array" ref="Z73">SUM(Z9:AA9*Z22:AA22)/Z32</f>
        <v>0.47641153617605692</v>
      </c>
      <c r="AA73" s="138"/>
      <c r="AB73" s="193">
        <f t="array" ref="AB73">SUM(AB9:AC9*AB22:AC22)/AB32</f>
        <v>0.4764115339360821</v>
      </c>
      <c r="AC73" s="138"/>
      <c r="AD73" s="193">
        <f t="array" ref="AD73">SUM(AD9:AE9*AD22:AE22)/AD32</f>
        <v>0.47641153733421993</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0.22604620456442481</v>
      </c>
      <c r="I74" s="138"/>
      <c r="J74" s="193">
        <f t="array" ref="J74">SUM(J10:K10*J23:K23)/J32</f>
        <v>0.22604620456442484</v>
      </c>
      <c r="K74" s="138"/>
      <c r="L74" s="193">
        <f t="array" ref="L74">SUM(L10:M10*L23:M23)/L32</f>
        <v>0.22604620456442484</v>
      </c>
      <c r="M74" s="138"/>
      <c r="N74" s="193">
        <f t="array" ref="N74">SUM(N10:O10*N23:O23)/N32</f>
        <v>0.22604620456442481</v>
      </c>
      <c r="O74" s="138"/>
      <c r="P74" s="193">
        <f t="array" ref="P74">SUM(P10:Q10*P23:Q23)/P32</f>
        <v>0.22604620456442484</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0.22604620456442481</v>
      </c>
      <c r="AA74" s="138"/>
      <c r="AB74" s="193">
        <f t="array" ref="AB74">SUM(AB10:AC10*AB23:AC23)/AB32</f>
        <v>0.22604620456442484</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0.2203843884236828</v>
      </c>
      <c r="E75" s="138"/>
      <c r="F75" s="193">
        <f t="array" ref="F75">SUM(F11:G11*F24:G24)/F32</f>
        <v>0.22038438832291063</v>
      </c>
      <c r="G75" s="138"/>
      <c r="H75" s="193">
        <f t="array" ref="H75">SUM(H11:I11*H24:I24)/H32</f>
        <v>0.2203843883176827</v>
      </c>
      <c r="I75" s="138"/>
      <c r="J75" s="193">
        <f t="array" ref="J75">SUM(J11:K11*J24:K24)/J32</f>
        <v>0.22038438835472124</v>
      </c>
      <c r="K75" s="138"/>
      <c r="L75" s="193">
        <f t="array" ref="L75">SUM(L11:M11*L24:M24)/L32</f>
        <v>0.22038438830251414</v>
      </c>
      <c r="M75" s="138"/>
      <c r="N75" s="193">
        <f t="array" ref="N75">SUM(N11:O11*N24:O24)/N32</f>
        <v>0.22038438825877021</v>
      </c>
      <c r="O75" s="138"/>
      <c r="P75" s="193">
        <f t="array" ref="P75">SUM(P11:Q11*P24:Q24)/P32</f>
        <v>0.22038438819977907</v>
      </c>
      <c r="Q75" s="138"/>
      <c r="R75" s="193">
        <f t="array" ref="R75">SUM(R11:S11*R24:S24)/R32</f>
        <v>0.22038438827110804</v>
      </c>
      <c r="S75" s="138"/>
      <c r="T75" s="193">
        <f t="array" ref="T75">SUM(T11:U11*T24:U24)/T32</f>
        <v>0.22038438819421274</v>
      </c>
      <c r="U75" s="138"/>
      <c r="V75" s="193">
        <f t="array" ref="V75">SUM(V11:W11*V24:W24)/V32</f>
        <v>0.22038438820343034</v>
      </c>
      <c r="W75" s="138"/>
      <c r="X75" s="193">
        <f t="array" ref="X75">SUM(X11:Y11*X24:Y24)/X32</f>
        <v>0.22038438816993355</v>
      </c>
      <c r="Y75" s="138"/>
      <c r="Z75" s="193">
        <f t="array" ref="Z75">SUM(Z11:AA11*Z24:AA24)/Z32</f>
        <v>0.22038438829663404</v>
      </c>
      <c r="AA75" s="138"/>
      <c r="AB75" s="193">
        <f t="array" ref="AB75">SUM(AB11:AC11*AB24:AC24)/AB32</f>
        <v>0.22038438832823393</v>
      </c>
      <c r="AC75" s="138"/>
      <c r="AD75" s="193">
        <f t="array" ref="AD75">SUM(AD11:AE11*AD24:AE24)/AD32</f>
        <v>0.22038438834838292</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0.2227833370646323</v>
      </c>
      <c r="E76" s="138"/>
      <c r="F76" s="193">
        <f t="array" ref="F76">SUM(F12:G12*F25:G25)/F32</f>
        <v>0.22261688642349539</v>
      </c>
      <c r="G76" s="138"/>
      <c r="H76" s="193">
        <f t="array" ref="H76">SUM(H12:I12*H25:I25)/H32</f>
        <v>0.22253247913707666</v>
      </c>
      <c r="I76" s="138"/>
      <c r="J76" s="193">
        <f t="array" ref="J76">SUM(J12:K12*J25:K25)/J32</f>
        <v>0.22254683562618333</v>
      </c>
      <c r="K76" s="138"/>
      <c r="L76" s="193">
        <f t="array" ref="L76">SUM(L12:M12*L25:M25)/L32</f>
        <v>0.22268146994059831</v>
      </c>
      <c r="M76" s="138"/>
      <c r="N76" s="193">
        <f t="array" ref="N76">SUM(N12:O12*N25:O25)/N32</f>
        <v>0.22296428167486448</v>
      </c>
      <c r="O76" s="138"/>
      <c r="P76" s="193">
        <f t="array" ref="P76">SUM(P12:Q12*P25:Q25)/P32</f>
        <v>0.22343166905748887</v>
      </c>
      <c r="Q76" s="138"/>
      <c r="R76" s="193">
        <f t="array" ref="R76">SUM(R12:S12*R25:S25)/R32</f>
        <v>0.22413134740186569</v>
      </c>
      <c r="S76" s="138"/>
      <c r="T76" s="193">
        <f t="array" ref="T76">SUM(T12:U12*T25:U25)/T32</f>
        <v>0.22512595162928209</v>
      </c>
      <c r="U76" s="138"/>
      <c r="V76" s="193">
        <f t="array" ref="V76">SUM(V12:W12*V25:W25)/V32</f>
        <v>0.22649734631444138</v>
      </c>
      <c r="W76" s="138"/>
      <c r="X76" s="193">
        <f t="array" ref="X76">SUM(X12:Y12*X25:Y25)/X32</f>
        <v>0.22835077337360987</v>
      </c>
      <c r="Y76" s="138"/>
      <c r="Z76" s="193">
        <f t="array" ref="Z76">SUM(Z12:AA12*Z25:AA25)/Z32</f>
        <v>0.23081575603791621</v>
      </c>
      <c r="AA76" s="138"/>
      <c r="AB76" s="193">
        <f t="array" ref="AB76">SUM(AB12:AC12*AB25:AC25)/AB32</f>
        <v>0.23403417262381523</v>
      </c>
      <c r="AC76" s="138"/>
      <c r="AD76" s="193">
        <f t="array" ref="AD76">SUM(AD12:AE12*AD25:AE25)/AD32</f>
        <v>0.23810788567367652</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0.14562548065720907</v>
      </c>
      <c r="E77" s="138"/>
      <c r="F77" s="193">
        <f t="array" ref="F77">SUM(F4:G4*F19:G19)/F32</f>
        <v>0.14545901599119421</v>
      </c>
      <c r="G77" s="138"/>
      <c r="H77" s="193">
        <f t="array" ref="H77">SUM(H4:I4*H19:I19)/H32</f>
        <v>0.14537460967767554</v>
      </c>
      <c r="I77" s="138"/>
      <c r="J77" s="193">
        <f t="array" ref="J77">SUM(J4:K4*J19:K19)/J32</f>
        <v>0.14538897185233032</v>
      </c>
      <c r="K77" s="138"/>
      <c r="L77" s="193">
        <f t="array" ref="L77">SUM(L4:M4*L19:M19)/L32</f>
        <v>0.14552360219260468</v>
      </c>
      <c r="M77" s="138"/>
      <c r="N77" s="193">
        <f t="array" ref="N77">SUM(N4:O4*N19:O19)/N32</f>
        <v>0.14580641989615384</v>
      </c>
      <c r="O77" s="138"/>
      <c r="P77" s="193">
        <f t="array" ref="P77">SUM(P4:Q4*P19:Q19)/P32</f>
        <v>0.1462738126085498</v>
      </c>
      <c r="Q77" s="138"/>
      <c r="R77" s="193">
        <f t="array" ref="R77">SUM(R4:S4*R19:S19)/R32</f>
        <v>0.14697347853176965</v>
      </c>
      <c r="S77" s="138"/>
      <c r="T77" s="193">
        <f t="array" ref="T77">SUM(T4:U4*T19:U19)/T32</f>
        <v>0.14796808600896189</v>
      </c>
      <c r="U77" s="138"/>
      <c r="V77" s="193">
        <f t="array" ref="V77">SUM(V4:W4*V19:W19)/V32</f>
        <v>0.14933947865784042</v>
      </c>
      <c r="W77" s="138"/>
      <c r="X77" s="193">
        <f t="array" ref="X77">SUM(X4:Y4*X19:Y19)/X32</f>
        <v>0.15119290604975877</v>
      </c>
      <c r="Y77" s="138"/>
      <c r="Z77" s="193">
        <f t="array" ref="Z77">SUM(Z4:AA4*Z19:AA19)/Z32</f>
        <v>0.153657885075032</v>
      </c>
      <c r="AA77" s="138"/>
      <c r="AB77" s="193">
        <f t="array" ref="AB77">SUM(AB4:AC4*AB19:AC19)/AB32</f>
        <v>0.15687629945255613</v>
      </c>
      <c r="AC77" s="138"/>
      <c r="AD77" s="193">
        <f t="array" ref="AD77">SUM(AD4:AE4*AD19:AE19)/AD32</f>
        <v>0.16095001592070424</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0.35037890536300148</v>
      </c>
      <c r="E78" s="138"/>
      <c r="F78" s="193">
        <f t="array" ref="F78">SUM(F13:G13*F26:G26)/F32</f>
        <v>0.35410133243119402</v>
      </c>
      <c r="G78" s="138"/>
      <c r="H78" s="193">
        <f t="array" ref="H78">SUM(H13:I13*H26:I26)/H32</f>
        <v>0.35810497515933537</v>
      </c>
      <c r="I78" s="138"/>
      <c r="J78" s="193">
        <f t="array" ref="J78">SUM(J13:K13*J26:K26)/J32</f>
        <v>0.36245336101976877</v>
      </c>
      <c r="K78" s="138"/>
      <c r="L78" s="193">
        <f t="array" ref="L78">SUM(L13:M13*L26:M26)/L32</f>
        <v>0.3672284891138517</v>
      </c>
      <c r="M78" s="138"/>
      <c r="N78" s="193">
        <f t="array" ref="N78">SUM(N13:O13*N26:O26)/N32</f>
        <v>0.37253816776527426</v>
      </c>
      <c r="O78" s="138"/>
      <c r="P78" s="193">
        <f t="array" ref="P78">SUM(P13:Q13*P26:Q26)/P32</f>
        <v>0.37852639995923237</v>
      </c>
      <c r="Q78" s="138"/>
      <c r="R78" s="193">
        <f t="array" ref="R78">SUM(R13:S13*R26:S26)/R32</f>
        <v>0.38539007853038243</v>
      </c>
      <c r="S78" s="138"/>
      <c r="T78" s="193">
        <f t="array" ref="T78">SUM(T13:U13*T26:U26)/T32</f>
        <v>0.39340545499451218</v>
      </c>
      <c r="U78" s="138"/>
      <c r="V78" s="193">
        <f t="array" ref="V78">SUM(V13:W13*V26:W26)/V32</f>
        <v>0.40297226939860986</v>
      </c>
      <c r="W78" s="138"/>
      <c r="X78" s="193">
        <f t="array" ref="X78">SUM(X13:Y13*X26:Y26)/X32</f>
        <v>0.41469066442156011</v>
      </c>
      <c r="Y78" s="138"/>
      <c r="Z78" s="193">
        <f t="array" ref="Z78">SUM(Z13:AA13*Z26:AA26)/Z32</f>
        <v>0.42949996055071515</v>
      </c>
      <c r="AA78" s="138"/>
      <c r="AB78" s="193">
        <f t="array" ref="AB78">SUM(AB13:AC13*AB26:AC26)/AB32</f>
        <v>0.44893822652185433</v>
      </c>
      <c r="AC78" s="138"/>
      <c r="AD78" s="193">
        <f t="array" ref="AD78">SUM(AD13:AE13*AD26:AE26)/AD32</f>
        <v>0.47562710369025518</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cm="1">
        <f t="array" ref="B79">SUM(B15:C15*B27:C27)/B32</f>
        <v>0.45460968782440642</v>
      </c>
      <c r="D79" s="193">
        <f t="array" ref="D79">SUM(D15:E15*D27:E27)/D32</f>
        <v>0.44235580715046985</v>
      </c>
      <c r="F79" s="193">
        <f t="array" ref="F79">SUM(F15:G15*F27:G27)/F32</f>
        <v>0.42929054842930159</v>
      </c>
      <c r="H79" s="193">
        <f t="array" ref="H79">SUM(H15:I15*H27:I27)/H32</f>
        <v>0.41523836187630858</v>
      </c>
      <c r="J79" s="193">
        <f t="array" ref="J79">SUM(J15:K15*J27:K27)/J32</f>
        <v>0.39997622719795245</v>
      </c>
      <c r="L79" s="193">
        <f t="array" ref="L79">SUM(L15:M15*L27:M27)/L32</f>
        <v>0.38321619143849184</v>
      </c>
      <c r="N79" s="193">
        <f t="array" ref="N79">SUM(N15:O15*N27:O27)/N32</f>
        <v>0.36458002017857549</v>
      </c>
      <c r="P79" s="193">
        <f t="array" ref="P79">SUM(P15:Q15*P27:Q27)/P32</f>
        <v>0.34356222343910858</v>
      </c>
      <c r="R79" s="193">
        <f t="array" ref="R79">SUM(R15:S15*R27:S27)/R32</f>
        <v>0.31947174802950018</v>
      </c>
      <c r="T79" s="193">
        <f t="array" ref="T79">SUM(T15:U15*T27:U27)/T32</f>
        <v>0.29133899874845648</v>
      </c>
      <c r="V79" s="193">
        <f t="array" ref="V79">SUM(V15:W15*V27:W27)/V32</f>
        <v>0.25776089389783502</v>
      </c>
      <c r="X79" s="193">
        <f t="array" ref="X79">SUM(X15:Y15*X27:Y27)/X32</f>
        <v>0.21663107877919682</v>
      </c>
      <c r="Z79" s="193">
        <f t="array" ref="Z79">SUM(Z15:AA15*Z27:AA27)/Z32</f>
        <v>0.16465262970512265</v>
      </c>
      <c r="AB79" s="193">
        <f t="array" ref="AB79">SUM(AB15:AC15*AB27:AC27)/AB32</f>
        <v>9.6427206706717672E-2</v>
      </c>
      <c r="AD79" s="193">
        <f t="array" ref="AD79">SUM(AD15:AE15*AD27:AE27)/AD32</f>
        <v>2.7532492300497012E-3</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0.2072652992600971</v>
      </c>
      <c r="F80" s="236">
        <f>F55</f>
        <v>0.21660811798213922</v>
      </c>
      <c r="H80" s="236">
        <f>H55</f>
        <v>0.22665666126111392</v>
      </c>
      <c r="J80" s="236">
        <f>J55</f>
        <v>0.23757041813734778</v>
      </c>
      <c r="L80" s="236">
        <f>L55</f>
        <v>0.24955531739974499</v>
      </c>
      <c r="N80" s="236">
        <f>N55</f>
        <v>0.26288180929124327</v>
      </c>
      <c r="P80" s="236">
        <f>P55</f>
        <v>0.27791137546159889</v>
      </c>
      <c r="R80" s="236">
        <f>R55</f>
        <v>0.29513817498219325</v>
      </c>
      <c r="T80" s="236">
        <f>T55</f>
        <v>0.3152555497039885</v>
      </c>
      <c r="V80" s="236">
        <f>V55</f>
        <v>0.33926684018657277</v>
      </c>
      <c r="X80" s="236">
        <f>X55</f>
        <v>0.36867826134430465</v>
      </c>
      <c r="Z80" s="236">
        <f>Z55</f>
        <v>0.40584741650759776</v>
      </c>
      <c r="AB80" s="236">
        <f>AB55</f>
        <v>0.45463456795534191</v>
      </c>
      <c r="AD80" s="236">
        <f>AD55</f>
        <v>0.52161966191643139</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-1.8780905304327741E-2</v>
      </c>
      <c r="F81" s="236">
        <f>F51/F$32</f>
        <v>-9.4380865822856156E-3</v>
      </c>
      <c r="H81" s="236">
        <f>H51/H$32</f>
        <v>6.1045669668910159E-4</v>
      </c>
      <c r="J81" s="236">
        <f>J51/J$32</f>
        <v>1.152421357292293E-2</v>
      </c>
      <c r="L81" s="236">
        <f>L51/L$32</f>
        <v>2.3509112835320142E-2</v>
      </c>
      <c r="N81" s="236">
        <f>N51/N$32</f>
        <v>3.6835604726818433E-2</v>
      </c>
      <c r="P81" s="236">
        <f>P51/P$32</f>
        <v>5.1865170897174052E-2</v>
      </c>
      <c r="R81" s="236">
        <f>R51/R$32</f>
        <v>6.9091970417768364E-2</v>
      </c>
      <c r="T81" s="236">
        <f>T51/T$32</f>
        <v>8.9209345139563634E-2</v>
      </c>
      <c r="V81" s="236">
        <f>V51/V$32</f>
        <v>0.1132206356221479</v>
      </c>
      <c r="X81" s="236">
        <f>X51/X$32</f>
        <v>0.14263205677987978</v>
      </c>
      <c r="Z81" s="236">
        <f>Z51/Z$32</f>
        <v>0.17980121194317294</v>
      </c>
      <c r="AB81" s="236">
        <f>AB51/AB$32</f>
        <v>0.22858836339091707</v>
      </c>
      <c r="AD81" s="236">
        <f>AD51/AD$32</f>
        <v>0.29557345735200657</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0.14047838426424894</v>
      </c>
      <c r="F82" s="236">
        <f>F52/F$32</f>
        <v>0.14197082725119028</v>
      </c>
      <c r="H82" s="236">
        <f>H52/H$32</f>
        <v>0.14357601881099014</v>
      </c>
      <c r="J82" s="236">
        <f>J52/J$32</f>
        <v>0.1453194291889589</v>
      </c>
      <c r="L82" s="236">
        <f>L52/L$32</f>
        <v>0.14723393451175118</v>
      </c>
      <c r="N82" s="236">
        <f>N52/N$32</f>
        <v>0.14936275866896306</v>
      </c>
      <c r="P82" s="236">
        <f>P52/P$32</f>
        <v>0.1517636371760035</v>
      </c>
      <c r="R82" s="236">
        <f>R52/R$32</f>
        <v>0.1545155108220079</v>
      </c>
      <c r="T82" s="236">
        <f>T52/T$32</f>
        <v>0.15772913789177709</v>
      </c>
      <c r="V82" s="236">
        <f>V52/V$32</f>
        <v>0.16156478726870305</v>
      </c>
      <c r="X82" s="236">
        <f>X52/X$32</f>
        <v>0.16626307581803446</v>
      </c>
      <c r="Z82" s="236">
        <f>Z52/Z$32</f>
        <v>0.17220060790250499</v>
      </c>
      <c r="AB82" s="236">
        <f>AB52/AB$32</f>
        <v>0.17999404567723443</v>
      </c>
      <c r="AD82" s="236">
        <f>AD52/AD$32</f>
        <v>0.19069449106666128</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0.18099337256101145</v>
      </c>
      <c r="F83" s="236">
        <f>F53/F$32</f>
        <v>0.17564761875581264</v>
      </c>
      <c r="H83" s="236">
        <f>H53/H$32</f>
        <v>0.16989805563270988</v>
      </c>
      <c r="J83" s="236">
        <f>J53/J$32</f>
        <v>0.16365343267701662</v>
      </c>
      <c r="L83" s="236">
        <f>L53/L$32</f>
        <v>0.15679593166241804</v>
      </c>
      <c r="N83" s="236">
        <f>N53/N$32</f>
        <v>0.14917079498865105</v>
      </c>
      <c r="P83" s="236">
        <f>P53/P$32</f>
        <v>0.14057119743802146</v>
      </c>
      <c r="R83" s="236">
        <f>R53/R$32</f>
        <v>0.130714389139131</v>
      </c>
      <c r="T83" s="236">
        <f>T53/T$32</f>
        <v>0.11920365255676385</v>
      </c>
      <c r="V83" s="236">
        <f>V53/V$32</f>
        <v>0.10546490573150971</v>
      </c>
      <c r="X83" s="236">
        <f>X53/X$32</f>
        <v>8.8636317000897635E-2</v>
      </c>
      <c r="Z83" s="236">
        <f>Z53/Z$32</f>
        <v>6.736892399658842E-2</v>
      </c>
      <c r="AB83" s="236">
        <f>AB53/AB$32</f>
        <v>3.9453953280079772E-2</v>
      </c>
      <c r="AD83" s="236">
        <f>AD53/AD$32</f>
        <v>1.1265136697486537E-3</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row r="85" spans="1:48 16384:16384" x14ac:dyDescent="0.2">
      <c r="B85">
        <f>B26/B28</f>
        <v>0.36592745534156335</v>
      </c>
      <c r="C85">
        <f t="shared" ref="C85:AG85" si="0">C26/C28</f>
        <v>0.19589931627855448</v>
      </c>
      <c r="D85">
        <f t="shared" si="0"/>
        <v>0.36564898971598681</v>
      </c>
      <c r="E85">
        <f t="shared" si="0"/>
        <v>0.19575022800861239</v>
      </c>
      <c r="F85">
        <f t="shared" si="0"/>
        <v>0.36537143552450807</v>
      </c>
      <c r="G85">
        <f t="shared" si="0"/>
        <v>0.19560165263790533</v>
      </c>
      <c r="H85">
        <f t="shared" si="0"/>
        <v>0.36509480513662873</v>
      </c>
      <c r="I85">
        <f t="shared" si="0"/>
        <v>0.19545355967823894</v>
      </c>
      <c r="J85">
        <f t="shared" si="0"/>
        <v>0.36481910937469547</v>
      </c>
      <c r="K85">
        <f t="shared" si="0"/>
        <v>0.19530595356286712</v>
      </c>
      <c r="L85">
        <f t="shared" si="0"/>
        <v>0.36454436377767413</v>
      </c>
      <c r="M85">
        <f t="shared" si="0"/>
        <v>0.19515888466252254</v>
      </c>
      <c r="N85">
        <f t="shared" si="0"/>
        <v>0.36427060885834761</v>
      </c>
      <c r="O85">
        <f t="shared" si="0"/>
        <v>0.19501234078608914</v>
      </c>
      <c r="P85">
        <f t="shared" si="0"/>
        <v>0.36399792569064199</v>
      </c>
      <c r="Q85">
        <f t="shared" si="0"/>
        <v>0.19486637552196051</v>
      </c>
      <c r="R85">
        <f t="shared" si="0"/>
        <v>0.36372648816093189</v>
      </c>
      <c r="S85">
        <f t="shared" si="0"/>
        <v>0.19472103045107747</v>
      </c>
      <c r="T85">
        <f t="shared" si="0"/>
        <v>0.36345664156032886</v>
      </c>
      <c r="U85">
        <f t="shared" si="0"/>
        <v>0.19457657102668885</v>
      </c>
      <c r="V85">
        <f t="shared" si="0"/>
        <v>0.36318906223928771</v>
      </c>
      <c r="W85">
        <f t="shared" si="0"/>
        <v>0.19443332176248571</v>
      </c>
      <c r="X85">
        <f t="shared" si="0"/>
        <v>0.36292502289080553</v>
      </c>
      <c r="Y85">
        <f t="shared" si="0"/>
        <v>0.19429196954232225</v>
      </c>
      <c r="Z85">
        <f t="shared" si="0"/>
        <v>0.3626668574745483</v>
      </c>
      <c r="AA85">
        <f t="shared" si="0"/>
        <v>0.19415374475793828</v>
      </c>
      <c r="AB85">
        <f t="shared" si="0"/>
        <v>0.36241879290595924</v>
      </c>
      <c r="AC85">
        <f t="shared" si="0"/>
        <v>0.19402095131575156</v>
      </c>
      <c r="AD85">
        <f t="shared" si="0"/>
        <v>0.36218854615613688</v>
      </c>
      <c r="AE85">
        <f t="shared" si="0"/>
        <v>0.19389765908594547</v>
      </c>
      <c r="AF85" t="e">
        <f t="shared" si="0"/>
        <v>#DIV/0!</v>
      </c>
      <c r="AG85" t="e">
        <f t="shared" si="0"/>
        <v>#DIV/0!</v>
      </c>
      <c r="AH85" t="e">
        <f>AH26/AH28</f>
        <v>#DIV/0!</v>
      </c>
      <c r="AJ85" t="e">
        <f>AJ26/AJ28</f>
        <v>#DIV/0!</v>
      </c>
      <c r="AL85" t="e">
        <f>AL26/AL28</f>
        <v>#DIV/0!</v>
      </c>
      <c r="AN85" t="e">
        <f>AN26/AN28</f>
        <v>#DIV/0!</v>
      </c>
      <c r="AP85" t="e">
        <f>AP26/AP28</f>
        <v>#DIV/0!</v>
      </c>
      <c r="AR85" t="e">
        <f>AR26/AR28</f>
        <v>#DIV/0!</v>
      </c>
      <c r="AT85" t="e">
        <f>AT26/AT28</f>
        <v>#DIV/0!</v>
      </c>
      <c r="AV85" t="e">
        <f>AV26/AV28</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31" activePane="bottomLeft" state="frozen"/>
      <selection pane="bottomLeft" activeCell="G18" sqref="G18"/>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c r="Z1" s="94"/>
      <c r="AB1" s="94"/>
      <c r="AD1" s="94"/>
      <c r="AF1" s="94"/>
      <c r="AH1" s="94"/>
      <c r="AJ1" s="94"/>
      <c r="AL1" s="94"/>
      <c r="AN1" s="94"/>
      <c r="AP1" s="94"/>
      <c r="AR1" s="94"/>
      <c r="AT1" s="94"/>
      <c r="AV1" s="94"/>
    </row>
    <row r="2" spans="1:49" x14ac:dyDescent="0.2">
      <c r="A2" s="229" t="s">
        <v>155</v>
      </c>
      <c r="B2" s="226">
        <v>5.7716594496607888E-3</v>
      </c>
      <c r="C2" s="227"/>
      <c r="D2" s="226">
        <v>8.5548224814154666E-2</v>
      </c>
      <c r="E2" s="227"/>
      <c r="F2" s="226">
        <v>0.17488472567352645</v>
      </c>
      <c r="G2" s="227"/>
      <c r="H2" s="226">
        <v>0.27545982506051692</v>
      </c>
      <c r="I2" s="227"/>
      <c r="J2" s="226">
        <v>0.3893917378851261</v>
      </c>
      <c r="K2" s="227"/>
      <c r="L2" s="226">
        <v>0.51941738358932632</v>
      </c>
      <c r="M2" s="227"/>
      <c r="N2" s="226">
        <v>0.66918066311881097</v>
      </c>
      <c r="O2" s="227"/>
      <c r="P2" s="226">
        <v>0.84370969862639955</v>
      </c>
      <c r="Q2" s="227"/>
      <c r="R2" s="226">
        <v>1.0502463106606832</v>
      </c>
      <c r="S2" s="227"/>
      <c r="T2" s="226">
        <v>1.299745869038712</v>
      </c>
      <c r="U2" s="227"/>
      <c r="V2" s="226">
        <v>1.6096584608951114</v>
      </c>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997.11488656172025</v>
      </c>
      <c r="E3" s="85">
        <v>1048.8915153381686</v>
      </c>
      <c r="F3" s="84">
        <v>994.09729931143431</v>
      </c>
      <c r="G3" s="85">
        <v>1106.2725942773848</v>
      </c>
      <c r="H3" s="84">
        <v>990.90571170108012</v>
      </c>
      <c r="I3" s="85">
        <v>1174.3483833188313</v>
      </c>
      <c r="J3" s="84">
        <v>987.48750703498104</v>
      </c>
      <c r="K3" s="85">
        <v>1256.0932582143698</v>
      </c>
      <c r="L3" s="84">
        <v>983.77548621126994</v>
      </c>
      <c r="M3" s="85">
        <v>1355.5986991979205</v>
      </c>
      <c r="N3" s="84">
        <v>979.68321793036012</v>
      </c>
      <c r="O3" s="85">
        <v>1478.6235837920065</v>
      </c>
      <c r="P3" s="84">
        <v>975.09916022008849</v>
      </c>
      <c r="Q3" s="85">
        <v>1633.4948875897558</v>
      </c>
      <c r="R3" s="84">
        <v>969.87928356605175</v>
      </c>
      <c r="S3" s="85">
        <v>1832.6523152547293</v>
      </c>
      <c r="T3" s="84">
        <v>963.83847704367338</v>
      </c>
      <c r="U3" s="85">
        <v>2095.4359843063698</v>
      </c>
      <c r="V3" s="84">
        <v>956.74077324429823</v>
      </c>
      <c r="W3" s="85">
        <v>2453.4850620916986</v>
      </c>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996.97174218237876</v>
      </c>
      <c r="E5" s="42">
        <v>1042.4320730305949</v>
      </c>
      <c r="F5" s="41">
        <v>993.80244173827703</v>
      </c>
      <c r="G5" s="42">
        <v>1091.015042818339</v>
      </c>
      <c r="H5" s="41">
        <v>990.44815350845079</v>
      </c>
      <c r="I5" s="42">
        <v>1147.0522052617732</v>
      </c>
      <c r="J5" s="41">
        <v>986.85312008390247</v>
      </c>
      <c r="K5" s="42">
        <v>1212.1965911944078</v>
      </c>
      <c r="L5" s="41">
        <v>982.94602491332989</v>
      </c>
      <c r="M5" s="42">
        <v>1288.5614142706108</v>
      </c>
      <c r="N5" s="41">
        <v>978.63498549969995</v>
      </c>
      <c r="O5" s="42">
        <v>1378.8735050341015</v>
      </c>
      <c r="P5" s="41">
        <v>973.80118691178427</v>
      </c>
      <c r="Q5" s="42">
        <v>1486.6806968174822</v>
      </c>
      <c r="R5" s="41">
        <v>968.29083036906854</v>
      </c>
      <c r="S5" s="42">
        <v>1616.6402507362134</v>
      </c>
      <c r="T5" s="41">
        <v>961.90563000936493</v>
      </c>
      <c r="U5" s="42">
        <v>1774.9175005592085</v>
      </c>
      <c r="V5" s="41">
        <v>954.39179461481979</v>
      </c>
      <c r="W5" s="42">
        <v>1969.7490815665899</v>
      </c>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999.99999999999932</v>
      </c>
      <c r="C6" s="42">
        <v>999.99999999999898</v>
      </c>
      <c r="D6" s="41">
        <v>996.74049238653038</v>
      </c>
      <c r="E6" s="42">
        <v>1052.6768944372711</v>
      </c>
      <c r="F6" s="41">
        <v>993.32999062442025</v>
      </c>
      <c r="G6" s="42">
        <v>1114.2756955807085</v>
      </c>
      <c r="H6" s="41">
        <v>989.72133760860993</v>
      </c>
      <c r="I6" s="42">
        <v>1187.0900697165282</v>
      </c>
      <c r="J6" s="41">
        <v>985.85473110282805</v>
      </c>
      <c r="K6" s="42">
        <v>1274.2109958409651</v>
      </c>
      <c r="L6" s="41">
        <v>981.65372305879384</v>
      </c>
      <c r="M6" s="42">
        <v>1379.8874144647439</v>
      </c>
      <c r="N6" s="41">
        <v>977.01988061525026</v>
      </c>
      <c r="O6" s="42">
        <v>1510.0970204558575</v>
      </c>
      <c r="P6" s="41">
        <v>971.82601067090673</v>
      </c>
      <c r="Q6" s="42">
        <v>1673.4809198258395</v>
      </c>
      <c r="R6" s="41">
        <v>965.9076145166506</v>
      </c>
      <c r="S6" s="42">
        <v>1882.947172163362</v>
      </c>
      <c r="T6" s="41">
        <v>959.05284624157343</v>
      </c>
      <c r="U6" s="42">
        <v>2158.5656167300676</v>
      </c>
      <c r="V6" s="41">
        <v>950.99094387206583</v>
      </c>
      <c r="W6" s="42">
        <v>2533.1752410599001</v>
      </c>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1012.8352400480746</v>
      </c>
      <c r="E7" s="34">
        <v>1012.8352400480746</v>
      </c>
      <c r="F7" s="33">
        <v>1009.6155107014238</v>
      </c>
      <c r="G7" s="34">
        <v>1009.6155107014238</v>
      </c>
      <c r="H7" s="33">
        <v>1006.2078501021276</v>
      </c>
      <c r="I7" s="34">
        <v>1006.2078501021276</v>
      </c>
      <c r="J7" s="33">
        <v>1002.5556136469974</v>
      </c>
      <c r="K7" s="34">
        <v>1002.5556136469974</v>
      </c>
      <c r="L7" s="33">
        <v>998.58635001840628</v>
      </c>
      <c r="M7" s="34">
        <v>998.58635001840628</v>
      </c>
      <c r="N7" s="33">
        <v>994.20671471419746</v>
      </c>
      <c r="O7" s="34">
        <v>994.20671471419746</v>
      </c>
      <c r="P7" s="33">
        <v>989.29600225767524</v>
      </c>
      <c r="Q7" s="34">
        <v>989.29600225767524</v>
      </c>
      <c r="R7" s="33">
        <v>983.69796667095443</v>
      </c>
      <c r="S7" s="34">
        <v>983.69796667095443</v>
      </c>
      <c r="T7" s="33">
        <v>977.21116703015537</v>
      </c>
      <c r="U7" s="34">
        <v>977.21116703015537</v>
      </c>
      <c r="V7" s="33">
        <v>969.57777387213378</v>
      </c>
      <c r="W7" s="34">
        <v>969.57777387213378</v>
      </c>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1131.6102863677015</v>
      </c>
      <c r="E8" s="36">
        <v>1131.6102863677015</v>
      </c>
      <c r="F8" s="35">
        <v>1281.816909287315</v>
      </c>
      <c r="G8" s="36">
        <v>1281.816909287315</v>
      </c>
      <c r="H8" s="35">
        <v>1463.0190050584615</v>
      </c>
      <c r="I8" s="36">
        <v>1463.0190050584615</v>
      </c>
      <c r="J8" s="35">
        <v>1684.2159284980241</v>
      </c>
      <c r="K8" s="36">
        <v>1684.2159284980241</v>
      </c>
      <c r="L8" s="35">
        <v>1957.8626126652134</v>
      </c>
      <c r="M8" s="36">
        <v>1957.8626126652134</v>
      </c>
      <c r="N8" s="35">
        <v>2301.5889914897807</v>
      </c>
      <c r="O8" s="36">
        <v>2301.5889914897807</v>
      </c>
      <c r="P8" s="35">
        <v>2741.0076194830453</v>
      </c>
      <c r="Q8" s="36">
        <v>2741.0076194830453</v>
      </c>
      <c r="R8" s="35">
        <v>3314.5107097374835</v>
      </c>
      <c r="S8" s="36">
        <v>3314.5107097374835</v>
      </c>
      <c r="T8" s="35">
        <v>4081.8591897955553</v>
      </c>
      <c r="U8" s="36">
        <v>4081.8591897955553</v>
      </c>
      <c r="V8" s="35">
        <v>5140.3723565506261</v>
      </c>
      <c r="W8" s="36">
        <v>5140.3723565506261</v>
      </c>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1012.8352400480746</v>
      </c>
      <c r="E9" s="42">
        <v>1131.6102863677015</v>
      </c>
      <c r="F9" s="41">
        <v>1009.6155107014238</v>
      </c>
      <c r="G9" s="42">
        <v>1281.816909287315</v>
      </c>
      <c r="H9" s="41">
        <v>1006.2078501021276</v>
      </c>
      <c r="I9" s="42">
        <v>1463.0190050584615</v>
      </c>
      <c r="J9" s="41">
        <v>1002.5556136469974</v>
      </c>
      <c r="K9" s="42">
        <v>1684.2159284980241</v>
      </c>
      <c r="L9" s="41">
        <v>998.58635001840628</v>
      </c>
      <c r="M9" s="42">
        <v>1957.8626126652134</v>
      </c>
      <c r="N9" s="41">
        <v>994.20671471419746</v>
      </c>
      <c r="O9" s="42">
        <v>2301.5889914897807</v>
      </c>
      <c r="P9" s="41">
        <v>989.29600225767524</v>
      </c>
      <c r="Q9" s="42">
        <v>2741.0076194830453</v>
      </c>
      <c r="R9" s="41">
        <v>983.69796667095443</v>
      </c>
      <c r="S9" s="42">
        <v>3314.5107097374835</v>
      </c>
      <c r="T9" s="41">
        <v>977.21116703015537</v>
      </c>
      <c r="U9" s="42">
        <v>4081.8591897955553</v>
      </c>
      <c r="V9" s="41">
        <v>969.57777387213378</v>
      </c>
      <c r="W9" s="42">
        <v>5140.3723565506261</v>
      </c>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1012.8352400480746</v>
      </c>
      <c r="E10" s="42">
        <v>1131.6102863677015</v>
      </c>
      <c r="F10" s="41">
        <v>1009.6155107014238</v>
      </c>
      <c r="G10" s="42">
        <v>1281.816909287315</v>
      </c>
      <c r="H10" s="41">
        <v>1006.2078501021276</v>
      </c>
      <c r="I10" s="42">
        <v>1463.0190050584615</v>
      </c>
      <c r="J10" s="41">
        <v>1002.5556136469974</v>
      </c>
      <c r="K10" s="42">
        <v>1684.2159284980241</v>
      </c>
      <c r="L10" s="41">
        <v>998.58635001840628</v>
      </c>
      <c r="M10" s="42">
        <v>1957.8626126652134</v>
      </c>
      <c r="N10" s="41">
        <v>994.20671471419746</v>
      </c>
      <c r="O10" s="42">
        <v>2301.5889914897807</v>
      </c>
      <c r="P10" s="41">
        <v>989.29600225767524</v>
      </c>
      <c r="Q10" s="42">
        <v>2741.0076194830453</v>
      </c>
      <c r="R10" s="41">
        <v>983.69796667095443</v>
      </c>
      <c r="S10" s="42">
        <v>3314.5107097374835</v>
      </c>
      <c r="T10" s="41">
        <v>977.21116703015537</v>
      </c>
      <c r="U10" s="42">
        <v>4081.8591897955553</v>
      </c>
      <c r="V10" s="41">
        <v>969.57777387213378</v>
      </c>
      <c r="W10" s="42">
        <v>5140.3723565506261</v>
      </c>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1012.8352400480746</v>
      </c>
      <c r="E11" s="42">
        <v>1131.6102863677015</v>
      </c>
      <c r="F11" s="41">
        <v>1009.6155107014238</v>
      </c>
      <c r="G11" s="42">
        <v>1281.816909287315</v>
      </c>
      <c r="H11" s="41">
        <v>1006.2078501021276</v>
      </c>
      <c r="I11" s="42">
        <v>1463.0190050584615</v>
      </c>
      <c r="J11" s="41">
        <v>1002.5556136469974</v>
      </c>
      <c r="K11" s="42">
        <v>1684.2159284980241</v>
      </c>
      <c r="L11" s="41">
        <v>998.58635001840628</v>
      </c>
      <c r="M11" s="42">
        <v>1957.8626126652134</v>
      </c>
      <c r="N11" s="41">
        <v>994.20671471419746</v>
      </c>
      <c r="O11" s="42">
        <v>2301.5889914897807</v>
      </c>
      <c r="P11" s="41">
        <v>989.29600225767524</v>
      </c>
      <c r="Q11" s="42">
        <v>2741.0076194830453</v>
      </c>
      <c r="R11" s="41">
        <v>983.69796667095443</v>
      </c>
      <c r="S11" s="42">
        <v>3314.5107097374835</v>
      </c>
      <c r="T11" s="41">
        <v>977.21116703015537</v>
      </c>
      <c r="U11" s="42">
        <v>4081.8591897955553</v>
      </c>
      <c r="V11" s="41">
        <v>969.57777387213378</v>
      </c>
      <c r="W11" s="42">
        <v>5140.3723565506261</v>
      </c>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944.51095007329434</v>
      </c>
      <c r="E13" s="98">
        <v>944.51095007329434</v>
      </c>
      <c r="F13" s="97">
        <v>884.59248303595143</v>
      </c>
      <c r="G13" s="98">
        <v>884.59248303595143</v>
      </c>
      <c r="H13" s="97">
        <v>819.31435093213213</v>
      </c>
      <c r="I13" s="98">
        <v>819.31435093213213</v>
      </c>
      <c r="J13" s="97">
        <v>747.51600077053274</v>
      </c>
      <c r="K13" s="98">
        <v>747.51600077053274</v>
      </c>
      <c r="L13" s="97">
        <v>667.74306868596318</v>
      </c>
      <c r="M13" s="98">
        <v>667.74306868596318</v>
      </c>
      <c r="N13" s="97">
        <v>578.17111918831529</v>
      </c>
      <c r="O13" s="98">
        <v>578.17111918831529</v>
      </c>
      <c r="P13" s="97">
        <v>476.54007521273473</v>
      </c>
      <c r="Q13" s="98">
        <v>476.54007521273473</v>
      </c>
      <c r="R13" s="97">
        <v>360.18352867227475</v>
      </c>
      <c r="S13" s="98">
        <v>360.18352867227475</v>
      </c>
      <c r="T13" s="97">
        <v>226.55495181960742</v>
      </c>
      <c r="U13" s="98">
        <v>226.55495181960742</v>
      </c>
      <c r="V13" s="97">
        <v>76.760070205780707</v>
      </c>
      <c r="W13" s="98">
        <v>76.760070205780707</v>
      </c>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1376.1556893442421</v>
      </c>
      <c r="E14" s="42">
        <v>1376.1556893442423</v>
      </c>
      <c r="F14" s="41">
        <v>1288.8542776413644</v>
      </c>
      <c r="G14" s="42">
        <v>1288.8542776413647</v>
      </c>
      <c r="H14" s="41">
        <v>1193.7438155789978</v>
      </c>
      <c r="I14" s="42">
        <v>1193.743815578998</v>
      </c>
      <c r="J14" s="41">
        <v>1089.1333734737498</v>
      </c>
      <c r="K14" s="42">
        <v>1089.13337347375</v>
      </c>
      <c r="L14" s="41">
        <v>972.90393819263079</v>
      </c>
      <c r="M14" s="42">
        <v>972.9039381926309</v>
      </c>
      <c r="N14" s="41">
        <v>842.39730097759593</v>
      </c>
      <c r="O14" s="42">
        <v>842.39730097759605</v>
      </c>
      <c r="P14" s="41">
        <v>694.32052180405981</v>
      </c>
      <c r="Q14" s="42">
        <v>694.32052180405992</v>
      </c>
      <c r="R14" s="41">
        <v>524.78863495650512</v>
      </c>
      <c r="S14" s="42">
        <v>524.78863495650512</v>
      </c>
      <c r="T14" s="41">
        <v>330.09134078484703</v>
      </c>
      <c r="U14" s="42">
        <v>330.09134078484709</v>
      </c>
      <c r="V14" s="41">
        <v>111.83968520423332</v>
      </c>
      <c r="W14" s="42">
        <v>111.83968520423333</v>
      </c>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1046.1476599859411</v>
      </c>
      <c r="E15" s="155">
        <v>1046.1476599859411</v>
      </c>
      <c r="F15" s="154">
        <v>1096.2846596890422</v>
      </c>
      <c r="G15" s="155">
        <v>1096.2846596890422</v>
      </c>
      <c r="H15" s="154">
        <v>1151.2874233565876</v>
      </c>
      <c r="I15" s="155">
        <v>1151.2874233565876</v>
      </c>
      <c r="J15" s="154">
        <v>1212.2942440528382</v>
      </c>
      <c r="K15" s="155">
        <v>1212.2942440528382</v>
      </c>
      <c r="L15" s="154">
        <v>1280.8102781607506</v>
      </c>
      <c r="M15" s="155">
        <v>1280.8102781607506</v>
      </c>
      <c r="N15" s="154">
        <v>1358.8706886200171</v>
      </c>
      <c r="O15" s="155">
        <v>1358.8706886200171</v>
      </c>
      <c r="P15" s="154">
        <v>1449.2987278772921</v>
      </c>
      <c r="Q15" s="155">
        <v>1449.2987278772921</v>
      </c>
      <c r="R15" s="154">
        <v>1556.1374975198476</v>
      </c>
      <c r="S15" s="155">
        <v>1556.1374975198476</v>
      </c>
      <c r="T15" s="154">
        <v>1685.4006613836268</v>
      </c>
      <c r="U15" s="155">
        <v>1685.4006613836268</v>
      </c>
      <c r="V15" s="154">
        <v>1846.4172565742776</v>
      </c>
      <c r="W15" s="155">
        <v>1846.4172565742776</v>
      </c>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991.76527913138409</v>
      </c>
      <c r="E16" s="42">
        <v>1017.0589709389548</v>
      </c>
      <c r="F16" s="41">
        <v>982.57137754930375</v>
      </c>
      <c r="G16" s="42">
        <v>1035.5198356098249</v>
      </c>
      <c r="H16" s="41">
        <v>972.18793330142603</v>
      </c>
      <c r="I16" s="42">
        <v>1055.6908138025176</v>
      </c>
      <c r="J16" s="41">
        <v>960.31587254245585</v>
      </c>
      <c r="K16" s="42">
        <v>1077.9779104829749</v>
      </c>
      <c r="L16" s="41">
        <v>946.56120476092258</v>
      </c>
      <c r="M16" s="42">
        <v>1102.9284962743675</v>
      </c>
      <c r="N16" s="41">
        <v>930.39580361401806</v>
      </c>
      <c r="O16" s="42">
        <v>1131.3029652134296</v>
      </c>
      <c r="P16" s="41">
        <v>911.09796485083302</v>
      </c>
      <c r="Q16" s="42">
        <v>1164.197468018787</v>
      </c>
      <c r="R16" s="41">
        <v>887.65806705221485</v>
      </c>
      <c r="S16" s="42">
        <v>1203.2738057451525</v>
      </c>
      <c r="T16" s="41">
        <v>858.62335758555867</v>
      </c>
      <c r="U16" s="42">
        <v>1251.2441180319713</v>
      </c>
      <c r="V16" s="41">
        <v>821.83144926328578</v>
      </c>
      <c r="W16" s="42">
        <v>1313.2177978964598</v>
      </c>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997.24800794609234</v>
      </c>
      <c r="E17" s="36">
        <v>1074.3911019074123</v>
      </c>
      <c r="F17" s="35">
        <v>994.37152484831756</v>
      </c>
      <c r="G17" s="36">
        <v>1161.9005079398003</v>
      </c>
      <c r="H17" s="35">
        <v>991.33127818172488</v>
      </c>
      <c r="I17" s="36">
        <v>1266.0009710436377</v>
      </c>
      <c r="J17" s="35">
        <v>988.0775751236157</v>
      </c>
      <c r="K17" s="36">
        <v>1391.3907876460223</v>
      </c>
      <c r="L17" s="35">
        <v>984.5470570267928</v>
      </c>
      <c r="M17" s="36">
        <v>1544.5506727830402</v>
      </c>
      <c r="N17" s="35">
        <v>980.65836437093685</v>
      </c>
      <c r="O17" s="36">
        <v>1734.6281898307784</v>
      </c>
      <c r="P17" s="35">
        <v>976.30674181339214</v>
      </c>
      <c r="Q17" s="36">
        <v>1974.8840724660224</v>
      </c>
      <c r="R17" s="35">
        <v>971.35726951437584</v>
      </c>
      <c r="S17" s="36">
        <v>2285.1733755031105</v>
      </c>
      <c r="T17" s="35">
        <v>965.63712809548963</v>
      </c>
      <c r="U17" s="36">
        <v>2696.4261868841149</v>
      </c>
      <c r="V17" s="35">
        <v>958.92699741606816</v>
      </c>
      <c r="W17" s="36">
        <v>3259.3256596872757</v>
      </c>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28128.616422745465</v>
      </c>
      <c r="E18" s="34">
        <v>1147.9867553366134</v>
      </c>
      <c r="F18" s="33">
        <v>28407.374834764349</v>
      </c>
      <c r="G18" s="34">
        <v>1059.3635477711107</v>
      </c>
      <c r="H18" s="33">
        <v>28694.97014322436</v>
      </c>
      <c r="I18" s="34">
        <v>970.89569503703717</v>
      </c>
      <c r="J18" s="33">
        <v>28993.403074602673</v>
      </c>
      <c r="K18" s="34">
        <v>882.59169051737558</v>
      </c>
      <c r="L18" s="33">
        <v>29305.055397913839</v>
      </c>
      <c r="M18" s="34">
        <v>794.47938589786941</v>
      </c>
      <c r="N18" s="33">
        <v>29632.794796764632</v>
      </c>
      <c r="O18" s="34">
        <v>706.62106786397271</v>
      </c>
      <c r="P18" s="33">
        <v>29980.069496625634</v>
      </c>
      <c r="Q18" s="34">
        <v>619.13775558877524</v>
      </c>
      <c r="R18" s="33">
        <v>30351.008532564429</v>
      </c>
      <c r="S18" s="34">
        <v>532.24816938007007</v>
      </c>
      <c r="T18" s="33">
        <v>30750.459895341522</v>
      </c>
      <c r="U18" s="34">
        <v>446.33074283450958</v>
      </c>
      <c r="V18" s="33">
        <v>31183.670680287087</v>
      </c>
      <c r="W18" s="34">
        <v>362.01682980952319</v>
      </c>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1897.7954827759133</v>
      </c>
      <c r="E19" s="42">
        <v>271.28341337278158</v>
      </c>
      <c r="F19" s="41">
        <v>1909.2145266318589</v>
      </c>
      <c r="G19" s="42">
        <v>281.51930070757186</v>
      </c>
      <c r="H19" s="41">
        <v>1920.6449651964706</v>
      </c>
      <c r="I19" s="42">
        <v>293.89320075533237</v>
      </c>
      <c r="J19" s="41">
        <v>1932.0671653981735</v>
      </c>
      <c r="K19" s="42">
        <v>308.91585708018908</v>
      </c>
      <c r="L19" s="41">
        <v>1943.4404469723154</v>
      </c>
      <c r="M19" s="42">
        <v>327.24693374663758</v>
      </c>
      <c r="N19" s="41">
        <v>1954.6941020637321</v>
      </c>
      <c r="O19" s="42">
        <v>349.74457257672742</v>
      </c>
      <c r="P19" s="41">
        <v>1965.7125803382507</v>
      </c>
      <c r="Q19" s="42">
        <v>377.53119732447294</v>
      </c>
      <c r="R19" s="41">
        <v>1976.3142528575411</v>
      </c>
      <c r="S19" s="42">
        <v>412.08053602811708</v>
      </c>
      <c r="T19" s="41">
        <v>1986.2187862758851</v>
      </c>
      <c r="U19" s="42">
        <v>455.32666289100069</v>
      </c>
      <c r="V19" s="41">
        <v>1994.9827480668116</v>
      </c>
      <c r="W19" s="42">
        <v>509.79536408730377</v>
      </c>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26790.759246840658</v>
      </c>
      <c r="E20" s="83">
        <v>1338.1147774499941</v>
      </c>
      <c r="F20" s="82">
        <v>27038.771809022004</v>
      </c>
      <c r="G20" s="83">
        <v>1267.6876838999945</v>
      </c>
      <c r="H20" s="82">
        <v>27293.694021435018</v>
      </c>
      <c r="I20" s="83">
        <v>1197.2605903499946</v>
      </c>
      <c r="J20" s="82">
        <v>27557.03366285397</v>
      </c>
      <c r="K20" s="83">
        <v>1126.8334967999949</v>
      </c>
      <c r="L20" s="82">
        <v>27830.535327678539</v>
      </c>
      <c r="M20" s="83">
        <v>1056.4064032499953</v>
      </c>
      <c r="N20" s="82">
        <v>28116.233948002868</v>
      </c>
      <c r="O20" s="83">
        <v>985.97930969999561</v>
      </c>
      <c r="P20" s="82">
        <v>28416.481637123183</v>
      </c>
      <c r="Q20" s="83">
        <v>915.55221614999596</v>
      </c>
      <c r="R20" s="82">
        <v>28733.955572432762</v>
      </c>
      <c r="S20" s="83">
        <v>845.12512259999642</v>
      </c>
      <c r="T20" s="82">
        <v>29071.576570823345</v>
      </c>
      <c r="U20" s="83">
        <v>774.69802904999653</v>
      </c>
      <c r="V20" s="82">
        <v>29432.047190343408</v>
      </c>
      <c r="W20" s="83">
        <v>704.27093549999688</v>
      </c>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1145.7547579999964</v>
      </c>
      <c r="D21" s="82">
        <v>24892.973273816424</v>
      </c>
      <c r="E21" s="83">
        <v>1067.3839442456506</v>
      </c>
      <c r="F21" s="82">
        <v>25129.597570186412</v>
      </c>
      <c r="G21" s="83">
        <v>988.57691571013277</v>
      </c>
      <c r="H21" s="82">
        <v>25373.145881173714</v>
      </c>
      <c r="I21" s="83">
        <v>909.3054631947324</v>
      </c>
      <c r="J21" s="82">
        <v>25625.15215317101</v>
      </c>
      <c r="K21" s="83">
        <v>829.55485703817487</v>
      </c>
      <c r="L21" s="82">
        <v>25887.411240333258</v>
      </c>
      <c r="M21" s="83">
        <v>749.33476936050374</v>
      </c>
      <c r="N21" s="82">
        <v>26162.042970968458</v>
      </c>
      <c r="O21" s="83">
        <v>668.69625055503025</v>
      </c>
      <c r="P21" s="82">
        <v>26451.536266327188</v>
      </c>
      <c r="Q21" s="83">
        <v>587.75850320788902</v>
      </c>
      <c r="R21" s="82">
        <v>26758.782164664259</v>
      </c>
      <c r="S21" s="83">
        <v>506.74962522716038</v>
      </c>
      <c r="T21" s="82">
        <v>27087.031223143415</v>
      </c>
      <c r="U21" s="83">
        <v>426.06923656920884</v>
      </c>
      <c r="V21" s="82">
        <v>27439.505872565762</v>
      </c>
      <c r="W21" s="83">
        <v>346.38016776784752</v>
      </c>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6533.6044688320826</v>
      </c>
      <c r="C22" s="42">
        <v>379.90788307663479</v>
      </c>
      <c r="D22" s="41">
        <v>6594.3009535382971</v>
      </c>
      <c r="E22" s="42">
        <v>356.60337013649803</v>
      </c>
      <c r="F22" s="41">
        <v>6654.9782915994228</v>
      </c>
      <c r="G22" s="42">
        <v>333.3160165943886</v>
      </c>
      <c r="H22" s="41">
        <v>6715.6853079307402</v>
      </c>
      <c r="I22" s="42">
        <v>310.07339654157721</v>
      </c>
      <c r="J22" s="41">
        <v>6776.4455060824503</v>
      </c>
      <c r="K22" s="42">
        <v>286.90617867364938</v>
      </c>
      <c r="L22" s="41">
        <v>6837.2366908619551</v>
      </c>
      <c r="M22" s="42">
        <v>263.84823360045351</v>
      </c>
      <c r="N22" s="41">
        <v>6897.9625531730926</v>
      </c>
      <c r="O22" s="42">
        <v>240.93600992484309</v>
      </c>
      <c r="P22" s="41">
        <v>6958.3987685788325</v>
      </c>
      <c r="Q22" s="42">
        <v>218.20788983108878</v>
      </c>
      <c r="R22" s="41">
        <v>7018.1021384305295</v>
      </c>
      <c r="S22" s="42">
        <v>195.70261191777695</v>
      </c>
      <c r="T22" s="41">
        <v>7076.245740308922</v>
      </c>
      <c r="U22" s="42">
        <v>173.45733797924029</v>
      </c>
      <c r="V22" s="41">
        <v>7131.2754985986458</v>
      </c>
      <c r="W22" s="42">
        <v>151.50661216751902</v>
      </c>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3317.8846609400043</v>
      </c>
      <c r="E23" s="8">
        <v>0</v>
      </c>
      <c r="F23" s="116">
        <v>3358.4220993624285</v>
      </c>
      <c r="G23" s="8">
        <v>0</v>
      </c>
      <c r="H23" s="116">
        <v>3400.3518417577989</v>
      </c>
      <c r="I23" s="8">
        <v>0</v>
      </c>
      <c r="J23" s="116">
        <v>3443.9543532605489</v>
      </c>
      <c r="K23" s="8">
        <v>0</v>
      </c>
      <c r="L23" s="116">
        <v>3489.5614883187327</v>
      </c>
      <c r="M23" s="8">
        <v>0</v>
      </c>
      <c r="N23" s="116">
        <v>3537.5704387947394</v>
      </c>
      <c r="O23" s="8">
        <v>0</v>
      </c>
      <c r="P23" s="116">
        <v>3588.4581538621251</v>
      </c>
      <c r="Q23" s="8">
        <v>0</v>
      </c>
      <c r="R23" s="116">
        <v>3642.8002399899856</v>
      </c>
      <c r="S23" s="8">
        <v>0</v>
      </c>
      <c r="T23" s="116">
        <v>3701.2915314254083</v>
      </c>
      <c r="U23" s="8">
        <v>0</v>
      </c>
      <c r="V23" s="116">
        <v>3764.7416769033339</v>
      </c>
      <c r="W23" s="8">
        <v>0</v>
      </c>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3234.7810605276813</v>
      </c>
      <c r="E24" s="8">
        <v>0</v>
      </c>
      <c r="F24" s="97">
        <v>3274.3031488014713</v>
      </c>
      <c r="G24" s="8">
        <v>0</v>
      </c>
      <c r="H24" s="97">
        <v>3315.1826675738221</v>
      </c>
      <c r="I24" s="8">
        <v>0</v>
      </c>
      <c r="J24" s="97">
        <v>3357.6930671481919</v>
      </c>
      <c r="K24" s="8">
        <v>0</v>
      </c>
      <c r="L24" s="97">
        <v>3402.1578689289286</v>
      </c>
      <c r="M24" s="8">
        <v>0</v>
      </c>
      <c r="N24" s="97">
        <v>3448.9643330260637</v>
      </c>
      <c r="O24" s="8">
        <v>0</v>
      </c>
      <c r="P24" s="97">
        <v>3498.5774544385504</v>
      </c>
      <c r="Q24" s="8">
        <v>0</v>
      </c>
      <c r="R24" s="97">
        <v>3551.55842404963</v>
      </c>
      <c r="S24" s="8">
        <v>0</v>
      </c>
      <c r="T24" s="97">
        <v>3608.5846816578305</v>
      </c>
      <c r="U24" s="8">
        <v>0</v>
      </c>
      <c r="V24" s="97">
        <v>3670.445576973184</v>
      </c>
      <c r="W24" s="8">
        <v>0</v>
      </c>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3195.0476040000053</v>
      </c>
      <c r="C25" s="42">
        <v>91.012690000004284</v>
      </c>
      <c r="D25" s="41">
        <v>3235.6277370524967</v>
      </c>
      <c r="E25" s="42">
        <v>80.503155557208828</v>
      </c>
      <c r="F25" s="41">
        <v>3277.7116895611061</v>
      </c>
      <c r="G25" s="42">
        <v>70.397648793592893</v>
      </c>
      <c r="H25" s="41">
        <v>3321.6659391066173</v>
      </c>
      <c r="I25" s="42">
        <v>60.742345308135924</v>
      </c>
      <c r="J25" s="41">
        <v>3367.9458343727888</v>
      </c>
      <c r="K25" s="42">
        <v>51.589537628435494</v>
      </c>
      <c r="L25" s="41">
        <v>3417.1215020136101</v>
      </c>
      <c r="M25" s="42">
        <v>42.997586914000514</v>
      </c>
      <c r="N25" s="41">
        <v>3469.915663408894</v>
      </c>
      <c r="O25" s="42">
        <v>35.030334256222645</v>
      </c>
      <c r="P25" s="41">
        <v>3527.2496257664193</v>
      </c>
      <c r="Q25" s="42">
        <v>27.755703265168275</v>
      </c>
      <c r="R25" s="41">
        <v>3590.3029675214357</v>
      </c>
      <c r="S25" s="42">
        <v>21.243066099130026</v>
      </c>
      <c r="T25" s="41">
        <v>3660.5820365038044</v>
      </c>
      <c r="U25" s="42">
        <v>15.559067494017183</v>
      </c>
      <c r="V25" s="41">
        <v>3739.9676098017417</v>
      </c>
      <c r="W25" s="42">
        <v>10.761217601479498</v>
      </c>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5129.6014505991543</v>
      </c>
      <c r="E26" s="34">
        <v>70.100878970682189</v>
      </c>
      <c r="F26" s="33">
        <v>5232.4507281066499</v>
      </c>
      <c r="G26" s="34">
        <v>65.301548818694869</v>
      </c>
      <c r="H26" s="33">
        <v>5347.8511207413421</v>
      </c>
      <c r="I26" s="34">
        <v>60.50683106278116</v>
      </c>
      <c r="J26" s="33">
        <v>5480.2246313852011</v>
      </c>
      <c r="K26" s="34">
        <v>55.717146010513787</v>
      </c>
      <c r="L26" s="33">
        <v>5636.4142113540793</v>
      </c>
      <c r="M26" s="34">
        <v>50.935090692291894</v>
      </c>
      <c r="N26" s="33">
        <v>5827.7683560642472</v>
      </c>
      <c r="O26" s="34">
        <v>46.168190353722991</v>
      </c>
      <c r="P26" s="33">
        <v>6075.0008934642101</v>
      </c>
      <c r="Q26" s="34">
        <v>41.435416828159887</v>
      </c>
      <c r="R26" s="33">
        <v>6421.8468910392694</v>
      </c>
      <c r="S26" s="34">
        <v>36.78530850185043</v>
      </c>
      <c r="T26" s="33">
        <v>6987.0221273349189</v>
      </c>
      <c r="U26" s="34">
        <v>32.363835042535065</v>
      </c>
      <c r="V26" s="33">
        <v>8355.160601234511</v>
      </c>
      <c r="W26" s="34">
        <v>28.92059174836622</v>
      </c>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6444.675501265855</v>
      </c>
      <c r="E27" s="36">
        <v>253.75161361409218</v>
      </c>
      <c r="F27" s="35">
        <v>6464.0312694702507</v>
      </c>
      <c r="G27" s="36">
        <v>234.39549438737612</v>
      </c>
      <c r="H27" s="35">
        <v>6483.2778840729643</v>
      </c>
      <c r="I27" s="36">
        <v>215.14868270787113</v>
      </c>
      <c r="J27" s="35">
        <v>6502.4280325364198</v>
      </c>
      <c r="K27" s="36">
        <v>195.99910962505066</v>
      </c>
      <c r="L27" s="35">
        <v>6521.4915095411861</v>
      </c>
      <c r="M27" s="36">
        <v>176.93581030283389</v>
      </c>
      <c r="N27" s="35">
        <v>6540.4759276596978</v>
      </c>
      <c r="O27" s="36">
        <v>157.95123663824558</v>
      </c>
      <c r="P27" s="35">
        <v>6559.3817773092078</v>
      </c>
      <c r="Q27" s="36">
        <v>139.04540262769913</v>
      </c>
      <c r="R27" s="35">
        <v>6578.1939923157825</v>
      </c>
      <c r="S27" s="36">
        <v>120.23319916921764</v>
      </c>
      <c r="T27" s="35">
        <v>6596.8709325018017</v>
      </c>
      <c r="U27" s="36">
        <v>101.55692584408318</v>
      </c>
      <c r="V27" s="35">
        <v>6615.3214086003009</v>
      </c>
      <c r="W27" s="36">
        <v>83.10590548924668</v>
      </c>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13763.097676000001</v>
      </c>
      <c r="C28" s="42">
        <v>382.36647900000003</v>
      </c>
      <c r="D28" s="41">
        <v>13915.805113010692</v>
      </c>
      <c r="E28" s="42">
        <v>355.86076071412253</v>
      </c>
      <c r="F28" s="41">
        <v>14075.603003878656</v>
      </c>
      <c r="G28" s="42">
        <v>329.42716385896409</v>
      </c>
      <c r="H28" s="41">
        <v>14244.242068764555</v>
      </c>
      <c r="I28" s="42">
        <v>303.05049597891662</v>
      </c>
      <c r="J28" s="41">
        <v>14423.953557519068</v>
      </c>
      <c r="K28" s="42">
        <v>276.71438537635993</v>
      </c>
      <c r="L28" s="41">
        <v>14617.631601384059</v>
      </c>
      <c r="M28" s="42">
        <v>250.40259260405071</v>
      </c>
      <c r="N28" s="41">
        <v>14829.126776456274</v>
      </c>
      <c r="O28" s="42">
        <v>224.10200636307979</v>
      </c>
      <c r="P28" s="41">
        <v>15063.694557178667</v>
      </c>
      <c r="Q28" s="42">
        <v>197.80818253158122</v>
      </c>
      <c r="R28" s="41">
        <v>15328.747845774746</v>
      </c>
      <c r="S28" s="42">
        <v>171.5352737729969</v>
      </c>
      <c r="T28" s="41">
        <v>15635.174253092937</v>
      </c>
      <c r="U28" s="42">
        <v>145.33305571284237</v>
      </c>
      <c r="V28" s="41">
        <v>15999.730978400596</v>
      </c>
      <c r="W28" s="42">
        <v>119.312004508637</v>
      </c>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14502.128160074124</v>
      </c>
      <c r="E29" s="36">
        <v>755.41735853194041</v>
      </c>
      <c r="F29" s="35">
        <v>14645.116707049714</v>
      </c>
      <c r="G29" s="36">
        <v>694.05195718829793</v>
      </c>
      <c r="H29" s="35">
        <v>14792.588290972933</v>
      </c>
      <c r="I29" s="36">
        <v>633.19390814392921</v>
      </c>
      <c r="J29" s="35">
        <v>14945.555157261993</v>
      </c>
      <c r="K29" s="36">
        <v>572.87612117735409</v>
      </c>
      <c r="L29" s="35">
        <v>15105.219421079875</v>
      </c>
      <c r="M29" s="36">
        <v>513.1458979915468</v>
      </c>
      <c r="N29" s="35">
        <v>15273.024547978777</v>
      </c>
      <c r="O29" s="36">
        <v>454.07354634569543</v>
      </c>
      <c r="P29" s="35">
        <v>15450.700292903328</v>
      </c>
      <c r="Q29" s="36">
        <v>395.76626644498572</v>
      </c>
      <c r="R29" s="35">
        <v>15640.308959246231</v>
      </c>
      <c r="S29" s="36">
        <v>338.39036919022749</v>
      </c>
      <c r="T29" s="35">
        <v>15844.257129572063</v>
      </c>
      <c r="U29" s="36">
        <v>282.20680692546864</v>
      </c>
      <c r="V29" s="35">
        <v>16065.119239686641</v>
      </c>
      <c r="W29" s="36">
        <v>227.62458056395948</v>
      </c>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2947579.5953620933</v>
      </c>
      <c r="F30" s="119">
        <v>2970362.9966557845</v>
      </c>
      <c r="H30" s="119">
        <v>2993152.8244350026</v>
      </c>
      <c r="J30" s="119">
        <v>3015887.9449508958</v>
      </c>
      <c r="L30" s="119">
        <v>3038455.7501029689</v>
      </c>
      <c r="N30" s="119">
        <v>3060666.7173554683</v>
      </c>
      <c r="P30" s="119">
        <v>3082214.1216399996</v>
      </c>
      <c r="R30" s="119">
        <v>3102611.692953879</v>
      </c>
      <c r="T30" s="119">
        <v>3121092.0620629853</v>
      </c>
      <c r="V30" s="119">
        <v>3136415.2415680652</v>
      </c>
      <c r="X30" s="119"/>
      <c r="Z30" s="119"/>
      <c r="AB30" s="119"/>
      <c r="AD30" s="119"/>
      <c r="AF30" s="119"/>
      <c r="AH30" s="119"/>
      <c r="AJ30" s="119"/>
      <c r="AL30" s="119"/>
      <c r="AN30" s="119"/>
      <c r="AP30" s="119"/>
      <c r="AR30" s="119"/>
      <c r="AT30" s="119"/>
      <c r="AV30" s="119"/>
    </row>
    <row r="31" spans="1:49" x14ac:dyDescent="0.2">
      <c r="A31" t="s">
        <v>47</v>
      </c>
      <c r="B31" s="80">
        <v>1.0000000000000013</v>
      </c>
      <c r="D31" s="80">
        <v>1.0052197694747844</v>
      </c>
      <c r="F31" s="80">
        <v>1.0099380218966836</v>
      </c>
      <c r="H31" s="80">
        <v>1.0140773656668653</v>
      </c>
      <c r="J31" s="80">
        <v>1.0175361208923994</v>
      </c>
      <c r="L31" s="80">
        <v>1.0201788026762575</v>
      </c>
      <c r="N31" s="80">
        <v>1.0218225381459374</v>
      </c>
      <c r="P31" s="80">
        <v>1.0222155797930879</v>
      </c>
      <c r="R31" s="80">
        <v>1.0210034708544975</v>
      </c>
      <c r="T31" s="80">
        <v>1.0176732709979048</v>
      </c>
      <c r="V31" s="80">
        <v>1.0114543952710853</v>
      </c>
      <c r="X31" s="80"/>
      <c r="Z31" s="80"/>
      <c r="AB31" s="80"/>
      <c r="AD31" s="80"/>
      <c r="AF31" s="80"/>
      <c r="AH31" s="80"/>
      <c r="AJ31" s="80"/>
      <c r="AL31" s="80"/>
      <c r="AN31" s="80"/>
      <c r="AP31" s="80"/>
      <c r="AR31" s="80"/>
      <c r="AT31" s="80"/>
      <c r="AV31" s="80"/>
    </row>
    <row r="32" spans="1:49" x14ac:dyDescent="0.2">
      <c r="A32" t="s">
        <v>64</v>
      </c>
      <c r="B32" s="86">
        <v>14734457.915000005</v>
      </c>
      <c r="D32" s="86">
        <v>14866299.186444579</v>
      </c>
      <c r="F32" s="86">
        <v>15000097.212569509</v>
      </c>
      <c r="H32" s="86">
        <v>15136112.207142957</v>
      </c>
      <c r="J32" s="86">
        <v>15274557.591703853</v>
      </c>
      <c r="L32" s="86">
        <v>15415558.409837648</v>
      </c>
      <c r="N32" s="86">
        <v>15559103.46206139</v>
      </c>
      <c r="P32" s="86">
        <v>15704963.119046612</v>
      </c>
      <c r="R32" s="86">
        <v>15852578.4406405</v>
      </c>
      <c r="T32" s="86">
        <v>16000903.107011463</v>
      </c>
      <c r="V32" s="86">
        <v>16148069.64500588</v>
      </c>
      <c r="X32" s="86"/>
      <c r="Z32" s="86"/>
      <c r="AB32" s="86"/>
      <c r="AD32" s="86"/>
      <c r="AF32" s="86"/>
      <c r="AH32" s="86"/>
      <c r="AJ32" s="86"/>
      <c r="AL32" s="86"/>
      <c r="AN32" s="86"/>
      <c r="AP32" s="86"/>
      <c r="AR32" s="86"/>
      <c r="AT32" s="86"/>
      <c r="AV32" s="86"/>
    </row>
    <row r="33" spans="1:49 16319:16321" x14ac:dyDescent="0.2">
      <c r="A33" t="s">
        <v>54</v>
      </c>
      <c r="B33" s="117">
        <v>7019665.6910000062</v>
      </c>
      <c r="D33" s="117">
        <v>7082476.4310260545</v>
      </c>
      <c r="F33" s="117">
        <v>7146219.4127870165</v>
      </c>
      <c r="H33" s="117">
        <v>7211018.5477587897</v>
      </c>
      <c r="J33" s="117">
        <v>7276975.4388025897</v>
      </c>
      <c r="L33" s="117">
        <v>7344149.8233238515</v>
      </c>
      <c r="N33" s="117">
        <v>7412536.3563082665</v>
      </c>
      <c r="P33" s="117">
        <v>7482025.5725280978</v>
      </c>
      <c r="R33" s="117">
        <v>7552351.206588259</v>
      </c>
      <c r="T33" s="117">
        <v>7623014.7871474829</v>
      </c>
      <c r="V33" s="117">
        <v>7693126.6238207165</v>
      </c>
      <c r="X33" s="117"/>
      <c r="Z33" s="117"/>
      <c r="AB33" s="117"/>
      <c r="AD33" s="117"/>
      <c r="AF33" s="117"/>
      <c r="AH33" s="117"/>
      <c r="AJ33" s="117"/>
      <c r="AL33" s="117"/>
      <c r="AN33" s="117"/>
      <c r="AP33" s="117"/>
      <c r="AR33" s="117"/>
      <c r="AT33" s="117"/>
      <c r="AV33" s="117"/>
    </row>
    <row r="34" spans="1:49 16319:16321" x14ac:dyDescent="0.2">
      <c r="A34" t="s">
        <v>75</v>
      </c>
      <c r="B34" s="117">
        <v>1136879.4409999985</v>
      </c>
      <c r="D34" s="117">
        <v>1147051.9964610105</v>
      </c>
      <c r="F34" s="117">
        <v>1157375.5110152685</v>
      </c>
      <c r="H34" s="117">
        <v>1167870.1184629502</v>
      </c>
      <c r="J34" s="117">
        <v>1178552.3495228617</v>
      </c>
      <c r="L34" s="117">
        <v>1189431.7082086578</v>
      </c>
      <c r="N34" s="117">
        <v>1200507.3230246573</v>
      </c>
      <c r="P34" s="117">
        <v>1211761.5513688638</v>
      </c>
      <c r="R34" s="117">
        <v>1223151.2447349075</v>
      </c>
      <c r="T34" s="117">
        <v>1234595.6548309359</v>
      </c>
      <c r="V34" s="117">
        <v>1245950.7152491058</v>
      </c>
      <c r="X34" s="117"/>
      <c r="Z34" s="117"/>
      <c r="AB34" s="117"/>
      <c r="AD34" s="117"/>
      <c r="AF34" s="117"/>
      <c r="AH34" s="117"/>
      <c r="AJ34" s="117"/>
      <c r="AL34" s="117"/>
      <c r="AN34" s="117"/>
      <c r="AP34" s="117"/>
      <c r="AR34" s="117"/>
      <c r="AT34" s="117"/>
      <c r="AV34" s="117"/>
    </row>
    <row r="35" spans="1:49 16319:16321" x14ac:dyDescent="0.2">
      <c r="A35" t="s">
        <v>78</v>
      </c>
      <c r="B35" s="233">
        <v>1</v>
      </c>
      <c r="D35" s="233">
        <v>1.0037153325904193</v>
      </c>
      <c r="F35" s="233">
        <v>1.0080700127328892</v>
      </c>
      <c r="H35" s="233">
        <v>1.0132234359831012</v>
      </c>
      <c r="J35" s="233">
        <v>1.0193911054252749</v>
      </c>
      <c r="L35" s="233">
        <v>1.0268700171737888</v>
      </c>
      <c r="N35" s="233">
        <v>1.0360788419425091</v>
      </c>
      <c r="P35" s="233">
        <v>1.0476230984822679</v>
      </c>
      <c r="R35" s="233">
        <v>1.0624053258065427</v>
      </c>
      <c r="T35" s="233">
        <v>1.0818187297135013</v>
      </c>
      <c r="V35" s="233">
        <v>1.1080997143761626</v>
      </c>
      <c r="X35" s="233"/>
      <c r="Z35" s="233"/>
      <c r="AB35" s="233"/>
      <c r="AD35" s="233"/>
      <c r="AF35" s="233"/>
      <c r="AH35" s="233"/>
      <c r="AJ35" s="233"/>
      <c r="AL35" s="233"/>
      <c r="AN35" s="233"/>
      <c r="AP35" s="233"/>
      <c r="AR35" s="233"/>
      <c r="AT35" s="233"/>
      <c r="AV35" s="233"/>
    </row>
    <row r="36" spans="1:49 16319:16321" x14ac:dyDescent="0.2">
      <c r="A36" t="s">
        <v>21</v>
      </c>
      <c r="B36" s="37">
        <v>0.4719576767198812</v>
      </c>
      <c r="C36" s="38">
        <v>0.31738834428178975</v>
      </c>
      <c r="D36" s="37">
        <v>0.47198139269014633</v>
      </c>
      <c r="E36" s="38">
        <v>0.32022064028959668</v>
      </c>
      <c r="F36" s="37">
        <v>0.47200668166287324</v>
      </c>
      <c r="G36" s="38">
        <v>0.32339948922304529</v>
      </c>
      <c r="H36" s="37">
        <v>0.47203397583965379</v>
      </c>
      <c r="I36" s="38">
        <v>0.32699030068680712</v>
      </c>
      <c r="J36" s="37">
        <v>0.47206384170171711</v>
      </c>
      <c r="K36" s="38">
        <v>0.33107440620483558</v>
      </c>
      <c r="L36" s="37">
        <v>0.47209703051143365</v>
      </c>
      <c r="M36" s="38">
        <v>0.33575402772133534</v>
      </c>
      <c r="N36" s="37">
        <v>0.47213454778730085</v>
      </c>
      <c r="O36" s="38">
        <v>0.34115946719282175</v>
      </c>
      <c r="P36" s="37">
        <v>0.47217775569946308</v>
      </c>
      <c r="Q36" s="38">
        <v>0.34745957272188388</v>
      </c>
      <c r="R36" s="37">
        <v>0.4722285139825696</v>
      </c>
      <c r="S36" s="38">
        <v>0.35487791159040188</v>
      </c>
      <c r="T36" s="37">
        <v>0.47228938219305261</v>
      </c>
      <c r="U36" s="38">
        <v>0.3637188526219392</v>
      </c>
      <c r="V36" s="37">
        <v>0.47236391084254725</v>
      </c>
      <c r="W36" s="38">
        <v>0.37441298315183347</v>
      </c>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0.3496246130199252</v>
      </c>
      <c r="D37" s="39">
        <v>2.0766351196095004E-2</v>
      </c>
      <c r="E37" s="40">
        <v>0.34615613918312377</v>
      </c>
      <c r="F37" s="39">
        <v>2.0113732016162768E-2</v>
      </c>
      <c r="G37" s="40">
        <v>0.34265225369256241</v>
      </c>
      <c r="H37" s="39">
        <v>1.9443787091669863E-2</v>
      </c>
      <c r="I37" s="40">
        <v>0.33911806662277749</v>
      </c>
      <c r="J37" s="39">
        <v>1.8754756514318047E-2</v>
      </c>
      <c r="K37" s="40">
        <v>0.33556068420045154</v>
      </c>
      <c r="L37" s="39">
        <v>1.8044643719237263E-2</v>
      </c>
      <c r="M37" s="40">
        <v>0.3319896068464504</v>
      </c>
      <c r="N37" s="39">
        <v>1.7311120571009544E-2</v>
      </c>
      <c r="O37" s="40">
        <v>0.3284170640003829</v>
      </c>
      <c r="P37" s="39">
        <v>1.6551402427818461E-2</v>
      </c>
      <c r="Q37" s="40">
        <v>0.32485845322892654</v>
      </c>
      <c r="R37" s="39">
        <v>1.5762037151331849E-2</v>
      </c>
      <c r="S37" s="40">
        <v>0.32133279391167024</v>
      </c>
      <c r="T37" s="39">
        <v>1.4938586436895312E-2</v>
      </c>
      <c r="U37" s="40">
        <v>0.31786357535447102</v>
      </c>
      <c r="V37" s="39">
        <v>1.4075204494386317E-2</v>
      </c>
      <c r="W37" s="40">
        <v>0.31448201307103685</v>
      </c>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0.18236238048492273</v>
      </c>
      <c r="E38" s="38">
        <v>6.1064187931442783E-2</v>
      </c>
      <c r="F38" s="37">
        <v>0.18419339198155285</v>
      </c>
      <c r="G38" s="38">
        <v>6.1642246380941283E-2</v>
      </c>
      <c r="H38" s="37">
        <v>0.18636893832085449</v>
      </c>
      <c r="I38" s="38">
        <v>6.232062967430603E-2</v>
      </c>
      <c r="J38" s="37">
        <v>0.18901626060535504</v>
      </c>
      <c r="K38" s="38">
        <v>6.3129017199167567E-2</v>
      </c>
      <c r="L38" s="37">
        <v>0.19233590023362737</v>
      </c>
      <c r="M38" s="38">
        <v>6.4111280413812546E-2</v>
      </c>
      <c r="N38" s="37">
        <v>0.19666617327301625</v>
      </c>
      <c r="O38" s="38">
        <v>6.5336560786792938E-2</v>
      </c>
      <c r="P38" s="37">
        <v>0.20263465013474946</v>
      </c>
      <c r="Q38" s="38">
        <v>6.6924390338231693E-2</v>
      </c>
      <c r="R38" s="37">
        <v>0.21158594727252947</v>
      </c>
      <c r="S38" s="38">
        <v>6.9113076602397142E-2</v>
      </c>
      <c r="T38" s="37">
        <v>0.22721683354054173</v>
      </c>
      <c r="U38" s="38">
        <v>7.2510880243207718E-2</v>
      </c>
      <c r="V38" s="37">
        <v>0.26793383905622975</v>
      </c>
      <c r="W38" s="38">
        <v>7.9887423365325089E-2</v>
      </c>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0.22911455737490657</v>
      </c>
      <c r="E39" s="40">
        <v>0.22104054113384519</v>
      </c>
      <c r="F39" s="39">
        <v>0.22754764588664861</v>
      </c>
      <c r="G39" s="40">
        <v>0.22126067569583802</v>
      </c>
      <c r="H39" s="39">
        <v>0.22593778114119548</v>
      </c>
      <c r="I39" s="40">
        <v>0.2215981426302068</v>
      </c>
      <c r="J39" s="39">
        <v>0.22427267388395486</v>
      </c>
      <c r="K39" s="40">
        <v>0.22207223536192133</v>
      </c>
      <c r="L39" s="39">
        <v>0.22253810549033928</v>
      </c>
      <c r="M39" s="40">
        <v>0.2227066094394286</v>
      </c>
      <c r="N39" s="39">
        <v>0.22071748454768769</v>
      </c>
      <c r="O39" s="40">
        <v>0.2235303245567139</v>
      </c>
      <c r="P39" s="39">
        <v>0.21879141334370455</v>
      </c>
      <c r="Q39" s="40">
        <v>0.22457910436341025</v>
      </c>
      <c r="R39" s="39">
        <v>0.21673724565883398</v>
      </c>
      <c r="S39" s="40">
        <v>0.2258968768446078</v>
      </c>
      <c r="T39" s="39">
        <v>0.21452917956200002</v>
      </c>
      <c r="U39" s="40">
        <v>0.22753737553260686</v>
      </c>
      <c r="V39" s="39">
        <v>0.21214056152735764</v>
      </c>
      <c r="W39" s="40">
        <v>0.22956365186937092</v>
      </c>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9.2554802121522534E-2</v>
      </c>
      <c r="E42" s="135"/>
      <c r="F42" s="177">
        <f>10.8%+(1-10.8%)*(1-SUM(F26:G26)/SUM($B$26:$C$26))</f>
        <v>7.5443254528882925E-2</v>
      </c>
      <c r="G42" s="135"/>
      <c r="H42" s="177">
        <f>10.8%+(1-10.8%)*(1-SUM(H26:I26)/SUM($B$26:$C$26))</f>
        <v>5.6140497916052128E-2</v>
      </c>
      <c r="I42" s="135"/>
      <c r="J42" s="177">
        <f>10.8%+(1-10.8%)*(1-SUM(J26:K26)/SUM($B$26:$C$26))</f>
        <v>3.3874736816294479E-2</v>
      </c>
      <c r="K42" s="135"/>
      <c r="L42" s="177">
        <f>10.8%+(1-10.8%)*(1-SUM(L26:M26)/SUM($B$26:$C$26))</f>
        <v>7.4512951539576905E-3</v>
      </c>
      <c r="M42" s="135"/>
      <c r="N42" s="177">
        <f>10.8%+(1-10.8%)*(1-SUM(N26:O26)/SUM($B$26:$C$26))</f>
        <v>-2.5111664830790609E-2</v>
      </c>
      <c r="O42" s="135"/>
      <c r="P42" s="177">
        <f>10.8%+(1-10.8%)*(1-SUM(P26:Q26)/SUM($B$26:$C$26))</f>
        <v>-6.7432404032162163E-2</v>
      </c>
      <c r="Q42" s="135"/>
      <c r="R42" s="177">
        <f>10.8%+(1-10.8%)*(1-SUM(R26:S26)/SUM($B$26:$C$26))</f>
        <v>-0.12715197964452662</v>
      </c>
      <c r="S42" s="135"/>
      <c r="T42" s="177">
        <f>10.8%+(1-10.8%)*(1-SUM(T26:U26)/SUM($B$26:$C$26))</f>
        <v>-0.22501398731838027</v>
      </c>
      <c r="U42" s="135"/>
      <c r="V42" s="177">
        <f>10.8%+(1-10.8%)*(1-SUM(V26:W26)/SUM($B$26:$C$26))</f>
        <v>-0.46317880043432713</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0.58794434838116505</v>
      </c>
      <c r="E43" s="135"/>
      <c r="F43" s="162">
        <f t="array" ref="F43">SUM(F15:G15*F27:G27)/SUM(F15:G15*F27:G27,F13:G13*F26:G26)</f>
        <v>0.61043596589907523</v>
      </c>
      <c r="G43" s="135"/>
      <c r="H43" s="162">
        <f t="array" ref="H43">SUM(H15:I15*H27:I27)/SUM(H15:I15*H27:I27,H13:I13*H26:I26)</f>
        <v>0.63508523045338994</v>
      </c>
      <c r="I43" s="135"/>
      <c r="J43" s="162">
        <f t="array" ref="J43">SUM(J15:K15*J27:K27)/SUM(J15:K15*J27:K27,J13:K13*J26:K26)</f>
        <v>0.66242625421563628</v>
      </c>
      <c r="K43" s="135"/>
      <c r="L43" s="162">
        <f t="array" ref="L43">SUM(L15:M15*L27:M27)/SUM(L15:M15*L27:M27,L13:M13*L26:M26)</f>
        <v>0.6931682488371359</v>
      </c>
      <c r="M43" s="135"/>
      <c r="N43" s="162">
        <f t="array" ref="N43">SUM(N15:O15*N27:O27)/SUM(N15:O15*N27:O27,N13:O13*N26:O26)</f>
        <v>0.72827478177537996</v>
      </c>
      <c r="O43" s="135"/>
      <c r="P43" s="162">
        <f t="array" ref="P43">SUM(P15:Q15*P27:Q27)/SUM(P15:Q15*P27:Q27,P13:Q13*P26:Q26)</f>
        <v>0.76908936262369709</v>
      </c>
      <c r="Q43" s="135"/>
      <c r="R43" s="162">
        <f t="array" ref="R43">SUM(R15:S15*R27:S27)/SUM(R15:S15*R27:S27,R13:S13*R26:S26)</f>
        <v>0.81754517501923774</v>
      </c>
      <c r="S43" s="135"/>
      <c r="T43" s="162">
        <f t="array" ref="T43">SUM(T15:U15*T27:U27)/SUM(T15:U15*T27:U27,T13:U13*T26:U26)</f>
        <v>0.87652950806433017</v>
      </c>
      <c r="U43" s="135"/>
      <c r="V43" s="162">
        <f t="array" ref="V43">SUM(V15:W15*V27:W27)/SUM(V15:W15*V27:W27,V13:W13*V26:W26)</f>
        <v>0.95053952103680517</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0.29754225936989359</v>
      </c>
      <c r="F44" s="193">
        <f>(SUM(F11:G11*F24:G24)+F34)/F32</f>
        <v>0.29754225546243701</v>
      </c>
      <c r="H44" s="193">
        <f>(SUM(H11:I11*H24:I24)+H34)/H32</f>
        <v>0.29754225401242146</v>
      </c>
      <c r="J44" s="193">
        <f>(SUM(J11:K11*J24:K24)+J34)/J32</f>
        <v>0.29754225977479964</v>
      </c>
      <c r="L44" s="193">
        <f>(SUM(L11:M11*L24:M24)+L34)/L32</f>
        <v>0.29754226183604737</v>
      </c>
      <c r="N44" s="193">
        <f>(SUM(N11:O11*N24:O24)+N34)/N32</f>
        <v>0.29754226090322516</v>
      </c>
      <c r="P44" s="193">
        <f>(SUM(P11:Q11*P24:Q24)+P34)/P32</f>
        <v>0.29754226133562733</v>
      </c>
      <c r="R44" s="193">
        <f>(SUM(R11:S11*R24:S24)+R34)/R32</f>
        <v>0.29754226182495092</v>
      </c>
      <c r="T44" s="193">
        <f>(SUM(T11:U11*T24:U24)+T34)/T32</f>
        <v>0.29754226190112476</v>
      </c>
      <c r="V44" s="193">
        <f>(SUM(V11:W11*V24:W24)+V34)/V32</f>
        <v>0.29754226186258415</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0.22038438826321502</v>
      </c>
      <c r="F45" s="193">
        <f>SUM(F11:G11*F24:G24)/F32</f>
        <v>0.22038438810905531</v>
      </c>
      <c r="H45" s="193">
        <f>SUM(H11:I11*H24:I24)/H32</f>
        <v>0.22038438794481821</v>
      </c>
      <c r="J45" s="193">
        <f>SUM(J11:K11*J24:K24)/J32</f>
        <v>0.22038438842911992</v>
      </c>
      <c r="L45" s="193">
        <f>SUM(L11:M11*L24:M24)/L32</f>
        <v>0.22038438817448702</v>
      </c>
      <c r="N45" s="193">
        <f>SUM(N11:O11*N24:O24)/N32</f>
        <v>0.22038438828209889</v>
      </c>
      <c r="P45" s="193">
        <f>SUM(P11:Q11*P24:Q24)/P32</f>
        <v>0.22038438823630957</v>
      </c>
      <c r="R45" s="193">
        <f>SUM(R11:S11*R24:S24)/R32</f>
        <v>0.22038438815064865</v>
      </c>
      <c r="T45" s="193">
        <f>SUM(T11:U11*T24:U24)/T32</f>
        <v>0.22038438858771497</v>
      </c>
      <c r="V45" s="193">
        <f>SUM(V11:W11*V24:W24)/V32</f>
        <v>0.22038438834335256</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7.7157871106678516E-2</v>
      </c>
      <c r="F46" s="193">
        <f>F34/F32</f>
        <v>7.715786735338169E-2</v>
      </c>
      <c r="H46" s="193">
        <f>H34/H32</f>
        <v>7.7157866067603206E-2</v>
      </c>
      <c r="J46" s="193">
        <f>J34/J32</f>
        <v>7.7157871345679738E-2</v>
      </c>
      <c r="L46" s="193">
        <f>L34/L32</f>
        <v>7.7157873661560378E-2</v>
      </c>
      <c r="N46" s="193">
        <f>N34/N32</f>
        <v>7.7157872621126264E-2</v>
      </c>
      <c r="P46" s="193">
        <f>P34/P32</f>
        <v>7.7157873099317736E-2</v>
      </c>
      <c r="R46" s="193">
        <f>R34/R32</f>
        <v>7.7157873674302282E-2</v>
      </c>
      <c r="T46" s="193">
        <f>T34/T32</f>
        <v>7.7157873313409814E-2</v>
      </c>
      <c r="V46" s="193">
        <f>V34/V32</f>
        <v>7.7157873519231535E-2</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1.0120124539184383</v>
      </c>
      <c r="E48" s="191"/>
      <c r="F48" s="191">
        <f>F24/$B$24</f>
        <v>1.0243770760642767</v>
      </c>
      <c r="G48" s="191"/>
      <c r="H48" s="191">
        <f>H24/$B$24</f>
        <v>1.0371663750411486</v>
      </c>
      <c r="I48" s="191"/>
      <c r="J48" s="191">
        <f>J24/$B$24</f>
        <v>1.0504659007232031</v>
      </c>
      <c r="K48" s="191"/>
      <c r="L48" s="191">
        <f>L24/$B$24</f>
        <v>1.0643768679018535</v>
      </c>
      <c r="M48" s="191"/>
      <c r="N48" s="191">
        <f>N24/$B$24</f>
        <v>1.0790204322432559</v>
      </c>
      <c r="O48" s="191"/>
      <c r="P48" s="191">
        <f>P24/$B$24</f>
        <v>1.0945420690426917</v>
      </c>
      <c r="Q48" s="191"/>
      <c r="R48" s="191">
        <f>R24/$B$24</f>
        <v>1.111117348810881</v>
      </c>
      <c r="S48" s="191"/>
      <c r="T48" s="191">
        <f>T24/$B$24</f>
        <v>1.1289582109341574</v>
      </c>
      <c r="U48" s="191"/>
      <c r="V48" s="191">
        <f>V24/$B$24</f>
        <v>1.148311606202111</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0.94101476724049982</v>
      </c>
      <c r="E49" s="191"/>
      <c r="F49" s="191">
        <f>F13/F35/$B$13*$B$35</f>
        <v>0.87751095842818616</v>
      </c>
      <c r="G49" s="191"/>
      <c r="H49" s="191">
        <f>H13/H35/$B$13*$B$35</f>
        <v>0.80862159503562547</v>
      </c>
      <c r="I49" s="191"/>
      <c r="J49" s="191">
        <f>J13/J35/$B$13*$B$35</f>
        <v>0.73329656967987789</v>
      </c>
      <c r="K49" s="191"/>
      <c r="L49" s="191">
        <f>L13/L35/$B$13*$B$35</f>
        <v>0.65027029469977549</v>
      </c>
      <c r="M49" s="191"/>
      <c r="N49" s="191">
        <f>N13/N35/$B$13*$B$35</f>
        <v>0.55803776294120799</v>
      </c>
      <c r="O49" s="191"/>
      <c r="P49" s="191">
        <f>P13/P35/$B$13*$B$35</f>
        <v>0.45487740381356312</v>
      </c>
      <c r="Q49" s="191"/>
      <c r="R49" s="191">
        <f>R13/R35/$B$13*$B$35</f>
        <v>0.33902647127529734</v>
      </c>
      <c r="S49" s="191"/>
      <c r="T49" s="191">
        <f>T13/T35/$B$13*$B$35</f>
        <v>0.20942043763617041</v>
      </c>
      <c r="U49" s="191"/>
      <c r="V49" s="191">
        <f>V13/V35/$B$13*$B$35</f>
        <v>6.9271807590885484E-2</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-412890.91165290074</v>
      </c>
      <c r="F51" s="29">
        <f>F30-F10*F23</f>
        <v>-420352.04634296149</v>
      </c>
      <c r="H51" s="29">
        <f>H30-H10*H23</f>
        <v>-428307.89185092226</v>
      </c>
      <c r="J51" s="29">
        <f>J30-J10*J23</f>
        <v>-436867.82505448163</v>
      </c>
      <c r="L51" s="29">
        <f>L30-L10*L23</f>
        <v>-446172.71968203178</v>
      </c>
      <c r="N51" s="29">
        <f>N30-N10*N23</f>
        <v>-456409.5666687116</v>
      </c>
      <c r="P51" s="29">
        <f>P30-P10*P23</f>
        <v>-467833.18424475845</v>
      </c>
      <c r="R51" s="29">
        <f>R30-R10*R23</f>
        <v>-480803.49611273455</v>
      </c>
      <c r="T51" s="29">
        <f>T30-T10*T23</f>
        <v>-495851.35488006892</v>
      </c>
      <c r="V51" s="29">
        <f>V30-V10*V23</f>
        <v>-513794.61272751307</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1969051.3010106303</v>
      </c>
      <c r="F52" s="29">
        <f t="array" ref="F52">Calibration!sL*SUM(F13:G13*F26:G26)</f>
        <v>1878912.0140014156</v>
      </c>
      <c r="H52" s="29">
        <f t="array" ref="H52">Calibration!sL*SUM(H13:I13*H26:I26)</f>
        <v>1776591.3430682472</v>
      </c>
      <c r="J52" s="29">
        <f t="array" ref="J52">Calibration!sL*SUM(J13:K13*J26:K26)</f>
        <v>1659142.0071105934</v>
      </c>
      <c r="L52" s="29">
        <f t="array" ref="L52">Calibration!sL*SUM(L13:M13*L26:M26)</f>
        <v>1522617.5909546735</v>
      </c>
      <c r="N52" s="29">
        <f t="array" ref="N52">Calibration!sL*SUM(N13:O13*N26:O26)</f>
        <v>1361623.9969014914</v>
      </c>
      <c r="P52" s="29">
        <f t="array" ref="P52">Calibration!sL*SUM(P13:Q13*P26:Q26)</f>
        <v>1168609.5708990092</v>
      </c>
      <c r="R52" s="29">
        <f t="array" ref="R52">Calibration!sL*SUM(R13:S13*R26:S26)</f>
        <v>932687.06527824642</v>
      </c>
      <c r="T52" s="29">
        <f t="array" ref="T52">Calibration!sL*SUM(T13:U13*T26:U26)</f>
        <v>637594.01806553779</v>
      </c>
      <c r="V52" s="29">
        <f t="array" ref="V52">Calibration!sL*SUM(V13:W13*V26:W26)</f>
        <v>258025.35884463671</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2867191.9179266049</v>
      </c>
      <c r="F53" s="29">
        <f t="array" ref="F53">Calibration!sK*SUM(F15:G15*F27:G27)</f>
        <v>3004602.9556967379</v>
      </c>
      <c r="H53" s="29">
        <f t="array" ref="H53">Calibration!sK*SUM(H15:I15*H27:I27)</f>
        <v>3155349.7193709197</v>
      </c>
      <c r="J53" s="29">
        <f t="array" ref="J53">Calibration!sK*SUM(J15:K15*J27:K27)</f>
        <v>3322552.260835344</v>
      </c>
      <c r="L53" s="29">
        <f t="array" ref="L53">Calibration!sK*SUM(L15:M15*L27:M27)</f>
        <v>3510335.2335158605</v>
      </c>
      <c r="N53" s="29">
        <f t="array" ref="N53">Calibration!sK*SUM(N15:O15*N27:O27)</f>
        <v>3724276.4417357976</v>
      </c>
      <c r="P53" s="29">
        <f t="array" ref="P53">Calibration!sK*SUM(P15:Q15*P27:Q27)</f>
        <v>3972113.8788815718</v>
      </c>
      <c r="R53" s="29">
        <f t="array" ref="R53">Calibration!sK*SUM(R15:S15*R27:S27)</f>
        <v>4264928.4396020528</v>
      </c>
      <c r="T53" s="29">
        <f t="array" ref="T53">Calibration!sK*SUM(T15:U15*T27:U27)</f>
        <v>4619202.3133733142</v>
      </c>
      <c r="V53" s="29">
        <f t="array" ref="V53">Calibration!sK*SUM(V15:W15*V27:W27)</f>
        <v>5060502.4463605611</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0.1982725867679134</v>
      </c>
      <c r="F55" s="193">
        <f>F30/F32</f>
        <v>0.19802291642261716</v>
      </c>
      <c r="H55" s="193">
        <f>H30/H32</f>
        <v>0.1977491170435754</v>
      </c>
      <c r="J55" s="193">
        <f>J30/J32</f>
        <v>0.19744519124985527</v>
      </c>
      <c r="L55" s="193">
        <f>L30/L32</f>
        <v>0.19710319077147001</v>
      </c>
      <c r="N55" s="193">
        <f>N30/N32</f>
        <v>0.19671228003711516</v>
      </c>
      <c r="P55" s="193">
        <f>P30/P32</f>
        <v>0.19625732949999497</v>
      </c>
      <c r="R55" s="193">
        <f>R30/R32</f>
        <v>0.19571653309091103</v>
      </c>
      <c r="T55" s="193">
        <f>T30/T32</f>
        <v>0.1950572440311415</v>
      </c>
      <c r="V55" s="193">
        <f>V30/V32</f>
        <v>0.19422849359199201</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3.6614750611364592E-2</v>
      </c>
      <c r="F56" s="193">
        <f>(Model!$C$52*F5*F20+F2*G5*G20)/F32</f>
        <v>4.4629253397220549E-2</v>
      </c>
      <c r="H56" s="193">
        <f>(Model!$C$52*H5*H20+H2*I5*I20)/H32</f>
        <v>5.3411002963663176E-2</v>
      </c>
      <c r="J56" s="193">
        <f>(Model!$C$52*J5*J20+J2*K5*K20)/J32</f>
        <v>6.3150853196816237E-2</v>
      </c>
      <c r="L56" s="193">
        <f>(Model!$C$52*L5*L20+L2*M5*M20)/L32</f>
        <v>7.4102582708334919E-2</v>
      </c>
      <c r="N56" s="193">
        <f>(Model!$C$52*N5*N20+N2*O5*O20)/N32</f>
        <v>8.6611465965294746E-2</v>
      </c>
      <c r="P56" s="193">
        <f>(Model!$C$52*P5*P20+P2*Q5*Q20)/P32</f>
        <v>0.10115973641755567</v>
      </c>
      <c r="R56" s="193">
        <f>(Model!$C$52*R5*R20+R2*S5*S20)/R32</f>
        <v>0.11844262161198971</v>
      </c>
      <c r="T56" s="193">
        <f>(Model!$C$52*T5*T20+T2*U5*U20)/T32</f>
        <v>0.13950083044150469</v>
      </c>
      <c r="V56" s="193">
        <f>(Model!$C$52*V5*V20+V2*W5*W20)/V32</f>
        <v>0.16595991576942073</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0.1509739665659513</v>
      </c>
      <c r="F57" s="193">
        <f t="array" ref="F57">SUM(Model!tauL*F13:G13*F26:G26)/F32</f>
        <v>0.14277766420407648</v>
      </c>
      <c r="H57" s="193">
        <f t="array" ref="H57">SUM(Model!tauL*H13:I13*H26:I26)/H32</f>
        <v>0.13378921514317171</v>
      </c>
      <c r="J57" s="193">
        <f t="array" ref="J57">SUM(Model!tauL*J13:K13*J26:K26)/J32</f>
        <v>0.12381202362673109</v>
      </c>
      <c r="L57" s="193">
        <f t="array" ref="L57">SUM(Model!tauL*L13:M13*L26:M26)/L32</f>
        <v>0.11258472849696063</v>
      </c>
      <c r="N57" s="193">
        <f t="array" ref="N57">SUM(Model!tauL*N13:O13*N26:O26)/N32</f>
        <v>9.9751751732802416E-2</v>
      </c>
      <c r="P57" s="193">
        <f t="array" ref="P57">SUM(Model!tauL*P13:Q13*P26:Q26)/P32</f>
        <v>8.4816514442329488E-2</v>
      </c>
      <c r="R57" s="193">
        <f t="array" ref="R57">SUM(Model!tauL*R13:S13*R26:S26)/R32</f>
        <v>6.7063149609197875E-2</v>
      </c>
      <c r="T57" s="193">
        <f t="array" ref="T57">SUM(Model!tauL*T13:U13*T26:U26)/T32</f>
        <v>4.542005350806691E-2</v>
      </c>
      <c r="V57" s="193">
        <f t="array" ref="V57">SUM(Model!tauL*V13:W13*V26:W26)/V32</f>
        <v>1.8213343565592458E-2</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1.0683869590597528E-2</v>
      </c>
      <c r="F58" s="193">
        <f t="array" ref="F58">SUM(Model!tauY/(1+Model!tauY)*F3:G3*F18:G18)/F32</f>
        <v>1.0615998821320154E-2</v>
      </c>
      <c r="H58" s="193">
        <f t="array" ref="H58">SUM(Model!tauY/(1+Model!tauY)*H3:I3*H18:I18)/H32</f>
        <v>1.0548898936740461E-2</v>
      </c>
      <c r="J58" s="193">
        <f t="array" ref="J58">SUM(Model!tauY/(1+Model!tauY)*J3:K3*J18:K18)/J32</f>
        <v>1.0482314426307926E-2</v>
      </c>
      <c r="L58" s="193">
        <f t="array" ref="L58">SUM(Model!tauY/(1+Model!tauY)*L3:M3*L18:M18)/L32</f>
        <v>1.0415879566174463E-2</v>
      </c>
      <c r="N58" s="193">
        <f t="array" ref="N58">SUM(Model!tauY/(1+Model!tauY)*N3:O3*N18:O18)/N32</f>
        <v>1.0349062339018012E-2</v>
      </c>
      <c r="P58" s="193">
        <f t="array" ref="P58">SUM(Model!tauY/(1+Model!tauY)*P3:Q3*P18:Q18)/P32</f>
        <v>1.0281078640109777E-2</v>
      </c>
      <c r="R58" s="193">
        <f t="array" ref="R58">SUM(Model!tauY/(1+Model!tauY)*R3:S3*R18:S18)/R32</f>
        <v>1.0210761869723453E-2</v>
      </c>
      <c r="T58" s="193">
        <f t="array" ref="T58">SUM(Model!tauY/(1+Model!tauY)*T3:U3*T18:U18)/T32</f>
        <v>1.0136360081569894E-2</v>
      </c>
      <c r="V58" s="193">
        <f t="array" ref="V58">SUM(Model!tauY/(1+Model!tauY)*V3:W3*V18:W18)/V32</f>
        <v>1.005523425697883E-2</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8.0269261096116568E-3</v>
      </c>
      <c r="F59" s="193">
        <f>(F2*G5*G20)/F32</f>
        <v>1.6125040575414955E-2</v>
      </c>
      <c r="H59" s="193">
        <f>(H2*I5*I20)/H32</f>
        <v>2.4992851009459256E-2</v>
      </c>
      <c r="J59" s="193">
        <f>(J2*K5*K20)/J32</f>
        <v>3.4821774523927075E-2</v>
      </c>
      <c r="L59" s="193">
        <f>(L2*M5*M20)/L32</f>
        <v>4.5866263997010812E-2</v>
      </c>
      <c r="N59" s="193">
        <f>(N2*O5*O20)/N32</f>
        <v>5.8472416524732826E-2</v>
      </c>
      <c r="P59" s="193">
        <f>(P2*Q5*Q20)/P32</f>
        <v>7.3123495109027437E-2</v>
      </c>
      <c r="R59" s="193">
        <f>(R2*S5*S20)/R32</f>
        <v>9.0516062430812033E-2</v>
      </c>
      <c r="T59" s="193">
        <f>(T2*U5*U20)/T32</f>
        <v>0.11169264433590244</v>
      </c>
      <c r="V59" s="193">
        <f>(V2*W5*W20)/V32</f>
        <v>0.13828140880490103</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2.8587824501752936E-2</v>
      </c>
      <c r="F60" s="193">
        <f>Model!$C$52*F5*F20/F32</f>
        <v>2.850421282180559E-2</v>
      </c>
      <c r="H60" s="193">
        <f>Model!$C$52*H5*H20/H32</f>
        <v>2.8418151954203923E-2</v>
      </c>
      <c r="J60" s="193">
        <f>Model!$C$52*J5*J20/J32</f>
        <v>2.8329078672889165E-2</v>
      </c>
      <c r="L60" s="193">
        <f>Model!$C$52*L5*L20/L32</f>
        <v>2.8236318711324114E-2</v>
      </c>
      <c r="N60" s="193">
        <f>Model!$C$52*N5*N20/N32</f>
        <v>2.8139049440561916E-2</v>
      </c>
      <c r="P60" s="193">
        <f>Model!$C$52*P5*P20/P32</f>
        <v>2.8036241308528241E-2</v>
      </c>
      <c r="R60" s="193">
        <f>Model!$C$52*R5*R20/R32</f>
        <v>2.7926559181177667E-2</v>
      </c>
      <c r="T60" s="193">
        <f>Model!$C$52*T5*T20/T32</f>
        <v>2.7808186105602244E-2</v>
      </c>
      <c r="V60" s="193">
        <f>Model!$C$52*V5*V20/V32</f>
        <v>2.7678506964519699E-2</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0.90284668809180091</v>
      </c>
      <c r="F62">
        <f>F13/F15</f>
        <v>0.8069003567803853</v>
      </c>
      <c r="H62">
        <f>H13/H15</f>
        <v>0.7116505698841169</v>
      </c>
      <c r="J62">
        <f>J13/J15</f>
        <v>0.61661267834737987</v>
      </c>
      <c r="L62">
        <f>L13/L15</f>
        <v>0.5213442459603348</v>
      </c>
      <c r="N62">
        <f>N13/N15</f>
        <v>0.4254791305973854</v>
      </c>
      <c r="P62">
        <f>P13/P15</f>
        <v>0.32880735078729884</v>
      </c>
      <c r="R62">
        <f>R13/R15</f>
        <v>0.23145996368979652</v>
      </c>
      <c r="T62">
        <f>T13/T15</f>
        <v>0.13442201430822837</v>
      </c>
      <c r="V62">
        <f>V13/V15</f>
        <v>4.1572439778967588E-2</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0.99724602400229845</v>
      </c>
      <c r="E65" s="191"/>
      <c r="F65" s="191">
        <f t="array" ref="F65">SQRT((F9:G9*$B$22:$C$22+F10:G10*$B$23:$C$23+F11:G11*$B$24:$C$24+F4:G4*($B$25:$C$25-$B$19:$C$19))/($B$9:$C$9*$B$22:$C$22+$B$10:$C$10*$B$23:$C$23+$B$11:$C$11*$B$24:$C$24+$B$4:$C$4*($B$25:$C$25-$B$19:$C$19))*(F9:G9*F22:G22+F10:G10*F23:G23+F11:G11*F24:G24+F4:G4*(F25:G25-F19:G19))/($B$9:$C$9*F22:G22+$B$10:$C$10*F23:G23+$B$11:$C$11*F24:G24+$B$4:$C$4*(F25:G25-F19:G19)))</f>
        <v>0.99436687643425592</v>
      </c>
      <c r="G65" s="191"/>
      <c r="H65" s="191">
        <f t="array" ref="H65">SQRT((H9:I9*$B$22:$C$22+H10:I10*$B$23:$C$23+H11:I11*$B$24:$C$24+H4:I4*($B$25:$C$25-$B$19:$C$19))/($B$9:$C$9*$B$22:$C$22+$B$10:$C$10*$B$23:$C$23+$B$11:$C$11*$B$24:$C$24+$B$4:$C$4*($B$25:$C$25-$B$19:$C$19))*(H9:I9*H22:I22+H10:I10*H23:I23+H11:I11*H24:I24+H4:I4*(H25:I25-H19:I19))/($B$9:$C$9*H22:I22+$B$10:$C$10*H23:I23+$B$11:$C$11*H24:I24+$B$4:$C$4*(H25:I25-H19:I19)))</f>
        <v>0.99132318929520991</v>
      </c>
      <c r="I65" s="191"/>
      <c r="J65" s="191">
        <f t="array" ref="J65">SQRT((J9:K9*$B$22:$C$22+J10:K10*$B$23:$C$23+J11:K11*$B$24:$C$24+J4:K4*($B$25:$C$25-$B$19:$C$19))/($B$9:$C$9*$B$22:$C$22+$B$10:$C$10*$B$23:$C$23+$B$11:$C$11*$B$24:$C$24+$B$4:$C$4*($B$25:$C$25-$B$19:$C$19))*(J9:K9*J22:K22+J10:K10*J23:K23+J11:K11*J24:K24+J4:K4*(J25:K25-J19:K19))/($B$9:$C$9*J22:K22+$B$10:$C$10*J23:K23+$B$11:$C$11*J24:K24+$B$4:$C$4*(J25:K25-J19:K19)))</f>
        <v>0.98806514059038686</v>
      </c>
      <c r="K65" s="191"/>
      <c r="L65" s="191">
        <f t="array" ref="L65">SQRT((L9:M9*$B$22:$C$22+L10:M10*$B$23:$C$23+L11:M11*$B$24:$C$24+L4:M4*($B$25:$C$25-$B$19:$C$19))/($B$9:$C$9*$B$22:$C$22+$B$10:$C$10*$B$23:$C$23+$B$11:$C$11*$B$24:$C$24+$B$4:$C$4*($B$25:$C$25-$B$19:$C$19))*(L9:M9*L22:M22+L10:M10*L23:M23+L11:M11*L24:M24+L4:M4*(L25:M25-L19:M19))/($B$9:$C$9*L22:M22+$B$10:$C$10*L23:M23+$B$11:$C$11*L24:M24+$B$4:$C$4*(L25:M25-L19:M19)))</f>
        <v>0.98452918485926855</v>
      </c>
      <c r="M65" s="191"/>
      <c r="N65" s="191">
        <f t="array" ref="N65">SQRT((N9:O9*$B$22:$C$22+N10:O10*$B$23:$C$23+N11:O11*$B$24:$C$24+N4:O4*($B$25:$C$25-$B$19:$C$19))/($B$9:$C$9*$B$22:$C$22+$B$10:$C$10*$B$23:$C$23+$B$11:$C$11*$B$24:$C$24+$B$4:$C$4*($B$25:$C$25-$B$19:$C$19))*(N9:O9*N22:O22+N10:O10*N23:O23+N11:O11*N24:O24+N4:O4*(N25:O25-N19:O19))/($B$9:$C$9*N22:O22+$B$10:$C$10*N23:O23+$B$11:$C$11*N24:O24+$B$4:$C$4*(N25:O25-N19:O19)))</f>
        <v>0.98063371461977478</v>
      </c>
      <c r="O65" s="191"/>
      <c r="P65" s="191">
        <f t="array" ref="P65">SQRT((P9:Q9*$B$22:$C$22+P10:Q10*$B$23:$C$23+P11:Q11*$B$24:$C$24+P4:Q4*($B$25:$C$25-$B$19:$C$19))/($B$9:$C$9*$B$22:$C$22+$B$10:$C$10*$B$23:$C$23+$B$11:$C$11*$B$24:$C$24+$B$4:$C$4*($B$25:$C$25-$B$19:$C$19))*(P9:Q9*P22:Q22+P10:Q10*P23:Q23+P11:Q11*P24:Q24+P4:Q4*(P25:Q25-P19:Q19))/($B$9:$C$9*P22:Q22+$B$10:$C$10*P23:Q23+$B$11:$C$11*P24:Q24+$B$4:$C$4*(P25:Q25-P19:Q19)))</f>
        <v>0.97627360629408688</v>
      </c>
      <c r="Q65" s="191"/>
      <c r="R65" s="191">
        <f t="array" ref="R65">SQRT((R9:S9*$B$22:$C$22+R10:S10*$B$23:$C$23+R11:S11*$B$24:$C$24+R4:S4*($B$25:$C$25-$B$19:$C$19))/($B$9:$C$9*$B$22:$C$22+$B$10:$C$10*$B$23:$C$23+$B$11:$C$11*$B$24:$C$24+$B$4:$C$4*($B$25:$C$25-$B$19:$C$19))*(R9:S9*R22:S22+R10:S10*R23:S23+R11:S11*R24:S24+R4:S4*(R25:S25-R19:S19))/($B$9:$C$9*R22:S22+$B$10:$C$10*R23:S23+$B$11:$C$11*R24:S24+$B$4:$C$4*(R25:S25-R19:S19)))</f>
        <v>0.97131342680793598</v>
      </c>
      <c r="S65" s="191"/>
      <c r="T65" s="191">
        <f t="array" ref="T65">SQRT((T9:U9*$B$22:$C$22+T10:U10*$B$23:$C$23+T11:U11*$B$24:$C$24+T4:U4*($B$25:$C$25-$B$19:$C$19))/($B$9:$C$9*$B$22:$C$22+$B$10:$C$10*$B$23:$C$23+$B$11:$C$11*$B$24:$C$24+$B$4:$C$4*($B$25:$C$25-$B$19:$C$19))*(T9:U9*T22:U22+T10:U10*T23:U23+T11:U11*T24:U24+T4:U4*(T25:U25-T19:U19))/($B$9:$C$9*T22:U22+$B$10:$C$10*T23:U23+$B$11:$C$11*T24:U24+$B$4:$C$4*(T25:U25-T19:U19)))</f>
        <v>0.96557962271485409</v>
      </c>
      <c r="U65" s="191"/>
      <c r="V65" s="191">
        <f t="array" ref="V65">SQRT((V9:W9*$B$22:$C$22+V10:W10*$B$23:$C$23+V11:W11*$B$24:$C$24+V4:W4*($B$25:$C$25-$B$19:$C$19))/($B$9:$C$9*$B$22:$C$22+$B$10:$C$10*$B$23:$C$23+$B$11:$C$11*$B$24:$C$24+$B$4:$C$4*($B$25:$C$25-$B$19:$C$19))*(V9:W9*V22:W22+V10:W10*V23:W23+V11:W11*V24:W24+V4:W4*(V25:W25-V19:W19))/($B$9:$C$9*V22:W22+$B$10:$C$10*V23:W23+$B$11:$C$11*V24:W24+$B$4:$C$4*(V25:W25-V19:W19)))</f>
        <v>0.95885181098471628</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0.99697174218237872</v>
      </c>
      <c r="E66" s="191"/>
      <c r="F66" s="191">
        <f t="array" ref="F66">SQRT((F9:G9*$B$22:$C$22)/($B$9:$C$9*$B$22:$C$22)*(F9:G9*F22:G22)/($B$9:$C$9*F22:G22))</f>
        <v>0.99380244173827692</v>
      </c>
      <c r="G66" s="191"/>
      <c r="H66" s="191">
        <f t="array" ref="H66">SQRT((H9:I9*$B$22:$C$22)/($B$9:$C$9*$B$22:$C$22)*(H9:I9*H22:I22)/($B$9:$C$9*H22:I22))</f>
        <v>0.99044815350845072</v>
      </c>
      <c r="I66" s="191"/>
      <c r="J66" s="191">
        <f t="array" ref="J66">SQRT((J9:K9*$B$22:$C$22)/($B$9:$C$9*$B$22:$C$22)*(J9:K9*J22:K22)/($B$9:$C$9*J22:K22))</f>
        <v>0.98685312008390247</v>
      </c>
      <c r="K66" s="191"/>
      <c r="L66" s="191">
        <f t="array" ref="L66">SQRT((L9:M9*$B$22:$C$22)/($B$9:$C$9*$B$22:$C$22)*(L9:M9*L22:M22)/($B$9:$C$9*L22:M22))</f>
        <v>0.98294602491332983</v>
      </c>
      <c r="M66" s="191"/>
      <c r="N66" s="191">
        <f t="array" ref="N66">SQRT((N9:O9*$B$22:$C$22)/($B$9:$C$9*$B$22:$C$22)*(N9:O9*N22:O22)/($B$9:$C$9*N22:O22))</f>
        <v>0.97863498549969985</v>
      </c>
      <c r="O66" s="191"/>
      <c r="P66" s="191">
        <f t="array" ref="P66">SQRT((P9:Q9*$B$22:$C$22)/($B$9:$C$9*$B$22:$C$22)*(P9:Q9*P22:Q22)/($B$9:$C$9*P22:Q22))</f>
        <v>0.9738011869117843</v>
      </c>
      <c r="Q66" s="191"/>
      <c r="R66" s="191">
        <f t="array" ref="R66">SQRT((R9:S9*$B$22:$C$22)/($B$9:$C$9*$B$22:$C$22)*(R9:S9*R22:S22)/($B$9:$C$9*R22:S22))</f>
        <v>0.96829083036906849</v>
      </c>
      <c r="S66" s="191"/>
      <c r="T66" s="191">
        <f t="array" ref="T66">SQRT((T9:U9*$B$22:$C$22)/($B$9:$C$9*$B$22:$C$22)*(T9:U9*T22:U22)/($B$9:$C$9*T22:U22))</f>
        <v>0.96190563000936491</v>
      </c>
      <c r="U66" s="191"/>
      <c r="V66" s="191">
        <f t="array" ref="V66">SQRT((V9:W9*$B$22:$C$22)/($B$9:$C$9*$B$22:$C$22)*(V9:W9*V22:W22)/($B$9:$C$9*V22:W22))</f>
        <v>0.9543917946148196</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0.99697174218237872</v>
      </c>
      <c r="E68" s="191"/>
      <c r="F68" s="191">
        <f>F66/F67</f>
        <v>0.99380244173827692</v>
      </c>
      <c r="G68" s="191"/>
      <c r="H68" s="191">
        <f>H66/H67</f>
        <v>0.99044815350845072</v>
      </c>
      <c r="I68" s="191"/>
      <c r="J68" s="191">
        <f>J66/J67</f>
        <v>0.98685312008390247</v>
      </c>
      <c r="K68" s="191"/>
      <c r="L68" s="191">
        <f>L66/L67</f>
        <v>0.98294602491332983</v>
      </c>
      <c r="M68" s="191"/>
      <c r="N68" s="191">
        <f>N66/N67</f>
        <v>0.97863498549969985</v>
      </c>
      <c r="O68" s="191"/>
      <c r="P68" s="191">
        <f>P66/P67</f>
        <v>0.9738011869117843</v>
      </c>
      <c r="Q68" s="191"/>
      <c r="R68" s="191">
        <f>R66/R67</f>
        <v>0.96829083036906849</v>
      </c>
      <c r="S68" s="191"/>
      <c r="T68" s="191">
        <f>T66/T67</f>
        <v>0.96190563000936491</v>
      </c>
      <c r="U68" s="191"/>
      <c r="V68" s="191">
        <f>V66/V67</f>
        <v>0.9543917946148196</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1.0117341110658966</v>
      </c>
      <c r="E69" s="191"/>
      <c r="F69" s="191">
        <f>F32/F65/($B$32)</f>
        <v>1.0237956076469179</v>
      </c>
      <c r="G69" s="191"/>
      <c r="H69" s="191">
        <f>H32/H65/($B$32)</f>
        <v>1.0362508755347093</v>
      </c>
      <c r="I69" s="191"/>
      <c r="J69" s="191">
        <f>J32/J65/($B$32)</f>
        <v>1.0491773352047451</v>
      </c>
      <c r="K69" s="191"/>
      <c r="L69" s="191">
        <f>L32/L65/($B$32)</f>
        <v>1.0626653106386621</v>
      </c>
      <c r="M69" s="191"/>
      <c r="N69" s="191">
        <f>N32/N65/($B$32)</f>
        <v>1.0768211714100713</v>
      </c>
      <c r="O69" s="191"/>
      <c r="P69" s="191">
        <f>P32/P65/($B$32)</f>
        <v>1.0917701344679069</v>
      </c>
      <c r="Q69" s="191"/>
      <c r="R69" s="191">
        <f>R32/R65/($B$32)</f>
        <v>1.1076597023252615</v>
      </c>
      <c r="S69" s="191"/>
      <c r="T69" s="191">
        <f>T32/T65/($B$32)</f>
        <v>1.1246625677841418</v>
      </c>
      <c r="U69" s="191"/>
      <c r="V69" s="191">
        <f>V32/V65/($B$32)</f>
        <v>1.1429703339017616</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1.0097500157927561</v>
      </c>
      <c r="E70" s="138"/>
      <c r="F70" s="138">
        <f>F18/$B$18</f>
        <v>1.0197567756954873</v>
      </c>
      <c r="G70" s="138"/>
      <c r="H70" s="138">
        <f>H18/$B$18</f>
        <v>1.0300807590331318</v>
      </c>
      <c r="I70" s="138"/>
      <c r="J70" s="138">
        <f>J18/$B$18</f>
        <v>1.0407937870983393</v>
      </c>
      <c r="K70" s="138"/>
      <c r="L70" s="138">
        <f>L18/$B$18</f>
        <v>1.0519813596989893</v>
      </c>
      <c r="M70" s="138"/>
      <c r="N70" s="138">
        <f>N18/$B$18</f>
        <v>1.0637464198139934</v>
      </c>
      <c r="O70" s="138"/>
      <c r="P70" s="138">
        <f>P18/$B$18</f>
        <v>1.0762127504858967</v>
      </c>
      <c r="Q70" s="138"/>
      <c r="R70" s="138">
        <f>R18/$B$18</f>
        <v>1.0895285741925498</v>
      </c>
      <c r="S70" s="138"/>
      <c r="T70" s="138">
        <f>T18/$B$18</f>
        <v>1.1038679222006678</v>
      </c>
      <c r="U70" s="138"/>
      <c r="V70" s="138">
        <f>V18/$B$18</f>
        <v>1.1194191526759305</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0.92821553251020983</v>
      </c>
      <c r="E71" s="138"/>
      <c r="F71" s="138">
        <f>G18/$C$18</f>
        <v>0.85655840108358872</v>
      </c>
      <c r="G71" s="138"/>
      <c r="H71" s="138">
        <f>I18/$C$18</f>
        <v>0.78502688327307668</v>
      </c>
      <c r="I71" s="138"/>
      <c r="J71" s="138">
        <f>K18/$C$18</f>
        <v>0.71362784648369515</v>
      </c>
      <c r="K71" s="138"/>
      <c r="L71" s="138">
        <f>M18/$C$18</f>
        <v>0.64238381045898063</v>
      </c>
      <c r="M71" s="138"/>
      <c r="N71" s="138">
        <f>O18/$C$18</f>
        <v>0.57134513768668704</v>
      </c>
      <c r="O71" s="138"/>
      <c r="P71" s="138">
        <f>Q18/$C$18</f>
        <v>0.50060967936210998</v>
      </c>
      <c r="Q71" s="138"/>
      <c r="R71" s="138">
        <f>S18/$C$18</f>
        <v>0.43035428385569052</v>
      </c>
      <c r="S71" s="138"/>
      <c r="T71" s="138">
        <f>U18/$C$18</f>
        <v>0.36088493722589426</v>
      </c>
      <c r="U71" s="138"/>
      <c r="V71" s="138">
        <f>W18/$C$18</f>
        <v>0.29271212659659451</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1.032331495543255</v>
      </c>
      <c r="E72" s="138"/>
      <c r="F72" s="138">
        <f>G19/$C$19</f>
        <v>1.0712827485858287</v>
      </c>
      <c r="G72" s="138"/>
      <c r="H72" s="138">
        <f>I19/$C$19</f>
        <v>1.1183699131978948</v>
      </c>
      <c r="I72" s="138"/>
      <c r="J72" s="138">
        <f>K19/$C$19</f>
        <v>1.1755365533476227</v>
      </c>
      <c r="K72" s="138"/>
      <c r="L72" s="138">
        <f>M19/$C$19</f>
        <v>1.2452929293630961</v>
      </c>
      <c r="M72" s="138"/>
      <c r="N72" s="138">
        <f>O19/$C$19</f>
        <v>1.3309045812179192</v>
      </c>
      <c r="O72" s="138"/>
      <c r="P72" s="138">
        <f>Q19/$C$19</f>
        <v>1.4366427372124477</v>
      </c>
      <c r="Q72" s="138"/>
      <c r="R72" s="138">
        <f>S19/$C$19</f>
        <v>1.568115465495149</v>
      </c>
      <c r="S72" s="138"/>
      <c r="T72" s="138">
        <f>U19/$C$19</f>
        <v>1.7326826178535071</v>
      </c>
      <c r="U72" s="138"/>
      <c r="V72" s="138">
        <f>W19/$C$19</f>
        <v>1.9399557241123502</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0.47641153606568187</v>
      </c>
      <c r="E73" s="138"/>
      <c r="F73" s="193">
        <f t="array" ref="F73">SUM(F9:G9*F22:G22)/F32</f>
        <v>0.47641153997313829</v>
      </c>
      <c r="G73" s="138"/>
      <c r="H73" s="193">
        <f t="array" ref="H73">SUM(H9:I9*H22:I22)/H32</f>
        <v>0.47641154142315389</v>
      </c>
      <c r="I73" s="138"/>
      <c r="J73" s="193">
        <f t="array" ref="J73">SUM(J9:K9*J22:K22)/J32</f>
        <v>0.47641153566077549</v>
      </c>
      <c r="K73" s="138"/>
      <c r="L73" s="193">
        <f t="array" ref="L73">SUM(L9:M9*L22:M22)/L32</f>
        <v>0.47641153359952781</v>
      </c>
      <c r="M73" s="138"/>
      <c r="N73" s="193">
        <f t="array" ref="N73">SUM(N9:O9*N22:O22)/N32</f>
        <v>0.47641153453235019</v>
      </c>
      <c r="O73" s="138"/>
      <c r="P73" s="193">
        <f t="array" ref="P73">SUM(P9:Q9*P22:Q22)/P32</f>
        <v>0.47641153409994802</v>
      </c>
      <c r="Q73" s="138"/>
      <c r="R73" s="193">
        <f t="array" ref="R73">SUM(R9:S9*R22:S22)/R32</f>
        <v>0.47641153361062427</v>
      </c>
      <c r="S73" s="138"/>
      <c r="T73" s="193">
        <f t="array" ref="T73">SUM(T9:U9*T22:U22)/T32</f>
        <v>0.47641153353445037</v>
      </c>
      <c r="U73" s="138"/>
      <c r="V73" s="193">
        <f t="array" ref="V73">SUM(V9:W9*V22:W22)/V32</f>
        <v>0.47641153357299104</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0.22038438826321502</v>
      </c>
      <c r="E75" s="138"/>
      <c r="F75" s="193">
        <f t="array" ref="F75">SUM(F11:G11*F24:G24)/F32</f>
        <v>0.22038438810905531</v>
      </c>
      <c r="G75" s="138"/>
      <c r="H75" s="193">
        <f t="array" ref="H75">SUM(H11:I11*H24:I24)/H32</f>
        <v>0.22038438794481821</v>
      </c>
      <c r="I75" s="138"/>
      <c r="J75" s="193">
        <f t="array" ref="J75">SUM(J11:K11*J24:K24)/J32</f>
        <v>0.22038438842911992</v>
      </c>
      <c r="K75" s="138"/>
      <c r="L75" s="193">
        <f t="array" ref="L75">SUM(L11:M11*L24:M24)/L32</f>
        <v>0.22038438817448702</v>
      </c>
      <c r="M75" s="138"/>
      <c r="N75" s="193">
        <f t="array" ref="N75">SUM(N11:O11*N24:O24)/N32</f>
        <v>0.22038438828209889</v>
      </c>
      <c r="O75" s="138"/>
      <c r="P75" s="193">
        <f t="array" ref="P75">SUM(P11:Q11*P24:Q24)/P32</f>
        <v>0.22038438823630957</v>
      </c>
      <c r="Q75" s="138"/>
      <c r="R75" s="193">
        <f t="array" ref="R75">SUM(R11:S11*R24:S24)/R32</f>
        <v>0.22038438815064865</v>
      </c>
      <c r="S75" s="138"/>
      <c r="T75" s="193">
        <f t="array" ref="T75">SUM(T11:U11*T24:U24)/T32</f>
        <v>0.22038438858771497</v>
      </c>
      <c r="U75" s="138"/>
      <c r="V75" s="193">
        <f t="array" ref="V75">SUM(V11:W11*V24:W24)/V32</f>
        <v>0.22038438834335256</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0.2230636455664384</v>
      </c>
      <c r="E76" s="138"/>
      <c r="F76" s="193">
        <f t="array" ref="F76">SUM(F12:G12*F25:G25)/F32</f>
        <v>0.22320584266274698</v>
      </c>
      <c r="G76" s="138"/>
      <c r="H76" s="193">
        <f t="array" ref="H76">SUM(H12:I12*H25:I25)/H32</f>
        <v>0.22346612116277415</v>
      </c>
      <c r="I76" s="138"/>
      <c r="J76" s="193">
        <f t="array" ref="J76">SUM(J12:K12*J25:K25)/J32</f>
        <v>0.22387132010019678</v>
      </c>
      <c r="K76" s="138"/>
      <c r="L76" s="193">
        <f t="array" ref="L76">SUM(L12:M12*L25:M25)/L32</f>
        <v>0.22445629259329902</v>
      </c>
      <c r="M76" s="138"/>
      <c r="N76" s="193">
        <f t="array" ref="N76">SUM(N12:O12*N25:O25)/N32</f>
        <v>0.22526657825827931</v>
      </c>
      <c r="O76" s="138"/>
      <c r="P76" s="193">
        <f t="array" ref="P76">SUM(P12:Q12*P25:Q25)/P32</f>
        <v>0.22636190241797896</v>
      </c>
      <c r="Q76" s="138"/>
      <c r="R76" s="193">
        <f t="array" ref="R76">SUM(R12:S12*R25:S25)/R32</f>
        <v>0.22782073257949112</v>
      </c>
      <c r="S76" s="138"/>
      <c r="T76" s="193">
        <f t="array" ref="T76">SUM(T12:U12*T25:U25)/T32</f>
        <v>0.22974585118179777</v>
      </c>
      <c r="U76" s="138"/>
      <c r="V76" s="193">
        <f t="array" ref="V76">SUM(V12:W12*V25:W25)/V32</f>
        <v>0.2322710336193782</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0.14590577445975988</v>
      </c>
      <c r="E77" s="138"/>
      <c r="F77" s="193">
        <f t="array" ref="F77">SUM(F4:G4*F19:G19)/F32</f>
        <v>0.14604797530936531</v>
      </c>
      <c r="G77" s="138"/>
      <c r="H77" s="193">
        <f t="array" ref="H77">SUM(H4:I4*H19:I19)/H32</f>
        <v>0.14630825509517095</v>
      </c>
      <c r="I77" s="138"/>
      <c r="J77" s="193">
        <f t="array" ref="J77">SUM(J4:K4*J19:K19)/J32</f>
        <v>0.14671344875451706</v>
      </c>
      <c r="K77" s="138"/>
      <c r="L77" s="193">
        <f t="array" ref="L77">SUM(L4:M4*L19:M19)/L32</f>
        <v>0.14729841893173867</v>
      </c>
      <c r="M77" s="138"/>
      <c r="N77" s="193">
        <f t="array" ref="N77">SUM(N4:O4*N19:O19)/N32</f>
        <v>0.14810870563715306</v>
      </c>
      <c r="O77" s="138"/>
      <c r="P77" s="193">
        <f t="array" ref="P77">SUM(P4:Q4*P19:Q19)/P32</f>
        <v>0.14920402931866122</v>
      </c>
      <c r="Q77" s="138"/>
      <c r="R77" s="193">
        <f t="array" ref="R77">SUM(R4:S4*R19:S19)/R32</f>
        <v>0.15066285890518885</v>
      </c>
      <c r="S77" s="138"/>
      <c r="T77" s="193">
        <f t="array" ref="T77">SUM(T4:U4*T19:U19)/T32</f>
        <v>0.15258797786838799</v>
      </c>
      <c r="U77" s="138"/>
      <c r="V77" s="193">
        <f t="array" ref="V77">SUM(V4:W4*V19:W19)/V32</f>
        <v>0.15511316010014667</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0.33035631301423335</v>
      </c>
      <c r="E78" s="138"/>
      <c r="F78" s="193">
        <f t="array" ref="F78">SUM(F13:G13*F26:G26)/F32</f>
        <v>0.31242143132430988</v>
      </c>
      <c r="G78" s="138"/>
      <c r="H78" s="193">
        <f t="array" ref="H78">SUM(H13:I13*H26:I26)/H32</f>
        <v>0.29275320004564365</v>
      </c>
      <c r="I78" s="138"/>
      <c r="J78" s="193">
        <f t="array" ref="J78">SUM(J13:K13*J26:K26)/J32</f>
        <v>0.27092143475140412</v>
      </c>
      <c r="K78" s="138"/>
      <c r="L78" s="193">
        <f t="array" ref="L78">SUM(L13:M13*L26:M26)/L32</f>
        <v>0.24635423347453106</v>
      </c>
      <c r="M78" s="138"/>
      <c r="N78" s="193">
        <f t="array" ref="N78">SUM(N13:O13*N26:O26)/N32</f>
        <v>0.21827353197853719</v>
      </c>
      <c r="O78" s="138"/>
      <c r="P78" s="193">
        <f t="array" ref="P78">SUM(P13:Q13*P26:Q26)/P32</f>
        <v>0.18559273251687647</v>
      </c>
      <c r="Q78" s="138"/>
      <c r="R78" s="193">
        <f t="array" ref="R78">SUM(R13:S13*R26:S26)/R32</f>
        <v>0.14674539821631097</v>
      </c>
      <c r="S78" s="138"/>
      <c r="T78" s="193">
        <f t="array" ref="T78">SUM(T13:U13*T26:U26)/T32</f>
        <v>9.9386680731339883E-2</v>
      </c>
      <c r="U78" s="138"/>
      <c r="V78" s="193">
        <f t="array" ref="V78">SUM(V13:W13*V26:W26)/V32</f>
        <v>3.9853844771060062E-2</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cm="1">
        <f t="array" ref="B79">SUM(B15:C15*B27:C27)/B32</f>
        <v>0.45460968782440642</v>
      </c>
      <c r="D79" s="193">
        <f t="array" ref="D79">SUM(D15:E15*D27:E27)/D32</f>
        <v>0.4713711034557726</v>
      </c>
      <c r="F79" s="193">
        <f t="array" ref="F79">SUM(F15:G15*F27:G27)/F32</f>
        <v>0.4895556609535941</v>
      </c>
      <c r="H79" s="193">
        <f t="array" ref="H79">SUM(H15:I15*H27:I27)/H32</f>
        <v>0.50949769379835208</v>
      </c>
      <c r="J79" s="193">
        <f t="array" ref="J79">SUM(J15:K15*J27:K27)/J32</f>
        <v>0.53163337922534415</v>
      </c>
      <c r="L79" s="193">
        <f t="array" ref="L79">SUM(L15:M15*L27:M27)/L32</f>
        <v>0.55654257411096564</v>
      </c>
      <c r="N79" s="193">
        <f t="array" ref="N79">SUM(N15:O15*N27:O27)/N32</f>
        <v>0.58501419157056189</v>
      </c>
      <c r="P79" s="193">
        <f t="array" ref="P79">SUM(P15:Q15*P27:Q27)/P32</f>
        <v>0.61814993878512048</v>
      </c>
      <c r="R79" s="193">
        <f t="array" ref="R79">SUM(R15:S15*R27:S27)/R32</f>
        <v>0.65753806335716924</v>
      </c>
      <c r="T79" s="193">
        <f t="array" ref="T79">SUM(T15:U15*T27:U27)/T32</f>
        <v>0.70555609687678711</v>
      </c>
      <c r="V79" s="193">
        <f t="array" ref="V79">SUM(V15:W15*V27:W27)/V32</f>
        <v>0.7659176642496407</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0.1982725867679134</v>
      </c>
      <c r="F80" s="236">
        <f>F55</f>
        <v>0.19802291642261716</v>
      </c>
      <c r="H80" s="236">
        <f>H55</f>
        <v>0.1977491170435754</v>
      </c>
      <c r="J80" s="236">
        <f>J55</f>
        <v>0.19744519124985527</v>
      </c>
      <c r="L80" s="236">
        <f>L55</f>
        <v>0.19710319077147001</v>
      </c>
      <c r="N80" s="236">
        <f>N55</f>
        <v>0.19671228003711516</v>
      </c>
      <c r="P80" s="236">
        <f>P55</f>
        <v>0.19625732949999497</v>
      </c>
      <c r="R80" s="236">
        <f>R55</f>
        <v>0.19571653309091103</v>
      </c>
      <c r="T80" s="236">
        <f>T55</f>
        <v>0.1950572440311415</v>
      </c>
      <c r="V80" s="236">
        <f>V55</f>
        <v>0.19422849359199201</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-2.7773617796511444E-2</v>
      </c>
      <c r="F81" s="236">
        <f>F51/F$32</f>
        <v>-2.8023288141807677E-2</v>
      </c>
      <c r="H81" s="236">
        <f>H51/H$32</f>
        <v>-2.829708752084947E-2</v>
      </c>
      <c r="J81" s="236">
        <f>J51/J$32</f>
        <v>-2.8601013314569573E-2</v>
      </c>
      <c r="L81" s="236">
        <f>L51/L$32</f>
        <v>-2.8943013792954823E-2</v>
      </c>
      <c r="N81" s="236">
        <f>N51/N$32</f>
        <v>-2.9333924527309683E-2</v>
      </c>
      <c r="P81" s="236">
        <f>P51/P$32</f>
        <v>-2.9788875064429874E-2</v>
      </c>
      <c r="R81" s="236">
        <f>R51/R$32</f>
        <v>-3.0329671473513831E-2</v>
      </c>
      <c r="T81" s="236">
        <f>T51/T$32</f>
        <v>-3.0988960533283334E-2</v>
      </c>
      <c r="V81" s="236">
        <f>V51/V$32</f>
        <v>-3.1817710972432828E-2</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0.13245067089770768</v>
      </c>
      <c r="F82" s="236">
        <f>F52/F$32</f>
        <v>0.12525998914373429</v>
      </c>
      <c r="H82" s="236">
        <f>H52/H$32</f>
        <v>0.1173743507417874</v>
      </c>
      <c r="J82" s="236">
        <f>J52/J$32</f>
        <v>0.10862128065900459</v>
      </c>
      <c r="L82" s="236">
        <f>L52/L$32</f>
        <v>9.8771484656890174E-2</v>
      </c>
      <c r="N82" s="236">
        <f>N52/N$32</f>
        <v>8.7513011287675635E-2</v>
      </c>
      <c r="P82" s="236">
        <f>P52/P$32</f>
        <v>7.4410207909482246E-2</v>
      </c>
      <c r="R82" s="236">
        <f>R52/R$32</f>
        <v>5.8835038651325076E-2</v>
      </c>
      <c r="T82" s="236">
        <f>T52/T$32</f>
        <v>3.9847376976250133E-2</v>
      </c>
      <c r="V82" s="236">
        <f>V52/V$32</f>
        <v>1.5978712286792516E-2</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0.19286521022938743</v>
      </c>
      <c r="F83" s="236">
        <f>F53/F$32</f>
        <v>0.20030556556520149</v>
      </c>
      <c r="H83" s="236">
        <f>H53/H$32</f>
        <v>0.20846500582110267</v>
      </c>
      <c r="J83" s="236">
        <f>J53/J$32</f>
        <v>0.21752199635817529</v>
      </c>
      <c r="L83" s="236">
        <f>L53/L$32</f>
        <v>0.22771379019755084</v>
      </c>
      <c r="N83" s="236">
        <f>N53/N$32</f>
        <v>0.23936317737181348</v>
      </c>
      <c r="P83" s="236">
        <f>P53/P$32</f>
        <v>0.2529209300761926</v>
      </c>
      <c r="R83" s="236">
        <f>R53/R$32</f>
        <v>0.26903689236246003</v>
      </c>
      <c r="T83" s="236">
        <f>T53/T$32</f>
        <v>0.28868385006026426</v>
      </c>
      <c r="V83" s="236">
        <f>V53/V$32</f>
        <v>0.31338126213281625</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31" activePane="bottomLeft" state="frozen"/>
      <selection pane="bottomLeft" activeCell="A42" sqref="A42:XFD83"/>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c r="T1" s="94"/>
      <c r="V1" s="94"/>
      <c r="X1" s="94"/>
      <c r="Z1" s="94"/>
      <c r="AB1" s="94"/>
      <c r="AD1" s="94"/>
      <c r="AF1" s="94"/>
      <c r="AH1" s="94"/>
      <c r="AJ1" s="94"/>
      <c r="AL1" s="94"/>
      <c r="AN1" s="94"/>
      <c r="AP1" s="94"/>
      <c r="AR1" s="94"/>
      <c r="AT1" s="94"/>
      <c r="AV1" s="94"/>
    </row>
    <row r="2" spans="1:49" x14ac:dyDescent="0.2">
      <c r="A2" s="229" t="s">
        <v>155</v>
      </c>
      <c r="B2" s="226">
        <v>5.7716594496607888E-3</v>
      </c>
      <c r="C2" s="227"/>
      <c r="D2" s="226">
        <v>3.9902160681032556E-2</v>
      </c>
      <c r="E2" s="227"/>
      <c r="F2" s="226">
        <v>7.0436499753707332E-2</v>
      </c>
      <c r="G2" s="227"/>
      <c r="H2" s="226">
        <v>9.6660977317731434E-2</v>
      </c>
      <c r="I2" s="227"/>
      <c r="J2" s="226">
        <v>0.11824301775949479</v>
      </c>
      <c r="K2" s="227"/>
      <c r="L2" s="226">
        <v>0.13520539627668021</v>
      </c>
      <c r="M2" s="227"/>
      <c r="N2" s="226">
        <v>0.14772196806945284</v>
      </c>
      <c r="O2" s="227"/>
      <c r="P2" s="226">
        <v>0.15539427325787961</v>
      </c>
      <c r="Q2" s="227"/>
      <c r="R2" s="226"/>
      <c r="S2" s="227"/>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999.19141033062886</v>
      </c>
      <c r="E3" s="85">
        <v>1014.2710138556725</v>
      </c>
      <c r="F3" s="84">
        <v>998.58005652012855</v>
      </c>
      <c r="G3" s="85">
        <v>1025.8245304520919</v>
      </c>
      <c r="H3" s="84">
        <v>998.16480424498229</v>
      </c>
      <c r="I3" s="85">
        <v>1034.3625988741801</v>
      </c>
      <c r="J3" s="84">
        <v>997.9204970775545</v>
      </c>
      <c r="K3" s="85">
        <v>1040.0414315152912</v>
      </c>
      <c r="L3" s="84">
        <v>997.78515084563787</v>
      </c>
      <c r="M3" s="85">
        <v>1043.6864595081706</v>
      </c>
      <c r="N3" s="84">
        <v>997.61510743882741</v>
      </c>
      <c r="O3" s="85">
        <v>1047.4592428274993</v>
      </c>
      <c r="P3" s="84">
        <v>996.94131925890736</v>
      </c>
      <c r="Q3" s="85">
        <v>1058.586946752321</v>
      </c>
      <c r="R3" s="84"/>
      <c r="S3" s="85"/>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c r="S4" s="102"/>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999.15147959455101</v>
      </c>
      <c r="E5" s="42">
        <v>1012.4876998635406</v>
      </c>
      <c r="F5" s="41">
        <v>998.5098384804935</v>
      </c>
      <c r="G5" s="42">
        <v>1022.5352429114423</v>
      </c>
      <c r="H5" s="41">
        <v>998.07396647566588</v>
      </c>
      <c r="I5" s="42">
        <v>1029.9251019681167</v>
      </c>
      <c r="J5" s="41">
        <v>997.81751001046393</v>
      </c>
      <c r="K5" s="42">
        <v>1034.8237945561775</v>
      </c>
      <c r="L5" s="41">
        <v>997.67542731882304</v>
      </c>
      <c r="M5" s="42">
        <v>1037.9612048081981</v>
      </c>
      <c r="N5" s="41">
        <v>997.49691469410777</v>
      </c>
      <c r="O5" s="42">
        <v>1041.202946853188</v>
      </c>
      <c r="P5" s="41">
        <v>996.78950404329646</v>
      </c>
      <c r="Q5" s="42">
        <v>1050.7312342553616</v>
      </c>
      <c r="R5" s="41"/>
      <c r="S5" s="42"/>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999.99999999999932</v>
      </c>
      <c r="C6" s="42">
        <v>999.99999999999898</v>
      </c>
      <c r="D6" s="41">
        <v>999.08660621457273</v>
      </c>
      <c r="E6" s="42">
        <v>1015.3959430775368</v>
      </c>
      <c r="F6" s="41">
        <v>998.39594839825088</v>
      </c>
      <c r="G6" s="42">
        <v>1027.8478021814869</v>
      </c>
      <c r="H6" s="41">
        <v>997.92679849899707</v>
      </c>
      <c r="I6" s="42">
        <v>1037.0428862723986</v>
      </c>
      <c r="J6" s="41">
        <v>997.65076952891366</v>
      </c>
      <c r="K6" s="42">
        <v>1043.1555697675485</v>
      </c>
      <c r="L6" s="41">
        <v>997.49784558651152</v>
      </c>
      <c r="M6" s="42">
        <v>1047.0777716200416</v>
      </c>
      <c r="N6" s="41">
        <v>997.30571440456492</v>
      </c>
      <c r="O6" s="42">
        <v>1051.1363885661779</v>
      </c>
      <c r="P6" s="41">
        <v>996.54436217706291</v>
      </c>
      <c r="Q6" s="42">
        <v>1063.1010170136633</v>
      </c>
      <c r="R6" s="41"/>
      <c r="S6" s="42"/>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1015.0496607499759</v>
      </c>
      <c r="E7" s="34">
        <v>1015.0496607499759</v>
      </c>
      <c r="F7" s="33">
        <v>1014.3978100462051</v>
      </c>
      <c r="G7" s="34">
        <v>1014.3978100462051</v>
      </c>
      <c r="H7" s="33">
        <v>1013.9550025844075</v>
      </c>
      <c r="I7" s="34">
        <v>1013.9550025844075</v>
      </c>
      <c r="J7" s="33">
        <v>1013.6944654653452</v>
      </c>
      <c r="K7" s="34">
        <v>1013.6944654653452</v>
      </c>
      <c r="L7" s="33">
        <v>1013.55012199902</v>
      </c>
      <c r="M7" s="34">
        <v>1013.55012199902</v>
      </c>
      <c r="N7" s="33">
        <v>1013.3687689380904</v>
      </c>
      <c r="O7" s="34">
        <v>1013.3687689380904</v>
      </c>
      <c r="P7" s="33">
        <v>1012.650102193576</v>
      </c>
      <c r="Q7" s="34">
        <v>1012.650102193576</v>
      </c>
      <c r="R7" s="33"/>
      <c r="S7" s="34"/>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1052.8881467510646</v>
      </c>
      <c r="E8" s="36">
        <v>1052.8881467510646</v>
      </c>
      <c r="F8" s="35">
        <v>1094.559046296931</v>
      </c>
      <c r="G8" s="36">
        <v>1094.559046296931</v>
      </c>
      <c r="H8" s="35">
        <v>1129.478668888419</v>
      </c>
      <c r="I8" s="36">
        <v>1129.478668888419</v>
      </c>
      <c r="J8" s="35">
        <v>1157.1844828738315</v>
      </c>
      <c r="K8" s="36">
        <v>1157.1844828738315</v>
      </c>
      <c r="L8" s="35">
        <v>1178.2991608241109</v>
      </c>
      <c r="M8" s="36">
        <v>1178.2991608241109</v>
      </c>
      <c r="N8" s="35">
        <v>1195.0114953220548</v>
      </c>
      <c r="O8" s="36">
        <v>1195.0114953220548</v>
      </c>
      <c r="P8" s="35">
        <v>1214.0088507918285</v>
      </c>
      <c r="Q8" s="36">
        <v>1214.0088507918285</v>
      </c>
      <c r="R8" s="35"/>
      <c r="S8" s="36"/>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1015.0496607499759</v>
      </c>
      <c r="E9" s="42">
        <v>1052.8881467510646</v>
      </c>
      <c r="F9" s="41">
        <v>1014.3978100462051</v>
      </c>
      <c r="G9" s="42">
        <v>1094.559046296931</v>
      </c>
      <c r="H9" s="41">
        <v>1013.9550025844075</v>
      </c>
      <c r="I9" s="42">
        <v>1129.478668888419</v>
      </c>
      <c r="J9" s="41">
        <v>1013.6944654653452</v>
      </c>
      <c r="K9" s="42">
        <v>1157.1844828738315</v>
      </c>
      <c r="L9" s="41">
        <v>1013.55012199902</v>
      </c>
      <c r="M9" s="42">
        <v>1178.2991608241109</v>
      </c>
      <c r="N9" s="41">
        <v>1013.3687689380904</v>
      </c>
      <c r="O9" s="42">
        <v>1195.0114953220548</v>
      </c>
      <c r="P9" s="41">
        <v>1012.650102193576</v>
      </c>
      <c r="Q9" s="42">
        <v>1214.0088507918285</v>
      </c>
      <c r="R9" s="41"/>
      <c r="S9" s="42"/>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1015.0496607499759</v>
      </c>
      <c r="E10" s="42">
        <v>1052.8881467510646</v>
      </c>
      <c r="F10" s="41">
        <v>1014.3978100462051</v>
      </c>
      <c r="G10" s="42">
        <v>1094.559046296931</v>
      </c>
      <c r="H10" s="41">
        <v>1013.9550025844075</v>
      </c>
      <c r="I10" s="42">
        <v>1129.478668888419</v>
      </c>
      <c r="J10" s="41">
        <v>1013.6944654653452</v>
      </c>
      <c r="K10" s="42">
        <v>1157.1844828738315</v>
      </c>
      <c r="L10" s="41">
        <v>1013.55012199902</v>
      </c>
      <c r="M10" s="42">
        <v>1178.2991608241109</v>
      </c>
      <c r="N10" s="41">
        <v>1013.3687689380904</v>
      </c>
      <c r="O10" s="42">
        <v>1195.0114953220548</v>
      </c>
      <c r="P10" s="41">
        <v>1012.650102193576</v>
      </c>
      <c r="Q10" s="42">
        <v>1214.0088507918285</v>
      </c>
      <c r="R10" s="41"/>
      <c r="S10" s="42"/>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1015.0496607499759</v>
      </c>
      <c r="E11" s="42">
        <v>1052.8881467510646</v>
      </c>
      <c r="F11" s="41">
        <v>1014.3978100462051</v>
      </c>
      <c r="G11" s="42">
        <v>1094.559046296931</v>
      </c>
      <c r="H11" s="41">
        <v>1013.9550025844075</v>
      </c>
      <c r="I11" s="42">
        <v>1129.478668888419</v>
      </c>
      <c r="J11" s="41">
        <v>1013.6944654653452</v>
      </c>
      <c r="K11" s="42">
        <v>1157.1844828738315</v>
      </c>
      <c r="L11" s="41">
        <v>1013.55012199902</v>
      </c>
      <c r="M11" s="42">
        <v>1178.2991608241109</v>
      </c>
      <c r="N11" s="41">
        <v>1013.3687689380904</v>
      </c>
      <c r="O11" s="42">
        <v>1195.0114953220548</v>
      </c>
      <c r="P11" s="41">
        <v>1012.650102193576</v>
      </c>
      <c r="Q11" s="42">
        <v>1214.0088507918285</v>
      </c>
      <c r="R11" s="41"/>
      <c r="S11" s="42"/>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c r="S12" s="42"/>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1001.7137178899076</v>
      </c>
      <c r="E13" s="98">
        <v>1001.7137178899076</v>
      </c>
      <c r="F13" s="97">
        <v>1003.2795464642403</v>
      </c>
      <c r="G13" s="98">
        <v>1003.2795464642403</v>
      </c>
      <c r="H13" s="97">
        <v>1004.6534322234538</v>
      </c>
      <c r="I13" s="98">
        <v>1004.6534322234538</v>
      </c>
      <c r="J13" s="97">
        <v>1005.8074440592436</v>
      </c>
      <c r="K13" s="98">
        <v>1005.8074440592436</v>
      </c>
      <c r="L13" s="97">
        <v>1006.7259519411632</v>
      </c>
      <c r="M13" s="98">
        <v>1006.7259519411632</v>
      </c>
      <c r="N13" s="97">
        <v>1007.3833198284351</v>
      </c>
      <c r="O13" s="98">
        <v>1007.3833198284351</v>
      </c>
      <c r="P13" s="97">
        <v>1007.6435075628087</v>
      </c>
      <c r="Q13" s="98">
        <v>1007.6435075628087</v>
      </c>
      <c r="R13" s="97"/>
      <c r="S13" s="98"/>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1459.5003179808518</v>
      </c>
      <c r="E14" s="42">
        <v>1459.5003179808521</v>
      </c>
      <c r="F14" s="41">
        <v>1461.7817355768452</v>
      </c>
      <c r="G14" s="42">
        <v>1461.7817355768454</v>
      </c>
      <c r="H14" s="41">
        <v>1463.783491833778</v>
      </c>
      <c r="I14" s="42">
        <v>1463.7834918337783</v>
      </c>
      <c r="J14" s="41">
        <v>1465.4648910311823</v>
      </c>
      <c r="K14" s="42">
        <v>1465.4648910311826</v>
      </c>
      <c r="L14" s="41">
        <v>1466.8031601611622</v>
      </c>
      <c r="M14" s="42">
        <v>1466.8031601611624</v>
      </c>
      <c r="N14" s="41">
        <v>1467.760947424498</v>
      </c>
      <c r="O14" s="42">
        <v>1467.7609474244982</v>
      </c>
      <c r="P14" s="41">
        <v>1468.1400418446613</v>
      </c>
      <c r="Q14" s="42">
        <v>1468.1400418446615</v>
      </c>
      <c r="R14" s="41"/>
      <c r="S14" s="42"/>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987.58102736682258</v>
      </c>
      <c r="E15" s="155">
        <v>987.58102736682258</v>
      </c>
      <c r="F15" s="154">
        <v>966.98852243379258</v>
      </c>
      <c r="G15" s="155">
        <v>966.98852243379258</v>
      </c>
      <c r="H15" s="154">
        <v>938.14547662552536</v>
      </c>
      <c r="I15" s="155">
        <v>938.14547662552536</v>
      </c>
      <c r="J15" s="154">
        <v>901.65335045645168</v>
      </c>
      <c r="K15" s="155">
        <v>901.65335045645168</v>
      </c>
      <c r="L15" s="154">
        <v>858.72833913584259</v>
      </c>
      <c r="M15" s="155">
        <v>858.72833913584259</v>
      </c>
      <c r="N15" s="154">
        <v>811.16546267716137</v>
      </c>
      <c r="O15" s="155">
        <v>811.16546267716137</v>
      </c>
      <c r="P15" s="154">
        <v>762.06340689989941</v>
      </c>
      <c r="Q15" s="155">
        <v>762.06340689989941</v>
      </c>
      <c r="R15" s="154"/>
      <c r="S15" s="155"/>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997.16645459642575</v>
      </c>
      <c r="E16" s="42">
        <v>993.11385398336074</v>
      </c>
      <c r="F16" s="41">
        <v>994.78410862597332</v>
      </c>
      <c r="G16" s="42">
        <v>983.72828080844783</v>
      </c>
      <c r="H16" s="41">
        <v>992.89826735363283</v>
      </c>
      <c r="I16" s="42">
        <v>972.2925844630455</v>
      </c>
      <c r="J16" s="41">
        <v>991.49534938534339</v>
      </c>
      <c r="K16" s="42">
        <v>959.77631303201565</v>
      </c>
      <c r="L16" s="41">
        <v>990.48167683294537</v>
      </c>
      <c r="M16" s="42">
        <v>948.10264769729304</v>
      </c>
      <c r="N16" s="41">
        <v>989.61983705320802</v>
      </c>
      <c r="O16" s="42">
        <v>941.76714976007963</v>
      </c>
      <c r="P16" s="41">
        <v>988.166242925848</v>
      </c>
      <c r="Q16" s="42">
        <v>956.61355830487912</v>
      </c>
      <c r="R16" s="41"/>
      <c r="S16" s="42"/>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999.22854366977708</v>
      </c>
      <c r="E17" s="36">
        <v>1021.662891517897</v>
      </c>
      <c r="F17" s="35">
        <v>998.64535618434024</v>
      </c>
      <c r="G17" s="36">
        <v>1039.199158136089</v>
      </c>
      <c r="H17" s="35">
        <v>998.24928044787271</v>
      </c>
      <c r="I17" s="36">
        <v>1052.1511745827738</v>
      </c>
      <c r="J17" s="35">
        <v>998.01627236011939</v>
      </c>
      <c r="K17" s="36">
        <v>1060.75459963502</v>
      </c>
      <c r="L17" s="35">
        <v>997.88719102745029</v>
      </c>
      <c r="M17" s="36">
        <v>1066.2678610285093</v>
      </c>
      <c r="N17" s="35">
        <v>997.72502409218293</v>
      </c>
      <c r="O17" s="36">
        <v>1071.9916528541241</v>
      </c>
      <c r="P17" s="35">
        <v>997.08250553554683</v>
      </c>
      <c r="Q17" s="36">
        <v>1088.9738662100954</v>
      </c>
      <c r="R17" s="35"/>
      <c r="S17" s="36"/>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27077.409525838266</v>
      </c>
      <c r="E18" s="34">
        <v>1166.9012483554682</v>
      </c>
      <c r="F18" s="33">
        <v>26148.896727846819</v>
      </c>
      <c r="G18" s="34">
        <v>1099.4240483496483</v>
      </c>
      <c r="H18" s="33">
        <v>25076.127376592325</v>
      </c>
      <c r="I18" s="34">
        <v>1034.1646379606598</v>
      </c>
      <c r="J18" s="33">
        <v>23875.386973556811</v>
      </c>
      <c r="K18" s="34">
        <v>970.7362637317807</v>
      </c>
      <c r="L18" s="33">
        <v>22573.892607839698</v>
      </c>
      <c r="M18" s="34">
        <v>908.51204938369835</v>
      </c>
      <c r="N18" s="33">
        <v>21212.172342879938</v>
      </c>
      <c r="O18" s="34">
        <v>846.4504992470894</v>
      </c>
      <c r="P18" s="33">
        <v>19872.581010148104</v>
      </c>
      <c r="Q18" s="34">
        <v>781.93223484325324</v>
      </c>
      <c r="R18" s="33"/>
      <c r="S18" s="34"/>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1831.7159004307694</v>
      </c>
      <c r="E19" s="42">
        <v>255.92174185720842</v>
      </c>
      <c r="F19" s="41">
        <v>1767.5274751455611</v>
      </c>
      <c r="G19" s="42">
        <v>247.28805964543295</v>
      </c>
      <c r="H19" s="41">
        <v>1694.1169248927743</v>
      </c>
      <c r="I19" s="42">
        <v>236.93775905500863</v>
      </c>
      <c r="J19" s="41">
        <v>1612.4936602568127</v>
      </c>
      <c r="K19" s="42">
        <v>225.1266261842789</v>
      </c>
      <c r="L19" s="41">
        <v>1524.3302361087995</v>
      </c>
      <c r="M19" s="42">
        <v>212.33792548867245</v>
      </c>
      <c r="N19" s="41">
        <v>1432.067619586179</v>
      </c>
      <c r="O19" s="42">
        <v>199.42191438136183</v>
      </c>
      <c r="P19" s="41">
        <v>1340.4759723658699</v>
      </c>
      <c r="Q19" s="42">
        <v>188.58220080465026</v>
      </c>
      <c r="R19" s="41"/>
      <c r="S19" s="42"/>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25800.953540425206</v>
      </c>
      <c r="E20" s="83">
        <v>1338.1147774499941</v>
      </c>
      <c r="F20" s="82">
        <v>24912.974989581075</v>
      </c>
      <c r="G20" s="83">
        <v>1267.6876838999945</v>
      </c>
      <c r="H20" s="82">
        <v>23888.799027769386</v>
      </c>
      <c r="I20" s="83">
        <v>1197.2605903499946</v>
      </c>
      <c r="J20" s="82">
        <v>22743.729126990325</v>
      </c>
      <c r="K20" s="83">
        <v>1126.8334967999949</v>
      </c>
      <c r="L20" s="82">
        <v>21503.303583230889</v>
      </c>
      <c r="M20" s="83">
        <v>1056.4064032499953</v>
      </c>
      <c r="N20" s="82">
        <v>20205.431937006892</v>
      </c>
      <c r="O20" s="83">
        <v>985.97930969999561</v>
      </c>
      <c r="P20" s="82">
        <v>18926.697172425247</v>
      </c>
      <c r="Q20" s="83">
        <v>915.55221614999596</v>
      </c>
      <c r="R20" s="82"/>
      <c r="S20" s="83"/>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1145.7547579999964</v>
      </c>
      <c r="D21" s="82">
        <v>23969.23835796893</v>
      </c>
      <c r="E21" s="83">
        <v>1082.2408953880606</v>
      </c>
      <c r="F21" s="82">
        <v>23145.449653541218</v>
      </c>
      <c r="G21" s="83">
        <v>1020.547279636753</v>
      </c>
      <c r="H21" s="82">
        <v>22194.685530489482</v>
      </c>
      <c r="I21" s="83">
        <v>960.56873914203618</v>
      </c>
      <c r="J21" s="82">
        <v>21131.239657682952</v>
      </c>
      <c r="K21" s="83">
        <v>902.02028889211022</v>
      </c>
      <c r="L21" s="82">
        <v>19978.977842643202</v>
      </c>
      <c r="M21" s="83">
        <v>844.41763688376489</v>
      </c>
      <c r="N21" s="82">
        <v>18773.369215899747</v>
      </c>
      <c r="O21" s="83">
        <v>786.94131179753629</v>
      </c>
      <c r="P21" s="82">
        <v>17586.228752232313</v>
      </c>
      <c r="Q21" s="83">
        <v>727.51045381837105</v>
      </c>
      <c r="R21" s="82"/>
      <c r="S21" s="83"/>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6533.6044688320826</v>
      </c>
      <c r="C22" s="42">
        <v>379.90788307663479</v>
      </c>
      <c r="D22" s="41">
        <v>6350.3347106539977</v>
      </c>
      <c r="E22" s="42">
        <v>359.06343236778827</v>
      </c>
      <c r="F22" s="41">
        <v>6132.2118992082915</v>
      </c>
      <c r="G22" s="42">
        <v>338.61808379179956</v>
      </c>
      <c r="H22" s="41">
        <v>5880.3936770533337</v>
      </c>
      <c r="I22" s="42">
        <v>318.56812583830481</v>
      </c>
      <c r="J22" s="41">
        <v>5598.7090749860718</v>
      </c>
      <c r="K22" s="42">
        <v>298.88361991585339</v>
      </c>
      <c r="L22" s="41">
        <v>5293.4790616250912</v>
      </c>
      <c r="M22" s="42">
        <v>279.51590552498016</v>
      </c>
      <c r="N22" s="41">
        <v>4974.0327870527253</v>
      </c>
      <c r="O22" s="42">
        <v>260.40986505640512</v>
      </c>
      <c r="P22" s="41">
        <v>4659.1266064442716</v>
      </c>
      <c r="Q22" s="42">
        <v>241.5230453501062</v>
      </c>
      <c r="R22" s="41"/>
      <c r="S22" s="42"/>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3189.8043979525842</v>
      </c>
      <c r="E23" s="8">
        <v>0</v>
      </c>
      <c r="F23" s="116">
        <v>3082.9549017698805</v>
      </c>
      <c r="G23" s="8">
        <v>0</v>
      </c>
      <c r="H23" s="116">
        <v>2958.4847994697489</v>
      </c>
      <c r="I23" s="8">
        <v>0</v>
      </c>
      <c r="J23" s="116">
        <v>2818.3446188706189</v>
      </c>
      <c r="K23" s="8">
        <v>0</v>
      </c>
      <c r="L23" s="116">
        <v>2665.814176324126</v>
      </c>
      <c r="M23" s="8">
        <v>0</v>
      </c>
      <c r="N23" s="116">
        <v>2505.7688368994727</v>
      </c>
      <c r="O23" s="8">
        <v>0</v>
      </c>
      <c r="P23" s="116">
        <v>2348.0312841122277</v>
      </c>
      <c r="Q23" s="8">
        <v>0</v>
      </c>
      <c r="R23" s="116"/>
      <c r="S23" s="8"/>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3109.9088448040102</v>
      </c>
      <c r="E24" s="8">
        <v>0</v>
      </c>
      <c r="F24" s="97">
        <v>3005.7356228229878</v>
      </c>
      <c r="G24" s="8">
        <v>0</v>
      </c>
      <c r="H24" s="97">
        <v>2884.3831451879191</v>
      </c>
      <c r="I24" s="8">
        <v>0</v>
      </c>
      <c r="J24" s="97">
        <v>2747.7530822555536</v>
      </c>
      <c r="K24" s="8">
        <v>0</v>
      </c>
      <c r="L24" s="97">
        <v>2599.043093054679</v>
      </c>
      <c r="M24" s="8">
        <v>0</v>
      </c>
      <c r="N24" s="97">
        <v>2443.0064345388737</v>
      </c>
      <c r="O24" s="8">
        <v>0</v>
      </c>
      <c r="P24" s="97">
        <v>2289.2197687306771</v>
      </c>
      <c r="Q24" s="8">
        <v>0</v>
      </c>
      <c r="R24" s="97"/>
      <c r="S24" s="8"/>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3195.0476040000053</v>
      </c>
      <c r="C25" s="42">
        <v>91.012690000004284</v>
      </c>
      <c r="D25" s="41">
        <v>3108.1700091633561</v>
      </c>
      <c r="E25" s="42">
        <v>84.651070533724109</v>
      </c>
      <c r="F25" s="41">
        <v>3003.4436201068656</v>
      </c>
      <c r="G25" s="42">
        <v>78.848843198095395</v>
      </c>
      <c r="H25" s="41">
        <v>2881.4363019944676</v>
      </c>
      <c r="I25" s="42">
        <v>73.550232760981331</v>
      </c>
      <c r="J25" s="41">
        <v>2744.1405283178665</v>
      </c>
      <c r="K25" s="42">
        <v>68.65845268567989</v>
      </c>
      <c r="L25" s="41">
        <v>2594.9074856284083</v>
      </c>
      <c r="M25" s="42">
        <v>64.030788032176929</v>
      </c>
      <c r="N25" s="41">
        <v>2438.7951943530761</v>
      </c>
      <c r="O25" s="42">
        <v>59.439748818109251</v>
      </c>
      <c r="P25" s="41">
        <v>2286.3400026263248</v>
      </c>
      <c r="Q25" s="42">
        <v>54.326186722839736</v>
      </c>
      <c r="R25" s="41"/>
      <c r="S25" s="42"/>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4788.9734833198772</v>
      </c>
      <c r="E26" s="34">
        <v>69.26048071277819</v>
      </c>
      <c r="F26" s="33">
        <v>4534.7790077756372</v>
      </c>
      <c r="G26" s="34">
        <v>64.106018999757538</v>
      </c>
      <c r="H26" s="33">
        <v>4276.1214928852205</v>
      </c>
      <c r="I26" s="34">
        <v>59.408115404926008</v>
      </c>
      <c r="J26" s="33">
        <v>4015.5529906667039</v>
      </c>
      <c r="K26" s="34">
        <v>55.103464810447527</v>
      </c>
      <c r="L26" s="33">
        <v>3755.8501461757737</v>
      </c>
      <c r="M26" s="34">
        <v>51.101871946672794</v>
      </c>
      <c r="N26" s="33">
        <v>3501.0176489566147</v>
      </c>
      <c r="O26" s="34">
        <v>47.278243637018143</v>
      </c>
      <c r="P26" s="33">
        <v>3261.9389163953851</v>
      </c>
      <c r="Q26" s="34">
        <v>43.387947897315428</v>
      </c>
      <c r="R26" s="33"/>
      <c r="S26" s="34"/>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6437.1694369857032</v>
      </c>
      <c r="E27" s="36">
        <v>261.2556162071262</v>
      </c>
      <c r="F27" s="35">
        <v>6447.9507670705116</v>
      </c>
      <c r="G27" s="36">
        <v>250.47134422780405</v>
      </c>
      <c r="H27" s="35">
        <v>6457.4636477875556</v>
      </c>
      <c r="I27" s="36">
        <v>240.96059441553999</v>
      </c>
      <c r="J27" s="35">
        <v>6465.6220525354083</v>
      </c>
      <c r="K27" s="36">
        <v>232.8105300785312</v>
      </c>
      <c r="L27" s="35">
        <v>6472.194027793852</v>
      </c>
      <c r="M27" s="36">
        <v>226.23701327554258</v>
      </c>
      <c r="N27" s="35">
        <v>6476.438456093987</v>
      </c>
      <c r="O27" s="36">
        <v>221.99069374147152</v>
      </c>
      <c r="P27" s="35">
        <v>6475.1170913542155</v>
      </c>
      <c r="Q27" s="36">
        <v>223.30702773148326</v>
      </c>
      <c r="R27" s="35"/>
      <c r="S27" s="36"/>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13763.097676000001</v>
      </c>
      <c r="C28" s="42">
        <v>382.36647900000003</v>
      </c>
      <c r="D28" s="41">
        <v>13384.663193269393</v>
      </c>
      <c r="E28" s="42">
        <v>361.58679457155966</v>
      </c>
      <c r="F28" s="41">
        <v>12931.405550938309</v>
      </c>
      <c r="G28" s="42">
        <v>341.46834731581032</v>
      </c>
      <c r="H28" s="41">
        <v>12405.459539307467</v>
      </c>
      <c r="I28" s="42">
        <v>321.93682882139314</v>
      </c>
      <c r="J28" s="41">
        <v>11814.878414225463</v>
      </c>
      <c r="K28" s="42">
        <v>302.84812017527042</v>
      </c>
      <c r="L28" s="41">
        <v>11173.297205272442</v>
      </c>
      <c r="M28" s="42">
        <v>283.96968535893194</v>
      </c>
      <c r="N28" s="41">
        <v>10501.122103876185</v>
      </c>
      <c r="O28" s="42">
        <v>264.88954498624531</v>
      </c>
      <c r="P28" s="41">
        <v>9839.87794661931</v>
      </c>
      <c r="Q28" s="42">
        <v>244.48098521387288</v>
      </c>
      <c r="R28" s="41"/>
      <c r="S28" s="42"/>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13960.633457020685</v>
      </c>
      <c r="E29" s="36">
        <v>770.11907371130667</v>
      </c>
      <c r="F29" s="35">
        <v>13481.775483460398</v>
      </c>
      <c r="G29" s="36">
        <v>724.86376384947084</v>
      </c>
      <c r="H29" s="35">
        <v>12928.592994005894</v>
      </c>
      <c r="I29" s="36">
        <v>681.34866023941254</v>
      </c>
      <c r="J29" s="35">
        <v>12309.473897290562</v>
      </c>
      <c r="K29" s="36">
        <v>639.2609282789972</v>
      </c>
      <c r="L29" s="35">
        <v>11638.434604981265</v>
      </c>
      <c r="M29" s="36">
        <v>598.1078481876533</v>
      </c>
      <c r="N29" s="35">
        <v>10936.341431694256</v>
      </c>
      <c r="O29" s="36">
        <v>557.08020263796573</v>
      </c>
      <c r="P29" s="35">
        <v>10245.576752502553</v>
      </c>
      <c r="Q29" s="36">
        <v>514.15476161544461</v>
      </c>
      <c r="R29" s="35"/>
      <c r="S29" s="36"/>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2841864.3962007929</v>
      </c>
      <c r="F30" s="119">
        <v>2743701.151874044</v>
      </c>
      <c r="H30" s="119">
        <v>2630803.4308803831</v>
      </c>
      <c r="J30" s="119">
        <v>2504789.1025476372</v>
      </c>
      <c r="L30" s="119">
        <v>2368339.8298653993</v>
      </c>
      <c r="N30" s="119">
        <v>2225375.0009367024</v>
      </c>
      <c r="P30" s="119">
        <v>2083579.4402149813</v>
      </c>
      <c r="R30" s="119"/>
      <c r="T30" s="119"/>
      <c r="V30" s="119"/>
      <c r="X30" s="119"/>
      <c r="Z30" s="119"/>
      <c r="AB30" s="119"/>
      <c r="AD30" s="119"/>
      <c r="AF30" s="119"/>
      <c r="AH30" s="119"/>
      <c r="AJ30" s="119"/>
      <c r="AL30" s="119"/>
      <c r="AN30" s="119"/>
      <c r="AP30" s="119"/>
      <c r="AR30" s="119"/>
      <c r="AT30" s="119"/>
      <c r="AV30" s="119"/>
    </row>
    <row r="31" spans="1:49" x14ac:dyDescent="0.2">
      <c r="A31" t="s">
        <v>47</v>
      </c>
      <c r="B31" s="80">
        <v>1.0000000000000013</v>
      </c>
      <c r="D31" s="80">
        <v>0.97045746070851324</v>
      </c>
      <c r="F31" s="80">
        <v>0.93588646389055141</v>
      </c>
      <c r="H31" s="80">
        <v>0.89648501124606117</v>
      </c>
      <c r="J31" s="80">
        <v>0.85282446536191903</v>
      </c>
      <c r="L31" s="80">
        <v>0.80582220691359208</v>
      </c>
      <c r="N31" s="80">
        <v>0.75681746463460409</v>
      </c>
      <c r="P31" s="80">
        <v>0.70849453836529663</v>
      </c>
      <c r="R31" s="80"/>
      <c r="T31" s="80"/>
      <c r="V31" s="80"/>
      <c r="X31" s="80"/>
      <c r="Z31" s="80"/>
      <c r="AB31" s="80"/>
      <c r="AD31" s="80"/>
      <c r="AF31" s="80"/>
      <c r="AH31" s="80"/>
      <c r="AJ31" s="80"/>
      <c r="AL31" s="80"/>
      <c r="AN31" s="80"/>
      <c r="AP31" s="80"/>
      <c r="AR31" s="80"/>
      <c r="AT31" s="80"/>
      <c r="AV31" s="80"/>
    </row>
    <row r="32" spans="1:49" x14ac:dyDescent="0.2">
      <c r="A32" t="s">
        <v>64</v>
      </c>
      <c r="B32" s="86">
        <v>14734457.915000005</v>
      </c>
      <c r="D32" s="86">
        <v>14323663.952861248</v>
      </c>
      <c r="F32" s="86">
        <v>13834971.070860269</v>
      </c>
      <c r="H32" s="86">
        <v>13270607.521469455</v>
      </c>
      <c r="J32" s="86">
        <v>12638745.018649206</v>
      </c>
      <c r="L32" s="86">
        <v>11953026.545375872</v>
      </c>
      <c r="N32" s="86">
        <v>11233401.978083374</v>
      </c>
      <c r="P32" s="86">
        <v>10518796.917611104</v>
      </c>
      <c r="R32" s="86"/>
      <c r="T32" s="86"/>
      <c r="V32" s="86"/>
      <c r="X32" s="86"/>
      <c r="Z32" s="86"/>
      <c r="AB32" s="86"/>
      <c r="AD32" s="86"/>
      <c r="AF32" s="86"/>
      <c r="AH32" s="86"/>
      <c r="AJ32" s="86"/>
      <c r="AL32" s="86"/>
      <c r="AN32" s="86"/>
      <c r="AP32" s="86"/>
      <c r="AR32" s="86"/>
      <c r="AT32" s="86"/>
      <c r="AV32" s="86"/>
    </row>
    <row r="33" spans="1:49 16319:16321" x14ac:dyDescent="0.2">
      <c r="A33" t="s">
        <v>54</v>
      </c>
      <c r="B33" s="117">
        <v>7019665.6910000062</v>
      </c>
      <c r="D33" s="117">
        <v>6823958.7255699337</v>
      </c>
      <c r="F33" s="117">
        <v>6591139.8081502169</v>
      </c>
      <c r="H33" s="117">
        <v>6322270.4887360716</v>
      </c>
      <c r="J33" s="117">
        <v>6021243.8902157685</v>
      </c>
      <c r="L33" s="117">
        <v>5694559.705626443</v>
      </c>
      <c r="N33" s="117">
        <v>5351722.2643109877</v>
      </c>
      <c r="P33" s="117">
        <v>5011276.1488738237</v>
      </c>
      <c r="R33" s="117"/>
      <c r="T33" s="117"/>
      <c r="V33" s="117"/>
      <c r="X33" s="117"/>
      <c r="Z33" s="117"/>
      <c r="AB33" s="117"/>
      <c r="AD33" s="117"/>
      <c r="AF33" s="117"/>
      <c r="AH33" s="117"/>
      <c r="AJ33" s="117"/>
      <c r="AL33" s="117"/>
      <c r="AN33" s="117"/>
      <c r="AP33" s="117"/>
      <c r="AR33" s="117"/>
      <c r="AT33" s="117"/>
      <c r="AV33" s="117"/>
    </row>
    <row r="34" spans="1:49 16319:16321" x14ac:dyDescent="0.2">
      <c r="A34" t="s">
        <v>75</v>
      </c>
      <c r="B34" s="117">
        <v>1136879.4409999985</v>
      </c>
      <c r="D34" s="117">
        <v>1105183.4374091022</v>
      </c>
      <c r="F34" s="117">
        <v>1067476.928513967</v>
      </c>
      <c r="H34" s="117">
        <v>1023931.8508076661</v>
      </c>
      <c r="J34" s="117">
        <v>975178.69456245459</v>
      </c>
      <c r="L34" s="117">
        <v>922270.11206311337</v>
      </c>
      <c r="N34" s="117">
        <v>866745.40920364461</v>
      </c>
      <c r="P34" s="117">
        <v>811608.01617864461</v>
      </c>
      <c r="R34" s="117"/>
      <c r="T34" s="117"/>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1.0017137183913452</v>
      </c>
      <c r="F35" s="233">
        <v>1.0032795470668936</v>
      </c>
      <c r="H35" s="233">
        <v>1.0046534324066054</v>
      </c>
      <c r="J35" s="233">
        <v>1.005807443950566</v>
      </c>
      <c r="L35" s="233">
        <v>1.0067259518771214</v>
      </c>
      <c r="N35" s="233">
        <v>1.007383319807168</v>
      </c>
      <c r="P35" s="233">
        <v>1.0076435071857506</v>
      </c>
      <c r="R35" s="233"/>
      <c r="T35" s="233"/>
      <c r="V35" s="233"/>
      <c r="X35" s="233"/>
      <c r="Z35" s="233"/>
      <c r="AB35" s="233"/>
      <c r="AD35" s="233"/>
      <c r="AF35" s="233"/>
      <c r="AH35" s="233"/>
      <c r="AJ35" s="233"/>
      <c r="AL35" s="233"/>
      <c r="AN35" s="233"/>
      <c r="AP35" s="233"/>
      <c r="AR35" s="233"/>
      <c r="AT35" s="233"/>
      <c r="AV35" s="233"/>
    </row>
    <row r="36" spans="1:49 16319:16321" x14ac:dyDescent="0.2">
      <c r="A36" t="s">
        <v>21</v>
      </c>
      <c r="B36" s="37">
        <v>0.4719576767198812</v>
      </c>
      <c r="C36" s="38">
        <v>0.31738834428178975</v>
      </c>
      <c r="D36" s="37">
        <v>0.47196427816867886</v>
      </c>
      <c r="E36" s="38">
        <v>0.31822364209747345</v>
      </c>
      <c r="F36" s="37">
        <v>0.47196929270052645</v>
      </c>
      <c r="G36" s="38">
        <v>0.31889088156282741</v>
      </c>
      <c r="H36" s="37">
        <v>0.47197271027220539</v>
      </c>
      <c r="I36" s="38">
        <v>0.3193781770614928</v>
      </c>
      <c r="J36" s="37">
        <v>0.47197472530054158</v>
      </c>
      <c r="K36" s="38">
        <v>0.31969871433881625</v>
      </c>
      <c r="L36" s="37">
        <v>0.47197584300192591</v>
      </c>
      <c r="M36" s="38">
        <v>0.31990248161893842</v>
      </c>
      <c r="N36" s="37">
        <v>0.47197724864786972</v>
      </c>
      <c r="O36" s="38">
        <v>0.32011457545659977</v>
      </c>
      <c r="P36" s="37">
        <v>0.47198283385636064</v>
      </c>
      <c r="Q36" s="38">
        <v>0.32074693296864809</v>
      </c>
      <c r="R36" s="37"/>
      <c r="S36" s="38"/>
      <c r="T36" s="37"/>
      <c r="U36" s="38"/>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0.3496246130199252</v>
      </c>
      <c r="D37" s="39">
        <v>2.1155286620229752E-2</v>
      </c>
      <c r="E37" s="40">
        <v>0.34811939043074597</v>
      </c>
      <c r="F37" s="39">
        <v>2.094773143471064E-2</v>
      </c>
      <c r="G37" s="40">
        <v>0.34682657934948635</v>
      </c>
      <c r="H37" s="39">
        <v>2.0781710627021839E-2</v>
      </c>
      <c r="I37" s="40">
        <v>0.34575502678298781</v>
      </c>
      <c r="J37" s="39">
        <v>2.0654899268312411E-2</v>
      </c>
      <c r="K37" s="40">
        <v>0.34489922121601058</v>
      </c>
      <c r="L37" s="39">
        <v>2.0561028718719232E-2</v>
      </c>
      <c r="M37" s="40">
        <v>0.34424205013466874</v>
      </c>
      <c r="N37" s="39">
        <v>2.0487872493954565E-2</v>
      </c>
      <c r="O37" s="40">
        <v>0.34376158309294474</v>
      </c>
      <c r="P37" s="39">
        <v>2.0403736185397189E-2</v>
      </c>
      <c r="Q37" s="40">
        <v>0.34344955800811527</v>
      </c>
      <c r="R37" s="39"/>
      <c r="S37" s="40"/>
      <c r="T37" s="39"/>
      <c r="U37" s="40"/>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0.1768623205535988</v>
      </c>
      <c r="E38" s="38">
        <v>5.9354191976731578E-2</v>
      </c>
      <c r="F38" s="37">
        <v>0.17342142787027806</v>
      </c>
      <c r="G38" s="38">
        <v>5.8308729098647108E-2</v>
      </c>
      <c r="H38" s="37">
        <v>0.17052559307370677</v>
      </c>
      <c r="I38" s="38">
        <v>5.7445510341638591E-2</v>
      </c>
      <c r="J38" s="37">
        <v>0.16818797513582209</v>
      </c>
      <c r="K38" s="38">
        <v>5.6764609368372056E-2</v>
      </c>
      <c r="L38" s="37">
        <v>0.16638026110177395</v>
      </c>
      <c r="M38" s="38">
        <v>5.6247874732468825E-2</v>
      </c>
      <c r="N38" s="37">
        <v>0.16504757704044223</v>
      </c>
      <c r="O38" s="38">
        <v>5.5854705832262777E-2</v>
      </c>
      <c r="P38" s="37">
        <v>0.16414269061123204</v>
      </c>
      <c r="Q38" s="38">
        <v>5.5488117721624576E-2</v>
      </c>
      <c r="R38" s="37"/>
      <c r="S38" s="38"/>
      <c r="T38" s="37"/>
      <c r="U38" s="38"/>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0.2377321002898419</v>
      </c>
      <c r="E39" s="40">
        <v>0.22388836808197587</v>
      </c>
      <c r="F39" s="39">
        <v>0.24658595864214328</v>
      </c>
      <c r="G39" s="40">
        <v>0.22782050711350912</v>
      </c>
      <c r="H39" s="39">
        <v>0.25751439011333821</v>
      </c>
      <c r="I39" s="40">
        <v>0.23300022604786286</v>
      </c>
      <c r="J39" s="39">
        <v>0.27080700554493248</v>
      </c>
      <c r="K39" s="40">
        <v>0.23982881733864836</v>
      </c>
      <c r="L39" s="39">
        <v>0.28671147418970711</v>
      </c>
      <c r="M39" s="40">
        <v>0.24901927655116249</v>
      </c>
      <c r="N39" s="39">
        <v>0.30531707697858035</v>
      </c>
      <c r="O39" s="40">
        <v>0.26226069207700908</v>
      </c>
      <c r="P39" s="39">
        <v>0.32583171194761473</v>
      </c>
      <c r="Q39" s="40">
        <v>0.28558360658484372</v>
      </c>
      <c r="R39" s="39"/>
      <c r="S39" s="40"/>
      <c r="T39" s="39"/>
      <c r="U39" s="40"/>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0.15214741125454617</v>
      </c>
      <c r="E42" s="135"/>
      <c r="F42" s="177">
        <f>10.8%+(1-10.8%)*(1-SUM(F26:G26)/SUM($B$26:$C$26))</f>
        <v>0.19740864598920013</v>
      </c>
      <c r="G42" s="135"/>
      <c r="H42" s="177">
        <f>10.8%+(1-10.8%)*(1-SUM(H26:I26)/SUM($B$26:$C$26))</f>
        <v>0.24336908654762837</v>
      </c>
      <c r="I42" s="135"/>
      <c r="J42" s="177">
        <f>10.8%+(1-10.8%)*(1-SUM(J26:K26)/SUM($B$26:$C$26))</f>
        <v>0.28959440010071591</v>
      </c>
      <c r="K42" s="135"/>
      <c r="L42" s="177">
        <f>10.8%+(1-10.8%)*(1-SUM(L26:M26)/SUM($B$26:$C$26))</f>
        <v>0.33561575097227025</v>
      </c>
      <c r="M42" s="135"/>
      <c r="N42" s="177">
        <f>10.8%+(1-10.8%)*(1-SUM(N26:O26)/SUM($B$26:$C$26))</f>
        <v>0.380756077117131</v>
      </c>
      <c r="O42" s="135"/>
      <c r="P42" s="177">
        <f>10.8%+(1-10.8%)*(1-SUM(P26:Q26)/SUM($B$26:$C$26))</f>
        <v>0.42315871172777819</v>
      </c>
      <c r="Q42" s="135"/>
      <c r="R42" s="177">
        <f>10.8%+(1-10.8%)*(1-SUM(R26:S26)/SUM($B$26:$C$26))</f>
        <v>1</v>
      </c>
      <c r="S42" s="135"/>
      <c r="T42" s="177">
        <f>10.8%+(1-10.8%)*(1-SUM(T26:U26)/SUM($B$26:$C$26))</f>
        <v>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0.57615000830040608</v>
      </c>
      <c r="E43" s="135"/>
      <c r="F43" s="162">
        <f t="array" ref="F43">SUM(F15:G15*F27:G27)/SUM(F15:G15*F27:G27,F13:G13*F26:G26)</f>
        <v>0.58399989027557619</v>
      </c>
      <c r="G43" s="135"/>
      <c r="H43" s="162">
        <f t="array" ref="H43">SUM(H15:I15*H27:I27)/SUM(H15:I15*H27:I27,H13:I13*H26:I26)</f>
        <v>0.59062160480582204</v>
      </c>
      <c r="I43" s="135"/>
      <c r="J43" s="162">
        <f t="array" ref="J43">SUM(J15:K15*J27:K27)/SUM(J15:K15*J27:K27,J13:K13*J26:K26)</f>
        <v>0.59598259084201499</v>
      </c>
      <c r="K43" s="135"/>
      <c r="L43" s="162">
        <f t="array" ref="L43">SUM(L15:M15*L27:M27)/SUM(L15:M15*L27:M27,L13:M13*L26:M26)</f>
        <v>0.60013757236051468</v>
      </c>
      <c r="M43" s="135"/>
      <c r="N43" s="162">
        <f t="array" ref="N43">SUM(N15:O15*N27:O27)/SUM(N15:O15*N27:O27,N13:O13*N26:O26)</f>
        <v>0.6031879666766814</v>
      </c>
      <c r="O43" s="135"/>
      <c r="P43" s="162">
        <f t="array" ref="P43">SUM(P15:Q15*P27:Q27)/SUM(P15:Q15*P27:Q27,P13:Q13*P26:Q26)</f>
        <v>0.60515634380431527</v>
      </c>
      <c r="Q43" s="135"/>
      <c r="R43" s="162" t="e">
        <f t="array" ref="R43">SUM(R15:S15*R27:S27)/SUM(R15:S15*R27:S27,R13:S13*R26:S26)</f>
        <v>#DIV/0!</v>
      </c>
      <c r="S43" s="135"/>
      <c r="T43" s="162" t="e">
        <f t="array" ref="T43">SUM(T15:U15*T27:U27)/SUM(T15:U15*T27:U27,T13:U13*T26:U26)</f>
        <v>#DIV/0!</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0.29754226078722129</v>
      </c>
      <c r="F44" s="193">
        <f>(SUM(F11:G11*F24:G24)+F34)/F32</f>
        <v>0.29754226017528679</v>
      </c>
      <c r="H44" s="193">
        <f>(SUM(H11:I11*H24:I24)+H34)/H32</f>
        <v>0.29754226126068711</v>
      </c>
      <c r="J44" s="193">
        <f>(SUM(J11:K11*J24:K24)+J34)/J32</f>
        <v>0.29754226238137776</v>
      </c>
      <c r="L44" s="193">
        <f>(SUM(L11:M11*L24:M24)+L34)/L32</f>
        <v>0.29754226200436801</v>
      </c>
      <c r="N44" s="193">
        <f>(SUM(N11:O11*N24:O24)+N34)/N32</f>
        <v>0.29754226180112303</v>
      </c>
      <c r="P44" s="193">
        <f>(SUM(P11:Q11*P24:Q24)+P34)/P32</f>
        <v>0.29754226395294997</v>
      </c>
      <c r="R44" s="193" t="e">
        <f>(SUM(R11:S11*R24:S24)+R34)/R32</f>
        <v>#DIV/0!</v>
      </c>
      <c r="T44" s="193" t="e">
        <f>(SUM(T11:U11*T24:U24)+T34)/T32</f>
        <v>#DIV/0!</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0.22038438825919857</v>
      </c>
      <c r="F45" s="193">
        <f>SUM(F11:G11*F24:G24)/F32</f>
        <v>0.22038438806651697</v>
      </c>
      <c r="H45" s="193">
        <f>SUM(H11:I11*H24:I24)/H32</f>
        <v>0.22038438818282474</v>
      </c>
      <c r="J45" s="193">
        <f>SUM(J11:K11*J24:K24)/J32</f>
        <v>0.22038438846877631</v>
      </c>
      <c r="L45" s="193">
        <f>SUM(L11:M11*L24:M24)/L32</f>
        <v>0.22038438834266338</v>
      </c>
      <c r="N45" s="193">
        <f>SUM(N11:O11*N24:O24)/N32</f>
        <v>0.22038438826515547</v>
      </c>
      <c r="P45" s="193">
        <f>SUM(P11:Q11*P24:Q24)/P32</f>
        <v>0.22038438909942851</v>
      </c>
      <c r="R45" s="193" t="e">
        <f>SUM(R11:S11*R24:S24)/R32</f>
        <v>#DIV/0!</v>
      </c>
      <c r="T45" s="193" t="e">
        <f>SUM(T11:U11*T24:U24)/T32</f>
        <v>#DIV/0!</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7.7157872528022725E-2</v>
      </c>
      <c r="F46" s="193">
        <f>F34/F32</f>
        <v>7.7157872108769829E-2</v>
      </c>
      <c r="H46" s="193">
        <f>H34/H32</f>
        <v>7.7157873077862385E-2</v>
      </c>
      <c r="J46" s="193">
        <f>J34/J32</f>
        <v>7.7157873912601413E-2</v>
      </c>
      <c r="L46" s="193">
        <f>L34/L32</f>
        <v>7.7157873661704637E-2</v>
      </c>
      <c r="N46" s="193">
        <f>N34/N32</f>
        <v>7.7157873535967536E-2</v>
      </c>
      <c r="P46" s="193">
        <f>P34/P32</f>
        <v>7.7157874853521435E-2</v>
      </c>
      <c r="R46" s="193" t="e">
        <f>R34/R32</f>
        <v>#DIV/0!</v>
      </c>
      <c r="T46" s="193" t="e">
        <f>T34/T32</f>
        <v>#DIV/0!</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0.97294574890931151</v>
      </c>
      <c r="E48" s="191"/>
      <c r="F48" s="191">
        <f>F24/$B$24</f>
        <v>0.94035479575453851</v>
      </c>
      <c r="G48" s="191"/>
      <c r="H48" s="191">
        <f>H24/$B$24</f>
        <v>0.90238925299211292</v>
      </c>
      <c r="I48" s="191"/>
      <c r="J48" s="191">
        <f>J24/$B$24</f>
        <v>0.8596440647769148</v>
      </c>
      <c r="K48" s="191"/>
      <c r="L48" s="191">
        <f>L24/$B$24</f>
        <v>0.81311962980671271</v>
      </c>
      <c r="M48" s="191"/>
      <c r="N48" s="191">
        <f>N24/$B$24</f>
        <v>0.76430302097567981</v>
      </c>
      <c r="O48" s="191"/>
      <c r="P48" s="191">
        <f>P24/$B$24</f>
        <v>0.71619033015291989</v>
      </c>
      <c r="Q48" s="191"/>
      <c r="R48" s="191">
        <f>R24/$B$24</f>
        <v>0</v>
      </c>
      <c r="S48" s="191"/>
      <c r="T48" s="191">
        <f>T24/$B$24</f>
        <v>0</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0.9999999994994202</v>
      </c>
      <c r="E49" s="191"/>
      <c r="F49" s="191">
        <f>F13/F35/$B$13*$B$35</f>
        <v>0.99999999939931672</v>
      </c>
      <c r="G49" s="191"/>
      <c r="H49" s="191">
        <f>H13/H35/$B$13*$B$35</f>
        <v>0.99999999981769672</v>
      </c>
      <c r="I49" s="191"/>
      <c r="J49" s="191">
        <f>J13/J35/$B$13*$B$35</f>
        <v>1.0000000001080502</v>
      </c>
      <c r="K49" s="191"/>
      <c r="L49" s="191">
        <f>L13/L35/$B$13*$B$35</f>
        <v>1.000000000063614</v>
      </c>
      <c r="M49" s="191"/>
      <c r="N49" s="191">
        <f>N13/N35/$B$13*$B$35</f>
        <v>1.0000000000211111</v>
      </c>
      <c r="O49" s="191"/>
      <c r="P49" s="191">
        <f>P13/P35/$B$13*$B$35</f>
        <v>1.000000000374198</v>
      </c>
      <c r="Q49" s="191"/>
      <c r="R49" s="191" t="e">
        <f>R13/R35/$B$13*$B$35</f>
        <v>#DIV/0!</v>
      </c>
      <c r="S49" s="191"/>
      <c r="T49" s="191" t="e">
        <f>T13/T35/$B$13*$B$35</f>
        <v>#DIV/0!</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-395945.47579975892</v>
      </c>
      <c r="F51" s="29">
        <f>F30-F10*F23</f>
        <v>-383641.54895253619</v>
      </c>
      <c r="H51" s="29">
        <f>H30-H10*H23</f>
        <v>-368967.03161189612</v>
      </c>
      <c r="J51" s="29">
        <f>J30-J10*J23</f>
        <v>-352151.23937554657</v>
      </c>
      <c r="L51" s="29">
        <f>L30-L10*L23</f>
        <v>-333596.45377463568</v>
      </c>
      <c r="N51" s="29">
        <f>N30-N10*N23</f>
        <v>-313892.88055554684</v>
      </c>
      <c r="P51" s="29">
        <f>P30-P10*P23</f>
        <v>-294154.67959497962</v>
      </c>
      <c r="R51" s="29">
        <f>R30-R10*R23</f>
        <v>0</v>
      </c>
      <c r="T51" s="29">
        <f>T30-T10*T23</f>
        <v>0</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1951163.2121149641</v>
      </c>
      <c r="F52" s="29">
        <f t="array" ref="F52">Calibration!sL*SUM(F13:G13*F26:G26)</f>
        <v>1849890.6731256631</v>
      </c>
      <c r="H52" s="29">
        <f t="array" ref="H52">Calibration!sL*SUM(H13:I13*H26:I26)</f>
        <v>1746344.7411638252</v>
      </c>
      <c r="J52" s="29">
        <f t="array" ref="J52">Calibration!sL*SUM(J13:K13*J26:K26)</f>
        <v>1641537.6535633253</v>
      </c>
      <c r="L52" s="29">
        <f t="array" ref="L52">Calibration!sL*SUM(L13:M13*L26:M26)</f>
        <v>1536597.843448807</v>
      </c>
      <c r="N52" s="29">
        <f t="array" ref="N52">Calibration!sL*SUM(N13:O13*N26:O26)</f>
        <v>1433131.8109747379</v>
      </c>
      <c r="P52" s="29">
        <f t="array" ref="P52">Calibration!sL*SUM(P13:Q13*P26:Q26)</f>
        <v>1335343.1298593697</v>
      </c>
      <c r="R52" s="29">
        <f t="array" ref="R52">Calibration!sL*SUM(R13:S13*R26:S26)</f>
        <v>0</v>
      </c>
      <c r="T52" s="29">
        <f t="array" ref="T52">Calibration!sL*SUM(T13:U13*T26:U26)</f>
        <v>0</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2706676.6736138528</v>
      </c>
      <c r="F53" s="29">
        <f t="array" ref="F53">Calibration!sK*SUM(F15:G15*F27:G27)</f>
        <v>2650237.3529736241</v>
      </c>
      <c r="H53" s="29">
        <f t="array" ref="H53">Calibration!sK*SUM(H15:I15*H27:I27)</f>
        <v>2571187.6800397271</v>
      </c>
      <c r="J53" s="29">
        <f t="array" ref="J53">Calibration!sK*SUM(J15:K15*J27:K27)</f>
        <v>2471176.3055230025</v>
      </c>
      <c r="L53" s="29">
        <f t="array" ref="L53">Calibration!sK*SUM(L15:M15*L27:M27)</f>
        <v>2353530.4727883763</v>
      </c>
      <c r="N53" s="29">
        <f t="array" ref="N53">Calibration!sK*SUM(N15:O15*N27:O27)</f>
        <v>2223173.5100178765</v>
      </c>
      <c r="P53" s="29">
        <f t="array" ref="P53">Calibration!sK*SUM(P15:Q15*P27:Q27)</f>
        <v>2088597.1909857909</v>
      </c>
      <c r="R53" s="29">
        <f t="array" ref="R53">Calibration!sK*SUM(R15:S15*R27:S27)</f>
        <v>0</v>
      </c>
      <c r="T53" s="29">
        <f t="array" ref="T53">Calibration!sK*SUM(T15:U15*T27:U27)</f>
        <v>0</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0.19840345358235742</v>
      </c>
      <c r="F55" s="193">
        <f>F30/F32</f>
        <v>0.19831636349807261</v>
      </c>
      <c r="H55" s="193">
        <f>H30/H32</f>
        <v>0.19824287822725647</v>
      </c>
      <c r="J55" s="193">
        <f>J30/J32</f>
        <v>0.19818337175500217</v>
      </c>
      <c r="L55" s="193">
        <f>L30/L32</f>
        <v>0.19813725175584179</v>
      </c>
      <c r="N55" s="193">
        <f>N30/N32</f>
        <v>0.19810338891801968</v>
      </c>
      <c r="P55" s="193">
        <f>P30/P32</f>
        <v>0.19808153504005263</v>
      </c>
      <c r="R55" s="193" t="e">
        <f>R30/R32</f>
        <v>#DIV/0!</v>
      </c>
      <c r="T55" s="193" t="e">
        <f>T30/T32</f>
        <v>#DIV/0!</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3.2411306903875357E-2</v>
      </c>
      <c r="F56" s="193">
        <f>(Model!$C$52*F5*F20+F2*G5*G20)/F32</f>
        <v>3.5209349138225578E-2</v>
      </c>
      <c r="H56" s="193">
        <f>(Model!$C$52*H5*H20+H2*I5*I20)/H32</f>
        <v>3.7569526598562178E-2</v>
      </c>
      <c r="J56" s="193">
        <f>(Model!$C$52*J5*J20+J2*K5*K20)/J32</f>
        <v>3.9480288254780956E-2</v>
      </c>
      <c r="L56" s="193">
        <f>(Model!$C$52*L5*L20+L2*M5*M20)/L32</f>
        <v>4.0961365934807127E-2</v>
      </c>
      <c r="N56" s="193">
        <f>(Model!$C$52*N5*N20+N2*O5*O20)/N32</f>
        <v>4.2048679287694304E-2</v>
      </c>
      <c r="P56" s="193">
        <f>(Model!$C$52*P5*P20+P2*Q5*Q20)/P32</f>
        <v>4.2749938548452146E-2</v>
      </c>
      <c r="R56" s="193" t="e">
        <f>(Model!$C$52*R5*R20+R2*S5*S20)/R32</f>
        <v>#DIV/0!</v>
      </c>
      <c r="T56" s="193" t="e">
        <f>(Model!$C$52*T5*T20+T2*U5*U20)/T32</f>
        <v>#DIV/0!</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0.15526993764724525</v>
      </c>
      <c r="F57" s="193">
        <f t="array" ref="F57">SUM(Model!tauL*F13:G13*F26:G26)/F32</f>
        <v>0.15241078867847502</v>
      </c>
      <c r="H57" s="193">
        <f t="array" ref="H57">SUM(Model!tauL*H13:I13*H26:I26)/H32</f>
        <v>0.14999855615322763</v>
      </c>
      <c r="J57" s="193">
        <f t="array" ref="J57">SUM(Model!tauL*J13:K13*J26:K26)/J32</f>
        <v>0.14804535980934341</v>
      </c>
      <c r="L57" s="193">
        <f t="array" ref="L57">SUM(Model!tauL*L13:M13*L26:M26)/L32</f>
        <v>0.14653124459117389</v>
      </c>
      <c r="N57" s="193">
        <f t="array" ref="N57">SUM(Model!tauL*N13:O13*N26:O26)/N32</f>
        <v>0.14541953080894079</v>
      </c>
      <c r="P57" s="193">
        <f t="array" ref="P57">SUM(Model!tauL*P13:Q13*P26:Q26)/P32</f>
        <v>0.14470205838151784</v>
      </c>
      <c r="R57" s="193" t="e">
        <f t="array" ref="R57">SUM(Model!tauL*R13:S13*R26:S26)/R32</f>
        <v>#DIV/0!</v>
      </c>
      <c r="T57" s="193" t="e">
        <f t="array" ref="T57">SUM(Model!tauL*T13:U13*T26:U26)/T32</f>
        <v>#DIV/0!</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1.0722209031236803E-2</v>
      </c>
      <c r="F58" s="193">
        <f t="array" ref="F58">SUM(Model!tauY/(1+Model!tauY)*F3:G3*F18:G18)/F32</f>
        <v>1.0696225681372011E-2</v>
      </c>
      <c r="H58" s="193">
        <f t="array" ref="H58">SUM(Model!tauY/(1+Model!tauY)*H3:I3*H18:I18)/H32</f>
        <v>1.0674795475466677E-2</v>
      </c>
      <c r="J58" s="193">
        <f t="array" ref="J58">SUM(Model!tauY/(1+Model!tauY)*J3:K3*J18:K18)/J32</f>
        <v>1.0657723690877773E-2</v>
      </c>
      <c r="L58" s="193">
        <f t="array" ref="L58">SUM(Model!tauY/(1+Model!tauY)*L3:M3*L18:M18)/L32</f>
        <v>1.0644641229860797E-2</v>
      </c>
      <c r="N58" s="193">
        <f t="array" ref="N58">SUM(Model!tauY/(1+Model!tauY)*N3:O3*N18:O18)/N32</f>
        <v>1.0635178821384612E-2</v>
      </c>
      <c r="P58" s="193">
        <f t="array" ref="P58">SUM(Model!tauY/(1+Model!tauY)*P3:Q3*P18:Q18)/P32</f>
        <v>1.0629538110082619E-2</v>
      </c>
      <c r="R58" s="193" t="e">
        <f t="array" ref="R58">SUM(Model!tauY/(1+Model!tauY)*R3:S3*R18:S18)/R32</f>
        <v>#DIV/0!</v>
      </c>
      <c r="T58" s="193" t="e">
        <f t="array" ref="T58">SUM(Model!tauY/(1+Model!tauY)*T3:U3*T18:U18)/T32</f>
        <v>#DIV/0!</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3.7742043637501443E-3</v>
      </c>
      <c r="F59" s="193">
        <f>(F2*G5*G20)/F32</f>
        <v>6.5994853210590522E-3</v>
      </c>
      <c r="H59" s="193">
        <f>(H2*I5*I20)/H32</f>
        <v>8.9816206311292366E-3</v>
      </c>
      <c r="J59" s="193">
        <f>(J2*K5*K20)/J32</f>
        <v>1.0909320671030712E-2</v>
      </c>
      <c r="L59" s="193">
        <f>(L2*M5*M20)/L32</f>
        <v>1.2403044098616162E-2</v>
      </c>
      <c r="N59" s="193">
        <f>(N2*O5*O20)/N32</f>
        <v>1.3500099679613378E-2</v>
      </c>
      <c r="P59" s="193">
        <f>(P2*Q5*Q20)/P32</f>
        <v>1.421162370930168E-2</v>
      </c>
      <c r="R59" s="193" t="e">
        <f>(R2*S5*S20)/R32</f>
        <v>#DIV/0!</v>
      </c>
      <c r="T59" s="193" t="e">
        <f>(T2*U5*U20)/T32</f>
        <v>#DIV/0!</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2.8637102540125213E-2</v>
      </c>
      <c r="F60" s="193">
        <f>Model!$C$52*F5*F20/F32</f>
        <v>2.8609863817166525E-2</v>
      </c>
      <c r="H60" s="193">
        <f>Model!$C$52*H5*H20/H32</f>
        <v>2.858790596743294E-2</v>
      </c>
      <c r="J60" s="193">
        <f>Model!$C$52*J5*J20/J32</f>
        <v>2.8570967583750245E-2</v>
      </c>
      <c r="L60" s="193">
        <f>Model!$C$52*L5*L20/L32</f>
        <v>2.8558321836190965E-2</v>
      </c>
      <c r="N60" s="193">
        <f>Model!$C$52*N5*N20/N32</f>
        <v>2.854857960808093E-2</v>
      </c>
      <c r="P60" s="193">
        <f>Model!$C$52*P5*P20/P32</f>
        <v>2.853831483915047E-2</v>
      </c>
      <c r="R60" s="193" t="e">
        <f>Model!$C$52*R5*R20/R32</f>
        <v>#DIV/0!</v>
      </c>
      <c r="T60" s="193" t="e">
        <f>Model!$C$52*T5*T20/T32</f>
        <v>#DIV/0!</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1.0143104111272438</v>
      </c>
      <c r="F62">
        <f>F13/F15</f>
        <v>1.0375299428985028</v>
      </c>
      <c r="H62">
        <f>H13/H15</f>
        <v>1.0708930088723074</v>
      </c>
      <c r="J62">
        <f>J13/J15</f>
        <v>1.1155145639397503</v>
      </c>
      <c r="L62">
        <f>L13/L15</f>
        <v>1.172345089896828</v>
      </c>
      <c r="N62">
        <f>N13/N15</f>
        <v>1.2418962174544248</v>
      </c>
      <c r="P62">
        <f>P13/P15</f>
        <v>1.3222567813115942</v>
      </c>
      <c r="R62" t="e">
        <f>R13/R15</f>
        <v>#DIV/0!</v>
      </c>
      <c r="T62" t="e">
        <f>T13/T15</f>
        <v>#DIV/0!</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0.99922803847318331</v>
      </c>
      <c r="E65" s="191"/>
      <c r="F65" s="191">
        <f t="array" ref="F65">SQRT((F9:G9*$B$22:$C$22+F10:G10*$B$23:$C$23+F11:G11*$B$24:$C$24+F4:G4*($B$25:$C$25-$B$19:$C$19))/($B$9:$C$9*$B$22:$C$22+$B$10:$C$10*$B$23:$C$23+$B$11:$C$11*$B$24:$C$24+$B$4:$C$4*($B$25:$C$25-$B$19:$C$19))*(F9:G9*F22:G22+F10:G10*F23:G23+F11:G11*F24:G24+F4:G4*(F25:G25-F19:G19))/($B$9:$C$9*F22:G22+$B$10:$C$10*F23:G23+$B$11:$C$11*F24:G24+$B$4:$C$4*(F25:G25-F19:G19)))</f>
        <v>0.99864442755686744</v>
      </c>
      <c r="G65" s="191"/>
      <c r="H65" s="191">
        <f t="array" ref="H65">SQRT((H9:I9*$B$22:$C$22+H10:I10*$B$23:$C$23+H11:I11*$B$24:$C$24+H4:I4*($B$25:$C$25-$B$19:$C$19))/($B$9:$C$9*$B$22:$C$22+$B$10:$C$10*$B$23:$C$23+$B$11:$C$11*$B$24:$C$24+$B$4:$C$4*($B$25:$C$25-$B$19:$C$19))*(H9:I9*H22:I22+H10:I10*H23:I23+H11:I11*H24:I24+H4:I4*(H25:I25-H19:I19))/($B$9:$C$9*H22:I22+$B$10:$C$10*H23:I23+$B$11:$C$11*H24:I24+$B$4:$C$4*(H25:I25-H19:I19)))</f>
        <v>0.99824803854438082</v>
      </c>
      <c r="I65" s="191"/>
      <c r="J65" s="191">
        <f t="array" ref="J65">SQRT((J9:K9*$B$22:$C$22+J10:K10*$B$23:$C$23+J11:K11*$B$24:$C$24+J4:K4*($B$25:$C$25-$B$19:$C$19))/($B$9:$C$9*$B$22:$C$22+$B$10:$C$10*$B$23:$C$23+$B$11:$C$11*$B$24:$C$24+$B$4:$C$4*($B$25:$C$25-$B$19:$C$19))*(J9:K9*J22:K22+J10:K10*J23:K23+J11:K11*J24:K24+J4:K4*(J25:K25-J19:K19))/($B$9:$C$9*J22:K22+$B$10:$C$10*J23:K23+$B$11:$C$11*J24:K24+$B$4:$C$4*(J25:K25-J19:K19)))</f>
        <v>0.99801483081305908</v>
      </c>
      <c r="K65" s="191"/>
      <c r="L65" s="191">
        <f t="array" ref="L65">SQRT((L9:M9*$B$22:$C$22+L10:M10*$B$23:$C$23+L11:M11*$B$24:$C$24+L4:M4*($B$25:$C$25-$B$19:$C$19))/($B$9:$C$9*$B$22:$C$22+$B$10:$C$10*$B$23:$C$23+$B$11:$C$11*$B$24:$C$24+$B$4:$C$4*($B$25:$C$25-$B$19:$C$19))*(L9:M9*L22:M22+L10:M10*L23:M23+L11:M11*L24:M24+L4:M4*(L25:M25-L19:M19))/($B$9:$C$9*L22:M22+$B$10:$C$10*L23:M23+$B$11:$C$11*L24:M24+$B$4:$C$4*(L25:M25-L19:M19)))</f>
        <v>0.99788562988674745</v>
      </c>
      <c r="M65" s="191"/>
      <c r="N65" s="191">
        <f t="array" ref="N65">SQRT((N9:O9*$B$22:$C$22+N10:O10*$B$23:$C$23+N11:O11*$B$24:$C$24+N4:O4*($B$25:$C$25-$B$19:$C$19))/($B$9:$C$9*$B$22:$C$22+$B$10:$C$10*$B$23:$C$23+$B$11:$C$11*$B$24:$C$24+$B$4:$C$4*($B$25:$C$25-$B$19:$C$19))*(N9:O9*N22:O22+N10:O10*N23:O23+N11:O11*N24:O24+N4:O4*(N25:O25-N19:O19))/($B$9:$C$9*N22:O22+$B$10:$C$10*N23:O23+$B$11:$C$11*N24:O24+$B$4:$C$4*(N25:O25-N19:O19)))</f>
        <v>0.997723320119557</v>
      </c>
      <c r="O65" s="191"/>
      <c r="P65" s="191">
        <f t="array" ref="P65">SQRT((P9:Q9*$B$22:$C$22+P10:Q10*$B$23:$C$23+P11:Q11*$B$24:$C$24+P4:Q4*($B$25:$C$25-$B$19:$C$19))/($B$9:$C$9*$B$22:$C$22+$B$10:$C$10*$B$23:$C$23+$B$11:$C$11*$B$24:$C$24+$B$4:$C$4*($B$25:$C$25-$B$19:$C$19))*(P9:Q9*P22:Q22+P10:Q10*P23:Q23+P11:Q11*P24:Q24+P4:Q4*(P25:Q25-P19:Q19))/($B$9:$C$9*P22:Q22+$B$10:$C$10*P23:Q23+$B$11:$C$11*P24:Q24+$B$4:$C$4*(P25:Q25-P19:Q19)))</f>
        <v>0.99708027322081771</v>
      </c>
      <c r="Q65" s="191"/>
      <c r="R65" s="191" t="e">
        <f t="array" ref="R65">SQRT((R9:S9*$B$22:$C$22+R10:S10*$B$23:$C$23+R11:S11*$B$24:$C$24+R4:S4*($B$25:$C$25-$B$19:$C$19))/($B$9:$C$9*$B$22:$C$22+$B$10:$C$10*$B$23:$C$23+$B$11:$C$11*$B$24:$C$24+$B$4:$C$4*($B$25:$C$25-$B$19:$C$19))*(R9:S9*R22:S22+R10:S10*R23:S23+R11:S11*R24:S24+R4:S4*(R25:S25-R19:S19))/($B$9:$C$9*R22:S22+$B$10:$C$10*R23:S23+$B$11:$C$11*R24:S24+$B$4:$C$4*(R25:S25-R19:S19)))</f>
        <v>#DIV/0!</v>
      </c>
      <c r="S65" s="191"/>
      <c r="T65" s="191" t="e">
        <f t="array" ref="T65">SQRT((T9:U9*$B$22:$C$22+T10:U10*$B$23:$C$23+T11:U11*$B$24:$C$24+T4:U4*($B$25:$C$25-$B$19:$C$19))/($B$9:$C$9*$B$22:$C$22+$B$10:$C$10*$B$23:$C$23+$B$11:$C$11*$B$24:$C$24+$B$4:$C$4*($B$25:$C$25-$B$19:$C$19))*(T9:U9*T22:U22+T10:U10*T23:U23+T11:U11*T24:U24+T4:U4*(T25:U25-T19:U19))/($B$9:$C$9*T22:U22+$B$10:$C$10*T23:U23+$B$11:$C$11*T24:U24+$B$4:$C$4*(T25:U25-T19:U19)))</f>
        <v>#DIV/0!</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0.99915147959455097</v>
      </c>
      <c r="E66" s="191"/>
      <c r="F66" s="191">
        <f t="array" ref="F66">SQRT((F9:G9*$B$22:$C$22)/($B$9:$C$9*$B$22:$C$22)*(F9:G9*F22:G22)/($B$9:$C$9*F22:G22))</f>
        <v>0.99850983848049346</v>
      </c>
      <c r="G66" s="191"/>
      <c r="H66" s="191">
        <f t="array" ref="H66">SQRT((H9:I9*$B$22:$C$22)/($B$9:$C$9*$B$22:$C$22)*(H9:I9*H22:I22)/($B$9:$C$9*H22:I22))</f>
        <v>0.99807396647566593</v>
      </c>
      <c r="I66" s="191"/>
      <c r="J66" s="191">
        <f t="array" ref="J66">SQRT((J9:K9*$B$22:$C$22)/($B$9:$C$9*$B$22:$C$22)*(J9:K9*J22:K22)/($B$9:$C$9*J22:K22))</f>
        <v>0.99781751001046382</v>
      </c>
      <c r="K66" s="191"/>
      <c r="L66" s="191">
        <f t="array" ref="L66">SQRT((L9:M9*$B$22:$C$22)/($B$9:$C$9*$B$22:$C$22)*(L9:M9*L22:M22)/($B$9:$C$9*L22:M22))</f>
        <v>0.99767542731882297</v>
      </c>
      <c r="M66" s="191"/>
      <c r="N66" s="191">
        <f t="array" ref="N66">SQRT((N9:O9*$B$22:$C$22)/($B$9:$C$9*$B$22:$C$22)*(N9:O9*N22:O22)/($B$9:$C$9*N22:O22))</f>
        <v>0.99749691469410773</v>
      </c>
      <c r="O66" s="191"/>
      <c r="P66" s="191">
        <f t="array" ref="P66">SQRT((P9:Q9*$B$22:$C$22)/($B$9:$C$9*$B$22:$C$22)*(P9:Q9*P22:Q22)/($B$9:$C$9*P22:Q22))</f>
        <v>0.99678950404329636</v>
      </c>
      <c r="Q66" s="191"/>
      <c r="R66" s="191" t="e">
        <f t="array" ref="R66">SQRT((R9:S9*$B$22:$C$22)/($B$9:$C$9*$B$22:$C$22)*(R9:S9*R22:S22)/($B$9:$C$9*R22:S22))</f>
        <v>#DIV/0!</v>
      </c>
      <c r="S66" s="191"/>
      <c r="T66" s="191" t="e">
        <f t="array" ref="T66">SQRT((T9:U9*$B$22:$C$22)/($B$9:$C$9*$B$22:$C$22)*(T9:U9*T22:U22)/($B$9:$C$9*T22:U22))</f>
        <v>#DIV/0!</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t="e">
        <f t="array" ref="R67">SQRT((R4:S4*$B$19:$C$19)/($B$4:$C$4*$B$19:$C$19)*(R4:S4*R19:S19)/($B$4:$C$4*R19:S19))</f>
        <v>#DIV/0!</v>
      </c>
      <c r="S67" s="191"/>
      <c r="T67" s="191" t="e">
        <f t="array" ref="T67">SQRT((T4:U4*$B$19:$C$19)/($B$4:$C$4*$B$19:$C$19)*(T4:U4*T19:U19)/($B$4:$C$4*T19:U19))</f>
        <v>#DIV/0!</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0.99915147959455097</v>
      </c>
      <c r="E68" s="191"/>
      <c r="F68" s="191">
        <f>F66/F67</f>
        <v>0.99850983848049346</v>
      </c>
      <c r="G68" s="191"/>
      <c r="H68" s="191">
        <f>H66/H67</f>
        <v>0.99807396647566593</v>
      </c>
      <c r="I68" s="191"/>
      <c r="J68" s="191">
        <f>J66/J67</f>
        <v>0.99781751001046382</v>
      </c>
      <c r="K68" s="191"/>
      <c r="L68" s="191">
        <f>L66/L67</f>
        <v>0.99767542731882297</v>
      </c>
      <c r="M68" s="191"/>
      <c r="N68" s="191">
        <f>N66/N67</f>
        <v>0.99749691469410773</v>
      </c>
      <c r="O68" s="191"/>
      <c r="P68" s="191">
        <f>P66/P67</f>
        <v>0.99678950404329636</v>
      </c>
      <c r="Q68" s="191"/>
      <c r="R68" s="191" t="e">
        <f>R66/R67</f>
        <v>#DIV/0!</v>
      </c>
      <c r="S68" s="191"/>
      <c r="T68" s="191" t="e">
        <f>T66/T67</f>
        <v>#DIV/0!</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0.97287120404890826</v>
      </c>
      <c r="E69" s="191"/>
      <c r="F69" s="191">
        <f>F32/F65/($B$32)</f>
        <v>0.94022806360735289</v>
      </c>
      <c r="G69" s="191"/>
      <c r="H69" s="191">
        <f>H32/H65/($B$32)</f>
        <v>0.90223189715609586</v>
      </c>
      <c r="I69" s="191"/>
      <c r="J69" s="191">
        <f>J32/J65/($B$32)</f>
        <v>0.85947410118102985</v>
      </c>
      <c r="K69" s="191"/>
      <c r="L69" s="191">
        <f>L32/L65/($B$32)</f>
        <v>0.81294834777942859</v>
      </c>
      <c r="M69" s="191"/>
      <c r="N69" s="191">
        <f>N32/N65/($B$32)</f>
        <v>0.76412958399559527</v>
      </c>
      <c r="O69" s="191"/>
      <c r="P69" s="191">
        <f>P32/P65/($B$32)</f>
        <v>0.71598147178417793</v>
      </c>
      <c r="Q69" s="191"/>
      <c r="R69" s="191" t="e">
        <f>R32/R65/($B$32)</f>
        <v>#DIV/0!</v>
      </c>
      <c r="S69" s="191"/>
      <c r="T69" s="191" t="e">
        <f>T32/T65/($B$32)</f>
        <v>#DIV/0!</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0.97201420380681081</v>
      </c>
      <c r="E70" s="138"/>
      <c r="F70" s="138">
        <f>F18/$B$18</f>
        <v>0.93868281635621786</v>
      </c>
      <c r="G70" s="138"/>
      <c r="H70" s="138">
        <f>H18/$B$18</f>
        <v>0.90017296385969459</v>
      </c>
      <c r="I70" s="138"/>
      <c r="J70" s="138">
        <f>J18/$B$18</f>
        <v>0.85706925684808</v>
      </c>
      <c r="K70" s="138"/>
      <c r="L70" s="138">
        <f>L18/$B$18</f>
        <v>0.81034872368760935</v>
      </c>
      <c r="M70" s="138"/>
      <c r="N70" s="138">
        <f>N18/$B$18</f>
        <v>0.76146622486919691</v>
      </c>
      <c r="O70" s="138"/>
      <c r="P70" s="138">
        <f>P18/$B$18</f>
        <v>0.71337810176165495</v>
      </c>
      <c r="Q70" s="138"/>
      <c r="R70" s="138">
        <f>R18/$B$18</f>
        <v>0</v>
      </c>
      <c r="S70" s="138"/>
      <c r="T70" s="138">
        <f>T18/$B$18</f>
        <v>0</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0.94350902446736118</v>
      </c>
      <c r="E71" s="138"/>
      <c r="F71" s="138">
        <f>G18/$C$18</f>
        <v>0.88894969715409911</v>
      </c>
      <c r="G71" s="138"/>
      <c r="H71" s="138">
        <f>I18/$C$18</f>
        <v>0.83618358458012998</v>
      </c>
      <c r="I71" s="138"/>
      <c r="J71" s="138">
        <f>K18/$C$18</f>
        <v>0.7848979735855568</v>
      </c>
      <c r="K71" s="138"/>
      <c r="L71" s="138">
        <f>M18/$C$18</f>
        <v>0.73458599743457842</v>
      </c>
      <c r="M71" s="138"/>
      <c r="N71" s="138">
        <f>O18/$C$18</f>
        <v>0.68440554496797301</v>
      </c>
      <c r="O71" s="138"/>
      <c r="P71" s="138">
        <f>Q18/$C$18</f>
        <v>0.63223869297961433</v>
      </c>
      <c r="Q71" s="138"/>
      <c r="R71" s="138">
        <f>S18/$C$18</f>
        <v>0</v>
      </c>
      <c r="S71" s="138"/>
      <c r="T71" s="138">
        <f>U18/$C$18</f>
        <v>0</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0.97387477999048999</v>
      </c>
      <c r="E72" s="138"/>
      <c r="F72" s="138">
        <f>G19/$C$19</f>
        <v>0.9410204968667375</v>
      </c>
      <c r="G72" s="138"/>
      <c r="H72" s="138">
        <f>I19/$C$19</f>
        <v>0.90163386000976031</v>
      </c>
      <c r="I72" s="138"/>
      <c r="J72" s="138">
        <f>K19/$C$19</f>
        <v>0.85668822802692468</v>
      </c>
      <c r="K72" s="138"/>
      <c r="L72" s="138">
        <f>M19/$C$19</f>
        <v>0.80802259694018796</v>
      </c>
      <c r="M72" s="138"/>
      <c r="N72" s="138">
        <f>O19/$C$19</f>
        <v>0.75887250369603887</v>
      </c>
      <c r="O72" s="138"/>
      <c r="P72" s="138">
        <f>Q19/$C$19</f>
        <v>0.71762347343361621</v>
      </c>
      <c r="Q72" s="138"/>
      <c r="R72" s="138">
        <f>S19/$C$19</f>
        <v>0</v>
      </c>
      <c r="S72" s="138"/>
      <c r="T72" s="138">
        <f>U19/$C$19</f>
        <v>0</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0.47641153464835395</v>
      </c>
      <c r="E73" s="138"/>
      <c r="F73" s="193">
        <f t="array" ref="F73">SUM(F9:G9*F22:G22)/F32</f>
        <v>0.47641153526028845</v>
      </c>
      <c r="G73" s="138"/>
      <c r="H73" s="193">
        <f t="array" ref="H73">SUM(H9:I9*H22:I22)/H32</f>
        <v>0.47641153417488818</v>
      </c>
      <c r="I73" s="138"/>
      <c r="J73" s="193">
        <f t="array" ref="J73">SUM(J9:K9*J22:K22)/J32</f>
        <v>0.47641153305419737</v>
      </c>
      <c r="K73" s="138"/>
      <c r="L73" s="193">
        <f t="array" ref="L73">SUM(L9:M9*L22:M22)/L32</f>
        <v>0.47641153343120723</v>
      </c>
      <c r="M73" s="138"/>
      <c r="N73" s="193">
        <f t="array" ref="N73">SUM(N9:O9*N22:O22)/N32</f>
        <v>0.47641153363445216</v>
      </c>
      <c r="O73" s="138"/>
      <c r="P73" s="193">
        <f t="array" ref="P73">SUM(P9:Q9*P22:Q22)/P32</f>
        <v>0.47641153148262549</v>
      </c>
      <c r="Q73" s="138"/>
      <c r="R73" s="193" t="e">
        <f t="array" ref="R73">SUM(R9:S9*R22:S22)/R32</f>
        <v>#DIV/0!</v>
      </c>
      <c r="S73" s="138"/>
      <c r="T73" s="193" t="e">
        <f t="array" ref="T73">SUM(T9:U9*T22:U22)/T32</f>
        <v>#DIV/0!</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0.22604620456442484</v>
      </c>
      <c r="Q74" s="138"/>
      <c r="R74" s="193" t="e">
        <f t="array" ref="R74">SUM(R10:S10*R23:S23)/R32</f>
        <v>#DIV/0!</v>
      </c>
      <c r="S74" s="138"/>
      <c r="T74" s="193" t="e">
        <f t="array" ref="T74">SUM(T10:U10*T23:U23)/T32</f>
        <v>#DIV/0!</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0.22038438825919857</v>
      </c>
      <c r="E75" s="138"/>
      <c r="F75" s="193">
        <f t="array" ref="F75">SUM(F11:G11*F24:G24)/F32</f>
        <v>0.22038438806651697</v>
      </c>
      <c r="G75" s="138"/>
      <c r="H75" s="193">
        <f t="array" ref="H75">SUM(H11:I11*H24:I24)/H32</f>
        <v>0.22038438818282474</v>
      </c>
      <c r="I75" s="138"/>
      <c r="J75" s="193">
        <f t="array" ref="J75">SUM(J11:K11*J24:K24)/J32</f>
        <v>0.22038438846877631</v>
      </c>
      <c r="K75" s="138"/>
      <c r="L75" s="193">
        <f t="array" ref="L75">SUM(L11:M11*L24:M24)/L32</f>
        <v>0.22038438834266338</v>
      </c>
      <c r="M75" s="138"/>
      <c r="N75" s="193">
        <f t="array" ref="N75">SUM(N11:O11*N24:O24)/N32</f>
        <v>0.22038438826515547</v>
      </c>
      <c r="O75" s="138"/>
      <c r="P75" s="193">
        <f t="array" ref="P75">SUM(P11:Q11*P24:Q24)/P32</f>
        <v>0.22038438909942851</v>
      </c>
      <c r="Q75" s="138"/>
      <c r="R75" s="193" t="e">
        <f t="array" ref="R75">SUM(R11:S11*R24:S24)/R32</f>
        <v>#DIV/0!</v>
      </c>
      <c r="S75" s="138"/>
      <c r="T75" s="193" t="e">
        <f t="array" ref="T75">SUM(T11:U11*T24:U24)/T32</f>
        <v>#DIV/0!</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0.22290533275595958</v>
      </c>
      <c r="E76" s="138"/>
      <c r="F76" s="193">
        <f t="array" ref="F76">SUM(F12:G12*F25:G25)/F32</f>
        <v>0.22278994639873156</v>
      </c>
      <c r="G76" s="138"/>
      <c r="H76" s="193">
        <f t="array" ref="H76">SUM(H12:I12*H25:I25)/H32</f>
        <v>0.22267153406314008</v>
      </c>
      <c r="I76" s="138"/>
      <c r="J76" s="193">
        <f t="array" ref="J76">SUM(J12:K12*J25:K25)/J32</f>
        <v>0.22255366152676528</v>
      </c>
      <c r="K76" s="138"/>
      <c r="L76" s="193">
        <f t="array" ref="L76">SUM(L12:M12*L25:M25)/L32</f>
        <v>0.22244895579933416</v>
      </c>
      <c r="M76" s="138"/>
      <c r="N76" s="193">
        <f t="array" ref="N76">SUM(N12:O12*N25:O25)/N32</f>
        <v>0.2223934430589504</v>
      </c>
      <c r="O76" s="138"/>
      <c r="P76" s="193">
        <f t="array" ref="P76">SUM(P12:Q12*P25:Q25)/P32</f>
        <v>0.22252223402376964</v>
      </c>
      <c r="Q76" s="138"/>
      <c r="R76" s="193" t="e">
        <f t="array" ref="R76">SUM(R12:S12*R25:S25)/R32</f>
        <v>#DIV/0!</v>
      </c>
      <c r="S76" s="138"/>
      <c r="T76" s="193" t="e">
        <f t="array" ref="T76">SUM(T12:U12*T25:U25)/T32</f>
        <v>#DIV/0!</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0.14574746022793689</v>
      </c>
      <c r="E77" s="138"/>
      <c r="F77" s="193">
        <f t="array" ref="F77">SUM(F4:G4*F19:G19)/F32</f>
        <v>0.14563207428996175</v>
      </c>
      <c r="G77" s="138"/>
      <c r="H77" s="193">
        <f t="array" ref="H77">SUM(H4:I4*H19:I19)/H32</f>
        <v>0.14551366098527771</v>
      </c>
      <c r="I77" s="138"/>
      <c r="J77" s="193">
        <f t="array" ref="J77">SUM(J4:K4*J19:K19)/J32</f>
        <v>0.14539578761416388</v>
      </c>
      <c r="K77" s="138"/>
      <c r="L77" s="193">
        <f t="array" ref="L77">SUM(L4:M4*L19:M19)/L32</f>
        <v>0.14529108213762953</v>
      </c>
      <c r="M77" s="138"/>
      <c r="N77" s="193">
        <f t="array" ref="N77">SUM(N4:O4*N19:O19)/N32</f>
        <v>0.14523556952298283</v>
      </c>
      <c r="O77" s="138"/>
      <c r="P77" s="193">
        <f t="array" ref="P77">SUM(P4:Q4*P19:Q19)/P32</f>
        <v>0.1453643591702482</v>
      </c>
      <c r="Q77" s="138"/>
      <c r="R77" s="193" t="e">
        <f t="array" ref="R77">SUM(R4:S4*R19:S19)/R32</f>
        <v>#DIV/0!</v>
      </c>
      <c r="S77" s="138"/>
      <c r="T77" s="193" t="e">
        <f t="array" ref="T77">SUM(T4:U4*T19:U19)/T32</f>
        <v>#DIV/0!</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0.33975661691770193</v>
      </c>
      <c r="E78" s="138"/>
      <c r="F78" s="193">
        <f t="array" ref="F78">SUM(F13:G13*F26:G26)/F32</f>
        <v>0.33350032033117244</v>
      </c>
      <c r="G78" s="138"/>
      <c r="H78" s="193">
        <f t="array" ref="H78">SUM(H13:I13*H26:I26)/H32</f>
        <v>0.32822195174021657</v>
      </c>
      <c r="I78" s="138"/>
      <c r="J78" s="193">
        <f t="array" ref="J78">SUM(J13:K13*J26:K26)/J32</f>
        <v>0.32394803116016346</v>
      </c>
      <c r="K78" s="138"/>
      <c r="L78" s="193">
        <f t="array" ref="L78">SUM(L13:M13*L26:M26)/L32</f>
        <v>0.32063489358862912</v>
      </c>
      <c r="M78" s="138"/>
      <c r="N78" s="193">
        <f t="array" ref="N78">SUM(N13:O13*N26:O26)/N32</f>
        <v>0.31820227772392506</v>
      </c>
      <c r="O78" s="138"/>
      <c r="P78" s="193">
        <f t="array" ref="P78">SUM(P13:Q13*P26:Q26)/P32</f>
        <v>0.31663232794248852</v>
      </c>
      <c r="Q78" s="138"/>
      <c r="R78" s="193" t="e">
        <f t="array" ref="R78">SUM(R13:S13*R26:S26)/R32</f>
        <v>#DIV/0!</v>
      </c>
      <c r="S78" s="138"/>
      <c r="T78" s="193" t="e">
        <f t="array" ref="T78">SUM(T13:U13*T26:U26)/T32</f>
        <v>#DIV/0!</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0.46183975814724415</v>
      </c>
      <c r="F79" s="193">
        <f t="array" ref="F79">SUM(F15:G15*F27:G27)/F32</f>
        <v>0.46818293055089422</v>
      </c>
      <c r="H79" s="193">
        <f t="array" ref="H79">SUM(H15:I15*H27:I27)/H32</f>
        <v>0.47353494504114141</v>
      </c>
      <c r="J79" s="193">
        <f t="array" ref="J79">SUM(J15:K15*J27:K27)/J32</f>
        <v>0.47786897923873328</v>
      </c>
      <c r="L79" s="193">
        <f t="array" ref="L79">SUM(L15:M15*L27:M27)/L32</f>
        <v>0.48122812585392899</v>
      </c>
      <c r="N79" s="193">
        <f t="array" ref="N79">SUM(N15:O15*N27:O27)/N32</f>
        <v>0.4836944668353732</v>
      </c>
      <c r="P79" s="193">
        <f t="array" ref="P79">SUM(P15:Q15*P27:Q27)/P32</f>
        <v>0.48528590722238246</v>
      </c>
      <c r="R79" s="193" t="e">
        <f t="array" ref="R79">SUM(R15:S15*R27:S27)/R32</f>
        <v>#DIV/0!</v>
      </c>
      <c r="T79" s="193" t="e">
        <f t="array" ref="T79">SUM(T15:U15*T27:U27)/T32</f>
        <v>#DIV/0!</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0.19840345358235742</v>
      </c>
      <c r="F80" s="236">
        <f>F55</f>
        <v>0.19831636349807261</v>
      </c>
      <c r="H80" s="236">
        <f>H55</f>
        <v>0.19824287822725647</v>
      </c>
      <c r="J80" s="236">
        <f>J55</f>
        <v>0.19818337175500217</v>
      </c>
      <c r="L80" s="236">
        <f>L55</f>
        <v>0.19813725175584179</v>
      </c>
      <c r="N80" s="236">
        <f>N55</f>
        <v>0.19810338891801968</v>
      </c>
      <c r="P80" s="236">
        <f>P55</f>
        <v>0.19808153504005263</v>
      </c>
      <c r="R80" s="236" t="e">
        <f>R55</f>
        <v>#DIV/0!</v>
      </c>
      <c r="T80" s="236" t="e">
        <f>T55</f>
        <v>#DIV/0!</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-2.7642750982067418E-2</v>
      </c>
      <c r="F81" s="236">
        <f>F51/F$32</f>
        <v>-2.7729841066352231E-2</v>
      </c>
      <c r="H81" s="236">
        <f>H51/H$32</f>
        <v>-2.7803326337168352E-2</v>
      </c>
      <c r="J81" s="236">
        <f>J51/J$32</f>
        <v>-2.7862832809422682E-2</v>
      </c>
      <c r="L81" s="236">
        <f>L51/L$32</f>
        <v>-2.7908952808583048E-2</v>
      </c>
      <c r="N81" s="236">
        <f>N51/N$32</f>
        <v>-2.7942815646405165E-2</v>
      </c>
      <c r="P81" s="236">
        <f>P51/P$32</f>
        <v>-2.7964669524372217E-2</v>
      </c>
      <c r="R81" s="236" t="e">
        <f>R51/R$32</f>
        <v>#DIV/0!</v>
      </c>
      <c r="T81" s="236" t="e">
        <f>T51/T$32</f>
        <v>#DIV/0!</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0.13621956075876845</v>
      </c>
      <c r="F82" s="236">
        <f>F52/F$32</f>
        <v>0.13371120645289761</v>
      </c>
      <c r="H82" s="236">
        <f>H52/H$32</f>
        <v>0.13159493552488488</v>
      </c>
      <c r="J82" s="236">
        <f>J52/J$32</f>
        <v>0.12988138071787514</v>
      </c>
      <c r="L82" s="236">
        <f>L52/L$32</f>
        <v>0.12855303530161177</v>
      </c>
      <c r="N82" s="236">
        <f>N52/N$32</f>
        <v>0.12757771989027109</v>
      </c>
      <c r="P82" s="236">
        <f>P52/P$32</f>
        <v>0.12694827557927946</v>
      </c>
      <c r="R82" s="236" t="e">
        <f>R52/R$32</f>
        <v>#DIV/0!</v>
      </c>
      <c r="T82" s="236" t="e">
        <f>T52/T$32</f>
        <v>#DIV/0!</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0.1889653850105284</v>
      </c>
      <c r="F83" s="236">
        <f>F53/F$32</f>
        <v>0.19156074410272189</v>
      </c>
      <c r="H83" s="236">
        <f>H53/H$32</f>
        <v>0.19375056310572128</v>
      </c>
      <c r="J83" s="236">
        <f>J53/J$32</f>
        <v>0.19552386743119177</v>
      </c>
      <c r="L83" s="236">
        <f>L53/L$32</f>
        <v>0.19689828880191512</v>
      </c>
      <c r="N83" s="236">
        <f>N53/N$32</f>
        <v>0.19790741169552548</v>
      </c>
      <c r="P83" s="236">
        <f>P53/P$32</f>
        <v>0.19855856210028691</v>
      </c>
      <c r="R83" s="236" t="e">
        <f>R53/R$32</f>
        <v>#DIV/0!</v>
      </c>
      <c r="T83" s="236" t="e">
        <f>T53/T$32</f>
        <v>#DIV/0!</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5"/>
  <sheetViews>
    <sheetView showGridLines="0" workbookViewId="0">
      <pane ySplit="1" topLeftCell="A67" activePane="bottomLeft" state="frozen"/>
      <selection pane="bottomLeft" activeCell="A42" sqref="A42:XFD83"/>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9.5789084715243486E-2</v>
      </c>
      <c r="E2" s="227"/>
      <c r="F2" s="226">
        <v>0.19469904448168196</v>
      </c>
      <c r="G2" s="227"/>
      <c r="H2" s="226">
        <v>0.30391861833573797</v>
      </c>
      <c r="I2" s="227"/>
      <c r="J2" s="226">
        <v>0.42510164543286805</v>
      </c>
      <c r="K2" s="227"/>
      <c r="L2" s="226">
        <v>0.56022480645674988</v>
      </c>
      <c r="M2" s="227"/>
      <c r="N2" s="226">
        <v>0.71171900884881101</v>
      </c>
      <c r="O2" s="227"/>
      <c r="P2" s="226">
        <v>0.8826504821801896</v>
      </c>
      <c r="Q2" s="227"/>
      <c r="R2" s="226">
        <v>1.0770129999184945</v>
      </c>
      <c r="S2" s="227"/>
      <c r="T2" s="226">
        <v>1.3001813177667549</v>
      </c>
      <c r="U2" s="227"/>
      <c r="V2" s="226">
        <v>1.5596165819632959</v>
      </c>
      <c r="W2" s="227"/>
      <c r="X2" s="226">
        <v>1.8659214727085738</v>
      </c>
      <c r="Y2" s="227"/>
      <c r="Z2" s="226">
        <v>2.2342183008288981</v>
      </c>
      <c r="AA2" s="227"/>
      <c r="AB2" s="226">
        <v>2.6850514877017511</v>
      </c>
      <c r="AC2" s="227"/>
      <c r="AD2" s="226">
        <v>3.2406998599125321</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997.7779962331789</v>
      </c>
      <c r="E3" s="85">
        <v>1040.013670282299</v>
      </c>
      <c r="F3" s="84">
        <v>995.45155411875987</v>
      </c>
      <c r="G3" s="85">
        <v>1086.3072916507458</v>
      </c>
      <c r="H3" s="84">
        <v>992.98621928754574</v>
      </c>
      <c r="I3" s="85">
        <v>1140.4312439192415</v>
      </c>
      <c r="J3" s="84">
        <v>990.34296753625586</v>
      </c>
      <c r="K3" s="85">
        <v>1204.378138974437</v>
      </c>
      <c r="L3" s="84">
        <v>987.47593817698498</v>
      </c>
      <c r="M3" s="85">
        <v>1280.7517733965583</v>
      </c>
      <c r="N3" s="84">
        <v>984.32973517823211</v>
      </c>
      <c r="O3" s="85">
        <v>1373.0192784928424</v>
      </c>
      <c r="P3" s="84">
        <v>980.83701760729093</v>
      </c>
      <c r="Q3" s="85">
        <v>1485.8649657908093</v>
      </c>
      <c r="R3" s="84">
        <v>976.91587654573789</v>
      </c>
      <c r="S3" s="85">
        <v>1625.7324890310317</v>
      </c>
      <c r="T3" s="84">
        <v>972.46826485720101</v>
      </c>
      <c r="U3" s="85">
        <v>1801.6414044736728</v>
      </c>
      <c r="V3" s="84">
        <v>967.38111297706007</v>
      </c>
      <c r="W3" s="85">
        <v>2026.4258928447255</v>
      </c>
      <c r="X3" s="84">
        <v>961.53469518114468</v>
      </c>
      <c r="Y3" s="85">
        <v>2318.5690024174396</v>
      </c>
      <c r="Z3" s="84">
        <v>954.82756311183277</v>
      </c>
      <c r="AA3" s="85">
        <v>2704.6574479755964</v>
      </c>
      <c r="AB3" s="84">
        <v>947.23850947732888</v>
      </c>
      <c r="AC3" s="85">
        <v>3221.3813507143245</v>
      </c>
      <c r="AD3" s="84">
        <v>938.96417503521673</v>
      </c>
      <c r="AE3" s="85">
        <v>3911.0913528212163</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997.66791649926222</v>
      </c>
      <c r="E5" s="42">
        <v>1034.7998157582074</v>
      </c>
      <c r="F5" s="41">
        <v>995.22503698652815</v>
      </c>
      <c r="G5" s="42">
        <v>1074.2553231270833</v>
      </c>
      <c r="H5" s="41">
        <v>992.63498331598964</v>
      </c>
      <c r="I5" s="42">
        <v>1119.3434916846941</v>
      </c>
      <c r="J5" s="41">
        <v>989.85648150046677</v>
      </c>
      <c r="K5" s="42">
        <v>1171.247253113507</v>
      </c>
      <c r="L5" s="41">
        <v>986.84094819005031</v>
      </c>
      <c r="M5" s="42">
        <v>1231.411509756628</v>
      </c>
      <c r="N5" s="41">
        <v>983.52960339296305</v>
      </c>
      <c r="O5" s="42">
        <v>1301.6165554959898</v>
      </c>
      <c r="P5" s="41">
        <v>979.85086348903815</v>
      </c>
      <c r="Q5" s="42">
        <v>1384.0549610470246</v>
      </c>
      <c r="R5" s="41">
        <v>975.71747365440388</v>
      </c>
      <c r="S5" s="42">
        <v>1481.4235493495639</v>
      </c>
      <c r="T5" s="41">
        <v>971.02470269517039</v>
      </c>
      <c r="U5" s="42">
        <v>1597.0036205223398</v>
      </c>
      <c r="V5" s="41">
        <v>965.65131458179985</v>
      </c>
      <c r="W5" s="42">
        <v>1734.7002748997518</v>
      </c>
      <c r="X5" s="41">
        <v>959.46815049825784</v>
      </c>
      <c r="Y5" s="42">
        <v>1898.9233715796504</v>
      </c>
      <c r="Z5" s="41">
        <v>952.36426090379166</v>
      </c>
      <c r="AA5" s="42">
        <v>2094.0538615835558</v>
      </c>
      <c r="AB5" s="41">
        <v>944.31256791691681</v>
      </c>
      <c r="AC5" s="42">
        <v>2322.8398784448136</v>
      </c>
      <c r="AD5" s="41">
        <v>935.51685659642999</v>
      </c>
      <c r="AE5" s="42">
        <v>2582.2338513929267</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999.99999999999932</v>
      </c>
      <c r="C6" s="42">
        <v>999.99999999999898</v>
      </c>
      <c r="D6" s="41">
        <v>997.48976171301661</v>
      </c>
      <c r="E6" s="42">
        <v>1043.1256936520642</v>
      </c>
      <c r="F6" s="41">
        <v>994.86074948160672</v>
      </c>
      <c r="G6" s="42">
        <v>1092.8680791217957</v>
      </c>
      <c r="H6" s="41">
        <v>992.07389375113826</v>
      </c>
      <c r="I6" s="42">
        <v>1150.8449480563188</v>
      </c>
      <c r="J6" s="41">
        <v>989.08489544042072</v>
      </c>
      <c r="K6" s="42">
        <v>1219.131154652451</v>
      </c>
      <c r="L6" s="41">
        <v>985.84164158728095</v>
      </c>
      <c r="M6" s="42">
        <v>1300.4335934179994</v>
      </c>
      <c r="N6" s="41">
        <v>982.2811197322402</v>
      </c>
      <c r="O6" s="42">
        <v>1398.3525997846943</v>
      </c>
      <c r="P6" s="41">
        <v>978.32664218326875</v>
      </c>
      <c r="Q6" s="42">
        <v>1517.7484408977073</v>
      </c>
      <c r="R6" s="41">
        <v>973.88480470856689</v>
      </c>
      <c r="S6" s="42">
        <v>1665.3035459923954</v>
      </c>
      <c r="T6" s="41">
        <v>968.84360478127292</v>
      </c>
      <c r="U6" s="42">
        <v>1850.3695535173329</v>
      </c>
      <c r="V6" s="41">
        <v>963.07356411559613</v>
      </c>
      <c r="W6" s="42">
        <v>2086.2527399127639</v>
      </c>
      <c r="X6" s="41">
        <v>956.43703966954206</v>
      </c>
      <c r="Y6" s="42">
        <v>2392.117792533048</v>
      </c>
      <c r="Z6" s="41">
        <v>948.8163577150558</v>
      </c>
      <c r="AA6" s="42">
        <v>2795.535546351301</v>
      </c>
      <c r="AB6" s="41">
        <v>940.1842285828601</v>
      </c>
      <c r="AC6" s="42">
        <v>3334.5561076150257</v>
      </c>
      <c r="AD6" s="41">
        <v>930.76093966748033</v>
      </c>
      <c r="AE6" s="42">
        <v>4053.0853876772012</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1013.5424916696827</v>
      </c>
      <c r="E7" s="34">
        <v>1013.5424916696827</v>
      </c>
      <c r="F7" s="33">
        <v>1011.0607418336518</v>
      </c>
      <c r="G7" s="34">
        <v>1011.0607418336518</v>
      </c>
      <c r="H7" s="33">
        <v>1008.4294760513391</v>
      </c>
      <c r="I7" s="34">
        <v>1008.4294760513391</v>
      </c>
      <c r="J7" s="33">
        <v>1005.6067635969831</v>
      </c>
      <c r="K7" s="34">
        <v>1005.6067635969831</v>
      </c>
      <c r="L7" s="33">
        <v>1002.5432480778343</v>
      </c>
      <c r="M7" s="34">
        <v>1002.5432480778343</v>
      </c>
      <c r="N7" s="33">
        <v>999.17921421354617</v>
      </c>
      <c r="O7" s="34">
        <v>999.17921421354617</v>
      </c>
      <c r="P7" s="33">
        <v>995.44193936811268</v>
      </c>
      <c r="Q7" s="34">
        <v>995.44193936811268</v>
      </c>
      <c r="R7" s="33">
        <v>991.24278034660426</v>
      </c>
      <c r="S7" s="34">
        <v>991.24278034660426</v>
      </c>
      <c r="T7" s="33">
        <v>986.4753395056216</v>
      </c>
      <c r="U7" s="34">
        <v>986.4753395056216</v>
      </c>
      <c r="V7" s="33">
        <v>981.01645174641214</v>
      </c>
      <c r="W7" s="34">
        <v>981.01645174641214</v>
      </c>
      <c r="X7" s="33">
        <v>974.73490311886314</v>
      </c>
      <c r="Y7" s="34">
        <v>974.73490311886314</v>
      </c>
      <c r="Z7" s="33">
        <v>967.51797868835104</v>
      </c>
      <c r="AA7" s="34">
        <v>967.51797868835104</v>
      </c>
      <c r="AB7" s="33">
        <v>959.33816971873739</v>
      </c>
      <c r="AC7" s="34">
        <v>959.33816971873739</v>
      </c>
      <c r="AD7" s="33">
        <v>950.40250383198133</v>
      </c>
      <c r="AE7" s="34">
        <v>950.40250383198133</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1133.9223429731885</v>
      </c>
      <c r="E8" s="36">
        <v>1133.9223429731885</v>
      </c>
      <c r="F8" s="35">
        <v>1283.4118080692867</v>
      </c>
      <c r="G8" s="36">
        <v>1283.4118080692867</v>
      </c>
      <c r="H8" s="35">
        <v>1459.532819120607</v>
      </c>
      <c r="I8" s="36">
        <v>1459.532819120607</v>
      </c>
      <c r="J8" s="35">
        <v>1669.1463876207856</v>
      </c>
      <c r="K8" s="36">
        <v>1669.1463876207856</v>
      </c>
      <c r="L8" s="35">
        <v>1921.2787844786492</v>
      </c>
      <c r="M8" s="36">
        <v>1921.2787844786492</v>
      </c>
      <c r="N8" s="35">
        <v>2228.0018002747993</v>
      </c>
      <c r="O8" s="36">
        <v>2228.0018002747993</v>
      </c>
      <c r="P8" s="35">
        <v>2605.6917397790644</v>
      </c>
      <c r="Q8" s="36">
        <v>2605.6917397790644</v>
      </c>
      <c r="R8" s="35">
        <v>3076.9359703844416</v>
      </c>
      <c r="S8" s="36">
        <v>3076.9359703844416</v>
      </c>
      <c r="T8" s="35">
        <v>3673.3978923313543</v>
      </c>
      <c r="U8" s="36">
        <v>3673.3978923313543</v>
      </c>
      <c r="V8" s="35">
        <v>4440.1675883696926</v>
      </c>
      <c r="W8" s="36">
        <v>4440.1675883696926</v>
      </c>
      <c r="X8" s="35">
        <v>5442.1652656382821</v>
      </c>
      <c r="Y8" s="36">
        <v>5442.1652656382821</v>
      </c>
      <c r="Z8" s="35">
        <v>6772.6273220549601</v>
      </c>
      <c r="AA8" s="36">
        <v>6772.6273220549601</v>
      </c>
      <c r="AB8" s="35">
        <v>8559.7845497560156</v>
      </c>
      <c r="AC8" s="36">
        <v>8559.7845497560156</v>
      </c>
      <c r="AD8" s="35">
        <v>10950.478731863381</v>
      </c>
      <c r="AE8" s="36">
        <v>10950.478731863381</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1013.5424916696827</v>
      </c>
      <c r="E9" s="42">
        <v>1133.9223429731885</v>
      </c>
      <c r="F9" s="41">
        <v>1011.0607418336518</v>
      </c>
      <c r="G9" s="42">
        <v>1283.4118080692867</v>
      </c>
      <c r="H9" s="41">
        <v>1008.4294760513391</v>
      </c>
      <c r="I9" s="42">
        <v>1459.532819120607</v>
      </c>
      <c r="J9" s="41">
        <v>1005.6067635969831</v>
      </c>
      <c r="K9" s="42">
        <v>1669.1463876207856</v>
      </c>
      <c r="L9" s="41">
        <v>1002.5432480778343</v>
      </c>
      <c r="M9" s="42">
        <v>1921.2787844786492</v>
      </c>
      <c r="N9" s="41">
        <v>999.17921421354617</v>
      </c>
      <c r="O9" s="42">
        <v>2228.0018002747993</v>
      </c>
      <c r="P9" s="41">
        <v>995.44193936811268</v>
      </c>
      <c r="Q9" s="42">
        <v>2605.6917397790644</v>
      </c>
      <c r="R9" s="41">
        <v>991.24278034660426</v>
      </c>
      <c r="S9" s="42">
        <v>3076.9359703844416</v>
      </c>
      <c r="T9" s="41">
        <v>986.4753395056216</v>
      </c>
      <c r="U9" s="42">
        <v>3673.3978923313543</v>
      </c>
      <c r="V9" s="41">
        <v>981.01645174641214</v>
      </c>
      <c r="W9" s="42">
        <v>4440.1675883696926</v>
      </c>
      <c r="X9" s="41">
        <v>974.73490311886314</v>
      </c>
      <c r="Y9" s="42">
        <v>5442.1652656382821</v>
      </c>
      <c r="Z9" s="41">
        <v>967.51797868835104</v>
      </c>
      <c r="AA9" s="42">
        <v>6772.6273220549601</v>
      </c>
      <c r="AB9" s="41">
        <v>959.33816971873739</v>
      </c>
      <c r="AC9" s="42">
        <v>8559.7845497560156</v>
      </c>
      <c r="AD9" s="41">
        <v>950.40250383198133</v>
      </c>
      <c r="AE9" s="42">
        <v>10950.478731863381</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1013.5424916696827</v>
      </c>
      <c r="E10" s="42">
        <v>1133.9223429731885</v>
      </c>
      <c r="F10" s="41">
        <v>1011.0607418336518</v>
      </c>
      <c r="G10" s="42">
        <v>1283.4118080692867</v>
      </c>
      <c r="H10" s="41">
        <v>1008.4294760513391</v>
      </c>
      <c r="I10" s="42">
        <v>1459.532819120607</v>
      </c>
      <c r="J10" s="41">
        <v>1005.6067635969831</v>
      </c>
      <c r="K10" s="42">
        <v>1669.1463876207856</v>
      </c>
      <c r="L10" s="41">
        <v>1002.5432480778343</v>
      </c>
      <c r="M10" s="42">
        <v>1921.2787844786492</v>
      </c>
      <c r="N10" s="41">
        <v>999.17921421354617</v>
      </c>
      <c r="O10" s="42">
        <v>2228.0018002747993</v>
      </c>
      <c r="P10" s="41">
        <v>995.44193936811268</v>
      </c>
      <c r="Q10" s="42">
        <v>2605.6917397790644</v>
      </c>
      <c r="R10" s="41">
        <v>991.24278034660426</v>
      </c>
      <c r="S10" s="42">
        <v>3076.9359703844416</v>
      </c>
      <c r="T10" s="41">
        <v>986.4753395056216</v>
      </c>
      <c r="U10" s="42">
        <v>3673.3978923313543</v>
      </c>
      <c r="V10" s="41">
        <v>981.01645174641214</v>
      </c>
      <c r="W10" s="42">
        <v>4440.1675883696926</v>
      </c>
      <c r="X10" s="41">
        <v>974.73490311886314</v>
      </c>
      <c r="Y10" s="42">
        <v>5442.1652656382821</v>
      </c>
      <c r="Z10" s="41">
        <v>967.51797868835104</v>
      </c>
      <c r="AA10" s="42">
        <v>6772.6273220549601</v>
      </c>
      <c r="AB10" s="41">
        <v>959.33816971873739</v>
      </c>
      <c r="AC10" s="42">
        <v>8559.7845497560156</v>
      </c>
      <c r="AD10" s="41">
        <v>950.40250383198133</v>
      </c>
      <c r="AE10" s="42">
        <v>10950.478731863381</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1013.5424916696827</v>
      </c>
      <c r="E11" s="42">
        <v>1133.9223429731885</v>
      </c>
      <c r="F11" s="41">
        <v>1011.0607418336518</v>
      </c>
      <c r="G11" s="42">
        <v>1283.4118080692867</v>
      </c>
      <c r="H11" s="41">
        <v>1008.4294760513391</v>
      </c>
      <c r="I11" s="42">
        <v>1459.532819120607</v>
      </c>
      <c r="J11" s="41">
        <v>1005.6067635969831</v>
      </c>
      <c r="K11" s="42">
        <v>1669.1463876207856</v>
      </c>
      <c r="L11" s="41">
        <v>1002.5432480778343</v>
      </c>
      <c r="M11" s="42">
        <v>1921.2787844786492</v>
      </c>
      <c r="N11" s="41">
        <v>999.17921421354617</v>
      </c>
      <c r="O11" s="42">
        <v>2228.0018002747993</v>
      </c>
      <c r="P11" s="41">
        <v>995.44193936811268</v>
      </c>
      <c r="Q11" s="42">
        <v>2605.6917397790644</v>
      </c>
      <c r="R11" s="41">
        <v>991.24278034660426</v>
      </c>
      <c r="S11" s="42">
        <v>3076.9359703844416</v>
      </c>
      <c r="T11" s="41">
        <v>986.4753395056216</v>
      </c>
      <c r="U11" s="42">
        <v>3673.3978923313543</v>
      </c>
      <c r="V11" s="41">
        <v>981.01645174641214</v>
      </c>
      <c r="W11" s="42">
        <v>4440.1675883696926</v>
      </c>
      <c r="X11" s="41">
        <v>974.73490311886314</v>
      </c>
      <c r="Y11" s="42">
        <v>5442.1652656382821</v>
      </c>
      <c r="Z11" s="41">
        <v>967.51797868835104</v>
      </c>
      <c r="AA11" s="42">
        <v>6772.6273220549601</v>
      </c>
      <c r="AB11" s="41">
        <v>959.33816971873739</v>
      </c>
      <c r="AC11" s="42">
        <v>8559.7845497560156</v>
      </c>
      <c r="AD11" s="41">
        <v>950.40250383198133</v>
      </c>
      <c r="AE11" s="42">
        <v>10950.478731863381</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1004.4933215849352</v>
      </c>
      <c r="E13" s="98">
        <v>1004.4933215849352</v>
      </c>
      <c r="F13" s="97">
        <v>1009.5016118131905</v>
      </c>
      <c r="G13" s="98">
        <v>1009.5016118131905</v>
      </c>
      <c r="H13" s="97">
        <v>1015.159434766307</v>
      </c>
      <c r="I13" s="98">
        <v>1015.159434766307</v>
      </c>
      <c r="J13" s="97">
        <v>1021.6378170975777</v>
      </c>
      <c r="K13" s="98">
        <v>1021.6378170975777</v>
      </c>
      <c r="L13" s="97">
        <v>1029.1582233294841</v>
      </c>
      <c r="M13" s="98">
        <v>1029.1582233294841</v>
      </c>
      <c r="N13" s="97">
        <v>1038.0128744225258</v>
      </c>
      <c r="O13" s="98">
        <v>1038.0128744225258</v>
      </c>
      <c r="P13" s="97">
        <v>1048.5931614212711</v>
      </c>
      <c r="Q13" s="98">
        <v>1048.5931614212711</v>
      </c>
      <c r="R13" s="97">
        <v>1061.4321713230752</v>
      </c>
      <c r="S13" s="98">
        <v>1061.4321713230752</v>
      </c>
      <c r="T13" s="97">
        <v>1077.2670903067185</v>
      </c>
      <c r="U13" s="98">
        <v>1077.2670903067185</v>
      </c>
      <c r="V13" s="97">
        <v>1097.1311934788775</v>
      </c>
      <c r="W13" s="98">
        <v>1097.1311934788775</v>
      </c>
      <c r="X13" s="97">
        <v>1122.4818940828047</v>
      </c>
      <c r="Y13" s="98">
        <v>1122.4818940828047</v>
      </c>
      <c r="Z13" s="97">
        <v>1155.352143591281</v>
      </c>
      <c r="AA13" s="98">
        <v>1155.352143591281</v>
      </c>
      <c r="AB13" s="97">
        <v>1198.4090295150884</v>
      </c>
      <c r="AC13" s="98">
        <v>1198.4090295150884</v>
      </c>
      <c r="AD13" s="97">
        <v>1254.4101400617317</v>
      </c>
      <c r="AE13" s="98">
        <v>1254.4101400617317</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1463.5502100850542</v>
      </c>
      <c r="E14" s="42">
        <v>1463.5502100850545</v>
      </c>
      <c r="F14" s="41">
        <v>1470.8473061017451</v>
      </c>
      <c r="G14" s="42">
        <v>1470.8473061017453</v>
      </c>
      <c r="H14" s="41">
        <v>1479.0907735233027</v>
      </c>
      <c r="I14" s="42">
        <v>1479.0907735233029</v>
      </c>
      <c r="J14" s="41">
        <v>1488.5297987693664</v>
      </c>
      <c r="K14" s="42">
        <v>1488.5297987693666</v>
      </c>
      <c r="L14" s="41">
        <v>1499.4870564077398</v>
      </c>
      <c r="M14" s="42">
        <v>1499.4870564077401</v>
      </c>
      <c r="N14" s="41">
        <v>1512.3883133787699</v>
      </c>
      <c r="O14" s="42">
        <v>1512.3883133787701</v>
      </c>
      <c r="P14" s="41">
        <v>1527.8038277749647</v>
      </c>
      <c r="Q14" s="42">
        <v>1527.8038277749649</v>
      </c>
      <c r="R14" s="41">
        <v>1546.5103091773703</v>
      </c>
      <c r="S14" s="42">
        <v>1546.5103091773706</v>
      </c>
      <c r="T14" s="41">
        <v>1569.5818403734406</v>
      </c>
      <c r="U14" s="42">
        <v>1569.5818403734409</v>
      </c>
      <c r="V14" s="41">
        <v>1598.5239067327204</v>
      </c>
      <c r="W14" s="42">
        <v>1598.5239067327207</v>
      </c>
      <c r="X14" s="41">
        <v>1635.459964342481</v>
      </c>
      <c r="Y14" s="42">
        <v>1635.4599643424813</v>
      </c>
      <c r="Z14" s="41">
        <v>1683.3520304617189</v>
      </c>
      <c r="AA14" s="42">
        <v>1683.3520304617191</v>
      </c>
      <c r="AB14" s="41">
        <v>1746.0860607288062</v>
      </c>
      <c r="AC14" s="42">
        <v>1746.0860607288066</v>
      </c>
      <c r="AD14" s="41">
        <v>1827.6798706072186</v>
      </c>
      <c r="AE14" s="42">
        <v>1827.6798706072188</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977.87174408744193</v>
      </c>
      <c r="E15" s="155">
        <v>977.87174408744193</v>
      </c>
      <c r="F15" s="154">
        <v>952.43783391865998</v>
      </c>
      <c r="G15" s="155">
        <v>952.43783391865998</v>
      </c>
      <c r="H15" s="154">
        <v>923.31233242341477</v>
      </c>
      <c r="I15" s="155">
        <v>923.31233242341477</v>
      </c>
      <c r="J15" s="154">
        <v>889.95896849427561</v>
      </c>
      <c r="K15" s="155">
        <v>889.95896849427561</v>
      </c>
      <c r="L15" s="154">
        <v>851.66580959610803</v>
      </c>
      <c r="M15" s="155">
        <v>851.66580959610803</v>
      </c>
      <c r="N15" s="154">
        <v>807.50274531982632</v>
      </c>
      <c r="O15" s="155">
        <v>807.50274531982632</v>
      </c>
      <c r="P15" s="154">
        <v>756.26672540091135</v>
      </c>
      <c r="Q15" s="155">
        <v>756.26672540091135</v>
      </c>
      <c r="R15" s="154">
        <v>696.40414009731808</v>
      </c>
      <c r="S15" s="155">
        <v>696.40414009731808</v>
      </c>
      <c r="T15" s="154">
        <v>625.91517678628418</v>
      </c>
      <c r="U15" s="155">
        <v>625.91517678628418</v>
      </c>
      <c r="V15" s="154">
        <v>542.24759854651154</v>
      </c>
      <c r="W15" s="155">
        <v>542.24759854651154</v>
      </c>
      <c r="X15" s="154">
        <v>442.23452667771699</v>
      </c>
      <c r="Y15" s="155">
        <v>442.23452667771699</v>
      </c>
      <c r="Z15" s="154">
        <v>322.25754242329072</v>
      </c>
      <c r="AA15" s="155">
        <v>322.25754242329072</v>
      </c>
      <c r="AB15" s="154">
        <v>179.24785752421454</v>
      </c>
      <c r="AC15" s="155">
        <v>179.24785752421454</v>
      </c>
      <c r="AD15" s="154">
        <v>14.362774940078152</v>
      </c>
      <c r="AE15" s="155">
        <v>14.362774940078152</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992.3272415618078</v>
      </c>
      <c r="E16" s="42">
        <v>985.6368162485154</v>
      </c>
      <c r="F16" s="41">
        <v>983.849547151553</v>
      </c>
      <c r="G16" s="42">
        <v>969.34502199245048</v>
      </c>
      <c r="H16" s="41">
        <v>974.38251888514992</v>
      </c>
      <c r="I16" s="42">
        <v>950.82864550602551</v>
      </c>
      <c r="J16" s="41">
        <v>963.70127181965211</v>
      </c>
      <c r="K16" s="42">
        <v>929.70379964043127</v>
      </c>
      <c r="L16" s="41">
        <v>951.52628552946089</v>
      </c>
      <c r="M16" s="42">
        <v>905.47756326336764</v>
      </c>
      <c r="N16" s="41">
        <v>937.50371105406771</v>
      </c>
      <c r="O16" s="42">
        <v>877.51726885054609</v>
      </c>
      <c r="P16" s="41">
        <v>921.1810778510951</v>
      </c>
      <c r="Q16" s="42">
        <v>845.01143027838941</v>
      </c>
      <c r="R16" s="41">
        <v>901.97298916729085</v>
      </c>
      <c r="S16" s="42">
        <v>806.91580672041755</v>
      </c>
      <c r="T16" s="41">
        <v>879.11622697806445</v>
      </c>
      <c r="U16" s="42">
        <v>761.8853907844267</v>
      </c>
      <c r="V16" s="41">
        <v>851.61169953140791</v>
      </c>
      <c r="W16" s="42">
        <v>708.19814927395498</v>
      </c>
      <c r="X16" s="41">
        <v>818.1605120256188</v>
      </c>
      <c r="Y16" s="42">
        <v>643.69706396369475</v>
      </c>
      <c r="Z16" s="41">
        <v>777.12781823269063</v>
      </c>
      <c r="AA16" s="42">
        <v>565.85525750906572</v>
      </c>
      <c r="AB16" s="41">
        <v>726.67177065261649</v>
      </c>
      <c r="AC16" s="42">
        <v>472.31690597532508</v>
      </c>
      <c r="AD16" s="41">
        <v>665.50341770755938</v>
      </c>
      <c r="AE16" s="42">
        <v>362.95351020960248</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997.88036524886775</v>
      </c>
      <c r="E17" s="36">
        <v>1060.7867919661412</v>
      </c>
      <c r="F17" s="35">
        <v>995.6622143379949</v>
      </c>
      <c r="G17" s="36">
        <v>1131.2476332319045</v>
      </c>
      <c r="H17" s="35">
        <v>993.31288240760978</v>
      </c>
      <c r="I17" s="36">
        <v>1213.8130266902936</v>
      </c>
      <c r="J17" s="35">
        <v>990.79542864766609</v>
      </c>
      <c r="K17" s="36">
        <v>1311.6176847455781</v>
      </c>
      <c r="L17" s="35">
        <v>988.06656334404454</v>
      </c>
      <c r="M17" s="36">
        <v>1428.7732066669741</v>
      </c>
      <c r="N17" s="35">
        <v>985.07400396676064</v>
      </c>
      <c r="O17" s="36">
        <v>1570.7699604193422</v>
      </c>
      <c r="P17" s="35">
        <v>981.75438124637287</v>
      </c>
      <c r="Q17" s="36">
        <v>1745.0516757728226</v>
      </c>
      <c r="R17" s="35">
        <v>978.03076685896133</v>
      </c>
      <c r="S17" s="36">
        <v>1961.8876807219626</v>
      </c>
      <c r="T17" s="35">
        <v>973.81136081454088</v>
      </c>
      <c r="U17" s="36">
        <v>2235.6869222179562</v>
      </c>
      <c r="V17" s="35">
        <v>968.99069255847905</v>
      </c>
      <c r="W17" s="36">
        <v>2587.0027612484228</v>
      </c>
      <c r="X17" s="35">
        <v>963.4578605301889</v>
      </c>
      <c r="Y17" s="36">
        <v>3045.5005981986246</v>
      </c>
      <c r="Z17" s="35">
        <v>957.12028673071177</v>
      </c>
      <c r="AA17" s="36">
        <v>3653.9369762111914</v>
      </c>
      <c r="AB17" s="35">
        <v>949.96228978564955</v>
      </c>
      <c r="AC17" s="36">
        <v>4471.451794034976</v>
      </c>
      <c r="AD17" s="35">
        <v>942.17395906230593</v>
      </c>
      <c r="AE17" s="36">
        <v>5566.6042644829004</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28104.859152388519</v>
      </c>
      <c r="E18" s="34">
        <v>1152.7643292817947</v>
      </c>
      <c r="F18" s="33">
        <v>28321.039088995818</v>
      </c>
      <c r="G18" s="34">
        <v>1068.9785295982306</v>
      </c>
      <c r="H18" s="33">
        <v>28507.146744097623</v>
      </c>
      <c r="I18" s="34">
        <v>985.40105778498742</v>
      </c>
      <c r="J18" s="33">
        <v>28663.07267418618</v>
      </c>
      <c r="K18" s="34">
        <v>902.05730242620609</v>
      </c>
      <c r="L18" s="33">
        <v>28786.992368295687</v>
      </c>
      <c r="M18" s="34">
        <v>819.01172429939095</v>
      </c>
      <c r="N18" s="33">
        <v>28875.159200268183</v>
      </c>
      <c r="O18" s="34">
        <v>736.37623838917159</v>
      </c>
      <c r="P18" s="33">
        <v>28921.322992927839</v>
      </c>
      <c r="Q18" s="34">
        <v>654.32932927410809</v>
      </c>
      <c r="R18" s="33">
        <v>28915.785862296034</v>
      </c>
      <c r="S18" s="34">
        <v>573.14230001213343</v>
      </c>
      <c r="T18" s="33">
        <v>28843.748015071269</v>
      </c>
      <c r="U18" s="34">
        <v>493.21883818987163</v>
      </c>
      <c r="V18" s="33">
        <v>28682.467768733386</v>
      </c>
      <c r="W18" s="34">
        <v>415.15558300027658</v>
      </c>
      <c r="X18" s="33">
        <v>28396.232167811617</v>
      </c>
      <c r="Y18" s="34">
        <v>339.8229301328725</v>
      </c>
      <c r="Z18" s="33">
        <v>27927.194908107904</v>
      </c>
      <c r="AA18" s="34">
        <v>268.47114531073822</v>
      </c>
      <c r="AB18" s="33">
        <v>27178.27816597779</v>
      </c>
      <c r="AC18" s="34">
        <v>202.84907892264636</v>
      </c>
      <c r="AD18" s="33">
        <v>25981.782365133797</v>
      </c>
      <c r="AE18" s="34">
        <v>145.27348056645212</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1897.7983231644012</v>
      </c>
      <c r="E19" s="42">
        <v>267.32551190413409</v>
      </c>
      <c r="F19" s="41">
        <v>1906.718310997923</v>
      </c>
      <c r="G19" s="42">
        <v>272.93654132094071</v>
      </c>
      <c r="H19" s="41">
        <v>1913.1889568324345</v>
      </c>
      <c r="I19" s="42">
        <v>279.86582287292833</v>
      </c>
      <c r="J19" s="41">
        <v>1917.1183398449452</v>
      </c>
      <c r="K19" s="42">
        <v>288.39745194286303</v>
      </c>
      <c r="L19" s="41">
        <v>1918.2835842603961</v>
      </c>
      <c r="M19" s="42">
        <v>298.86287032937196</v>
      </c>
      <c r="N19" s="41">
        <v>1916.3133722085554</v>
      </c>
      <c r="O19" s="42">
        <v>311.651117386095</v>
      </c>
      <c r="P19" s="41">
        <v>1910.6477278843242</v>
      </c>
      <c r="Q19" s="42">
        <v>327.20863841712776</v>
      </c>
      <c r="R19" s="41">
        <v>1900.4762041205515</v>
      </c>
      <c r="S19" s="42">
        <v>346.03023352400265</v>
      </c>
      <c r="T19" s="41">
        <v>1884.6372577627585</v>
      </c>
      <c r="U19" s="42">
        <v>368.61978452253101</v>
      </c>
      <c r="V19" s="41">
        <v>1861.4564981473964</v>
      </c>
      <c r="W19" s="42">
        <v>395.38768248763273</v>
      </c>
      <c r="X19" s="41">
        <v>1828.478484022218</v>
      </c>
      <c r="Y19" s="42">
        <v>426.41417569484105</v>
      </c>
      <c r="Z19" s="41">
        <v>1782.005062702013</v>
      </c>
      <c r="AA19" s="42">
        <v>460.93516391630345</v>
      </c>
      <c r="AB19" s="41">
        <v>1716.2716463827987</v>
      </c>
      <c r="AC19" s="42">
        <v>496.26215317057017</v>
      </c>
      <c r="AD19" s="41">
        <v>1621.9756640472544</v>
      </c>
      <c r="AE19" s="42">
        <v>525.67396701920381</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26771.917799434679</v>
      </c>
      <c r="E20" s="83">
        <v>1338.1147774499941</v>
      </c>
      <c r="F20" s="82">
        <v>26964.434820996205</v>
      </c>
      <c r="G20" s="83">
        <v>1267.6876838999945</v>
      </c>
      <c r="H20" s="82">
        <v>27127.244595245047</v>
      </c>
      <c r="I20" s="83">
        <v>1197.2605903499946</v>
      </c>
      <c r="J20" s="82">
        <v>27260.025570449554</v>
      </c>
      <c r="K20" s="83">
        <v>1126.8334967999951</v>
      </c>
      <c r="L20" s="82">
        <v>27360.779576249024</v>
      </c>
      <c r="M20" s="83">
        <v>1056.4064032499953</v>
      </c>
      <c r="N20" s="82">
        <v>27425.623516993368</v>
      </c>
      <c r="O20" s="83">
        <v>985.97930969999561</v>
      </c>
      <c r="P20" s="82">
        <v>27448.229306703975</v>
      </c>
      <c r="Q20" s="83">
        <v>915.55221614999596</v>
      </c>
      <c r="R20" s="82">
        <v>27418.923711796873</v>
      </c>
      <c r="S20" s="83">
        <v>845.12512259999642</v>
      </c>
      <c r="T20" s="82">
        <v>27323.132101416166</v>
      </c>
      <c r="U20" s="83">
        <v>774.69802904999653</v>
      </c>
      <c r="V20" s="82">
        <v>27138.737630274351</v>
      </c>
      <c r="W20" s="83">
        <v>704.27093549999688</v>
      </c>
      <c r="X20" s="82">
        <v>26831.458232634886</v>
      </c>
      <c r="Y20" s="83">
        <v>633.84384194999734</v>
      </c>
      <c r="Z20" s="82">
        <v>26346.510570595481</v>
      </c>
      <c r="AA20" s="83">
        <v>563.41674839999757</v>
      </c>
      <c r="AB20" s="82">
        <v>25593.188232487239</v>
      </c>
      <c r="AC20" s="83">
        <v>492.98965484999775</v>
      </c>
      <c r="AD20" s="82">
        <v>24416.729446420712</v>
      </c>
      <c r="AE20" s="83">
        <v>422.56256129999798</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1145.7547579999964</v>
      </c>
      <c r="D21" s="82">
        <v>24874.12510951377</v>
      </c>
      <c r="E21" s="83">
        <v>1071.1609387198046</v>
      </c>
      <c r="F21" s="82">
        <v>25057.740336009152</v>
      </c>
      <c r="G21" s="83">
        <v>996.35431795948045</v>
      </c>
      <c r="H21" s="82">
        <v>25214.112766265724</v>
      </c>
      <c r="I21" s="83">
        <v>921.30587433784558</v>
      </c>
      <c r="J21" s="82">
        <v>25343.016332247524</v>
      </c>
      <c r="K21" s="83">
        <v>846.01519868491846</v>
      </c>
      <c r="L21" s="82">
        <v>25442.680668553607</v>
      </c>
      <c r="M21" s="83">
        <v>770.51874592073796</v>
      </c>
      <c r="N21" s="82">
        <v>25509.600812434237</v>
      </c>
      <c r="O21" s="83">
        <v>694.90095041411337</v>
      </c>
      <c r="P21" s="82">
        <v>25538.018065795357</v>
      </c>
      <c r="Q21" s="83">
        <v>619.31667791402492</v>
      </c>
      <c r="R21" s="82">
        <v>25519.082598543762</v>
      </c>
      <c r="S21" s="83">
        <v>544.01996466070443</v>
      </c>
      <c r="T21" s="82">
        <v>25439.398935944846</v>
      </c>
      <c r="U21" s="83">
        <v>469.40671601574854</v>
      </c>
      <c r="V21" s="82">
        <v>25278.547848874205</v>
      </c>
      <c r="W21" s="83">
        <v>396.07451692246804</v>
      </c>
      <c r="X21" s="82">
        <v>25004.731236324838</v>
      </c>
      <c r="Y21" s="83">
        <v>324.90329586622425</v>
      </c>
      <c r="Z21" s="82">
        <v>24566.893071835941</v>
      </c>
      <c r="AA21" s="83">
        <v>257.15644238057428</v>
      </c>
      <c r="AB21" s="82">
        <v>23880.104530607194</v>
      </c>
      <c r="AC21" s="83">
        <v>194.5909788021259</v>
      </c>
      <c r="AD21" s="82">
        <v>22798.857807240016</v>
      </c>
      <c r="AE21" s="83">
        <v>139.51874759686214</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6533.6044688320826</v>
      </c>
      <c r="C22" s="42">
        <v>379.90788307663479</v>
      </c>
      <c r="D22" s="41">
        <v>6589.9819462405567</v>
      </c>
      <c r="E22" s="42">
        <v>356.0827561718063</v>
      </c>
      <c r="F22" s="41">
        <v>6637.3706656357326</v>
      </c>
      <c r="G22" s="42">
        <v>332.47142972631974</v>
      </c>
      <c r="H22" s="41">
        <v>6675.9439082606086</v>
      </c>
      <c r="I22" s="42">
        <v>309.08875710801743</v>
      </c>
      <c r="J22" s="41">
        <v>6705.4239699724749</v>
      </c>
      <c r="K22" s="42">
        <v>285.95521888454391</v>
      </c>
      <c r="L22" s="41">
        <v>6725.0716227060193</v>
      </c>
      <c r="M22" s="42">
        <v>263.09711196150096</v>
      </c>
      <c r="N22" s="41">
        <v>6733.6268775330591</v>
      </c>
      <c r="O22" s="42">
        <v>240.54552894034285</v>
      </c>
      <c r="P22" s="41">
        <v>6729.1613389250315</v>
      </c>
      <c r="Q22" s="42">
        <v>218.33743761243005</v>
      </c>
      <c r="R22" s="41">
        <v>6708.8486739818281</v>
      </c>
      <c r="S22" s="42">
        <v>196.51534683627852</v>
      </c>
      <c r="T22" s="41">
        <v>6668.5813732269189</v>
      </c>
      <c r="U22" s="42">
        <v>175.12814218425785</v>
      </c>
      <c r="V22" s="41">
        <v>6602.3400495256374</v>
      </c>
      <c r="W22" s="42">
        <v>154.23238515887448</v>
      </c>
      <c r="X22" s="41">
        <v>6501.1352498831102</v>
      </c>
      <c r="Y22" s="42">
        <v>133.89661727761882</v>
      </c>
      <c r="Z22" s="41">
        <v>6351.1843470190151</v>
      </c>
      <c r="AA22" s="42">
        <v>114.21085091927341</v>
      </c>
      <c r="AB22" s="41">
        <v>6130.7127765230289</v>
      </c>
      <c r="AC22" s="42">
        <v>95.307665876297804</v>
      </c>
      <c r="AD22" s="41">
        <v>5804.4877663365887</v>
      </c>
      <c r="AE22" s="42">
        <v>77.403412673873092</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3315.8130813546377</v>
      </c>
      <c r="E23" s="8">
        <v>0</v>
      </c>
      <c r="F23" s="116">
        <v>3349.5214724743228</v>
      </c>
      <c r="G23" s="8">
        <v>0</v>
      </c>
      <c r="H23" s="116">
        <v>3379.8394206315875</v>
      </c>
      <c r="I23" s="8">
        <v>0</v>
      </c>
      <c r="J23" s="116">
        <v>3406.7734019610953</v>
      </c>
      <c r="K23" s="8">
        <v>0</v>
      </c>
      <c r="L23" s="116">
        <v>3430.1216399830937</v>
      </c>
      <c r="M23" s="8">
        <v>0</v>
      </c>
      <c r="N23" s="116">
        <v>3449.4473895914966</v>
      </c>
      <c r="O23" s="8">
        <v>0</v>
      </c>
      <c r="P23" s="116">
        <v>3464.0059316346333</v>
      </c>
      <c r="Q23" s="8">
        <v>0</v>
      </c>
      <c r="R23" s="116">
        <v>3472.6269518549871</v>
      </c>
      <c r="S23" s="8">
        <v>0</v>
      </c>
      <c r="T23" s="116">
        <v>3473.5099373346925</v>
      </c>
      <c r="U23" s="8">
        <v>0</v>
      </c>
      <c r="V23" s="116">
        <v>3463.8746607083381</v>
      </c>
      <c r="W23" s="8">
        <v>0</v>
      </c>
      <c r="X23" s="116">
        <v>3439.3446058525601</v>
      </c>
      <c r="Y23" s="8">
        <v>0</v>
      </c>
      <c r="Z23" s="116">
        <v>3392.8222444303442</v>
      </c>
      <c r="AA23" s="8">
        <v>0</v>
      </c>
      <c r="AB23" s="116">
        <v>3312.3717013307783</v>
      </c>
      <c r="AC23" s="8">
        <v>0</v>
      </c>
      <c r="AD23" s="116">
        <v>3177.2506785335413</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3232.7613647482385</v>
      </c>
      <c r="E24" s="8">
        <v>0</v>
      </c>
      <c r="F24" s="97">
        <v>3265.6254569121611</v>
      </c>
      <c r="G24" s="8">
        <v>0</v>
      </c>
      <c r="H24" s="97">
        <v>3295.1840270903244</v>
      </c>
      <c r="I24" s="8">
        <v>0</v>
      </c>
      <c r="J24" s="97">
        <v>3321.4433877847264</v>
      </c>
      <c r="K24" s="8">
        <v>0</v>
      </c>
      <c r="L24" s="97">
        <v>3344.2068204300031</v>
      </c>
      <c r="M24" s="8">
        <v>0</v>
      </c>
      <c r="N24" s="97">
        <v>3363.0485137555161</v>
      </c>
      <c r="O24" s="8">
        <v>0</v>
      </c>
      <c r="P24" s="97">
        <v>3377.2424049767305</v>
      </c>
      <c r="Q24" s="8">
        <v>0</v>
      </c>
      <c r="R24" s="97">
        <v>3385.6474911978517</v>
      </c>
      <c r="S24" s="8">
        <v>0</v>
      </c>
      <c r="T24" s="97">
        <v>3386.5083637703769</v>
      </c>
      <c r="U24" s="8">
        <v>0</v>
      </c>
      <c r="V24" s="97">
        <v>3377.1144310048739</v>
      </c>
      <c r="W24" s="8">
        <v>0</v>
      </c>
      <c r="X24" s="97">
        <v>3353.1987838900991</v>
      </c>
      <c r="Y24" s="8">
        <v>0</v>
      </c>
      <c r="Z24" s="97">
        <v>3307.8416733332729</v>
      </c>
      <c r="AA24" s="8">
        <v>0</v>
      </c>
      <c r="AB24" s="97">
        <v>3229.406159847093</v>
      </c>
      <c r="AC24" s="8">
        <v>0</v>
      </c>
      <c r="AD24" s="97">
        <v>3097.6695633543955</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3195.0476040000053</v>
      </c>
      <c r="C25" s="42">
        <v>91.012690000004284</v>
      </c>
      <c r="D25" s="41">
        <v>3230.7249280330384</v>
      </c>
      <c r="E25" s="42">
        <v>81.535172761670793</v>
      </c>
      <c r="F25" s="41">
        <v>3263.2600501216025</v>
      </c>
      <c r="G25" s="42">
        <v>72.355352822808385</v>
      </c>
      <c r="H25" s="41">
        <v>3292.9408430623157</v>
      </c>
      <c r="I25" s="42">
        <v>63.501960103470431</v>
      </c>
      <c r="J25" s="41">
        <v>3319.8777956098893</v>
      </c>
      <c r="K25" s="42">
        <v>55.014546686258029</v>
      </c>
      <c r="L25" s="41">
        <v>3344.0082215109301</v>
      </c>
      <c r="M25" s="42">
        <v>46.942304685117406</v>
      </c>
      <c r="N25" s="41">
        <v>3365.0785604812377</v>
      </c>
      <c r="O25" s="42">
        <v>39.3423474287057</v>
      </c>
      <c r="P25" s="41">
        <v>3382.5807276189371</v>
      </c>
      <c r="Q25" s="42">
        <v>32.278337310983716</v>
      </c>
      <c r="R25" s="41">
        <v>3395.643524150164</v>
      </c>
      <c r="S25" s="42">
        <v>25.817654888040614</v>
      </c>
      <c r="T25" s="41">
        <v>3402.8306180712279</v>
      </c>
      <c r="U25" s="42">
        <v>20.027582203538032</v>
      </c>
      <c r="V25" s="41">
        <v>3401.7764104170901</v>
      </c>
      <c r="W25" s="42">
        <v>14.970170754423316</v>
      </c>
      <c r="X25" s="41">
        <v>3388.5113151384212</v>
      </c>
      <c r="Y25" s="42">
        <v>10.695334193483793</v>
      </c>
      <c r="Z25" s="41">
        <v>3356.1854499864571</v>
      </c>
      <c r="AA25" s="42">
        <v>7.2323282525486743</v>
      </c>
      <c r="AB25" s="41">
        <v>3292.6140808641735</v>
      </c>
      <c r="AC25" s="42">
        <v>4.5799884546118159</v>
      </c>
      <c r="AD25" s="41">
        <v>3175.6765257454445</v>
      </c>
      <c r="AE25" s="42">
        <v>2.6963688846162186</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5122.7296640028435</v>
      </c>
      <c r="E26" s="34">
        <v>70.697507324500407</v>
      </c>
      <c r="F26" s="33">
        <v>5203.3084461546769</v>
      </c>
      <c r="G26" s="34">
        <v>66.409127961165495</v>
      </c>
      <c r="H26" s="33">
        <v>5278.238599726239</v>
      </c>
      <c r="I26" s="34">
        <v>62.040303105036855</v>
      </c>
      <c r="J26" s="33">
        <v>5347.323876678518</v>
      </c>
      <c r="K26" s="34">
        <v>57.591050286992498</v>
      </c>
      <c r="L26" s="33">
        <v>5409.9307087053612</v>
      </c>
      <c r="M26" s="34">
        <v>53.061757753895215</v>
      </c>
      <c r="N26" s="33">
        <v>5464.9123375059144</v>
      </c>
      <c r="O26" s="34">
        <v>48.453871150754743</v>
      </c>
      <c r="P26" s="33">
        <v>5510.4333174946205</v>
      </c>
      <c r="Q26" s="34">
        <v>43.771154550130049</v>
      </c>
      <c r="R26" s="33">
        <v>5543.7186576871582</v>
      </c>
      <c r="S26" s="34">
        <v>39.021741093887329</v>
      </c>
      <c r="T26" s="33">
        <v>5560.6484395221059</v>
      </c>
      <c r="U26" s="34">
        <v>34.221518047542368</v>
      </c>
      <c r="V26" s="33">
        <v>5555.129812680856</v>
      </c>
      <c r="W26" s="34">
        <v>29.399391883671601</v>
      </c>
      <c r="X26" s="33">
        <v>5518.0959157167963</v>
      </c>
      <c r="Y26" s="34">
        <v>24.605343568274396</v>
      </c>
      <c r="Z26" s="33">
        <v>5435.8825681970866</v>
      </c>
      <c r="AA26" s="34">
        <v>19.921762695202744</v>
      </c>
      <c r="AB26" s="33">
        <v>5287.5134006226235</v>
      </c>
      <c r="AC26" s="34">
        <v>15.477501643427759</v>
      </c>
      <c r="AD26" s="33">
        <v>5040.1522081069206</v>
      </c>
      <c r="AE26" s="34">
        <v>11.459714575022762</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6442.9501930334263</v>
      </c>
      <c r="E27" s="36">
        <v>255.47691811501835</v>
      </c>
      <c r="F27" s="35">
        <v>6460.4908079467623</v>
      </c>
      <c r="G27" s="36">
        <v>237.93627408003093</v>
      </c>
      <c r="H27" s="35">
        <v>6477.8670345557593</v>
      </c>
      <c r="I27" s="36">
        <v>220.56004391709243</v>
      </c>
      <c r="J27" s="35">
        <v>6495.1127093414325</v>
      </c>
      <c r="K27" s="36">
        <v>203.31476105179797</v>
      </c>
      <c r="L27" s="35">
        <v>6512.2493043865225</v>
      </c>
      <c r="M27" s="36">
        <v>186.17782432588461</v>
      </c>
      <c r="N27" s="35">
        <v>6529.2905983435876</v>
      </c>
      <c r="O27" s="36">
        <v>169.13648043286884</v>
      </c>
      <c r="P27" s="35">
        <v>6546.2375215404509</v>
      </c>
      <c r="Q27" s="36">
        <v>152.18959552012504</v>
      </c>
      <c r="R27" s="35">
        <v>6563.0757863556482</v>
      </c>
      <c r="S27" s="36">
        <v>135.35150927219223</v>
      </c>
      <c r="T27" s="35">
        <v>6579.7679226835344</v>
      </c>
      <c r="U27" s="36">
        <v>118.65937326206513</v>
      </c>
      <c r="V27" s="35">
        <v>6596.2405741191333</v>
      </c>
      <c r="W27" s="36">
        <v>102.18675159781213</v>
      </c>
      <c r="X27" s="35">
        <v>6612.3630402297322</v>
      </c>
      <c r="Y27" s="36">
        <v>86.064342987814925</v>
      </c>
      <c r="Z27" s="35">
        <v>6627.9150382278394</v>
      </c>
      <c r="AA27" s="36">
        <v>70.512405731391596</v>
      </c>
      <c r="AB27" s="35">
        <v>6642.5388933930371</v>
      </c>
      <c r="AC27" s="36">
        <v>55.887870500242066</v>
      </c>
      <c r="AD27" s="35">
        <v>6655.6852383480491</v>
      </c>
      <c r="AE27" s="36">
        <v>42.742254120708473</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13763.097676000001</v>
      </c>
      <c r="C28" s="42">
        <v>382.36647900000003</v>
      </c>
      <c r="D28" s="41">
        <v>13904.436704661533</v>
      </c>
      <c r="E28" s="42">
        <v>358.44134819703135</v>
      </c>
      <c r="F28" s="41">
        <v>14033.129825847587</v>
      </c>
      <c r="G28" s="42">
        <v>334.55288384180227</v>
      </c>
      <c r="H28" s="41">
        <v>14150.591390972497</v>
      </c>
      <c r="I28" s="42">
        <v>310.6858673077333</v>
      </c>
      <c r="J28" s="41">
        <v>14257.566095194567</v>
      </c>
      <c r="K28" s="42">
        <v>286.83089340898886</v>
      </c>
      <c r="L28" s="41">
        <v>14354.181950194154</v>
      </c>
      <c r="M28" s="42">
        <v>262.98462277096792</v>
      </c>
      <c r="N28" s="41">
        <v>14439.932173564739</v>
      </c>
      <c r="O28" s="42">
        <v>239.15106117562129</v>
      </c>
      <c r="P28" s="41">
        <v>14513.501576522565</v>
      </c>
      <c r="Q28" s="42">
        <v>215.34571936084436</v>
      </c>
      <c r="R28" s="41">
        <v>14572.466394078909</v>
      </c>
      <c r="S28" s="42">
        <v>191.60222874872082</v>
      </c>
      <c r="T28" s="41">
        <v>14612.708727455736</v>
      </c>
      <c r="U28" s="42">
        <v>167.98349782051838</v>
      </c>
      <c r="V28" s="41">
        <v>14627.327996766295</v>
      </c>
      <c r="W28" s="42">
        <v>144.60100666051355</v>
      </c>
      <c r="X28" s="41">
        <v>14604.51850432659</v>
      </c>
      <c r="Y28" s="42">
        <v>121.64375327843162</v>
      </c>
      <c r="Z28" s="41">
        <v>14523.221851320379</v>
      </c>
      <c r="AA28" s="42">
        <v>99.422069568922367</v>
      </c>
      <c r="AB28" s="41">
        <v>14343.633837861295</v>
      </c>
      <c r="AC28" s="42">
        <v>78.427890802836217</v>
      </c>
      <c r="AD28" s="41">
        <v>13985.471298880306</v>
      </c>
      <c r="AE28" s="42">
        <v>59.397662861577636</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14490.03647950483</v>
      </c>
      <c r="E29" s="36">
        <v>759.12465140886843</v>
      </c>
      <c r="F29" s="35">
        <v>14600.935395564538</v>
      </c>
      <c r="G29" s="36">
        <v>701.3967614465264</v>
      </c>
      <c r="H29" s="35">
        <v>14696.279899649327</v>
      </c>
      <c r="I29" s="36">
        <v>644.09391607910288</v>
      </c>
      <c r="J29" s="35">
        <v>14776.003091706105</v>
      </c>
      <c r="K29" s="36">
        <v>587.25535309845168</v>
      </c>
      <c r="L29" s="35">
        <v>14839.151336574341</v>
      </c>
      <c r="M29" s="36">
        <v>530.94990267032381</v>
      </c>
      <c r="N29" s="35">
        <v>14883.777116523454</v>
      </c>
      <c r="O29" s="36">
        <v>475.27950681497646</v>
      </c>
      <c r="P29" s="35">
        <v>14906.638336637086</v>
      </c>
      <c r="Q29" s="36">
        <v>420.38955844044852</v>
      </c>
      <c r="R29" s="35">
        <v>14902.711239883454</v>
      </c>
      <c r="S29" s="36">
        <v>366.48289356932702</v>
      </c>
      <c r="T29" s="35">
        <v>14864.33767926859</v>
      </c>
      <c r="U29" s="36">
        <v>313.8414801592246</v>
      </c>
      <c r="V29" s="35">
        <v>14779.763121722692</v>
      </c>
      <c r="W29" s="36">
        <v>262.86026665183664</v>
      </c>
      <c r="X29" s="35">
        <v>14630.550285554311</v>
      </c>
      <c r="Y29" s="36">
        <v>214.09255121385826</v>
      </c>
      <c r="Z29" s="35">
        <v>14386.873508771951</v>
      </c>
      <c r="AA29" s="36">
        <v>168.30992555552064</v>
      </c>
      <c r="AB29" s="35">
        <v>13998.746247879286</v>
      </c>
      <c r="AC29" s="36">
        <v>126.56905675135498</v>
      </c>
      <c r="AD29" s="35">
        <v>13379.9310365085</v>
      </c>
      <c r="AE29" s="36">
        <v>90.247634940565575</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3100425.7848135605</v>
      </c>
      <c r="F30" s="119">
        <v>3282134.420222092</v>
      </c>
      <c r="H30" s="119">
        <v>3472046.97487472</v>
      </c>
      <c r="J30" s="119">
        <v>3672446.7793210419</v>
      </c>
      <c r="L30" s="119">
        <v>3885914.06429007</v>
      </c>
      <c r="N30" s="119">
        <v>4115452.8441037592</v>
      </c>
      <c r="P30" s="119">
        <v>4364579.0413942095</v>
      </c>
      <c r="R30" s="119">
        <v>4637420.127184283</v>
      </c>
      <c r="T30" s="119">
        <v>4938729.9473825544</v>
      </c>
      <c r="V30" s="119">
        <v>5273679.7979895929</v>
      </c>
      <c r="X30" s="119">
        <v>5646956.7333873212</v>
      </c>
      <c r="Z30" s="119">
        <v>6059888.9717896394</v>
      </c>
      <c r="AB30" s="119">
        <v>6501847.0225232905</v>
      </c>
      <c r="AD30" s="119">
        <v>6925626.0598278586</v>
      </c>
      <c r="AF30" s="119"/>
      <c r="AH30" s="119"/>
      <c r="AJ30" s="119"/>
      <c r="AL30" s="119"/>
      <c r="AN30" s="119"/>
      <c r="AP30" s="119"/>
      <c r="AR30" s="119"/>
      <c r="AT30" s="119"/>
      <c r="AV30" s="119"/>
    </row>
    <row r="31" spans="1:49" x14ac:dyDescent="0.2">
      <c r="A31" t="s">
        <v>47</v>
      </c>
      <c r="B31" s="80">
        <v>1.0000000000000013</v>
      </c>
      <c r="D31" s="80">
        <v>1.0045152573584284</v>
      </c>
      <c r="F31" s="80">
        <v>1.0072727008852038</v>
      </c>
      <c r="H31" s="80">
        <v>1.0082509249602765</v>
      </c>
      <c r="J31" s="80">
        <v>1.0073531670117302</v>
      </c>
      <c r="L31" s="80">
        <v>1.0044053815843976</v>
      </c>
      <c r="N31" s="80">
        <v>0.99914690525422278</v>
      </c>
      <c r="P31" s="80">
        <v>0.99120942212829644</v>
      </c>
      <c r="R31" s="80">
        <v>0.9800851733439998</v>
      </c>
      <c r="T31" s="80">
        <v>0.96507675696208428</v>
      </c>
      <c r="V31" s="80">
        <v>0.9452191256220891</v>
      </c>
      <c r="X31" s="80">
        <v>0.91915869364697445</v>
      </c>
      <c r="Z31" s="80">
        <v>0.88496515992549052</v>
      </c>
      <c r="AB31" s="80">
        <v>0.8398463607559592</v>
      </c>
      <c r="AD31" s="80">
        <v>0.7797646984006994</v>
      </c>
      <c r="AF31" s="80"/>
      <c r="AH31" s="80"/>
      <c r="AJ31" s="80"/>
      <c r="AL31" s="80"/>
      <c r="AN31" s="80"/>
      <c r="AP31" s="80"/>
      <c r="AR31" s="80"/>
      <c r="AT31" s="80"/>
      <c r="AV31" s="80"/>
    </row>
    <row r="32" spans="1:49" x14ac:dyDescent="0.2">
      <c r="A32" t="s">
        <v>64</v>
      </c>
      <c r="B32" s="86">
        <v>14734457.915000005</v>
      </c>
      <c r="D32" s="86">
        <v>14867391.641735258</v>
      </c>
      <c r="F32" s="86">
        <v>14981758.58016867</v>
      </c>
      <c r="H32" s="86">
        <v>15078022.224052755</v>
      </c>
      <c r="J32" s="86">
        <v>15155637.678835617</v>
      </c>
      <c r="L32" s="86">
        <v>15213019.377507938</v>
      </c>
      <c r="N32" s="86">
        <v>15247396.605682395</v>
      </c>
      <c r="P32" s="86">
        <v>15254477.681735452</v>
      </c>
      <c r="R32" s="86">
        <v>15227932.720640898</v>
      </c>
      <c r="T32" s="86">
        <v>15158546.463149326</v>
      </c>
      <c r="V32" s="86">
        <v>15032847.091993144</v>
      </c>
      <c r="X32" s="86">
        <v>14830814.07023849</v>
      </c>
      <c r="Z32" s="86">
        <v>14521882.93232126</v>
      </c>
      <c r="AB32" s="86">
        <v>14057677.329756472</v>
      </c>
      <c r="AD32" s="86">
        <v>13358627.30364717</v>
      </c>
      <c r="AF32" s="86"/>
      <c r="AH32" s="86"/>
      <c r="AJ32" s="86"/>
      <c r="AL32" s="86"/>
      <c r="AN32" s="86"/>
      <c r="AP32" s="86"/>
      <c r="AR32" s="86"/>
      <c r="AT32" s="86"/>
      <c r="AV32" s="86"/>
    </row>
    <row r="33" spans="1:49 16319:16321" x14ac:dyDescent="0.2">
      <c r="A33" t="s">
        <v>54</v>
      </c>
      <c r="B33" s="117">
        <v>7019665.6910000062</v>
      </c>
      <c r="D33" s="117">
        <v>7082996.915021562</v>
      </c>
      <c r="F33" s="117">
        <v>7137482.667779021</v>
      </c>
      <c r="H33" s="117">
        <v>7183343.8025757205</v>
      </c>
      <c r="J33" s="117">
        <v>7220320.8176120995</v>
      </c>
      <c r="L33" s="117">
        <v>7247658.047652998</v>
      </c>
      <c r="N33" s="117">
        <v>7264035.8838278316</v>
      </c>
      <c r="P33" s="117">
        <v>7267409.4712116923</v>
      </c>
      <c r="R33" s="117">
        <v>7254762.9519354925</v>
      </c>
      <c r="T33" s="117">
        <v>7221706.4225624483</v>
      </c>
      <c r="V33" s="117">
        <v>7161821.8462682534</v>
      </c>
      <c r="X33" s="117">
        <v>7065570.9576921593</v>
      </c>
      <c r="Z33" s="117">
        <v>6918392.5711159492</v>
      </c>
      <c r="AB33" s="117">
        <v>6697239.8599421205</v>
      </c>
      <c r="AD33" s="117">
        <v>6364204.1308472911</v>
      </c>
      <c r="AF33" s="117"/>
      <c r="AH33" s="117"/>
      <c r="AJ33" s="117"/>
      <c r="AL33" s="117"/>
      <c r="AN33" s="117"/>
      <c r="AP33" s="117"/>
      <c r="AR33" s="117"/>
      <c r="AT33" s="117"/>
      <c r="AV33" s="117"/>
    </row>
    <row r="34" spans="1:49 16319:16321" x14ac:dyDescent="0.2">
      <c r="A34" t="s">
        <v>75</v>
      </c>
      <c r="B34" s="117">
        <v>1136879.4409999985</v>
      </c>
      <c r="D34" s="117">
        <v>1147136.2657261742</v>
      </c>
      <c r="F34" s="117">
        <v>1155960.5506255471</v>
      </c>
      <c r="H34" s="117">
        <v>1163388.0234604231</v>
      </c>
      <c r="J34" s="117">
        <v>1169376.5505083387</v>
      </c>
      <c r="L34" s="117">
        <v>1173804.0716062794</v>
      </c>
      <c r="N34" s="117">
        <v>1176456.418315293</v>
      </c>
      <c r="P34" s="117">
        <v>1177002.6986284687</v>
      </c>
      <c r="R34" s="117">
        <v>1174954.7413936504</v>
      </c>
      <c r="T34" s="117">
        <v>1169601.1579894763</v>
      </c>
      <c r="V34" s="117">
        <v>1159902.4005364843</v>
      </c>
      <c r="X34" s="117">
        <v>1144313.9896148457</v>
      </c>
      <c r="Z34" s="117">
        <v>1120477.5516206892</v>
      </c>
      <c r="AB34" s="117">
        <v>1084660.2697654164</v>
      </c>
      <c r="AD34" s="117">
        <v>1030723.2635636025</v>
      </c>
      <c r="AF34" s="117"/>
      <c r="AH34" s="117"/>
      <c r="AJ34" s="117"/>
      <c r="AL34" s="117"/>
      <c r="AN34" s="117"/>
      <c r="AP34" s="117"/>
      <c r="AR34" s="117"/>
      <c r="AT34" s="117"/>
      <c r="AV34" s="117"/>
    </row>
    <row r="35" spans="1:49 16319:16321" x14ac:dyDescent="0.2">
      <c r="A35" t="s">
        <v>78</v>
      </c>
      <c r="B35" s="233">
        <v>1</v>
      </c>
      <c r="D35" s="233">
        <v>1.0044933226239359</v>
      </c>
      <c r="F35" s="233">
        <v>1.0095016120891596</v>
      </c>
      <c r="H35" s="233">
        <v>1.0151594336804715</v>
      </c>
      <c r="J35" s="233">
        <v>1.0216378110687363</v>
      </c>
      <c r="L35" s="233">
        <v>1.0291582184689596</v>
      </c>
      <c r="N35" s="233">
        <v>1.0380128633257442</v>
      </c>
      <c r="P35" s="233">
        <v>1.0485931448486439</v>
      </c>
      <c r="R35" s="233">
        <v>1.0614321487853904</v>
      </c>
      <c r="T35" s="233">
        <v>1.0772670820458567</v>
      </c>
      <c r="V35" s="233">
        <v>1.0971311853280732</v>
      </c>
      <c r="X35" s="233">
        <v>1.1224818979759108</v>
      </c>
      <c r="Z35" s="233">
        <v>1.1553521408181131</v>
      </c>
      <c r="AB35" s="233">
        <v>1.1984089866278058</v>
      </c>
      <c r="AD35" s="233">
        <v>1.2544101409594706</v>
      </c>
      <c r="AF35" s="233"/>
      <c r="AH35" s="233"/>
      <c r="AJ35" s="233"/>
      <c r="AL35" s="233"/>
      <c r="AN35" s="233"/>
      <c r="AP35" s="233"/>
      <c r="AR35" s="233"/>
      <c r="AT35" s="233"/>
      <c r="AV35" s="233"/>
    </row>
    <row r="36" spans="1:49 16319:16321" x14ac:dyDescent="0.2">
      <c r="A36" t="s">
        <v>21</v>
      </c>
      <c r="B36" s="37">
        <v>0.4719576767198812</v>
      </c>
      <c r="C36" s="38">
        <v>0.31738834428178975</v>
      </c>
      <c r="D36" s="37">
        <v>0.47197590190262956</v>
      </c>
      <c r="E36" s="38">
        <v>0.31970560435035028</v>
      </c>
      <c r="F36" s="37">
        <v>0.47199527043488843</v>
      </c>
      <c r="G36" s="38">
        <v>0.32228972444406184</v>
      </c>
      <c r="H36" s="37">
        <v>0.47201611906384933</v>
      </c>
      <c r="I36" s="38">
        <v>0.32519201856289243</v>
      </c>
      <c r="J36" s="37">
        <v>0.47203884604355406</v>
      </c>
      <c r="K36" s="38">
        <v>0.32847271891896734</v>
      </c>
      <c r="L36" s="37">
        <v>0.47206394356685211</v>
      </c>
      <c r="M36" s="38">
        <v>0.33220339574495855</v>
      </c>
      <c r="N36" s="37">
        <v>0.47209202352837248</v>
      </c>
      <c r="O36" s="38">
        <v>0.3364701494107471</v>
      </c>
      <c r="P36" s="37">
        <v>0.47212386904551085</v>
      </c>
      <c r="Q36" s="38">
        <v>0.34137703728529378</v>
      </c>
      <c r="R36" s="37">
        <v>0.47216047939687955</v>
      </c>
      <c r="S36" s="38">
        <v>0.34705061844946916</v>
      </c>
      <c r="T36" s="37">
        <v>0.4722031282998258</v>
      </c>
      <c r="U36" s="38">
        <v>0.35364508650007159</v>
      </c>
      <c r="V36" s="37">
        <v>0.47225340525183523</v>
      </c>
      <c r="W36" s="38">
        <v>0.36134768422295477</v>
      </c>
      <c r="X36" s="37">
        <v>0.47231321151955485</v>
      </c>
      <c r="Y36" s="38">
        <v>0.37038135505708492</v>
      </c>
      <c r="Z36" s="37">
        <v>0.47238457168141507</v>
      </c>
      <c r="AA36" s="38">
        <v>0.38099569888509932</v>
      </c>
      <c r="AB36" s="37">
        <v>0.47246898529181364</v>
      </c>
      <c r="AC36" s="38">
        <v>0.39341694134381089</v>
      </c>
      <c r="AD36" s="37">
        <v>0.47256564594299311</v>
      </c>
      <c r="AE36" s="38">
        <v>0.40767030901492346</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0.3496246130199252</v>
      </c>
      <c r="D37" s="39">
        <v>2.0759271579592876E-2</v>
      </c>
      <c r="E37" s="40">
        <v>0.34577367865529035</v>
      </c>
      <c r="F37" s="39">
        <v>2.0114454006327057E-2</v>
      </c>
      <c r="G37" s="40">
        <v>0.34196565995252648</v>
      </c>
      <c r="H37" s="39">
        <v>1.9465787045281423E-2</v>
      </c>
      <c r="I37" s="40">
        <v>0.33819499813115711</v>
      </c>
      <c r="J37" s="39">
        <v>1.8810783024240083E-2</v>
      </c>
      <c r="K37" s="40">
        <v>0.33446118830942989</v>
      </c>
      <c r="L37" s="39">
        <v>1.814729833629395E-2</v>
      </c>
      <c r="M37" s="40">
        <v>0.33076824326253168</v>
      </c>
      <c r="N37" s="39">
        <v>1.747339740773601E-2</v>
      </c>
      <c r="O37" s="40">
        <v>0.32712423498571275</v>
      </c>
      <c r="P37" s="39">
        <v>1.6787335335702518E-2</v>
      </c>
      <c r="Q37" s="40">
        <v>0.32354147154693719</v>
      </c>
      <c r="R37" s="39">
        <v>1.6087518334018943E-2</v>
      </c>
      <c r="S37" s="40">
        <v>0.32003647031622584</v>
      </c>
      <c r="T37" s="39">
        <v>1.5372547363542403E-2</v>
      </c>
      <c r="U37" s="40">
        <v>0.3166301964983137</v>
      </c>
      <c r="V37" s="39">
        <v>1.4641355102799127E-2</v>
      </c>
      <c r="W37" s="40">
        <v>0.31334842698353438</v>
      </c>
      <c r="X37" s="39">
        <v>1.3893620948863062E-2</v>
      </c>
      <c r="Y37" s="40">
        <v>0.31022265737544413</v>
      </c>
      <c r="Z37" s="39">
        <v>1.3130815486999067E-2</v>
      </c>
      <c r="AA37" s="40">
        <v>0.30729207696210215</v>
      </c>
      <c r="AB37" s="39">
        <v>1.2358857896515644E-2</v>
      </c>
      <c r="AC37" s="40">
        <v>0.30460812589473291</v>
      </c>
      <c r="AD37" s="39">
        <v>1.1594704524479797E-2</v>
      </c>
      <c r="AE37" s="40">
        <v>0.30224415371904462</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0.18227202763147393</v>
      </c>
      <c r="E38" s="38">
        <v>6.1328673631449879E-2</v>
      </c>
      <c r="F38" s="37">
        <v>0.18372590178643658</v>
      </c>
      <c r="G38" s="38">
        <v>6.2123911867645258E-2</v>
      </c>
      <c r="H38" s="37">
        <v>0.18515492438116743</v>
      </c>
      <c r="I38" s="38">
        <v>6.295944439565837E-2</v>
      </c>
      <c r="J38" s="37">
        <v>0.18655794294846453</v>
      </c>
      <c r="K38" s="38">
        <v>6.3844115148886355E-2</v>
      </c>
      <c r="L38" s="37">
        <v>0.1879296954503501</v>
      </c>
      <c r="M38" s="38">
        <v>6.478754354742107E-2</v>
      </c>
      <c r="N38" s="37">
        <v>0.18925998986198345</v>
      </c>
      <c r="O38" s="38">
        <v>6.5800427315183249E-2</v>
      </c>
      <c r="P38" s="37">
        <v>0.19053185495152114</v>
      </c>
      <c r="Q38" s="38">
        <v>6.6894685278265545E-2</v>
      </c>
      <c r="R38" s="37">
        <v>0.19171945331479792</v>
      </c>
      <c r="S38" s="38">
        <v>6.8083861709493848E-2</v>
      </c>
      <c r="T38" s="37">
        <v>0.19278522460453434</v>
      </c>
      <c r="U38" s="38">
        <v>6.938404496700977E-2</v>
      </c>
      <c r="V38" s="37">
        <v>0.19367684320163256</v>
      </c>
      <c r="W38" s="38">
        <v>7.0815359560398861E-2</v>
      </c>
      <c r="X38" s="37">
        <v>0.19432493307938936</v>
      </c>
      <c r="Y38" s="38">
        <v>7.2406366335119238E-2</v>
      </c>
      <c r="Z38" s="37">
        <v>0.19464477496158863</v>
      </c>
      <c r="AA38" s="38">
        <v>7.4204483584798558E-2</v>
      </c>
      <c r="AB38" s="37">
        <v>0.1945492414321382</v>
      </c>
      <c r="AC38" s="38">
        <v>7.6300576397144437E-2</v>
      </c>
      <c r="AD38" s="37">
        <v>0.19398793113095056</v>
      </c>
      <c r="AE38" s="38">
        <v>7.888373384005741E-2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0.22924684155500796</v>
      </c>
      <c r="E39" s="40">
        <v>0.22162111684544211</v>
      </c>
      <c r="F39" s="39">
        <v>0.2281163056074802</v>
      </c>
      <c r="G39" s="40">
        <v>0.2225828372525479</v>
      </c>
      <c r="H39" s="39">
        <v>0.22723659764009863</v>
      </c>
      <c r="I39" s="40">
        <v>0.22382769145070089</v>
      </c>
      <c r="J39" s="39">
        <v>0.22660210868428277</v>
      </c>
      <c r="K39" s="40">
        <v>0.22539007278690079</v>
      </c>
      <c r="L39" s="39">
        <v>0.22622194153074268</v>
      </c>
      <c r="M39" s="40">
        <v>0.22732009665081063</v>
      </c>
      <c r="N39" s="39">
        <v>0.22612137142028105</v>
      </c>
      <c r="O39" s="40">
        <v>0.22968758579562007</v>
      </c>
      <c r="P39" s="39">
        <v>0.22634640618415725</v>
      </c>
      <c r="Q39" s="40">
        <v>0.23258868082370582</v>
      </c>
      <c r="R39" s="39">
        <v>0.22697207046734275</v>
      </c>
      <c r="S39" s="40">
        <v>0.23615690077198426</v>
      </c>
      <c r="T39" s="39">
        <v>0.22811764682056965</v>
      </c>
      <c r="U39" s="40">
        <v>0.2405815919309747</v>
      </c>
      <c r="V39" s="39">
        <v>0.22997465306348785</v>
      </c>
      <c r="W39" s="40">
        <v>0.24614085846882144</v>
      </c>
      <c r="X39" s="39">
        <v>0.2328605781623781</v>
      </c>
      <c r="Y39" s="40">
        <v>0.25326231797884657</v>
      </c>
      <c r="Z39" s="39">
        <v>0.23732834822961771</v>
      </c>
      <c r="AA39" s="40">
        <v>0.26264426163853843</v>
      </c>
      <c r="AB39" s="39">
        <v>0.24440617072306939</v>
      </c>
      <c r="AC39" s="40">
        <v>0.27551453916906432</v>
      </c>
      <c r="AD39" s="39">
        <v>0.25616738470104472</v>
      </c>
      <c r="AE39" s="40">
        <v>0.29421924740873112</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9.3649934467982948E-2</v>
      </c>
      <c r="E42" s="135"/>
      <c r="F42" s="177">
        <f>10.8%+(1-10.8%)*(1-SUM(F26:G26)/SUM($B$26:$C$26))</f>
        <v>8.0335833916314422E-2</v>
      </c>
      <c r="G42" s="135"/>
      <c r="H42" s="177">
        <f>10.8%+(1-10.8%)*(1-SUM(H26:I26)/SUM($B$26:$C$26))</f>
        <v>6.8021563821541092E-2</v>
      </c>
      <c r="I42" s="135"/>
      <c r="J42" s="177">
        <f>10.8%+(1-10.8%)*(1-SUM(J26:K26)/SUM($B$26:$C$26))</f>
        <v>5.6741370073330681E-2</v>
      </c>
      <c r="K42" s="135"/>
      <c r="L42" s="177">
        <f>10.8%+(1-10.8%)*(1-SUM(L26:M26)/SUM($B$26:$C$26))</f>
        <v>4.6605754421163742E-2</v>
      </c>
      <c r="M42" s="135"/>
      <c r="N42" s="177">
        <f>10.8%+(1-10.8%)*(1-SUM(N26:O26)/SUM($B$26:$C$26))</f>
        <v>3.7814595320332586E-2</v>
      </c>
      <c r="O42" s="135"/>
      <c r="P42" s="177">
        <f>10.8%+(1-10.8%)*(1-SUM(P26:Q26)/SUM($B$26:$C$26))</f>
        <v>3.0687555414516274E-2</v>
      </c>
      <c r="Q42" s="135"/>
      <c r="R42" s="177">
        <f>10.8%+(1-10.8%)*(1-SUM(R26:S26)/SUM($B$26:$C$26))</f>
        <v>2.5707503087942882E-2</v>
      </c>
      <c r="S42" s="135"/>
      <c r="T42" s="177">
        <f>10.8%+(1-10.8%)*(1-SUM(T26:U26)/SUM($B$26:$C$26))</f>
        <v>2.3590668473678925E-2</v>
      </c>
      <c r="U42" s="135"/>
      <c r="V42" s="177">
        <f>10.8%+(1-10.8%)*(1-SUM(V26:W26)/SUM($B$26:$C$26))</f>
        <v>2.539532306007343E-2</v>
      </c>
      <c r="W42" s="135"/>
      <c r="X42" s="177">
        <f>10.8%+(1-10.8%)*(1-SUM(X26:Y26)/SUM($B$26:$C$26))</f>
        <v>3.2695080945272903E-2</v>
      </c>
      <c r="Y42" s="162"/>
      <c r="Z42" s="177">
        <f>10.8%+(1-10.8%)*(1-SUM(Z26:AA26)/SUM($B$26:$C$26))</f>
        <v>4.7860218367080286E-2</v>
      </c>
      <c r="AA42" s="135"/>
      <c r="AB42" s="177">
        <f>10.8%+(1-10.8%)*(1-SUM(AB26:AC26)/SUM($B$26:$C$26))</f>
        <v>7.4529016538397386E-2</v>
      </c>
      <c r="AC42" s="135"/>
      <c r="AD42" s="177">
        <f>10.8%+(1-10.8%)*(1-SUM(AD26:AE26)/SUM($B$26:$C$26))</f>
        <v>0.11839934476352518</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0.55666030425497492</v>
      </c>
      <c r="E43" s="135"/>
      <c r="F43" s="162">
        <f t="array" ref="F43">SUM(F15:G15*F27:G27)/SUM(F15:G15*F27:G27,F13:G13*F26:G26)</f>
        <v>0.54530261045316231</v>
      </c>
      <c r="G43" s="135"/>
      <c r="H43" s="162">
        <f t="array" ref="H43">SUM(H15:I15*H27:I27)/SUM(H15:I15*H27:I27,H13:I13*H26:I26)</f>
        <v>0.53289279131231748</v>
      </c>
      <c r="I43" s="135"/>
      <c r="J43" s="162">
        <f t="array" ref="J43">SUM(J15:K15*J27:K27)/SUM(J15:K15*J27:K27,J13:K13*J26:K26)</f>
        <v>0.51913492996285349</v>
      </c>
      <c r="K43" s="135"/>
      <c r="L43" s="162">
        <f t="array" ref="L43">SUM(L15:M15*L27:M27)/SUM(L15:M15*L27:M27,L13:M13*L26:M26)</f>
        <v>0.50364337325667985</v>
      </c>
      <c r="M43" s="135"/>
      <c r="N43" s="162">
        <f t="array" ref="N43">SUM(N15:O15*N27:O27)/SUM(N15:O15*N27:O27,N13:O13*N26:O26)</f>
        <v>0.48589883004422713</v>
      </c>
      <c r="O43" s="135"/>
      <c r="P43" s="162">
        <f t="array" ref="P43">SUM(P15:Q15*P27:Q27)/SUM(P15:Q15*P27:Q27,P13:Q13*P26:Q26)</f>
        <v>0.46518317895343164</v>
      </c>
      <c r="Q43" s="135"/>
      <c r="R43" s="162">
        <f t="array" ref="R43">SUM(R15:S15*R27:S27)/SUM(R15:S15*R27:S27,R13:S13*R26:S26)</f>
        <v>0.44047088225727188</v>
      </c>
      <c r="S43" s="135"/>
      <c r="T43" s="162">
        <f t="array" ref="T43">SUM(T15:U15*T27:U27)/SUM(T15:U15*T27:U27,T13:U13*T26:U26)</f>
        <v>0.41024682490867226</v>
      </c>
      <c r="U43" s="135"/>
      <c r="V43" s="162">
        <f t="array" ref="V43">SUM(V15:W15*V27:W27)/SUM(V15:W15*V27:W27,V13:W13*V26:W26)</f>
        <v>0.37218402055530581</v>
      </c>
      <c r="W43" s="135"/>
      <c r="X43" s="162">
        <f t="array" ref="X43">SUM(X15:Y15*X27:Y27)/SUM(X15:Y15*X27:Y27,X13:Y13*X26:Y26)</f>
        <v>0.32255245773296032</v>
      </c>
      <c r="Y43" s="135"/>
      <c r="Z43" s="162">
        <f t="array" ref="Z43">SUM(Z15:AA15*Z27:AA27)/SUM(Z15:AA15*Z27:AA27,Z13:AA13*Z26:AA26)</f>
        <v>0.25509575727558986</v>
      </c>
      <c r="AA43" s="135"/>
      <c r="AB43" s="162">
        <f t="array" ref="AB43">SUM(AB15:AC15*AB27:AC27)/SUM(AB15:AC15*AB27:AC27,AB13:AC13*AB26:AC26)</f>
        <v>0.15890756075857373</v>
      </c>
      <c r="AC43" s="135"/>
      <c r="AD43" s="162">
        <f t="array" ref="AD43">SUM(AD15:AE15*AD27:AE27)/SUM(AD15:AE15*AD27:AE27,AD13:AE13*AD26:AE26)</f>
        <v>1.4955384453835428E-2</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0.29754225764179004</v>
      </c>
      <c r="F44" s="193">
        <f>(SUM(F11:G11*F24:G24)+F34)/F32</f>
        <v>0.29754225605682055</v>
      </c>
      <c r="H44" s="193">
        <f>(SUM(H11:I11*H24:I24)+H34)/H32</f>
        <v>0.29754225446326443</v>
      </c>
      <c r="J44" s="193">
        <f>(SUM(J11:K11*J24:K24)+J34)/J32</f>
        <v>0.29754224676843755</v>
      </c>
      <c r="L44" s="193">
        <f>(SUM(L11:M11*L24:M24)+L34)/L32</f>
        <v>0.29754225162537823</v>
      </c>
      <c r="N44" s="193">
        <f>(SUM(N11:O11*N24:O24)+N34)/N32</f>
        <v>0.29754224324176176</v>
      </c>
      <c r="P44" s="193">
        <f>(SUM(P11:Q11*P24:Q24)+P34)/P32</f>
        <v>0.29754223793510864</v>
      </c>
      <c r="R44" s="193">
        <f>(SUM(R11:S11*R24:S24)+R34)/R32</f>
        <v>0.2975422506103258</v>
      </c>
      <c r="T44" s="193">
        <f>(SUM(T11:U11*T24:U24)+T34)/T32</f>
        <v>0.29754225821341901</v>
      </c>
      <c r="V44" s="193">
        <f>(SUM(V11:W11*V24:W24)+V34)/V32</f>
        <v>0.29754225459825689</v>
      </c>
      <c r="X44" s="193">
        <f>(SUM(X11:Y11*X24:Y24)+X34)/X32</f>
        <v>0.29754225630968961</v>
      </c>
      <c r="Z44" s="193">
        <f>(SUM(Z11:AA11*Z24:AA24)+Z34)/Z32</f>
        <v>0.29754225821558233</v>
      </c>
      <c r="AB44" s="193">
        <f>(SUM(AB11:AC11*AB24:AC24)+AB34)/AB32</f>
        <v>0.29754224444871386</v>
      </c>
      <c r="AD44" s="193">
        <f>(SUM(AD11:AE11*AD24:AE24)+AD34)/AD32</f>
        <v>0.29754226106259835</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0.22038438803230384</v>
      </c>
      <c r="F45" s="193">
        <f>SUM(F11:G11*F24:G24)/F32</f>
        <v>0.22038438807757743</v>
      </c>
      <c r="H45" s="193">
        <f>SUM(H11:I11*H24:I24)/H32</f>
        <v>0.22038438812157909</v>
      </c>
      <c r="J45" s="193">
        <f>SUM(J11:K11*J24:K24)/J32</f>
        <v>0.22038438806999838</v>
      </c>
      <c r="L45" s="193">
        <f>SUM(L11:M11*L24:M24)/L32</f>
        <v>0.22038438818758369</v>
      </c>
      <c r="N45" s="193">
        <f>SUM(N11:O11*N24:O24)/N32</f>
        <v>0.22038438811803188</v>
      </c>
      <c r="P45" s="193">
        <f>SUM(P11:Q11*P24:Q24)/P32</f>
        <v>0.22038438807717992</v>
      </c>
      <c r="R45" s="193">
        <f>SUM(R11:S11*R24:S24)/R32</f>
        <v>0.22038438795434998</v>
      </c>
      <c r="T45" s="193">
        <f>SUM(T11:U11*T24:U24)/T32</f>
        <v>0.22038438817404576</v>
      </c>
      <c r="V45" s="193">
        <f>SUM(V11:W11*V24:W24)/V32</f>
        <v>0.22038438866384741</v>
      </c>
      <c r="X45" s="193">
        <f>SUM(X11:Y11*X24:Y24)/X32</f>
        <v>0.22038438862991194</v>
      </c>
      <c r="Z45" s="193">
        <f>SUM(Z11:AA11*Z24:AA24)/Z32</f>
        <v>0.22038438847908626</v>
      </c>
      <c r="AB45" s="193">
        <f>SUM(AB11:AC11*AB24:AC24)/AB32</f>
        <v>0.22038438655212728</v>
      </c>
      <c r="AD45" s="193">
        <f>SUM(AD11:AE11*AD24:AE24)/AD32</f>
        <v>0.2203843884657489</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7.7157869609486215E-2</v>
      </c>
      <c r="F46" s="193">
        <f>F34/F32</f>
        <v>7.7157867979243122E-2</v>
      </c>
      <c r="H46" s="193">
        <f>H34/H32</f>
        <v>7.7157866341685311E-2</v>
      </c>
      <c r="J46" s="193">
        <f>J34/J32</f>
        <v>7.7157858698439136E-2</v>
      </c>
      <c r="L46" s="193">
        <f>L34/L32</f>
        <v>7.715786343779453E-2</v>
      </c>
      <c r="N46" s="193">
        <f>N34/N32</f>
        <v>7.7157855123729885E-2</v>
      </c>
      <c r="P46" s="193">
        <f>P34/P32</f>
        <v>7.7157849857928729E-2</v>
      </c>
      <c r="R46" s="193">
        <f>R34/R32</f>
        <v>7.7157862655975809E-2</v>
      </c>
      <c r="T46" s="193">
        <f>T34/T32</f>
        <v>7.715787003937323E-2</v>
      </c>
      <c r="V46" s="193">
        <f>V34/V32</f>
        <v>7.7157865934409472E-2</v>
      </c>
      <c r="X46" s="193">
        <f>X34/X32</f>
        <v>7.7157867679777628E-2</v>
      </c>
      <c r="Z46" s="193">
        <f>Z34/Z32</f>
        <v>7.7157869736496063E-2</v>
      </c>
      <c r="AB46" s="193">
        <f>AB34/AB32</f>
        <v>7.7157857896586565E-2</v>
      </c>
      <c r="AD46" s="193">
        <f>AD34/AD32</f>
        <v>7.7157872596849419E-2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1.0113805851014528</v>
      </c>
      <c r="E48" s="191"/>
      <c r="F48" s="191">
        <f>F24/$B$24</f>
        <v>1.0216622301136773</v>
      </c>
      <c r="G48" s="191"/>
      <c r="H48" s="191">
        <f>H24/$B$24</f>
        <v>1.0309097311286128</v>
      </c>
      <c r="I48" s="191"/>
      <c r="J48" s="191">
        <f>J24/$B$24</f>
        <v>1.0391250630343634</v>
      </c>
      <c r="K48" s="191"/>
      <c r="L48" s="191">
        <f>L24/$B$24</f>
        <v>1.0462466817466962</v>
      </c>
      <c r="M48" s="191"/>
      <c r="N48" s="191">
        <f>N24/$B$24</f>
        <v>1.052141370735391</v>
      </c>
      <c r="O48" s="191"/>
      <c r="P48" s="191">
        <f>P24/$B$24</f>
        <v>1.0565819787446049</v>
      </c>
      <c r="Q48" s="191"/>
      <c r="R48" s="191">
        <f>R24/$B$24</f>
        <v>1.0592115390681234</v>
      </c>
      <c r="S48" s="191"/>
      <c r="T48" s="191">
        <f>T24/$B$24</f>
        <v>1.0594808660328641</v>
      </c>
      <c r="U48" s="191"/>
      <c r="V48" s="191">
        <f>V24/$B$24</f>
        <v>1.056541941644451</v>
      </c>
      <c r="W48" s="191"/>
      <c r="X48" s="191">
        <f>X24/$B$24</f>
        <v>1.0490598486462552</v>
      </c>
      <c r="Y48" s="191"/>
      <c r="Z48" s="191">
        <f>Z24/$B$24</f>
        <v>1.0348697195777439</v>
      </c>
      <c r="AA48" s="191"/>
      <c r="AB48" s="191">
        <f>AB24/$B$24</f>
        <v>1.0103308976320777</v>
      </c>
      <c r="AC48" s="191"/>
      <c r="AD48" s="191">
        <f>AD24/$B$24</f>
        <v>0.96911664733419522</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0.99999999896564706</v>
      </c>
      <c r="E49" s="191"/>
      <c r="F49" s="191">
        <f>F13/F35/$B$13*$B$35</f>
        <v>0.99999999972662845</v>
      </c>
      <c r="G49" s="191"/>
      <c r="H49" s="191">
        <f>H13/H35/$B$13*$B$35</f>
        <v>1.0000000010696206</v>
      </c>
      <c r="I49" s="191"/>
      <c r="J49" s="191">
        <f>J13/J35/$B$13*$B$35</f>
        <v>1.0000000059011533</v>
      </c>
      <c r="K49" s="191"/>
      <c r="L49" s="191">
        <f>L13/L35/$B$13*$B$35</f>
        <v>1.0000000047228157</v>
      </c>
      <c r="M49" s="191"/>
      <c r="N49" s="191">
        <f>N13/N35/$B$13*$B$35</f>
        <v>1.0000000106904086</v>
      </c>
      <c r="O49" s="191"/>
      <c r="P49" s="191">
        <f>P13/P35/$B$13*$B$35</f>
        <v>1.0000000158046307</v>
      </c>
      <c r="Q49" s="191"/>
      <c r="R49" s="191">
        <f>R13/R35/$B$13*$B$35</f>
        <v>1.0000000212332789</v>
      </c>
      <c r="S49" s="191"/>
      <c r="T49" s="191">
        <f>T13/T35/$B$13*$B$35</f>
        <v>1.0000000076683506</v>
      </c>
      <c r="U49" s="191"/>
      <c r="V49" s="191">
        <f>V13/V35/$B$13*$B$35</f>
        <v>1.0000000074291975</v>
      </c>
      <c r="W49" s="191"/>
      <c r="X49" s="191">
        <f>X13/X35/$B$13*$B$35</f>
        <v>0.99999999653169813</v>
      </c>
      <c r="Y49" s="191"/>
      <c r="Z49" s="191">
        <f>Z13/Z35/$B$13*$B$35</f>
        <v>1.0000000024002793</v>
      </c>
      <c r="AA49" s="191"/>
      <c r="AB49" s="191">
        <f>AB13/AB35/$B$13*$B$35</f>
        <v>1.0000000357868499</v>
      </c>
      <c r="AC49" s="191"/>
      <c r="AD49" s="191">
        <f>AD13/AD35/$B$13*$B$35</f>
        <v>0.99999999928433381</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-260291.66757354746</v>
      </c>
      <c r="F51" s="29">
        <f>F30-F10*F23</f>
        <v>-104435.24452554248</v>
      </c>
      <c r="H51" s="29">
        <f>H30-H10*H23</f>
        <v>63717.278789546806</v>
      </c>
      <c r="J51" s="29">
        <f>J30-J10*J23</f>
        <v>246572.40426666103</v>
      </c>
      <c r="L51" s="29">
        <f>L30-L10*L23</f>
        <v>447068.77403935138</v>
      </c>
      <c r="N51" s="29">
        <f>N30-N10*N23</f>
        <v>668836.71190075949</v>
      </c>
      <c r="P51" s="29">
        <f>P30-P10*P23</f>
        <v>916362.25882518431</v>
      </c>
      <c r="R51" s="29">
        <f>R30-R10*R23</f>
        <v>1195203.7323209923</v>
      </c>
      <c r="T51" s="29">
        <f>T30-T10*T23</f>
        <v>1512198.0526741631</v>
      </c>
      <c r="V51" s="29">
        <f>V30-V10*V23</f>
        <v>1875561.7690471918</v>
      </c>
      <c r="X51" s="29">
        <f>X30-X10*X23</f>
        <v>2294507.5022092415</v>
      </c>
      <c r="Z51" s="29">
        <f>Z30-Z10*Z23</f>
        <v>2777272.4518095185</v>
      </c>
      <c r="AB51" s="29">
        <f>AB30-AB10*AB23</f>
        <v>3324162.4171404815</v>
      </c>
      <c r="AD51" s="29">
        <f>AD30-AD10*AD23</f>
        <v>3905959.0596477194</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2091571.1917363859</v>
      </c>
      <c r="F52" s="29">
        <f t="array" ref="F52">Calibration!sL*SUM(F13:G13*F26:G26)</f>
        <v>2132877.4806235898</v>
      </c>
      <c r="H52" s="29">
        <f t="array" ref="H52">Calibration!sL*SUM(H13:I13*H26:I26)</f>
        <v>2173550.5573417619</v>
      </c>
      <c r="J52" s="29">
        <f t="array" ref="J52">Calibration!sL*SUM(J13:K13*J26:K26)</f>
        <v>2213896.8126992499</v>
      </c>
      <c r="L52" s="29">
        <f t="array" ref="L52">Calibration!sL*SUM(L13:M13*L26:M26)</f>
        <v>2254157.7327927109</v>
      </c>
      <c r="N52" s="29">
        <f t="array" ref="N52">Calibration!sL*SUM(N13:O13*N26:O26)</f>
        <v>2294516.2206320516</v>
      </c>
      <c r="P52" s="29">
        <f t="array" ref="P52">Calibration!sL*SUM(P13:Q13*P26:Q26)</f>
        <v>2335072.8636308503</v>
      </c>
      <c r="R52" s="29">
        <f t="array" ref="R52">Calibration!sL*SUM(R13:S13*R26:S26)</f>
        <v>2375807.4070578543</v>
      </c>
      <c r="T52" s="29">
        <f t="array" ref="T52">Calibration!sL*SUM(T13:U13*T26:U26)</f>
        <v>2416489.6606467296</v>
      </c>
      <c r="V52" s="29">
        <f t="array" ref="V52">Calibration!sL*SUM(V13:W13*V26:W26)</f>
        <v>2456499.5078709009</v>
      </c>
      <c r="X52" s="29">
        <f t="array" ref="X52">Calibration!sL*SUM(X13:Y13*X26:Y26)</f>
        <v>2494436.0135784317</v>
      </c>
      <c r="Z52" s="29">
        <f t="array" ref="Z52">Calibration!sL*SUM(Z13:AA13*Z26:AA26)</f>
        <v>2527229.6761793466</v>
      </c>
      <c r="AB52" s="29">
        <f t="array" ref="AB52">Calibration!sL*SUM(AB13:AC13*AB26:AC26)</f>
        <v>2547988.752847197</v>
      </c>
      <c r="AD52" s="29">
        <f t="array" ref="AD52">Calibration!sL*SUM(AD13:AE13*AD26:AE26)</f>
        <v>2540628.0437042792</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2680067.1330585387</v>
      </c>
      <c r="F53" s="29">
        <f t="array" ref="F53">Calibration!sK*SUM(F15:G15*F27:G27)</f>
        <v>2610360.0388325611</v>
      </c>
      <c r="H53" s="29">
        <f t="array" ref="H53">Calibration!sK*SUM(H15:I15*H27:I27)</f>
        <v>2530535.3575931643</v>
      </c>
      <c r="J53" s="29">
        <f t="array" ref="J53">Calibration!sK*SUM(J15:K15*J27:K27)</f>
        <v>2439123.4572142283</v>
      </c>
      <c r="L53" s="29">
        <f t="array" ref="L53">Calibration!sK*SUM(L15:M15*L27:M27)</f>
        <v>2334172.7219690699</v>
      </c>
      <c r="N53" s="29">
        <f t="array" ref="N53">Calibration!sK*SUM(N15:O15*N27:O27)</f>
        <v>2213134.3606281565</v>
      </c>
      <c r="P53" s="29">
        <f t="array" ref="P53">Calibration!sK*SUM(P15:Q15*P27:Q27)</f>
        <v>2072711.0775178219</v>
      </c>
      <c r="R53" s="29">
        <f t="array" ref="R53">Calibration!sK*SUM(R15:S15*R27:S27)</f>
        <v>1908644.8809753733</v>
      </c>
      <c r="T53" s="29">
        <f t="array" ref="T53">Calibration!sK*SUM(T15:U15*T27:U27)</f>
        <v>1715454.7616383557</v>
      </c>
      <c r="V53" s="29">
        <f t="array" ref="V53">Calibration!sK*SUM(V15:W15*V27:W27)</f>
        <v>1486145.8286152005</v>
      </c>
      <c r="X53" s="29">
        <f t="array" ref="X53">Calibration!sK*SUM(X15:Y15*X27:Y27)</f>
        <v>1212038.5677965891</v>
      </c>
      <c r="Z53" s="29">
        <f t="array" ref="Z53">Calibration!sK*SUM(Z15:AA15*Z27:AA27)</f>
        <v>883215.91861346585</v>
      </c>
      <c r="AB53" s="29">
        <f t="array" ref="AB53">Calibration!sK*SUM(AB15:AC15*AB27:AC27)</f>
        <v>491267.15197783819</v>
      </c>
      <c r="AD53" s="29">
        <f t="array" ref="AD53">Calibration!sK*SUM(AD15:AE15*AD27:AE27)</f>
        <v>39364.265795039297</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0.20853865019000012</v>
      </c>
      <c r="F55" s="193">
        <f>F30/F32</f>
        <v>0.21907537774414867</v>
      </c>
      <c r="H55" s="193">
        <f>H30/H32</f>
        <v>0.23027204253194714</v>
      </c>
      <c r="J55" s="193">
        <f>J30/J32</f>
        <v>0.24231555657004791</v>
      </c>
      <c r="L55" s="193">
        <f>L30/L32</f>
        <v>0.25543345261462658</v>
      </c>
      <c r="N55" s="193">
        <f>N30/N32</f>
        <v>0.26991183810159519</v>
      </c>
      <c r="P55" s="193">
        <f>P30/P32</f>
        <v>0.28611789485391714</v>
      </c>
      <c r="R55" s="193">
        <f>R30/R32</f>
        <v>0.30453379406506254</v>
      </c>
      <c r="T55" s="193">
        <f>T30/T32</f>
        <v>0.32580498132777358</v>
      </c>
      <c r="V55" s="193">
        <f>V30/V32</f>
        <v>0.35081044633245034</v>
      </c>
      <c r="X55" s="193">
        <f>X30/X32</f>
        <v>0.38075837959018483</v>
      </c>
      <c r="Z55" s="193">
        <f>Z30/Z32</f>
        <v>0.41729361130588544</v>
      </c>
      <c r="AB55" s="193">
        <f>AB30/AB32</f>
        <v>0.46251218248981713</v>
      </c>
      <c r="AD55" s="193">
        <f>AD30/AD32</f>
        <v>0.51843845197605187</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3.7506924781791656E-2</v>
      </c>
      <c r="F56" s="193">
        <f>(Model!$C$52*F5*F20+F2*G5*G20)/F32</f>
        <v>4.6199244732193293E-2</v>
      </c>
      <c r="H56" s="193">
        <f>(Model!$C$52*H5*H20+H2*I5*I20)/H32</f>
        <v>5.5428777744677978E-2</v>
      </c>
      <c r="J56" s="193">
        <f>(Model!$C$52*J5*J20+J2*K5*K20)/J32</f>
        <v>6.5348785479770785E-2</v>
      </c>
      <c r="L56" s="193">
        <f>(Model!$C$52*L5*L20+L2*M5*M20)/L32</f>
        <v>7.6145789585429752E-2</v>
      </c>
      <c r="N56" s="193">
        <f>(Model!$C$52*N5*N20+N2*O5*O20)/N32</f>
        <v>8.8054180883292116E-2</v>
      </c>
      <c r="P56" s="193">
        <f>(Model!$C$52*P5*P20+P2*Q5*Q20)/P32</f>
        <v>0.1013748040561944</v>
      </c>
      <c r="R56" s="193">
        <f>(Model!$C$52*R5*R20+R2*S5*S20)/R32</f>
        <v>0.11650267063682863</v>
      </c>
      <c r="T56" s="193">
        <f>(Model!$C$52*T5*T20+T2*U5*U20)/T32</f>
        <v>0.13396656107238708</v>
      </c>
      <c r="V56" s="193">
        <f>(Model!$C$52*V5*V20+V2*W5*W20)/V32</f>
        <v>0.15448653257590064</v>
      </c>
      <c r="X56" s="193">
        <f>(Model!$C$52*X5*X20+X2*Y5*Y20)/X32</f>
        <v>0.17905229462116426</v>
      </c>
      <c r="Z56" s="193">
        <f>(Model!$C$52*Z5*Z20+Z2*AA5*AA20)/Z32</f>
        <v>0.20901106600222891</v>
      </c>
      <c r="AB56" s="193">
        <f>(Model!$C$52*AB5*AB20+AB2*AC5*AC20)/AB32</f>
        <v>0.2460792188426596</v>
      </c>
      <c r="AD56" s="193">
        <f>(Model!$C$52*AD5*AD20+AD2*AE5*AE20)/AD32</f>
        <v>0.2919136616976995</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0.16035620607645779</v>
      </c>
      <c r="F57" s="193">
        <f t="array" ref="F57">SUM(Model!tauL*F13:G13*F26:G26)/F32</f>
        <v>0.1622747756830894</v>
      </c>
      <c r="H57" s="193">
        <f t="array" ref="H57">SUM(Model!tauL*H13:I13*H26:I26)/H32</f>
        <v>0.16431350902070307</v>
      </c>
      <c r="J57" s="193">
        <f t="array" ref="J57">SUM(Model!tauL*J13:K13*J26:K26)/J32</f>
        <v>0.16650645089928248</v>
      </c>
      <c r="L57" s="193">
        <f t="array" ref="L57">SUM(Model!tauL*L13:M13*L26:M26)/L32</f>
        <v>0.16889499764023708</v>
      </c>
      <c r="N57" s="193">
        <f t="array" ref="N57">SUM(Model!tauL*N13:O13*N26:O26)/N32</f>
        <v>0.17153128386411379</v>
      </c>
      <c r="P57" s="193">
        <f t="array" ref="P57">SUM(Model!tauL*P13:Q13*P26:Q26)/P32</f>
        <v>0.17448214757953118</v>
      </c>
      <c r="R57" s="193">
        <f t="array" ref="R57">SUM(Model!tauL*R13:S13*R26:S26)/R32</f>
        <v>0.17783538753713912</v>
      </c>
      <c r="T57" s="193">
        <f t="array" ref="T57">SUM(Model!tauL*T13:U13*T26:U26)/T32</f>
        <v>0.18170851746985076</v>
      </c>
      <c r="V57" s="193">
        <f t="array" ref="V57">SUM(Model!tauL*V13:W13*V26:W26)/V32</f>
        <v>0.18626160653315654</v>
      </c>
      <c r="X57" s="193">
        <f t="array" ref="X57">SUM(Model!tauL*X13:Y13*X26:Y26)/X32</f>
        <v>0.19171464105396954</v>
      </c>
      <c r="Y57" s="193"/>
      <c r="Z57" s="193">
        <f t="array" ref="Z57">SUM(Model!tauL*Z13:AA13*Z26:AA26)/Z32</f>
        <v>0.19836711829475631</v>
      </c>
      <c r="AB57" s="193">
        <f t="array" ref="AB57">SUM(Model!tauL*AB13:AC13*AB26:AC26)/AB32</f>
        <v>0.20660072398722074</v>
      </c>
      <c r="AD57" s="193">
        <f t="array" ref="AD57">SUM(Model!tauL*AD13:AE13*AD26:AE26)/AD32</f>
        <v>0.21678396589038751</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1.0675519331750673E-2</v>
      </c>
      <c r="F58" s="193">
        <f t="array" ref="F58">SUM(Model!tauY/(1+Model!tauY)*F3:G3*F18:G18)/F32</f>
        <v>1.0601357328865996E-2</v>
      </c>
      <c r="H58" s="193">
        <f t="array" ref="H58">SUM(Model!tauY/(1+Model!tauY)*H3:I3*H18:I18)/H32</f>
        <v>1.0529755766566043E-2</v>
      </c>
      <c r="J58" s="193">
        <f t="array" ref="J58">SUM(Model!tauY/(1+Model!tauY)*J3:K3*J18:K18)/J32</f>
        <v>1.0460320190994689E-2</v>
      </c>
      <c r="L58" s="193">
        <f t="array" ref="L58">SUM(Model!tauY/(1+Model!tauY)*L3:M3*L18:M18)/L32</f>
        <v>1.0392665388959776E-2</v>
      </c>
      <c r="N58" s="193">
        <f t="array" ref="N58">SUM(Model!tauY/(1+Model!tauY)*N3:O3*N18:O18)/N32</f>
        <v>1.0326373354189299E-2</v>
      </c>
      <c r="P58" s="193">
        <f t="array" ref="P58">SUM(Model!tauY/(1+Model!tauY)*P3:Q3*P18:Q18)/P32</f>
        <v>1.0260943218191546E-2</v>
      </c>
      <c r="R58" s="193">
        <f t="array" ref="R58">SUM(Model!tauY/(1+Model!tauY)*R3:S3*R18:S18)/R32</f>
        <v>1.0195735891094801E-2</v>
      </c>
      <c r="T58" s="193">
        <f t="array" ref="T58">SUM(Model!tauY/(1+Model!tauY)*T3:U3*T18:U18)/T32</f>
        <v>1.0129902785535785E-2</v>
      </c>
      <c r="V58" s="193">
        <f t="array" ref="V58">SUM(Model!tauY/(1+Model!tauY)*V3:W3*V18:W18)/V32</f>
        <v>1.0062307223393199E-2</v>
      </c>
      <c r="X58" s="193">
        <f t="array" ref="X58">SUM(Model!tauY/(1+Model!tauY)*X3:Y3*X18:Y18)/X32</f>
        <v>9.9914439150510567E-3</v>
      </c>
      <c r="Y58" s="193"/>
      <c r="Z58" s="193">
        <f t="array" ref="Z58">SUM(Model!tauY/(1+Model!tauY)*Z3:AA3*Z18:AA18)/Z32</f>
        <v>9.9154270089002166E-3</v>
      </c>
      <c r="AB58" s="193">
        <f t="array" ref="AB58">SUM(Model!tauY/(1+Model!tauY)*AB3:AC3*AB18:AC18)/AB32</f>
        <v>9.8322396599367767E-3</v>
      </c>
      <c r="AD58" s="193">
        <f t="array" ref="AD58">SUM(Model!tauY/(1+Model!tauY)*AD3:AE3*AD18:AE18)/AD32</f>
        <v>9.7408243879649123E-3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8.9213576692377221E-3</v>
      </c>
      <c r="F59" s="193">
        <f>(F2*G5*G20)/F32</f>
        <v>1.7697862273659805E-2</v>
      </c>
      <c r="H59" s="193">
        <f>(H2*I5*I20)/H32</f>
        <v>2.701251324241738E-2</v>
      </c>
      <c r="J59" s="193">
        <f>(J2*K5*K20)/J32</f>
        <v>3.7019189471256375E-2</v>
      </c>
      <c r="L59" s="193">
        <f>(L2*M5*M20)/L32</f>
        <v>4.7905033729625672E-2</v>
      </c>
      <c r="N59" s="193">
        <f>(N2*O5*O20)/N32</f>
        <v>5.9905091195887654E-2</v>
      </c>
      <c r="P59" s="193">
        <f>(P2*Q5*Q20)/P32</f>
        <v>7.3320914909963425E-2</v>
      </c>
      <c r="R59" s="193">
        <f>(R2*S5*S20)/R32</f>
        <v>8.8548304958637067E-2</v>
      </c>
      <c r="T59" s="193">
        <f>(T2*U5*U20)/T32</f>
        <v>0.1061169389698166</v>
      </c>
      <c r="V59" s="193">
        <f>(V2*W5*W20)/V32</f>
        <v>0.12674791303085833</v>
      </c>
      <c r="X59" s="193">
        <f>(X2*Y5*Y20)/X32</f>
        <v>0.15143214960769807</v>
      </c>
      <c r="Z59" s="193">
        <f>(Z2*AA5*AA20)/Z32</f>
        <v>0.18151824102523406</v>
      </c>
      <c r="AB59" s="193">
        <f>(AB2*AC5*AC20)/AB32</f>
        <v>0.21872384240316797</v>
      </c>
      <c r="AD59" s="193">
        <f>(AD2*AE5*AE20)/AD32</f>
        <v>0.26470586459970813</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2.8585567112553938E-2</v>
      </c>
      <c r="F60" s="193">
        <f>Model!$C$52*F5*F20/F32</f>
        <v>2.8501382458533484E-2</v>
      </c>
      <c r="H60" s="193">
        <f>Model!$C$52*H5*H20/H32</f>
        <v>2.8416264502260598E-2</v>
      </c>
      <c r="J60" s="193">
        <f>Model!$C$52*J5*J20/J32</f>
        <v>2.8329596008514406E-2</v>
      </c>
      <c r="L60" s="193">
        <f>Model!$C$52*L5*L20/L32</f>
        <v>2.824075585580408E-2</v>
      </c>
      <c r="N60" s="193">
        <f>Model!$C$52*N5*N20/N32</f>
        <v>2.8149089687404458E-2</v>
      </c>
      <c r="P60" s="193">
        <f>Model!$C$52*P5*P20/P32</f>
        <v>2.8053889146230967E-2</v>
      </c>
      <c r="R60" s="193">
        <f>Model!$C$52*R5*R20/R32</f>
        <v>2.7954365678191567E-2</v>
      </c>
      <c r="T60" s="193">
        <f>Model!$C$52*T5*T20/T32</f>
        <v>2.784962210257047E-2</v>
      </c>
      <c r="V60" s="193">
        <f>Model!$C$52*V5*V20/V32</f>
        <v>2.7738619545042316E-2</v>
      </c>
      <c r="X60" s="193">
        <f>Model!$C$52*X5*X20/X32</f>
        <v>2.7620145013466203E-2</v>
      </c>
      <c r="Z60" s="193">
        <f>Model!$C$52*Z5*Z20/Z32</f>
        <v>2.7492824976994863E-2</v>
      </c>
      <c r="AB60" s="193">
        <f>Model!$C$52*AB5*AB20/AB32</f>
        <v>2.7355376439491631E-2</v>
      </c>
      <c r="AD60" s="193">
        <f>Model!$C$52*AD5*AD20/AD32</f>
        <v>2.7207797097991374E-2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1.0272239970716577</v>
      </c>
      <c r="F62">
        <f>F13/F15</f>
        <v>1.0599133884253109</v>
      </c>
      <c r="H62">
        <f>H13/H15</f>
        <v>1.0994756585800403</v>
      </c>
      <c r="J62">
        <f>J13/J15</f>
        <v>1.1479605838751081</v>
      </c>
      <c r="L62">
        <f>L13/L15</f>
        <v>1.2084061749731971</v>
      </c>
      <c r="N62">
        <f>N13/N15</f>
        <v>1.28546048968713</v>
      </c>
      <c r="P62">
        <f>P13/P15</f>
        <v>1.3865388046332356</v>
      </c>
      <c r="R62">
        <f>R13/R15</f>
        <v>1.5241612021070794</v>
      </c>
      <c r="T62">
        <f>T13/T15</f>
        <v>1.7211071567841953</v>
      </c>
      <c r="V62">
        <f>V13/V15</f>
        <v>2.0233030011008348</v>
      </c>
      <c r="X62">
        <f>X13/X15</f>
        <v>2.5382050164998202</v>
      </c>
      <c r="Z62">
        <f>Z13/Z15</f>
        <v>3.5851826303376524</v>
      </c>
      <c r="AB62">
        <f>AB13/AB15</f>
        <v>6.6857648736649233</v>
      </c>
      <c r="AD62">
        <f>AD13/AD15</f>
        <v>87.337589379152803</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0.99787885055456937</v>
      </c>
      <c r="E65" s="191"/>
      <c r="F65" s="191">
        <f t="array" ref="F65">SQRT((F9:G9*$B$22:$C$22+F10:G10*$B$23:$C$23+F11:G11*$B$24:$C$24+F4:G4*($B$25:$C$25-$B$19:$C$19))/($B$9:$C$9*$B$22:$C$22+$B$10:$C$10*$B$23:$C$23+$B$11:$C$11*$B$24:$C$24+$B$4:$C$4*($B$25:$C$25-$B$19:$C$19))*(F9:G9*F22:G22+F10:G10*F23:G23+F11:G11*F24:G24+F4:G4*(F25:G25-F19:G19))/($B$9:$C$9*F22:G22+$B$10:$C$10*F23:G23+$B$11:$C$11*F24:G24+$B$4:$C$4*(F25:G25-F19:G19)))</f>
        <v>0.99565869197142998</v>
      </c>
      <c r="G65" s="191"/>
      <c r="H65" s="191">
        <f t="array" ref="H65">SQRT((H9:I9*$B$22:$C$22+H10:I10*$B$23:$C$23+H11:I11*$B$24:$C$24+H4:I4*($B$25:$C$25-$B$19:$C$19))/($B$9:$C$9*$B$22:$C$22+$B$10:$C$10*$B$23:$C$23+$B$11:$C$11*$B$24:$C$24+$B$4:$C$4*($B$25:$C$25-$B$19:$C$19))*(H9:I9*H22:I22+H10:I10*H23:I23+H11:I11*H24:I24+H4:I4*(H25:I25-H19:I19))/($B$9:$C$9*H22:I22+$B$10:$C$10*H23:I23+$B$11:$C$11*H24:I24+$B$4:$C$4*(H25:I25-H19:I19)))</f>
        <v>0.99330680318496123</v>
      </c>
      <c r="I65" s="191"/>
      <c r="J65" s="191">
        <f t="array" ref="J65">SQRT((J9:K9*$B$22:$C$22+J10:K10*$B$23:$C$23+J11:K11*$B$24:$C$24+J4:K4*($B$25:$C$25-$B$19:$C$19))/($B$9:$C$9*$B$22:$C$22+$B$10:$C$10*$B$23:$C$23+$B$11:$C$11*$B$24:$C$24+$B$4:$C$4*($B$25:$C$25-$B$19:$C$19))*(J9:K9*J22:K22+J10:K10*J23:K23+J11:K11*J24:K24+J4:K4*(J25:K25-J19:K19))/($B$9:$C$9*J22:K22+$B$10:$C$10*J23:K23+$B$11:$C$11*J24:K24+$B$4:$C$4*(J25:K25-J19:K19)))</f>
        <v>0.99078617391994395</v>
      </c>
      <c r="K65" s="191"/>
      <c r="L65" s="191">
        <f t="array" ref="L65">SQRT((L9:M9*$B$22:$C$22+L10:M10*$B$23:$C$23+L11:M11*$B$24:$C$24+L4:M4*($B$25:$C$25-$B$19:$C$19))/($B$9:$C$9*$B$22:$C$22+$B$10:$C$10*$B$23:$C$23+$B$11:$C$11*$B$24:$C$24+$B$4:$C$4*($B$25:$C$25-$B$19:$C$19))*(L9:M9*L22:M22+L10:M10*L23:M23+L11:M11*L24:M24+L4:M4*(L25:M25-L19:M19))/($B$9:$C$9*L22:M22+$B$10:$C$10*L23:M23+$B$11:$C$11*L24:M24+$B$4:$C$4*(L25:M25-L19:M19)))</f>
        <v>0.98805336964555601</v>
      </c>
      <c r="M65" s="191"/>
      <c r="N65" s="191">
        <f t="array" ref="N65">SQRT((N9:O9*$B$22:$C$22+N10:O10*$B$23:$C$23+N11:O11*$B$24:$C$24+N4:O4*($B$25:$C$25-$B$19:$C$19))/($B$9:$C$9*$B$22:$C$22+$B$10:$C$10*$B$23:$C$23+$B$11:$C$11*$B$24:$C$24+$B$4:$C$4*($B$25:$C$25-$B$19:$C$19))*(N9:O9*N22:O22+N10:O10*N23:O23+N11:O11*N24:O24+N4:O4*(N25:O25-N19:O19))/($B$9:$C$9*N22:O22+$B$10:$C$10*N23:O23+$B$11:$C$11*N24:O24+$B$4:$C$4*(N25:O25-N19:O19)))</f>
        <v>0.98505599798251564</v>
      </c>
      <c r="O65" s="191"/>
      <c r="P65" s="191">
        <f t="array" ref="P65">SQRT((P9:Q9*$B$22:$C$22+P10:Q10*$B$23:$C$23+P11:Q11*$B$24:$C$24+P4:Q4*($B$25:$C$25-$B$19:$C$19))/($B$9:$C$9*$B$22:$C$22+$B$10:$C$10*$B$23:$C$23+$B$11:$C$11*$B$24:$C$24+$B$4:$C$4*($B$25:$C$25-$B$19:$C$19))*(P9:Q9*P22:Q22+P10:Q10*P23:Q23+P11:Q11*P24:Q24+P4:Q4*(P25:Q25-P19:Q19))/($B$9:$C$9*P22:Q22+$B$10:$C$10*P23:Q23+$B$11:$C$11*P24:Q24+$B$4:$C$4*(P25:Q25-P19:Q19)))</f>
        <v>0.98173047274283087</v>
      </c>
      <c r="Q65" s="191"/>
      <c r="R65" s="191">
        <f t="array" ref="R65">SQRT((R9:S9*$B$22:$C$22+R10:S10*$B$23:$C$23+R11:S11*$B$24:$C$24+R4:S4*($B$25:$C$25-$B$19:$C$19))/($B$9:$C$9*$B$22:$C$22+$B$10:$C$10*$B$23:$C$23+$B$11:$C$11*$B$24:$C$24+$B$4:$C$4*($B$25:$C$25-$B$19:$C$19))*(R9:S9*R22:S22+R10:S10*R23:S23+R11:S11*R24:S24+R4:S4*(R25:S25-R19:S19))/($B$9:$C$9*R22:S22+$B$10:$C$10*R23:S23+$B$11:$C$11*R24:S24+$B$4:$C$4*(R25:S25-R19:S19)))</f>
        <v>0.97799960221528215</v>
      </c>
      <c r="S65" s="191"/>
      <c r="T65" s="191">
        <f t="array" ref="T65">SQRT((T9:U9*$B$22:$C$22+T10:U10*$B$23:$C$23+T11:U11*$B$24:$C$24+T4:U4*($B$25:$C$25-$B$19:$C$19))/($B$9:$C$9*$B$22:$C$22+$B$10:$C$10*$B$23:$C$23+$B$11:$C$11*$B$24:$C$24+$B$4:$C$4*($B$25:$C$25-$B$19:$C$19))*(T9:U9*T22:U22+T10:U10*T23:U23+T11:U11*T24:U24+T4:U4*(T25:U25-T19:U19))/($B$9:$C$9*T22:U22+$B$10:$C$10*T23:U23+$B$11:$C$11*T24:U24+$B$4:$C$4*(T25:U25-T19:U19)))</f>
        <v>0.97377121907842523</v>
      </c>
      <c r="U65" s="191"/>
      <c r="V65" s="191">
        <f t="array" ref="V65">SQRT((V9:W9*$B$22:$C$22+V10:W10*$B$23:$C$23+V11:W11*$B$24:$C$24+V4:W4*($B$25:$C$25-$B$19:$C$19))/($B$9:$C$9*$B$22:$C$22+$B$10:$C$10*$B$23:$C$23+$B$11:$C$11*$B$24:$C$24+$B$4:$C$4*($B$25:$C$25-$B$19:$C$19))*(V9:W9*V22:W22+V10:W10*V23:W23+V11:W11*V24:W24+V4:W4*(V25:W25-V19:W19))/($B$9:$C$9*V22:W22+$B$10:$C$10*V23:W23+$B$11:$C$11*V24:W24+$B$4:$C$4*(V25:W25-V19:W19)))</f>
        <v>0.96893941213329648</v>
      </c>
      <c r="W65" s="191"/>
      <c r="X65" s="191">
        <f t="array" ref="X65">SQRT((X9:Y9*$B$22:$C$22+X10:Y10*$B$23:$C$23+X11:Y11*$B$24:$C$24+X4:Y4*($B$25:$C$25-$B$19:$C$19))/($B$9:$C$9*$B$22:$C$22+$B$10:$C$10*$B$23:$C$23+$B$11:$C$11*$B$24:$C$24+$B$4:$C$4*($B$25:$C$25-$B$19:$C$19))*(X9:Y9*X22:Y22+X10:Y10*X23:Y23+X11:Y11*X24:Y24+X4:Y4*(X25:Y25-X19:Y19))/($B$9:$C$9*X22:Y22+$B$10:$C$10*X23:Y23+$B$11:$C$11*X24:Y24+$B$4:$C$4*(X25:Y25-X19:Y19)))</f>
        <v>0.96339268670761902</v>
      </c>
      <c r="Y65" s="191"/>
      <c r="Z65" s="191">
        <f t="array" ref="Z65">SQRT((Z9:AA9*$B$22:$C$22+Z10:AA10*$B$23:$C$23+Z11:AA11*$B$24:$C$24+Z4:AA4*($B$25:$C$25-$B$19:$C$19))/($B$9:$C$9*$B$22:$C$22+$B$10:$C$10*$B$23:$C$23+$B$11:$C$11*$B$24:$C$24+$B$4:$C$4*($B$25:$C$25-$B$19:$C$19))*(Z9:AA9*Z22:AA22+Z10:AA10*Z23:AA23+Z11:AA11*Z24:AA24+Z4:AA4*(Z25:AA25-Z19:AA19))/($B$9:$C$9*Z22:AA22+$B$10:$C$10*Z23:AA23+$B$11:$C$11*Z24:AA24+$B$4:$C$4*(Z25:AA25-Z19:AA19)))</f>
        <v>0.95703781998245996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0.94985855225719662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0.94204495040597203</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0.99766791649926212</v>
      </c>
      <c r="E66" s="191"/>
      <c r="F66" s="191">
        <f t="array" ref="F66">SQRT((F9:G9*$B$22:$C$22)/($B$9:$C$9*$B$22:$C$22)*(F9:G9*F22:G22)/($B$9:$C$9*F22:G22))</f>
        <v>0.99522503698652809</v>
      </c>
      <c r="G66" s="191"/>
      <c r="H66" s="191">
        <f t="array" ref="H66">SQRT((H9:I9*$B$22:$C$22)/($B$9:$C$9*$B$22:$C$22)*(H9:I9*H22:I22)/($B$9:$C$9*H22:I22))</f>
        <v>0.99263498331598954</v>
      </c>
      <c r="I66" s="191"/>
      <c r="J66" s="191">
        <f t="array" ref="J66">SQRT((J9:K9*$B$22:$C$22)/($B$9:$C$9*$B$22:$C$22)*(J9:K9*J22:K22)/($B$9:$C$9*J22:K22))</f>
        <v>0.98985648150046668</v>
      </c>
      <c r="K66" s="191"/>
      <c r="L66" s="191">
        <f t="array" ref="L66">SQRT((L9:M9*$B$22:$C$22)/($B$9:$C$9*$B$22:$C$22)*(L9:M9*L22:M22)/($B$9:$C$9*L22:M22))</f>
        <v>0.9868409481900503</v>
      </c>
      <c r="M66" s="191"/>
      <c r="N66" s="191">
        <f t="array" ref="N66">SQRT((N9:O9*$B$22:$C$22)/($B$9:$C$9*$B$22:$C$22)*(N9:O9*N22:O22)/($B$9:$C$9*N22:O22))</f>
        <v>0.98352960339296303</v>
      </c>
      <c r="O66" s="191"/>
      <c r="P66" s="191">
        <f t="array" ref="P66">SQRT((P9:Q9*$B$22:$C$22)/($B$9:$C$9*$B$22:$C$22)*(P9:Q9*P22:Q22)/($B$9:$C$9*P22:Q22))</f>
        <v>0.97985086348903805</v>
      </c>
      <c r="Q66" s="191"/>
      <c r="R66" s="191">
        <f t="array" ref="R66">SQRT((R9:S9*$B$22:$C$22)/($B$9:$C$9*$B$22:$C$22)*(R9:S9*R22:S22)/($B$9:$C$9*R22:S22))</f>
        <v>0.97571747365440376</v>
      </c>
      <c r="S66" s="191"/>
      <c r="T66" s="191">
        <f t="array" ref="T66">SQRT((T9:U9*$B$22:$C$22)/($B$9:$C$9*$B$22:$C$22)*(T9:U9*T22:U22)/($B$9:$C$9*T22:U22))</f>
        <v>0.97102470269517038</v>
      </c>
      <c r="U66" s="191"/>
      <c r="V66" s="191">
        <f t="array" ref="V66">SQRT((V9:W9*$B$22:$C$22)/($B$9:$C$9*$B$22:$C$22)*(V9:W9*V22:W22)/($B$9:$C$9*V22:W22))</f>
        <v>0.96565131458179976</v>
      </c>
      <c r="W66" s="191"/>
      <c r="X66" s="191">
        <f t="array" ref="X66">SQRT((X9:Y9*$B$22:$C$22)/($B$9:$C$9*$B$22:$C$22)*(X9:Y9*X22:Y22)/($B$9:$C$9*X22:Y22))</f>
        <v>0.95946815049825773</v>
      </c>
      <c r="Y66" s="191"/>
      <c r="Z66" s="191">
        <f t="array" ref="Z66">SQRT((Z9:AA9*$B$22:$C$22)/($B$9:$C$9*$B$22:$C$22)*(Z9:AA9*Z22:AA22)/($B$9:$C$9*Z22:AA22))</f>
        <v>0.95236426090379156</v>
      </c>
      <c r="AA66" s="191"/>
      <c r="AB66" s="191">
        <f t="array" ref="AB66">SQRT((AB9:AC9*$B$22:$C$22)/($B$9:$C$9*$B$22:$C$22)*(AB9:AC9*AB22:AC22)/($B$9:$C$9*AB22:AC22))</f>
        <v>0.94431256791691676</v>
      </c>
      <c r="AC66" s="191"/>
      <c r="AD66" s="191">
        <f t="array" ref="AD66">SQRT((AD9:AE9*$B$22:$C$22)/($B$9:$C$9*$B$22:$C$22)*(AD9:AE9*AD22:AE22)/($B$9:$C$9*AD22:AE22))</f>
        <v>0.93551685659642991</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0.99766791649926212</v>
      </c>
      <c r="E68" s="191"/>
      <c r="F68" s="191">
        <f>F66/F67</f>
        <v>0.99522503698652809</v>
      </c>
      <c r="G68" s="191"/>
      <c r="H68" s="191">
        <f>H66/H67</f>
        <v>0.99263498331598954</v>
      </c>
      <c r="I68" s="191"/>
      <c r="J68" s="191">
        <f>J66/J67</f>
        <v>0.98985648150046668</v>
      </c>
      <c r="K68" s="191"/>
      <c r="L68" s="191">
        <f>L66/L67</f>
        <v>0.9868409481900503</v>
      </c>
      <c r="M68" s="191"/>
      <c r="N68" s="191">
        <f>N66/N67</f>
        <v>0.98352960339296303</v>
      </c>
      <c r="O68" s="191"/>
      <c r="P68" s="191">
        <f>P66/P67</f>
        <v>0.97985086348903805</v>
      </c>
      <c r="Q68" s="191"/>
      <c r="R68" s="191">
        <f>R66/R67</f>
        <v>0.97571747365440376</v>
      </c>
      <c r="S68" s="191"/>
      <c r="T68" s="191">
        <f>T66/T67</f>
        <v>0.97102470269517038</v>
      </c>
      <c r="U68" s="191"/>
      <c r="V68" s="191">
        <f>V66/V67</f>
        <v>0.96565131458179976</v>
      </c>
      <c r="W68" s="191"/>
      <c r="X68" s="191">
        <f>X66/X67</f>
        <v>0.95946815049825773</v>
      </c>
      <c r="Y68" s="191"/>
      <c r="Z68" s="191">
        <f>Z66/Z67</f>
        <v>0.95236426090379156</v>
      </c>
      <c r="AA68" s="191"/>
      <c r="AB68" s="191">
        <f>AB66/AB67</f>
        <v>0.94431256791691676</v>
      </c>
      <c r="AC68" s="191"/>
      <c r="AD68" s="191">
        <f>AD66/AD67</f>
        <v>0.93551685659642991</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1.0111667983914943</v>
      </c>
      <c r="E69" s="191"/>
      <c r="F69" s="191">
        <f>F32/F65/($B$32)</f>
        <v>1.021217250575011</v>
      </c>
      <c r="G69" s="191"/>
      <c r="H69" s="191">
        <f>H32/H65/($B$32)</f>
        <v>1.0302124796233487</v>
      </c>
      <c r="I69" s="191"/>
      <c r="J69" s="191">
        <f>J32/J65/($B$32)</f>
        <v>1.0381500136272608</v>
      </c>
      <c r="K69" s="191"/>
      <c r="L69" s="191">
        <f>L32/L65/($B$32)</f>
        <v>1.0449628530716748</v>
      </c>
      <c r="M69" s="191"/>
      <c r="N69" s="191">
        <f>N32/N65/($B$32)</f>
        <v>1.0505110249534075</v>
      </c>
      <c r="O69" s="191"/>
      <c r="P69" s="191">
        <f>P32/P65/($B$32)</f>
        <v>1.0545590609244946</v>
      </c>
      <c r="Q69" s="191"/>
      <c r="R69" s="191">
        <f>R32/R65/($B$32)</f>
        <v>1.0567399070458465</v>
      </c>
      <c r="S69" s="191"/>
      <c r="T69" s="191">
        <f>T32/T65/($B$32)</f>
        <v>1.0564926068173326</v>
      </c>
      <c r="U69" s="191"/>
      <c r="V69" s="191">
        <f>V32/V65/($B$32)</f>
        <v>1.0529565631735105</v>
      </c>
      <c r="W69" s="191"/>
      <c r="X69" s="191">
        <f>X32/X65/($B$32)</f>
        <v>1.0447863319593442</v>
      </c>
      <c r="Y69" s="191"/>
      <c r="Z69" s="191">
        <f>Z32/Z65/($B$32)</f>
        <v>1.0298160787181758</v>
      </c>
      <c r="AA69" s="191"/>
      <c r="AB69" s="191">
        <f>AB32/AB65/($B$32)</f>
        <v>1.0044318386422471</v>
      </c>
      <c r="AC69" s="191"/>
      <c r="AD69" s="191">
        <f>AD32/AD65/($B$32)</f>
        <v>0.96240095406082793</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1.0088971866397829</v>
      </c>
      <c r="E70" s="138"/>
      <c r="F70" s="138">
        <f>F18/$B$18</f>
        <v>1.0166575290299897</v>
      </c>
      <c r="G70" s="138"/>
      <c r="H70" s="138">
        <f>H18/$B$18</f>
        <v>1.023338348479262</v>
      </c>
      <c r="I70" s="138"/>
      <c r="J70" s="138">
        <f>J18/$B$18</f>
        <v>1.0289357162275778</v>
      </c>
      <c r="K70" s="138"/>
      <c r="L70" s="138">
        <f>L18/$B$18</f>
        <v>1.0333841366974494</v>
      </c>
      <c r="M70" s="138"/>
      <c r="N70" s="138">
        <f>N18/$B$18</f>
        <v>1.0365491149757495</v>
      </c>
      <c r="O70" s="138"/>
      <c r="P70" s="138">
        <f>P18/$B$18</f>
        <v>1.0382062846589852</v>
      </c>
      <c r="Q70" s="138"/>
      <c r="R70" s="138">
        <f>R18/$B$18</f>
        <v>1.0380075149200518</v>
      </c>
      <c r="S70" s="138"/>
      <c r="T70" s="138">
        <f>T18/$B$18</f>
        <v>1.0354215285963853</v>
      </c>
      <c r="U70" s="138"/>
      <c r="V70" s="138">
        <f>V18/$B$18</f>
        <v>1.029631953707979</v>
      </c>
      <c r="W70" s="138"/>
      <c r="X70" s="138">
        <f>X18/$B$18</f>
        <v>1.0193567806170802</v>
      </c>
      <c r="Y70" s="138"/>
      <c r="Z70" s="138">
        <f>Z18/$B$18</f>
        <v>1.0025194654333074</v>
      </c>
      <c r="AA70" s="138"/>
      <c r="AB70" s="138">
        <f>AB18/$B$18</f>
        <v>0.97563514660197503</v>
      </c>
      <c r="AC70" s="138"/>
      <c r="AD70" s="138">
        <f>AD18/$B$18</f>
        <v>0.93268381065140049</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0.93207848504256108</v>
      </c>
      <c r="E71" s="138"/>
      <c r="F71" s="138">
        <f>G18/$C$18</f>
        <v>0.86433268544292274</v>
      </c>
      <c r="G71" s="138"/>
      <c r="H71" s="138">
        <f>I18/$C$18</f>
        <v>0.79675533131026199</v>
      </c>
      <c r="I71" s="138"/>
      <c r="J71" s="138">
        <f>K18/$C$18</f>
        <v>0.72936695082405334</v>
      </c>
      <c r="K71" s="138"/>
      <c r="L71" s="138">
        <f>M18/$C$18</f>
        <v>0.66221966435470958</v>
      </c>
      <c r="M71" s="138"/>
      <c r="N71" s="138">
        <f>O18/$C$18</f>
        <v>0.59540396181996813</v>
      </c>
      <c r="O71" s="138"/>
      <c r="P71" s="138">
        <f>Q18/$C$18</f>
        <v>0.52906415861141576</v>
      </c>
      <c r="Q71" s="138"/>
      <c r="R71" s="138">
        <f>S18/$C$18</f>
        <v>0.46341961937870579</v>
      </c>
      <c r="S71" s="138"/>
      <c r="T71" s="138">
        <f>U18/$C$18</f>
        <v>0.39879674953239191</v>
      </c>
      <c r="U71" s="138"/>
      <c r="V71" s="138">
        <f>W18/$C$18</f>
        <v>0.33567796732654342</v>
      </c>
      <c r="W71" s="138"/>
      <c r="X71" s="138">
        <f>Y18/$C$18</f>
        <v>0.27476703941586311</v>
      </c>
      <c r="Y71" s="138"/>
      <c r="Z71" s="138">
        <f>AA18/$C$18</f>
        <v>0.21707487995814242</v>
      </c>
      <c r="AA71" s="138"/>
      <c r="AB71" s="138">
        <f>AC18/$C$18</f>
        <v>0.16401553845120792</v>
      </c>
      <c r="AC71" s="138"/>
      <c r="AD71" s="138">
        <f>AE18/$C$18</f>
        <v>0.11746224466157852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1.0172702491089691</v>
      </c>
      <c r="E72" s="138"/>
      <c r="F72" s="138">
        <f>G19/$C$19</f>
        <v>1.038622245227617</v>
      </c>
      <c r="G72" s="138"/>
      <c r="H72" s="138">
        <f>I19/$C$19</f>
        <v>1.0649906674568597</v>
      </c>
      <c r="I72" s="138"/>
      <c r="J72" s="138">
        <f>K19/$C$19</f>
        <v>1.0974566014691367</v>
      </c>
      <c r="K72" s="138"/>
      <c r="L72" s="138">
        <f>M19/$C$19</f>
        <v>1.1372813031717237</v>
      </c>
      <c r="M72" s="138"/>
      <c r="N72" s="138">
        <f>O19/$C$19</f>
        <v>1.1859452079984538</v>
      </c>
      <c r="O72" s="138"/>
      <c r="P72" s="138">
        <f>Q19/$C$19</f>
        <v>1.2451472017850858</v>
      </c>
      <c r="Q72" s="138"/>
      <c r="R72" s="138">
        <f>S19/$C$19</f>
        <v>1.3167701778587835</v>
      </c>
      <c r="S72" s="138"/>
      <c r="T72" s="138">
        <f>U19/$C$19</f>
        <v>1.4027315887538776</v>
      </c>
      <c r="U72" s="138"/>
      <c r="V72" s="138">
        <f>W19/$C$19</f>
        <v>1.5045931209253658</v>
      </c>
      <c r="W72" s="138"/>
      <c r="X72" s="138">
        <f>Y19/$C$19</f>
        <v>1.6226601480828531</v>
      </c>
      <c r="Y72" s="138"/>
      <c r="Z72" s="138">
        <f>AA19/$C$19</f>
        <v>1.7540249925281084</v>
      </c>
      <c r="AA72" s="138"/>
      <c r="AB72" s="138">
        <f>AC19/$C$19</f>
        <v>1.8884569623875553</v>
      </c>
      <c r="AC72" s="138"/>
      <c r="AD72" s="138">
        <f>AE19/$C$19</f>
        <v>2.0003795506487001</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0.47641153779378526</v>
      </c>
      <c r="E73" s="138"/>
      <c r="F73" s="193">
        <f t="array" ref="F73">SUM(F9:G9*F22:G22)/F32</f>
        <v>0.47641153937875452</v>
      </c>
      <c r="G73" s="138"/>
      <c r="H73" s="193">
        <f t="array" ref="H73">SUM(H9:I9*H22:I22)/H32</f>
        <v>0.47641154097231087</v>
      </c>
      <c r="I73" s="138"/>
      <c r="J73" s="193">
        <f t="array" ref="J73">SUM(J9:K9*J22:K22)/J32</f>
        <v>0.47641154866713781</v>
      </c>
      <c r="K73" s="138"/>
      <c r="L73" s="193">
        <f t="array" ref="L73">SUM(L9:M9*L22:M22)/L32</f>
        <v>0.47641154381019707</v>
      </c>
      <c r="M73" s="138"/>
      <c r="N73" s="193">
        <f t="array" ref="N73">SUM(N9:O9*N22:O22)/N32</f>
        <v>0.47641155219381354</v>
      </c>
      <c r="O73" s="138"/>
      <c r="P73" s="193">
        <f t="array" ref="P73">SUM(P9:Q9*P22:Q22)/P32</f>
        <v>0.47641155750046671</v>
      </c>
      <c r="Q73" s="138"/>
      <c r="R73" s="193">
        <f t="array" ref="R73">SUM(R9:S9*R22:S22)/R32</f>
        <v>0.47641154482524961</v>
      </c>
      <c r="S73" s="138"/>
      <c r="T73" s="193">
        <f t="array" ref="T73">SUM(T9:U9*T22:U22)/T32</f>
        <v>0.47641153722215612</v>
      </c>
      <c r="U73" s="138"/>
      <c r="V73" s="193">
        <f t="array" ref="V73">SUM(V9:W9*V22:W22)/V32</f>
        <v>0.47641154083731857</v>
      </c>
      <c r="W73" s="138"/>
      <c r="X73" s="193">
        <f t="array" ref="X73">SUM(X9:Y9*X22:Y22)/X32</f>
        <v>0.47641153912588563</v>
      </c>
      <c r="Y73" s="138"/>
      <c r="Z73" s="193">
        <f t="array" ref="Z73">SUM(Z9:AA9*Z22:AA22)/Z32</f>
        <v>0.47641153721999285</v>
      </c>
      <c r="AA73" s="138"/>
      <c r="AB73" s="193">
        <f t="array" ref="AB73">SUM(AB9:AC9*AB22:AC22)/AB32</f>
        <v>0.47641155098686155</v>
      </c>
      <c r="AC73" s="138"/>
      <c r="AD73" s="193">
        <f t="array" ref="AD73">SUM(AD9:AE9*AD22:AE22)/AD32</f>
        <v>0.47641153437297679</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0.22038438803230384</v>
      </c>
      <c r="E75" s="138"/>
      <c r="F75" s="193">
        <f t="array" ref="F75">SUM(F11:G11*F24:G24)/F32</f>
        <v>0.22038438807757743</v>
      </c>
      <c r="G75" s="138"/>
      <c r="H75" s="193">
        <f t="array" ref="H75">SUM(H11:I11*H24:I24)/H32</f>
        <v>0.22038438812157909</v>
      </c>
      <c r="I75" s="138"/>
      <c r="J75" s="193">
        <f t="array" ref="J75">SUM(J11:K11*J24:K24)/J32</f>
        <v>0.22038438806999838</v>
      </c>
      <c r="K75" s="138"/>
      <c r="L75" s="193">
        <f t="array" ref="L75">SUM(L11:M11*L24:M24)/L32</f>
        <v>0.22038438818758369</v>
      </c>
      <c r="M75" s="138"/>
      <c r="N75" s="193">
        <f t="array" ref="N75">SUM(N11:O11*N24:O24)/N32</f>
        <v>0.22038438811803188</v>
      </c>
      <c r="O75" s="138"/>
      <c r="P75" s="193">
        <f t="array" ref="P75">SUM(P11:Q11*P24:Q24)/P32</f>
        <v>0.22038438807717992</v>
      </c>
      <c r="Q75" s="138"/>
      <c r="R75" s="193">
        <f t="array" ref="R75">SUM(R11:S11*R24:S24)/R32</f>
        <v>0.22038438795434998</v>
      </c>
      <c r="S75" s="138"/>
      <c r="T75" s="193">
        <f t="array" ref="T75">SUM(T11:U11*T24:U24)/T32</f>
        <v>0.22038438817404576</v>
      </c>
      <c r="U75" s="138"/>
      <c r="V75" s="193">
        <f t="array" ref="V75">SUM(V11:W11*V24:W24)/V32</f>
        <v>0.22038438866384741</v>
      </c>
      <c r="W75" s="138"/>
      <c r="X75" s="193">
        <f t="array" ref="X75">SUM(X11:Y11*X24:Y24)/X32</f>
        <v>0.22038438862991194</v>
      </c>
      <c r="Y75" s="138"/>
      <c r="Z75" s="193">
        <f t="array" ref="Z75">SUM(Z11:AA11*Z24:AA24)/Z32</f>
        <v>0.22038438847908626</v>
      </c>
      <c r="AA75" s="138"/>
      <c r="AB75" s="193">
        <f t="array" ref="AB75">SUM(AB11:AC11*AB24:AC24)/AB32</f>
        <v>0.22038438655212728</v>
      </c>
      <c r="AC75" s="138"/>
      <c r="AD75" s="193">
        <f t="array" ref="AD75">SUM(AD11:AE11*AD24:AE24)/AD32</f>
        <v>0.2203843884657489</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0.22278690039324991</v>
      </c>
      <c r="E76" s="138"/>
      <c r="F76" s="193">
        <f t="array" ref="F76">SUM(F12:G12*F25:G25)/F32</f>
        <v>0.22264511773402623</v>
      </c>
      <c r="G76" s="138"/>
      <c r="H76" s="193">
        <f t="array" ref="H76">SUM(H12:I12*H25:I25)/H32</f>
        <v>0.22260497784726188</v>
      </c>
      <c r="I76" s="138"/>
      <c r="J76" s="193">
        <f t="array" ref="J76">SUM(J12:K12*J25:K25)/J32</f>
        <v>0.2226823056748764</v>
      </c>
      <c r="K76" s="138"/>
      <c r="L76" s="193">
        <f t="array" ref="L76">SUM(L12:M12*L25:M25)/L32</f>
        <v>0.22289792986193663</v>
      </c>
      <c r="M76" s="138"/>
      <c r="N76" s="193">
        <f t="array" ref="N76">SUM(N12:O12*N25:O25)/N32</f>
        <v>0.22327883218051695</v>
      </c>
      <c r="O76" s="138"/>
      <c r="P76" s="193">
        <f t="array" ref="P76">SUM(P12:Q12*P25:Q25)/P32</f>
        <v>0.2238594553138068</v>
      </c>
      <c r="Q76" s="138"/>
      <c r="R76" s="193">
        <f t="array" ref="R76">SUM(R12:S12*R25:S25)/R32</f>
        <v>0.2246832345404666</v>
      </c>
      <c r="S76" s="138"/>
      <c r="T76" s="193">
        <f t="array" ref="T76">SUM(T12:U12*T25:U25)/T32</f>
        <v>0.22580385319897195</v>
      </c>
      <c r="U76" s="138"/>
      <c r="V76" s="193">
        <f t="array" ref="V76">SUM(V12:W12*V25:W25)/V32</f>
        <v>0.22728539446073093</v>
      </c>
      <c r="W76" s="138"/>
      <c r="X76" s="193">
        <f t="array" ref="X76">SUM(X12:Y12*X25:Y25)/X32</f>
        <v>0.2291989255096395</v>
      </c>
      <c r="Y76" s="138"/>
      <c r="Z76" s="193">
        <f t="array" ref="Z76">SUM(Z12:AA12*Z25:AA25)/Z32</f>
        <v>0.23161030796860846</v>
      </c>
      <c r="AA76" s="138"/>
      <c r="AB76" s="193">
        <f t="array" ref="AB76">SUM(AB12:AC12*AB25:AC25)/AB32</f>
        <v>0.23454757083799876</v>
      </c>
      <c r="AC76" s="138"/>
      <c r="AD76" s="193">
        <f t="array" ref="AD76">SUM(AD12:AE12*AD25:AE25)/AD32</f>
        <v>0.23792660895347398</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0.14562903078376371</v>
      </c>
      <c r="E77" s="138"/>
      <c r="F77" s="193">
        <f t="array" ref="F77">SUM(F4:G4*F19:G19)/F32</f>
        <v>0.14548724975478308</v>
      </c>
      <c r="G77" s="138"/>
      <c r="H77" s="193">
        <f t="array" ref="H77">SUM(H4:I4*H19:I19)/H32</f>
        <v>0.14544711150557657</v>
      </c>
      <c r="I77" s="138"/>
      <c r="J77" s="193">
        <f t="array" ref="J77">SUM(J4:K4*J19:K19)/J32</f>
        <v>0.14552444697643724</v>
      </c>
      <c r="K77" s="138"/>
      <c r="L77" s="193">
        <f t="array" ref="L77">SUM(L4:M4*L19:M19)/L32</f>
        <v>0.14574006642414214</v>
      </c>
      <c r="M77" s="138"/>
      <c r="N77" s="193">
        <f t="array" ref="N77">SUM(N4:O4*N19:O19)/N32</f>
        <v>0.14612097705678709</v>
      </c>
      <c r="O77" s="138"/>
      <c r="P77" s="193">
        <f t="array" ref="P77">SUM(P4:Q4*P19:Q19)/P32</f>
        <v>0.14670160545587807</v>
      </c>
      <c r="Q77" s="138"/>
      <c r="R77" s="193">
        <f t="array" ref="R77">SUM(R4:S4*R19:S19)/R32</f>
        <v>0.1475253718844908</v>
      </c>
      <c r="S77" s="138"/>
      <c r="T77" s="193">
        <f t="array" ref="T77">SUM(T4:U4*T19:U19)/T32</f>
        <v>0.14864598315959873</v>
      </c>
      <c r="U77" s="138"/>
      <c r="V77" s="193">
        <f t="array" ref="V77">SUM(V4:W4*V19:W19)/V32</f>
        <v>0.15012752852632144</v>
      </c>
      <c r="W77" s="138"/>
      <c r="X77" s="193">
        <f t="array" ref="X77">SUM(X4:Y4*X19:Y19)/X32</f>
        <v>0.15204105782986185</v>
      </c>
      <c r="Y77" s="138"/>
      <c r="Z77" s="193">
        <f t="array" ref="Z77">SUM(Z4:AA4*Z19:AA19)/Z32</f>
        <v>0.15445243823211238</v>
      </c>
      <c r="AA77" s="138"/>
      <c r="AB77" s="193">
        <f t="array" ref="AB77">SUM(AB4:AC4*AB19:AC19)/AB32</f>
        <v>0.15738971294141216</v>
      </c>
      <c r="AC77" s="138"/>
      <c r="AD77" s="193">
        <f t="array" ref="AD77">SUM(AD4:AE4*AD19:AE19)/AD32</f>
        <v>0.16076873635662456</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0.35088622372008621</v>
      </c>
      <c r="E78" s="138"/>
      <c r="F78" s="193">
        <f t="array" ref="F78">SUM(F13:G13*F26:G26)/F32</f>
        <v>0.35508437520225661</v>
      </c>
      <c r="G78" s="138"/>
      <c r="H78" s="193">
        <f t="array" ref="H78">SUM(H13:I13*H26:I26)/H32</f>
        <v>0.35954546504412055</v>
      </c>
      <c r="I78" s="138"/>
      <c r="J78" s="193">
        <f t="array" ref="J78">SUM(J13:K13*J26:K26)/J32</f>
        <v>0.36434398898927711</v>
      </c>
      <c r="K78" s="138"/>
      <c r="L78" s="193">
        <f t="array" ref="L78">SUM(L13:M13*L26:M26)/L32</f>
        <v>0.36957052911902344</v>
      </c>
      <c r="M78" s="138"/>
      <c r="N78" s="193">
        <f t="array" ref="N78">SUM(N13:O13*N26:O26)/N32</f>
        <v>0.37533916471084033</v>
      </c>
      <c r="O78" s="138"/>
      <c r="P78" s="193">
        <f t="array" ref="P78">SUM(P13:Q13*P26:Q26)/P32</f>
        <v>0.38179614851676641</v>
      </c>
      <c r="Q78" s="138"/>
      <c r="R78" s="193">
        <f t="array" ref="R78">SUM(R13:S13*R26:S26)/R32</f>
        <v>0.38913359890138921</v>
      </c>
      <c r="S78" s="138"/>
      <c r="T78" s="193">
        <f t="array" ref="T78">SUM(T13:U13*T26:U26)/T32</f>
        <v>0.39760865558499792</v>
      </c>
      <c r="U78" s="138"/>
      <c r="V78" s="193">
        <f t="array" ref="V78">SUM(V13:W13*V26:W26)/V32</f>
        <v>0.40757157667657606</v>
      </c>
      <c r="W78" s="138"/>
      <c r="X78" s="193">
        <f t="array" ref="X78">SUM(X13:Y13*X26:Y26)/X32</f>
        <v>0.4195037290867612</v>
      </c>
      <c r="Y78" s="138"/>
      <c r="Z78" s="193">
        <f t="array" ref="Z78">SUM(Z13:AA13*Z26:AA26)/Z32</f>
        <v>0.43406046296390538</v>
      </c>
      <c r="AA78" s="138"/>
      <c r="AB78" s="193">
        <f t="array" ref="AB78">SUM(AB13:AC13*AB26:AC26)/AB32</f>
        <v>0.45207697058601465</v>
      </c>
      <c r="AC78" s="138"/>
      <c r="AD78" s="193">
        <f t="array" ref="AD78">SUM(AD13:AE13*AD26:AE26)/AD32</f>
        <v>0.47435960862078247</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cm="1">
        <f t="array" ref="B79">SUM(B15:C15*B27:C27)/B32</f>
        <v>0.45460968782440642</v>
      </c>
      <c r="D79" s="193">
        <f t="array" ref="D79">SUM(D15:E15*D27:E27)/D32</f>
        <v>0.44057510286026363</v>
      </c>
      <c r="F79" s="193">
        <f t="array" ref="F79">SUM(F15:G15*F27:G27)/F32</f>
        <v>0.42584022072766992</v>
      </c>
      <c r="H79" s="193">
        <f t="array" ref="H79">SUM(H15:I15*H27:I27)/H32</f>
        <v>0.41018246541160486</v>
      </c>
      <c r="J79" s="193">
        <f t="array" ref="J79">SUM(J15:K15*J27:K27)/J32</f>
        <v>0.39334046698738956</v>
      </c>
      <c r="L79" s="193">
        <f t="array" ref="L79">SUM(L15:M15*L27:M27)/L32</f>
        <v>0.37499599665466932</v>
      </c>
      <c r="N79" s="193">
        <f t="array" ref="N79">SUM(N15:O15*N27:O27)/N32</f>
        <v>0.35474897094372354</v>
      </c>
      <c r="P79" s="193">
        <f t="array" ref="P79">SUM(P15:Q15*P27:Q27)/P32</f>
        <v>0.33208593875498399</v>
      </c>
      <c r="R79" s="193">
        <f t="array" ref="R79">SUM(R15:S15*R27:S27)/R32</f>
        <v>0.30633261824785507</v>
      </c>
      <c r="T79" s="193">
        <f t="array" ref="T79">SUM(T15:U15*T27:U27)/T32</f>
        <v>0.27658636765235078</v>
      </c>
      <c r="V79" s="193">
        <f t="array" ref="V79">SUM(V15:W15*V27:W27)/V32</f>
        <v>0.2416179788952251</v>
      </c>
      <c r="X79" s="193">
        <f t="array" ref="X79">SUM(X15:Y15*X27:Y27)/X32</f>
        <v>0.19973791386453779</v>
      </c>
      <c r="Z79" s="193">
        <f t="array" ref="Z79">SUM(Z15:AA15*Z27:AA27)/Z32</f>
        <v>0.14864592809701027</v>
      </c>
      <c r="AB79" s="193">
        <f t="array" ref="AB79">SUM(AB15:AC15*AB27:AC27)/AB32</f>
        <v>8.5410883892547557E-2</v>
      </c>
      <c r="AD79" s="193">
        <f t="array" ref="AD79">SUM(AD15:AE15*AD27:AE27)/AD32</f>
        <v>7.2019380689282431E-3</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0.20853865019000012</v>
      </c>
      <c r="F80" s="236">
        <f>F55</f>
        <v>0.21907537774414867</v>
      </c>
      <c r="H80" s="236">
        <f>H55</f>
        <v>0.23027204253194714</v>
      </c>
      <c r="J80" s="236">
        <f>J55</f>
        <v>0.24231555657004791</v>
      </c>
      <c r="L80" s="236">
        <f>L55</f>
        <v>0.25543345261462658</v>
      </c>
      <c r="N80" s="236">
        <f>N55</f>
        <v>0.26991183810159519</v>
      </c>
      <c r="P80" s="236">
        <f>P55</f>
        <v>0.28611789485391714</v>
      </c>
      <c r="R80" s="236">
        <f>R55</f>
        <v>0.30453379406506254</v>
      </c>
      <c r="T80" s="236">
        <f>T55</f>
        <v>0.32580498132777358</v>
      </c>
      <c r="V80" s="236">
        <f>V55</f>
        <v>0.35081044633245034</v>
      </c>
      <c r="X80" s="236">
        <f>X55</f>
        <v>0.38075837959018483</v>
      </c>
      <c r="Z80" s="236">
        <f>Z55</f>
        <v>0.41729361130588544</v>
      </c>
      <c r="AB80" s="236">
        <f>AB55</f>
        <v>0.46251218248981713</v>
      </c>
      <c r="AD80" s="236">
        <f>AD55</f>
        <v>0.51843845197605187</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-1.7507554374424708E-2</v>
      </c>
      <c r="F81" s="236">
        <f>F51/F$32</f>
        <v>-6.9708268202761754E-3</v>
      </c>
      <c r="H81" s="236">
        <f>H51/H$32</f>
        <v>4.2258379675222764E-3</v>
      </c>
      <c r="J81" s="236">
        <f>J51/J$32</f>
        <v>1.6269352005623083E-2</v>
      </c>
      <c r="L81" s="236">
        <f>L51/L$32</f>
        <v>2.9387248050201736E-2</v>
      </c>
      <c r="N81" s="236">
        <f>N51/N$32</f>
        <v>4.3865633537170379E-2</v>
      </c>
      <c r="P81" s="236">
        <f>P51/P$32</f>
        <v>6.0071690289492281E-2</v>
      </c>
      <c r="R81" s="236">
        <f>R51/R$32</f>
        <v>7.8487589500637736E-2</v>
      </c>
      <c r="T81" s="236">
        <f>T51/T$32</f>
        <v>9.9758776763348739E-2</v>
      </c>
      <c r="V81" s="236">
        <f>V51/V$32</f>
        <v>0.12476424176802552</v>
      </c>
      <c r="X81" s="236">
        <f>X51/X$32</f>
        <v>0.15471217502576001</v>
      </c>
      <c r="Z81" s="236">
        <f>Z51/Z$32</f>
        <v>0.1912474067414606</v>
      </c>
      <c r="AB81" s="236">
        <f>AB51/AB$32</f>
        <v>0.23646597792539228</v>
      </c>
      <c r="AD81" s="236">
        <f>AD51/AD$32</f>
        <v>0.292392247411627</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0.14068178481725035</v>
      </c>
      <c r="F82" s="236">
        <f>F52/F$32</f>
        <v>0.14236496131014129</v>
      </c>
      <c r="H82" s="236">
        <f>H52/H$32</f>
        <v>0.14415355840731364</v>
      </c>
      <c r="J82" s="236">
        <f>J52/J$32</f>
        <v>0.14607744389342911</v>
      </c>
      <c r="L82" s="236">
        <f>L52/L$32</f>
        <v>0.14817293509304444</v>
      </c>
      <c r="N82" s="236">
        <f>N52/N$32</f>
        <v>0.15048577012661504</v>
      </c>
      <c r="P82" s="236">
        <f>P52/P$32</f>
        <v>0.1530745865147968</v>
      </c>
      <c r="R82" s="236">
        <f>R52/R$32</f>
        <v>0.15601641080522607</v>
      </c>
      <c r="T82" s="236">
        <f>T52/T$32</f>
        <v>0.15941433873763922</v>
      </c>
      <c r="V82" s="236">
        <f>V52/V$32</f>
        <v>0.16340880026507365</v>
      </c>
      <c r="X82" s="236">
        <f>X52/X$32</f>
        <v>0.16819279115528143</v>
      </c>
      <c r="Z82" s="236">
        <f>Z52/Z$32</f>
        <v>0.17402906275704152</v>
      </c>
      <c r="AB82" s="236">
        <f>AB52/AB$32</f>
        <v>0.18125247102192074</v>
      </c>
      <c r="AD82" s="236">
        <f>AD52/AD$32</f>
        <v>0.19018631076043549</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0.18026478333530555</v>
      </c>
      <c r="F83" s="236">
        <f>F53/F$32</f>
        <v>0.1742358899233559</v>
      </c>
      <c r="H83" s="236">
        <f>H53/H$32</f>
        <v>0.16782939565882884</v>
      </c>
      <c r="J83" s="236">
        <f>J53/J$32</f>
        <v>0.16093835897254191</v>
      </c>
      <c r="L83" s="236">
        <f>L53/L$32</f>
        <v>0.15343257403721478</v>
      </c>
      <c r="N83" s="236">
        <f>N53/N$32</f>
        <v>0.1451483435410453</v>
      </c>
      <c r="P83" s="236">
        <f>P53/P$32</f>
        <v>0.13587558491101456</v>
      </c>
      <c r="R83" s="236">
        <f>R53/R$32</f>
        <v>0.12533841040604782</v>
      </c>
      <c r="T83" s="236">
        <f>T53/T$32</f>
        <v>0.11316749701619837</v>
      </c>
      <c r="V83" s="236">
        <f>V53/V$32</f>
        <v>9.885990454906958E-2</v>
      </c>
      <c r="X83" s="236">
        <f>X53/X$32</f>
        <v>8.1724345140893453E-2</v>
      </c>
      <c r="Z83" s="236">
        <f>Z53/Z$32</f>
        <v>6.0819655600424787E-2</v>
      </c>
      <c r="AB83" s="236">
        <f>AB53/AB$32</f>
        <v>3.4946537785296335E-2</v>
      </c>
      <c r="AD83" s="236">
        <f>AD53/AD$32</f>
        <v>2.9467298473318491E-3</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row r="85" spans="1:48 16384:16384" x14ac:dyDescent="0.2">
      <c r="B85" s="29">
        <f>B26+C26</f>
        <v>5111.2006420000034</v>
      </c>
      <c r="D85" s="29">
        <f>D26+E26</f>
        <v>5193.4271713273438</v>
      </c>
      <c r="F85" s="29">
        <f>F26+G26</f>
        <v>5269.7175741158426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56" activePane="bottomRight" state="frozen"/>
      <selection pane="topRight" activeCell="B1" sqref="B1"/>
      <selection pane="bottomLeft" activeCell="A2" sqref="A2"/>
      <selection pane="bottomRight" activeCell="L23" sqref="A1:AW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5.3529323205677298E-2</v>
      </c>
      <c r="E2" s="227"/>
      <c r="F2" s="226">
        <v>0.1027202462731281</v>
      </c>
      <c r="G2" s="227"/>
      <c r="H2" s="226">
        <v>0.15300482499341639</v>
      </c>
      <c r="I2" s="227"/>
      <c r="J2" s="226">
        <v>0.20398321246897699</v>
      </c>
      <c r="K2" s="227"/>
      <c r="L2" s="226">
        <v>0.25520666661394764</v>
      </c>
      <c r="M2" s="227"/>
      <c r="N2" s="226">
        <v>0.30621056241061811</v>
      </c>
      <c r="O2" s="227"/>
      <c r="P2" s="226">
        <v>0.3565355051045756</v>
      </c>
      <c r="Q2" s="227"/>
      <c r="R2" s="226">
        <v>0.40576532515271035</v>
      </c>
      <c r="S2" s="227"/>
      <c r="T2" s="226">
        <v>0.45354620162225967</v>
      </c>
      <c r="U2" s="227"/>
      <c r="V2" s="226">
        <v>0.49960233693927764</v>
      </c>
      <c r="W2" s="227"/>
      <c r="X2" s="226">
        <v>0.54373977893459624</v>
      </c>
      <c r="Y2" s="227"/>
      <c r="Z2" s="226">
        <v>0.58584369372127687</v>
      </c>
      <c r="AA2" s="227"/>
      <c r="AB2" s="226">
        <v>0.62586681728579774</v>
      </c>
      <c r="AC2" s="227"/>
      <c r="AD2" s="226">
        <v>0.66381704147953513</v>
      </c>
      <c r="AE2" s="227"/>
      <c r="AF2" s="226">
        <v>0.69974341689044217</v>
      </c>
      <c r="AG2" s="227"/>
      <c r="AH2" s="226">
        <v>0.73372370534632803</v>
      </c>
      <c r="AI2" s="227"/>
      <c r="AJ2" s="226">
        <v>0.7658543745548293</v>
      </c>
      <c r="AK2" s="227"/>
      <c r="AL2" s="226">
        <v>0.79624169690128699</v>
      </c>
      <c r="AM2" s="227"/>
      <c r="AN2" s="226">
        <v>0.82499607295179267</v>
      </c>
      <c r="AO2" s="227"/>
      <c r="AP2" s="226">
        <v>0.8305607326658172</v>
      </c>
      <c r="AQ2" s="227"/>
      <c r="AR2" s="226">
        <v>0.83606534052001746</v>
      </c>
      <c r="AS2" s="227"/>
      <c r="AT2" s="226">
        <v>0.84151078259670964</v>
      </c>
      <c r="AU2" s="227"/>
      <c r="AV2" s="226">
        <v>0.84689790971568779</v>
      </c>
      <c r="AW2" s="227"/>
    </row>
    <row r="3" spans="1:49" x14ac:dyDescent="0.2">
      <c r="A3" t="s">
        <v>12</v>
      </c>
      <c r="B3" s="84">
        <v>1000</v>
      </c>
      <c r="C3" s="85">
        <v>1000</v>
      </c>
      <c r="D3" s="84">
        <v>998.76223505748032</v>
      </c>
      <c r="E3" s="85">
        <v>1022.453407591719</v>
      </c>
      <c r="F3" s="84">
        <v>997.52633282431918</v>
      </c>
      <c r="G3" s="85">
        <v>1046.2594803729846</v>
      </c>
      <c r="H3" s="84">
        <v>996.29884615578328</v>
      </c>
      <c r="I3" s="85">
        <v>1071.3191600596188</v>
      </c>
      <c r="J3" s="84">
        <v>995.08691961167426</v>
      </c>
      <c r="K3" s="85">
        <v>1097.4857739357983</v>
      </c>
      <c r="L3" s="84">
        <v>993.89808834530959</v>
      </c>
      <c r="M3" s="85">
        <v>1124.5634356822641</v>
      </c>
      <c r="N3" s="84">
        <v>992.73967458752475</v>
      </c>
      <c r="O3" s="85">
        <v>1152.3215929443074</v>
      </c>
      <c r="P3" s="84">
        <v>991.61851204766037</v>
      </c>
      <c r="Q3" s="85">
        <v>1180.5011675927885</v>
      </c>
      <c r="R3" s="84">
        <v>990.54031168557208</v>
      </c>
      <c r="S3" s="85">
        <v>1208.8400737828388</v>
      </c>
      <c r="T3" s="84">
        <v>989.50945811381393</v>
      </c>
      <c r="U3" s="85">
        <v>1237.0861414768879</v>
      </c>
      <c r="V3" s="84">
        <v>988.52883886800623</v>
      </c>
      <c r="W3" s="85">
        <v>1265.012794461253</v>
      </c>
      <c r="X3" s="84">
        <v>987.59986917484548</v>
      </c>
      <c r="Y3" s="85">
        <v>1292.4288069349641</v>
      </c>
      <c r="Z3" s="84">
        <v>986.72264000951236</v>
      </c>
      <c r="AA3" s="85">
        <v>1319.1832324419479</v>
      </c>
      <c r="AB3" s="84">
        <v>985.89616333542983</v>
      </c>
      <c r="AC3" s="85">
        <v>1345.1650674041387</v>
      </c>
      <c r="AD3" s="84">
        <v>985.11862852812862</v>
      </c>
      <c r="AE3" s="85">
        <v>1370.2999238122677</v>
      </c>
      <c r="AF3" s="84">
        <v>984.38767433515557</v>
      </c>
      <c r="AG3" s="85">
        <v>1394.5448029510219</v>
      </c>
      <c r="AH3" s="84">
        <v>983.70059814547869</v>
      </c>
      <c r="AI3" s="85">
        <v>1417.8818241489848</v>
      </c>
      <c r="AJ3" s="84">
        <v>983.05453478070865</v>
      </c>
      <c r="AK3" s="85">
        <v>1440.3129124054124</v>
      </c>
      <c r="AL3" s="84">
        <v>982.44659331777223</v>
      </c>
      <c r="AM3" s="85">
        <v>1461.8541129110542</v>
      </c>
      <c r="AN3" s="84">
        <v>981.87394582227239</v>
      </c>
      <c r="AO3" s="85">
        <v>1482.5315934125911</v>
      </c>
      <c r="AP3" s="84">
        <v>981.76341097400359</v>
      </c>
      <c r="AQ3" s="85">
        <v>1486.5662501936106</v>
      </c>
      <c r="AR3" s="84">
        <v>981.65415840862659</v>
      </c>
      <c r="AS3" s="85">
        <v>1490.5679278294258</v>
      </c>
      <c r="AT3" s="84">
        <v>981.5461673594574</v>
      </c>
      <c r="AU3" s="85">
        <v>1494.5369360806264</v>
      </c>
      <c r="AV3" s="84">
        <v>981.43941749377836</v>
      </c>
      <c r="AW3" s="85">
        <v>1498.4735659209623</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998.7010511943223</v>
      </c>
      <c r="E5" s="42">
        <v>1019.609282881913</v>
      </c>
      <c r="F5" s="41">
        <v>997.40371605267308</v>
      </c>
      <c r="G5" s="42">
        <v>1040.1727289008199</v>
      </c>
      <c r="H5" s="41">
        <v>996.11487637583616</v>
      </c>
      <c r="I5" s="42">
        <v>1061.5734051182269</v>
      </c>
      <c r="J5" s="41">
        <v>994.84204250002256</v>
      </c>
      <c r="K5" s="42">
        <v>1083.6578767515134</v>
      </c>
      <c r="L5" s="41">
        <v>993.59314308456158</v>
      </c>
      <c r="M5" s="42">
        <v>1106.237906458621</v>
      </c>
      <c r="N5" s="41">
        <v>992.37589055469743</v>
      </c>
      <c r="O5" s="42">
        <v>1129.1043801917851</v>
      </c>
      <c r="P5" s="41">
        <v>991.19749162733365</v>
      </c>
      <c r="Q5" s="42">
        <v>1152.035295737662</v>
      </c>
      <c r="R5" s="41">
        <v>990.06397839955218</v>
      </c>
      <c r="S5" s="42">
        <v>1174.8160142860525</v>
      </c>
      <c r="T5" s="41">
        <v>988.97999287002062</v>
      </c>
      <c r="U5" s="42">
        <v>1197.250018480908</v>
      </c>
      <c r="V5" s="41">
        <v>987.94860517389452</v>
      </c>
      <c r="W5" s="42">
        <v>1219.1699374672426</v>
      </c>
      <c r="X5" s="41">
        <v>986.97133749334535</v>
      </c>
      <c r="Y5" s="42">
        <v>1240.4430636265163</v>
      </c>
      <c r="Z5" s="41">
        <v>986.04831815662897</v>
      </c>
      <c r="AA5" s="42">
        <v>1260.973290676711</v>
      </c>
      <c r="AB5" s="41">
        <v>985.17853817609011</v>
      </c>
      <c r="AC5" s="42">
        <v>1280.6982852009396</v>
      </c>
      <c r="AD5" s="41">
        <v>984.36012026845185</v>
      </c>
      <c r="AE5" s="42">
        <v>1299.5851953543747</v>
      </c>
      <c r="AF5" s="41">
        <v>983.59060450004267</v>
      </c>
      <c r="AG5" s="42">
        <v>1317.6250695401945</v>
      </c>
      <c r="AH5" s="41">
        <v>982.86716846331205</v>
      </c>
      <c r="AI5" s="42">
        <v>1334.827081657467</v>
      </c>
      <c r="AJ5" s="41">
        <v>982.18681549796509</v>
      </c>
      <c r="AK5" s="42">
        <v>1351.2138156102189</v>
      </c>
      <c r="AL5" s="41">
        <v>981.54651894449023</v>
      </c>
      <c r="AM5" s="42">
        <v>1366.816562749575</v>
      </c>
      <c r="AN5" s="41">
        <v>980.94331585042698</v>
      </c>
      <c r="AO5" s="42">
        <v>1381.6721990088804</v>
      </c>
      <c r="AP5" s="41">
        <v>980.82687420969728</v>
      </c>
      <c r="AQ5" s="42">
        <v>1384.5571539880141</v>
      </c>
      <c r="AR5" s="41">
        <v>980.71178056771794</v>
      </c>
      <c r="AS5" s="42">
        <v>1387.4141285162159</v>
      </c>
      <c r="AT5" s="41">
        <v>980.59801314417211</v>
      </c>
      <c r="AU5" s="42">
        <v>1390.2434657554984</v>
      </c>
      <c r="AV5" s="41">
        <v>980.48555061287027</v>
      </c>
      <c r="AW5" s="42">
        <v>1393.0454899855756</v>
      </c>
    </row>
    <row r="6" spans="1:49" x14ac:dyDescent="0.2">
      <c r="A6" t="s">
        <v>77</v>
      </c>
      <c r="B6" s="41">
        <v>999.99999999999932</v>
      </c>
      <c r="C6" s="42">
        <v>999.99999999999898</v>
      </c>
      <c r="D6" s="41">
        <v>998.60176469475289</v>
      </c>
      <c r="E6" s="42">
        <v>1024.2156751084881</v>
      </c>
      <c r="F6" s="41">
        <v>997.20540670672415</v>
      </c>
      <c r="G6" s="42">
        <v>1049.8458453274695</v>
      </c>
      <c r="H6" s="41">
        <v>995.81833151811668</v>
      </c>
      <c r="I6" s="42">
        <v>1076.7799064377837</v>
      </c>
      <c r="J6" s="41">
        <v>994.44861821375059</v>
      </c>
      <c r="K6" s="42">
        <v>1104.8572641813525</v>
      </c>
      <c r="L6" s="41">
        <v>993.10479259698684</v>
      </c>
      <c r="M6" s="42">
        <v>1133.8659677620212</v>
      </c>
      <c r="N6" s="41">
        <v>991.79514501823542</v>
      </c>
      <c r="O6" s="42">
        <v>1163.5585415977978</v>
      </c>
      <c r="P6" s="41">
        <v>990.52741828771752</v>
      </c>
      <c r="Q6" s="42">
        <v>1193.6586297024112</v>
      </c>
      <c r="R6" s="41">
        <v>989.30808964306027</v>
      </c>
      <c r="S6" s="42">
        <v>1223.8881856688693</v>
      </c>
      <c r="T6" s="41">
        <v>988.14213917981431</v>
      </c>
      <c r="U6" s="42">
        <v>1253.9810125207657</v>
      </c>
      <c r="V6" s="41">
        <v>987.03285533234111</v>
      </c>
      <c r="W6" s="42">
        <v>1283.6991457973886</v>
      </c>
      <c r="X6" s="41">
        <v>985.98186150339097</v>
      </c>
      <c r="Y6" s="42">
        <v>1312.8428755619541</v>
      </c>
      <c r="Z6" s="41">
        <v>984.98928237201528</v>
      </c>
      <c r="AA6" s="42">
        <v>1341.2556430941258</v>
      </c>
      <c r="AB6" s="41">
        <v>984.05402045672145</v>
      </c>
      <c r="AC6" s="42">
        <v>1368.8233930969136</v>
      </c>
      <c r="AD6" s="41">
        <v>983.1740456637109</v>
      </c>
      <c r="AE6" s="42">
        <v>1395.4708226220619</v>
      </c>
      <c r="AF6" s="41">
        <v>982.3467027146819</v>
      </c>
      <c r="AG6" s="42">
        <v>1421.1556880180842</v>
      </c>
      <c r="AH6" s="41">
        <v>981.568947866641</v>
      </c>
      <c r="AI6" s="42">
        <v>1445.8620681895325</v>
      </c>
      <c r="AJ6" s="41">
        <v>980.83755130310863</v>
      </c>
      <c r="AK6" s="42">
        <v>1469.5946933337668</v>
      </c>
      <c r="AL6" s="41">
        <v>980.14925213378115</v>
      </c>
      <c r="AM6" s="42">
        <v>1492.3729140250139</v>
      </c>
      <c r="AN6" s="41">
        <v>979.50085902019521</v>
      </c>
      <c r="AO6" s="42">
        <v>1514.226480350115</v>
      </c>
      <c r="AP6" s="41">
        <v>979.37569749488534</v>
      </c>
      <c r="AQ6" s="42">
        <v>1518.4893660644441</v>
      </c>
      <c r="AR6" s="41">
        <v>979.25198604287982</v>
      </c>
      <c r="AS6" s="42">
        <v>1522.7170111211831</v>
      </c>
      <c r="AT6" s="41">
        <v>979.12970121406511</v>
      </c>
      <c r="AU6" s="42">
        <v>1526.9097557237246</v>
      </c>
      <c r="AV6" s="41">
        <v>979.00882004761468</v>
      </c>
      <c r="AW6" s="42">
        <v>1531.0679198385671</v>
      </c>
    </row>
    <row r="7" spans="1:49" x14ac:dyDescent="0.2">
      <c r="A7" t="s">
        <v>13</v>
      </c>
      <c r="B7" s="33">
        <v>1015.9116825427475</v>
      </c>
      <c r="C7" s="34">
        <v>1015.9116825427475</v>
      </c>
      <c r="D7" s="33">
        <v>1014.5920652760345</v>
      </c>
      <c r="E7" s="34">
        <v>1014.5920652760345</v>
      </c>
      <c r="F7" s="33">
        <v>1013.2740873494598</v>
      </c>
      <c r="G7" s="34">
        <v>1013.2740873494598</v>
      </c>
      <c r="H7" s="33">
        <v>1011.9647400648366</v>
      </c>
      <c r="I7" s="34">
        <v>1011.9647400648366</v>
      </c>
      <c r="J7" s="33">
        <v>1010.6716532604614</v>
      </c>
      <c r="K7" s="34">
        <v>1010.6716532604614</v>
      </c>
      <c r="L7" s="33">
        <v>1009.4028817539737</v>
      </c>
      <c r="M7" s="34">
        <v>1009.4028817539737</v>
      </c>
      <c r="N7" s="33">
        <v>1008.1662606882801</v>
      </c>
      <c r="O7" s="34">
        <v>1008.1662606882801</v>
      </c>
      <c r="P7" s="33">
        <v>1006.9691114512754</v>
      </c>
      <c r="Q7" s="34">
        <v>1006.9691114512754</v>
      </c>
      <c r="R7" s="33">
        <v>1005.8175621208554</v>
      </c>
      <c r="S7" s="34">
        <v>1005.8175621208554</v>
      </c>
      <c r="T7" s="33">
        <v>1004.716328557697</v>
      </c>
      <c r="U7" s="34">
        <v>1004.716328557697</v>
      </c>
      <c r="V7" s="33">
        <v>1003.6685297479717</v>
      </c>
      <c r="W7" s="34">
        <v>1003.6685297479717</v>
      </c>
      <c r="X7" s="33">
        <v>1002.6757120943303</v>
      </c>
      <c r="Y7" s="34">
        <v>1002.6757120943303</v>
      </c>
      <c r="Z7" s="33">
        <v>1001.7380059669473</v>
      </c>
      <c r="AA7" s="34">
        <v>1001.7380059669473</v>
      </c>
      <c r="AB7" s="33">
        <v>1000.8543863234761</v>
      </c>
      <c r="AC7" s="34">
        <v>1000.8543863234761</v>
      </c>
      <c r="AD7" s="33">
        <v>1000.0229460099041</v>
      </c>
      <c r="AE7" s="34">
        <v>1000.0229460099041</v>
      </c>
      <c r="AF7" s="33">
        <v>999.24118595087646</v>
      </c>
      <c r="AG7" s="34">
        <v>999.24118595087646</v>
      </c>
      <c r="AH7" s="33">
        <v>998.50623882958939</v>
      </c>
      <c r="AI7" s="34">
        <v>998.50623882958939</v>
      </c>
      <c r="AJ7" s="33">
        <v>997.81506030384071</v>
      </c>
      <c r="AK7" s="34">
        <v>997.81506030384071</v>
      </c>
      <c r="AL7" s="33">
        <v>997.16457555487375</v>
      </c>
      <c r="AM7" s="34">
        <v>997.16457555487375</v>
      </c>
      <c r="AN7" s="33">
        <v>996.55177448466907</v>
      </c>
      <c r="AO7" s="34">
        <v>996.55177448466907</v>
      </c>
      <c r="AP7" s="33">
        <v>996.43348006151723</v>
      </c>
      <c r="AQ7" s="34">
        <v>996.43348006151723</v>
      </c>
      <c r="AR7" s="33">
        <v>996.3165550860441</v>
      </c>
      <c r="AS7" s="34">
        <v>996.3165550860441</v>
      </c>
      <c r="AT7" s="33">
        <v>996.20097743137103</v>
      </c>
      <c r="AU7" s="34">
        <v>996.20097743137103</v>
      </c>
      <c r="AV7" s="33">
        <v>996.08672543197315</v>
      </c>
      <c r="AW7" s="34">
        <v>996.08672543197315</v>
      </c>
    </row>
    <row r="8" spans="1:49" x14ac:dyDescent="0.2">
      <c r="B8" s="35">
        <v>1005.7716594496609</v>
      </c>
      <c r="C8" s="36">
        <v>1005.7716594496609</v>
      </c>
      <c r="D8" s="35">
        <v>1074.1882777288079</v>
      </c>
      <c r="E8" s="36">
        <v>1074.1882777288079</v>
      </c>
      <c r="F8" s="35">
        <v>1147.0195277801038</v>
      </c>
      <c r="G8" s="36">
        <v>1147.0195277801038</v>
      </c>
      <c r="H8" s="35">
        <v>1223.9992581860063</v>
      </c>
      <c r="I8" s="36">
        <v>1223.9992581860063</v>
      </c>
      <c r="J8" s="35">
        <v>1304.705891668598</v>
      </c>
      <c r="K8" s="36">
        <v>1304.705891668598</v>
      </c>
      <c r="L8" s="35">
        <v>1388.5571950479177</v>
      </c>
      <c r="M8" s="36">
        <v>1388.5571950479177</v>
      </c>
      <c r="N8" s="35">
        <v>1474.8480674706041</v>
      </c>
      <c r="O8" s="36">
        <v>1474.8480674706041</v>
      </c>
      <c r="P8" s="35">
        <v>1562.7767818017883</v>
      </c>
      <c r="Q8" s="36">
        <v>1562.7767818017883</v>
      </c>
      <c r="R8" s="35">
        <v>1651.5156163174436</v>
      </c>
      <c r="S8" s="36">
        <v>1651.5156163174436</v>
      </c>
      <c r="T8" s="35">
        <v>1740.2582167551038</v>
      </c>
      <c r="U8" s="36">
        <v>1740.2582167551038</v>
      </c>
      <c r="V8" s="35">
        <v>1828.27008735199</v>
      </c>
      <c r="W8" s="36">
        <v>1828.27008735199</v>
      </c>
      <c r="X8" s="35">
        <v>1914.9213008237516</v>
      </c>
      <c r="Y8" s="36">
        <v>1914.9213008237516</v>
      </c>
      <c r="Z8" s="35">
        <v>1999.7065409706288</v>
      </c>
      <c r="AA8" s="36">
        <v>1999.7065409706288</v>
      </c>
      <c r="AB8" s="35">
        <v>2082.2448448630307</v>
      </c>
      <c r="AC8" s="36">
        <v>2082.2448448630307</v>
      </c>
      <c r="AD8" s="35">
        <v>2162.2719948851195</v>
      </c>
      <c r="AE8" s="36">
        <v>2162.2719948851195</v>
      </c>
      <c r="AF8" s="35">
        <v>2239.6245378807566</v>
      </c>
      <c r="AG8" s="36">
        <v>2239.6245378807566</v>
      </c>
      <c r="AH8" s="35">
        <v>2314.2213540078092</v>
      </c>
      <c r="AI8" s="36">
        <v>2314.2213540078092</v>
      </c>
      <c r="AJ8" s="35">
        <v>2386.0468272542275</v>
      </c>
      <c r="AK8" s="36">
        <v>2386.0468272542275</v>
      </c>
      <c r="AL8" s="35">
        <v>2455.1329020260814</v>
      </c>
      <c r="AM8" s="36">
        <v>2455.1329020260814</v>
      </c>
      <c r="AN8" s="35">
        <v>2521.5463372978743</v>
      </c>
      <c r="AO8" s="36">
        <v>2521.5463372978743</v>
      </c>
      <c r="AP8" s="35">
        <v>2534.5159582219976</v>
      </c>
      <c r="AQ8" s="36">
        <v>2534.5159582219976</v>
      </c>
      <c r="AR8" s="35">
        <v>2547.3829943164092</v>
      </c>
      <c r="AS8" s="36">
        <v>2547.3829943164092</v>
      </c>
      <c r="AT8" s="35">
        <v>2560.1483326233697</v>
      </c>
      <c r="AU8" s="36">
        <v>2560.1483326233697</v>
      </c>
      <c r="AV8" s="35">
        <v>2572.8128035932259</v>
      </c>
      <c r="AW8" s="36">
        <v>2572.8128035932259</v>
      </c>
    </row>
    <row r="9" spans="1:49" x14ac:dyDescent="0.2">
      <c r="A9" t="s">
        <v>14</v>
      </c>
      <c r="B9" s="41">
        <v>1015.9116825427475</v>
      </c>
      <c r="C9" s="42">
        <v>1005.7716594496609</v>
      </c>
      <c r="D9" s="41">
        <v>1014.5920652760345</v>
      </c>
      <c r="E9" s="42">
        <v>1074.1882777288079</v>
      </c>
      <c r="F9" s="41">
        <v>1013.2740873494598</v>
      </c>
      <c r="G9" s="42">
        <v>1147.0195277801038</v>
      </c>
      <c r="H9" s="41">
        <v>1011.9647400648366</v>
      </c>
      <c r="I9" s="42">
        <v>1223.9992581860063</v>
      </c>
      <c r="J9" s="41">
        <v>1010.6716532604614</v>
      </c>
      <c r="K9" s="42">
        <v>1304.705891668598</v>
      </c>
      <c r="L9" s="41">
        <v>1009.4028817539737</v>
      </c>
      <c r="M9" s="42">
        <v>1388.5571950479177</v>
      </c>
      <c r="N9" s="41">
        <v>1008.1662606882801</v>
      </c>
      <c r="O9" s="42">
        <v>1474.8480674706041</v>
      </c>
      <c r="P9" s="41">
        <v>1006.9691114512754</v>
      </c>
      <c r="Q9" s="42">
        <v>1562.7767818017883</v>
      </c>
      <c r="R9" s="41">
        <v>1005.8175621208554</v>
      </c>
      <c r="S9" s="42">
        <v>1651.5156163174436</v>
      </c>
      <c r="T9" s="41">
        <v>1004.716328557697</v>
      </c>
      <c r="U9" s="42">
        <v>1740.2582167551038</v>
      </c>
      <c r="V9" s="41">
        <v>1003.6685297479717</v>
      </c>
      <c r="W9" s="42">
        <v>1828.27008735199</v>
      </c>
      <c r="X9" s="41">
        <v>1002.6757120943303</v>
      </c>
      <c r="Y9" s="42">
        <v>1914.9213008237516</v>
      </c>
      <c r="Z9" s="41">
        <v>1001.7380059669473</v>
      </c>
      <c r="AA9" s="42">
        <v>1999.7065409706288</v>
      </c>
      <c r="AB9" s="41">
        <v>1000.8543863234761</v>
      </c>
      <c r="AC9" s="42">
        <v>2082.2448448630307</v>
      </c>
      <c r="AD9" s="41">
        <v>1000.0229460099041</v>
      </c>
      <c r="AE9" s="42">
        <v>2162.2719948851195</v>
      </c>
      <c r="AF9" s="41">
        <v>999.24118595087646</v>
      </c>
      <c r="AG9" s="42">
        <v>2239.6245378807566</v>
      </c>
      <c r="AH9" s="41">
        <v>998.50623882958939</v>
      </c>
      <c r="AI9" s="42">
        <v>2314.2213540078092</v>
      </c>
      <c r="AJ9" s="41">
        <v>997.81506030384071</v>
      </c>
      <c r="AK9" s="42">
        <v>2386.0468272542275</v>
      </c>
      <c r="AL9" s="41">
        <v>997.16457555487375</v>
      </c>
      <c r="AM9" s="42">
        <v>2455.1329020260814</v>
      </c>
      <c r="AN9" s="41">
        <v>996.55177448466907</v>
      </c>
      <c r="AO9" s="42">
        <v>2521.5463372978743</v>
      </c>
      <c r="AP9" s="41">
        <v>996.43348006151723</v>
      </c>
      <c r="AQ9" s="42">
        <v>2534.5159582219976</v>
      </c>
      <c r="AR9" s="41">
        <v>996.3165550860441</v>
      </c>
      <c r="AS9" s="42">
        <v>2547.3829943164092</v>
      </c>
      <c r="AT9" s="41">
        <v>996.20097743137103</v>
      </c>
      <c r="AU9" s="42">
        <v>2560.1483326233697</v>
      </c>
      <c r="AV9" s="41">
        <v>996.08672543197315</v>
      </c>
      <c r="AW9" s="42">
        <v>2572.8128035932259</v>
      </c>
    </row>
    <row r="10" spans="1:49" x14ac:dyDescent="0.2">
      <c r="A10" t="s">
        <v>15</v>
      </c>
      <c r="B10" s="41">
        <v>1015.9116825427475</v>
      </c>
      <c r="C10" s="42">
        <v>1005.7716594496609</v>
      </c>
      <c r="D10" s="41">
        <v>1014.5920652760345</v>
      </c>
      <c r="E10" s="42">
        <v>1074.1882777288079</v>
      </c>
      <c r="F10" s="41">
        <v>1013.2740873494598</v>
      </c>
      <c r="G10" s="42">
        <v>1147.0195277801038</v>
      </c>
      <c r="H10" s="41">
        <v>1011.9647400648366</v>
      </c>
      <c r="I10" s="42">
        <v>1223.9992581860063</v>
      </c>
      <c r="J10" s="41">
        <v>1010.6716532604614</v>
      </c>
      <c r="K10" s="42">
        <v>1304.705891668598</v>
      </c>
      <c r="L10" s="41">
        <v>1009.4028817539737</v>
      </c>
      <c r="M10" s="42">
        <v>1388.5571950479177</v>
      </c>
      <c r="N10" s="41">
        <v>1008.1662606882801</v>
      </c>
      <c r="O10" s="42">
        <v>1474.8480674706041</v>
      </c>
      <c r="P10" s="41">
        <v>1006.9691114512754</v>
      </c>
      <c r="Q10" s="42">
        <v>1562.7767818017883</v>
      </c>
      <c r="R10" s="41">
        <v>1005.8175621208554</v>
      </c>
      <c r="S10" s="42">
        <v>1651.5156163174436</v>
      </c>
      <c r="T10" s="41">
        <v>1004.716328557697</v>
      </c>
      <c r="U10" s="42">
        <v>1740.2582167551038</v>
      </c>
      <c r="V10" s="41">
        <v>1003.6685297479717</v>
      </c>
      <c r="W10" s="42">
        <v>1828.27008735199</v>
      </c>
      <c r="X10" s="41">
        <v>1002.6757120943303</v>
      </c>
      <c r="Y10" s="42">
        <v>1914.9213008237516</v>
      </c>
      <c r="Z10" s="41">
        <v>1001.7380059669473</v>
      </c>
      <c r="AA10" s="42">
        <v>1999.7065409706288</v>
      </c>
      <c r="AB10" s="41">
        <v>1000.8543863234761</v>
      </c>
      <c r="AC10" s="42">
        <v>2082.2448448630307</v>
      </c>
      <c r="AD10" s="41">
        <v>1000.0229460099041</v>
      </c>
      <c r="AE10" s="42">
        <v>2162.2719948851195</v>
      </c>
      <c r="AF10" s="41">
        <v>999.24118595087646</v>
      </c>
      <c r="AG10" s="42">
        <v>2239.6245378807566</v>
      </c>
      <c r="AH10" s="41">
        <v>998.50623882958939</v>
      </c>
      <c r="AI10" s="42">
        <v>2314.2213540078092</v>
      </c>
      <c r="AJ10" s="41">
        <v>997.81506030384071</v>
      </c>
      <c r="AK10" s="42">
        <v>2386.0468272542275</v>
      </c>
      <c r="AL10" s="41">
        <v>997.16457555487375</v>
      </c>
      <c r="AM10" s="42">
        <v>2455.1329020260814</v>
      </c>
      <c r="AN10" s="41">
        <v>996.55177448466907</v>
      </c>
      <c r="AO10" s="42">
        <v>2521.5463372978743</v>
      </c>
      <c r="AP10" s="41">
        <v>996.43348006151723</v>
      </c>
      <c r="AQ10" s="42">
        <v>2534.5159582219976</v>
      </c>
      <c r="AR10" s="41">
        <v>996.3165550860441</v>
      </c>
      <c r="AS10" s="42">
        <v>2547.3829943164092</v>
      </c>
      <c r="AT10" s="41">
        <v>996.20097743137103</v>
      </c>
      <c r="AU10" s="42">
        <v>2560.1483326233697</v>
      </c>
      <c r="AV10" s="41">
        <v>996.08672543197315</v>
      </c>
      <c r="AW10" s="42">
        <v>2572.8128035932259</v>
      </c>
    </row>
    <row r="11" spans="1:49" x14ac:dyDescent="0.2">
      <c r="A11" t="s">
        <v>29</v>
      </c>
      <c r="B11" s="41">
        <v>1015.9116825427475</v>
      </c>
      <c r="C11" s="42">
        <v>1005.7716594496609</v>
      </c>
      <c r="D11" s="41">
        <v>1014.5920652760345</v>
      </c>
      <c r="E11" s="42">
        <v>1074.1882777288079</v>
      </c>
      <c r="F11" s="41">
        <v>1013.2740873494598</v>
      </c>
      <c r="G11" s="42">
        <v>1147.0195277801038</v>
      </c>
      <c r="H11" s="41">
        <v>1011.9647400648366</v>
      </c>
      <c r="I11" s="42">
        <v>1223.9992581860063</v>
      </c>
      <c r="J11" s="41">
        <v>1010.6716532604614</v>
      </c>
      <c r="K11" s="42">
        <v>1304.705891668598</v>
      </c>
      <c r="L11" s="41">
        <v>1009.4028817539737</v>
      </c>
      <c r="M11" s="42">
        <v>1388.5571950479177</v>
      </c>
      <c r="N11" s="41">
        <v>1008.1662606882801</v>
      </c>
      <c r="O11" s="42">
        <v>1474.8480674706041</v>
      </c>
      <c r="P11" s="41">
        <v>1006.9691114512754</v>
      </c>
      <c r="Q11" s="42">
        <v>1562.7767818017883</v>
      </c>
      <c r="R11" s="41">
        <v>1005.8175621208554</v>
      </c>
      <c r="S11" s="42">
        <v>1651.5156163174436</v>
      </c>
      <c r="T11" s="41">
        <v>1004.716328557697</v>
      </c>
      <c r="U11" s="42">
        <v>1740.2582167551038</v>
      </c>
      <c r="V11" s="41">
        <v>1003.6685297479717</v>
      </c>
      <c r="W11" s="42">
        <v>1828.27008735199</v>
      </c>
      <c r="X11" s="41">
        <v>1002.6757120943303</v>
      </c>
      <c r="Y11" s="42">
        <v>1914.9213008237516</v>
      </c>
      <c r="Z11" s="41">
        <v>1001.7380059669473</v>
      </c>
      <c r="AA11" s="42">
        <v>1999.7065409706288</v>
      </c>
      <c r="AB11" s="41">
        <v>1000.8543863234761</v>
      </c>
      <c r="AC11" s="42">
        <v>2082.2448448630307</v>
      </c>
      <c r="AD11" s="41">
        <v>1000.0229460099041</v>
      </c>
      <c r="AE11" s="42">
        <v>2162.2719948851195</v>
      </c>
      <c r="AF11" s="41">
        <v>999.24118595087646</v>
      </c>
      <c r="AG11" s="42">
        <v>2239.6245378807566</v>
      </c>
      <c r="AH11" s="41">
        <v>998.50623882958939</v>
      </c>
      <c r="AI11" s="42">
        <v>2314.2213540078092</v>
      </c>
      <c r="AJ11" s="41">
        <v>997.81506030384071</v>
      </c>
      <c r="AK11" s="42">
        <v>2386.0468272542275</v>
      </c>
      <c r="AL11" s="41">
        <v>997.16457555487375</v>
      </c>
      <c r="AM11" s="42">
        <v>2455.1329020260814</v>
      </c>
      <c r="AN11" s="41">
        <v>996.55177448466907</v>
      </c>
      <c r="AO11" s="42">
        <v>2521.5463372978743</v>
      </c>
      <c r="AP11" s="41">
        <v>996.43348006151723</v>
      </c>
      <c r="AQ11" s="42">
        <v>2534.5159582219976</v>
      </c>
      <c r="AR11" s="41">
        <v>996.3165550860441</v>
      </c>
      <c r="AS11" s="42">
        <v>2547.3829943164092</v>
      </c>
      <c r="AT11" s="41">
        <v>996.20097743137103</v>
      </c>
      <c r="AU11" s="42">
        <v>2560.1483326233697</v>
      </c>
      <c r="AV11" s="41">
        <v>996.08672543197315</v>
      </c>
      <c r="AW11" s="42">
        <v>2572.8128035932259</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996.191801632683</v>
      </c>
      <c r="E13" s="98">
        <v>996.191801632683</v>
      </c>
      <c r="F13" s="97">
        <v>992.32484693462061</v>
      </c>
      <c r="G13" s="98">
        <v>992.32484693462061</v>
      </c>
      <c r="H13" s="97">
        <v>988.42777733210926</v>
      </c>
      <c r="I13" s="98">
        <v>988.42777733210926</v>
      </c>
      <c r="J13" s="97">
        <v>984.53140091512239</v>
      </c>
      <c r="K13" s="98">
        <v>984.53140091512239</v>
      </c>
      <c r="L13" s="97">
        <v>980.66802519568967</v>
      </c>
      <c r="M13" s="98">
        <v>980.66802519568967</v>
      </c>
      <c r="N13" s="97">
        <v>976.86862020031219</v>
      </c>
      <c r="O13" s="98">
        <v>976.86862020031219</v>
      </c>
      <c r="P13" s="97">
        <v>973.16217278416525</v>
      </c>
      <c r="Q13" s="98">
        <v>973.16217278416525</v>
      </c>
      <c r="R13" s="97">
        <v>969.57288236005593</v>
      </c>
      <c r="S13" s="98">
        <v>969.57288236005593</v>
      </c>
      <c r="T13" s="97">
        <v>966.11975232875182</v>
      </c>
      <c r="U13" s="98">
        <v>966.11975232875182</v>
      </c>
      <c r="V13" s="97">
        <v>962.81602157282543</v>
      </c>
      <c r="W13" s="98">
        <v>962.81602157282543</v>
      </c>
      <c r="X13" s="97">
        <v>959.66937992793783</v>
      </c>
      <c r="Y13" s="98">
        <v>959.66937992793783</v>
      </c>
      <c r="Z13" s="97">
        <v>956.68255585601105</v>
      </c>
      <c r="AA13" s="98">
        <v>956.68255585601105</v>
      </c>
      <c r="AB13" s="97">
        <v>953.85427795872749</v>
      </c>
      <c r="AC13" s="98">
        <v>953.85427795872749</v>
      </c>
      <c r="AD13" s="97">
        <v>951.18021829606744</v>
      </c>
      <c r="AE13" s="98">
        <v>951.18021829606744</v>
      </c>
      <c r="AF13" s="97">
        <v>948.65394444332844</v>
      </c>
      <c r="AG13" s="98">
        <v>948.65394444332844</v>
      </c>
      <c r="AH13" s="97">
        <v>946.26769968538088</v>
      </c>
      <c r="AI13" s="98">
        <v>946.26769968538088</v>
      </c>
      <c r="AJ13" s="97">
        <v>944.01299518089593</v>
      </c>
      <c r="AK13" s="98">
        <v>944.01299518089593</v>
      </c>
      <c r="AL13" s="97">
        <v>941.88112326646149</v>
      </c>
      <c r="AM13" s="98">
        <v>941.88112326646149</v>
      </c>
      <c r="AN13" s="97">
        <v>939.86345484798471</v>
      </c>
      <c r="AO13" s="98">
        <v>939.86345484798471</v>
      </c>
      <c r="AP13" s="97">
        <v>939.47288528929221</v>
      </c>
      <c r="AQ13" s="98">
        <v>939.47288528929221</v>
      </c>
      <c r="AR13" s="97">
        <v>939.08648596921023</v>
      </c>
      <c r="AS13" s="98">
        <v>939.08648596921023</v>
      </c>
      <c r="AT13" s="97">
        <v>938.70419135998895</v>
      </c>
      <c r="AU13" s="98">
        <v>938.70419135998895</v>
      </c>
      <c r="AV13" s="97">
        <v>938.32593869617074</v>
      </c>
      <c r="AW13" s="98">
        <v>938.32593869617074</v>
      </c>
    </row>
    <row r="14" spans="1:49" x14ac:dyDescent="0.2">
      <c r="A14" t="s">
        <v>36</v>
      </c>
      <c r="B14" s="41">
        <v>1457.0034251455234</v>
      </c>
      <c r="C14" s="42">
        <v>1457.0034251455236</v>
      </c>
      <c r="D14" s="41">
        <v>1451.4548670807087</v>
      </c>
      <c r="E14" s="42">
        <v>1451.4548670807089</v>
      </c>
      <c r="F14" s="41">
        <v>1445.8207008407494</v>
      </c>
      <c r="G14" s="42">
        <v>1445.8207008407496</v>
      </c>
      <c r="H14" s="41">
        <v>1440.1426570818599</v>
      </c>
      <c r="I14" s="42">
        <v>1440.1426570818601</v>
      </c>
      <c r="J14" s="41">
        <v>1434.4656232966538</v>
      </c>
      <c r="K14" s="42">
        <v>1434.4656232966538</v>
      </c>
      <c r="L14" s="41">
        <v>1428.8366716408161</v>
      </c>
      <c r="M14" s="42">
        <v>1428.8366716408163</v>
      </c>
      <c r="N14" s="41">
        <v>1423.3009255490363</v>
      </c>
      <c r="O14" s="42">
        <v>1423.3009255490365</v>
      </c>
      <c r="P14" s="41">
        <v>1417.9006189685883</v>
      </c>
      <c r="Q14" s="42">
        <v>1417.9006189685886</v>
      </c>
      <c r="R14" s="41">
        <v>1412.6710105268189</v>
      </c>
      <c r="S14" s="42">
        <v>1412.6710105268191</v>
      </c>
      <c r="T14" s="41">
        <v>1407.6397882437361</v>
      </c>
      <c r="U14" s="42">
        <v>1407.6397882437363</v>
      </c>
      <c r="V14" s="41">
        <v>1402.8262412165927</v>
      </c>
      <c r="W14" s="42">
        <v>1402.826241216593</v>
      </c>
      <c r="X14" s="41">
        <v>1398.2415735622858</v>
      </c>
      <c r="Y14" s="42">
        <v>1398.241573562286</v>
      </c>
      <c r="Z14" s="41">
        <v>1393.8897606591815</v>
      </c>
      <c r="AA14" s="42">
        <v>1393.8897606591818</v>
      </c>
      <c r="AB14" s="41">
        <v>1389.768950075576</v>
      </c>
      <c r="AC14" s="42">
        <v>1389.7689500755762</v>
      </c>
      <c r="AD14" s="41">
        <v>1385.8728359880367</v>
      </c>
      <c r="AE14" s="42">
        <v>1385.872835988037</v>
      </c>
      <c r="AF14" s="41">
        <v>1382.1920463317406</v>
      </c>
      <c r="AG14" s="42">
        <v>1382.1920463317408</v>
      </c>
      <c r="AH14" s="41">
        <v>1378.7152795461752</v>
      </c>
      <c r="AI14" s="42">
        <v>1378.7152795461755</v>
      </c>
      <c r="AJ14" s="41">
        <v>1375.4301673604498</v>
      </c>
      <c r="AK14" s="42">
        <v>1375.43016736045</v>
      </c>
      <c r="AL14" s="41">
        <v>1372.3240226791472</v>
      </c>
      <c r="AM14" s="42">
        <v>1372.3240226791474</v>
      </c>
      <c r="AN14" s="41">
        <v>1369.3842728826187</v>
      </c>
      <c r="AO14" s="42">
        <v>1369.3842728826187</v>
      </c>
      <c r="AP14" s="41">
        <v>1368.8152116978461</v>
      </c>
      <c r="AQ14" s="42">
        <v>1368.8152116978463</v>
      </c>
      <c r="AR14" s="41">
        <v>1368.2522265650127</v>
      </c>
      <c r="AS14" s="42">
        <v>1368.252226565013</v>
      </c>
      <c r="AT14" s="41">
        <v>1367.6952220099627</v>
      </c>
      <c r="AU14" s="42">
        <v>1367.6952220099629</v>
      </c>
      <c r="AV14" s="41">
        <v>1367.1441065832091</v>
      </c>
      <c r="AW14" s="42">
        <v>1367.1441065832093</v>
      </c>
    </row>
    <row r="15" spans="1:49" x14ac:dyDescent="0.2">
      <c r="A15" t="s">
        <v>18</v>
      </c>
      <c r="B15" s="154">
        <v>1000</v>
      </c>
      <c r="C15" s="155">
        <v>1000</v>
      </c>
      <c r="D15" s="154">
        <v>995.41753815768368</v>
      </c>
      <c r="E15" s="155">
        <v>995.41753815768368</v>
      </c>
      <c r="F15" s="154">
        <v>990.61902251302365</v>
      </c>
      <c r="G15" s="155">
        <v>990.61902251302365</v>
      </c>
      <c r="H15" s="154">
        <v>985.62092085613563</v>
      </c>
      <c r="I15" s="155">
        <v>985.62092085613563</v>
      </c>
      <c r="J15" s="154">
        <v>980.44950781341242</v>
      </c>
      <c r="K15" s="155">
        <v>980.44950781341242</v>
      </c>
      <c r="L15" s="154">
        <v>975.14078951226713</v>
      </c>
      <c r="M15" s="155">
        <v>975.14078951226713</v>
      </c>
      <c r="N15" s="154">
        <v>969.73822871966513</v>
      </c>
      <c r="O15" s="155">
        <v>969.73822871966513</v>
      </c>
      <c r="P15" s="154">
        <v>964.2906422971671</v>
      </c>
      <c r="Q15" s="155">
        <v>964.2906422971671</v>
      </c>
      <c r="R15" s="154">
        <v>958.84780946233514</v>
      </c>
      <c r="S15" s="155">
        <v>958.84780946233514</v>
      </c>
      <c r="T15" s="154">
        <v>953.4573077126521</v>
      </c>
      <c r="U15" s="155">
        <v>953.4573077126521</v>
      </c>
      <c r="V15" s="154">
        <v>948.16140935497094</v>
      </c>
      <c r="W15" s="155">
        <v>948.16140935497094</v>
      </c>
      <c r="X15" s="154">
        <v>942.995141777247</v>
      </c>
      <c r="Y15" s="155">
        <v>942.995141777247</v>
      </c>
      <c r="Z15" s="154">
        <v>937.98533507331013</v>
      </c>
      <c r="AA15" s="155">
        <v>937.98533507331013</v>
      </c>
      <c r="AB15" s="154">
        <v>933.15081254393431</v>
      </c>
      <c r="AC15" s="155">
        <v>933.15081254393431</v>
      </c>
      <c r="AD15" s="154">
        <v>928.50313761751011</v>
      </c>
      <c r="AE15" s="155">
        <v>928.50313761751011</v>
      </c>
      <c r="AF15" s="154">
        <v>924.04778195221456</v>
      </c>
      <c r="AG15" s="155">
        <v>924.04778195221456</v>
      </c>
      <c r="AH15" s="154">
        <v>919.78541303212444</v>
      </c>
      <c r="AI15" s="155">
        <v>919.78541303212444</v>
      </c>
      <c r="AJ15" s="154">
        <v>915.71303575735851</v>
      </c>
      <c r="AK15" s="155">
        <v>915.71303575735851</v>
      </c>
      <c r="AL15" s="154">
        <v>911.8251212623594</v>
      </c>
      <c r="AM15" s="155">
        <v>911.8251212623594</v>
      </c>
      <c r="AN15" s="154">
        <v>908.11441896869042</v>
      </c>
      <c r="AO15" s="155">
        <v>908.11441896869042</v>
      </c>
      <c r="AP15" s="154">
        <v>907.39282572121476</v>
      </c>
      <c r="AQ15" s="155">
        <v>907.39282572121476</v>
      </c>
      <c r="AR15" s="154">
        <v>906.67792359262296</v>
      </c>
      <c r="AS15" s="155">
        <v>906.67792359262296</v>
      </c>
      <c r="AT15" s="154">
        <v>905.96963948351356</v>
      </c>
      <c r="AU15" s="155">
        <v>905.96963948351356</v>
      </c>
      <c r="AV15" s="154">
        <v>905.26790320341092</v>
      </c>
      <c r="AW15" s="155">
        <v>905.26790320341092</v>
      </c>
    </row>
    <row r="16" spans="1:49" s="29" customFormat="1" x14ac:dyDescent="0.2">
      <c r="A16" t="s">
        <v>61</v>
      </c>
      <c r="B16" s="41">
        <v>1000</v>
      </c>
      <c r="C16" s="42">
        <v>1000</v>
      </c>
      <c r="D16" s="41">
        <v>995.8303312896428</v>
      </c>
      <c r="E16" s="42">
        <v>995.63852843702546</v>
      </c>
      <c r="F16" s="41">
        <v>991.52844085735273</v>
      </c>
      <c r="G16" s="42">
        <v>991.10588664099555</v>
      </c>
      <c r="H16" s="41">
        <v>987.11726852702668</v>
      </c>
      <c r="I16" s="42">
        <v>986.42200951408847</v>
      </c>
      <c r="J16" s="41">
        <v>982.62548334770941</v>
      </c>
      <c r="K16" s="42">
        <v>981.61445637181487</v>
      </c>
      <c r="L16" s="41">
        <v>978.08709375336934</v>
      </c>
      <c r="M16" s="42">
        <v>976.71816709861343</v>
      </c>
      <c r="N16" s="41">
        <v>973.53887572783981</v>
      </c>
      <c r="O16" s="42">
        <v>971.77302794825744</v>
      </c>
      <c r="P16" s="41">
        <v>969.01904926584791</v>
      </c>
      <c r="Q16" s="42">
        <v>966.82218579011692</v>
      </c>
      <c r="R16" s="41">
        <v>964.563736313395</v>
      </c>
      <c r="S16" s="42">
        <v>961.90811079333844</v>
      </c>
      <c r="T16" s="41">
        <v>960.20526751756756</v>
      </c>
      <c r="U16" s="42">
        <v>957.07021956602659</v>
      </c>
      <c r="V16" s="41">
        <v>955.97043128170378</v>
      </c>
      <c r="W16" s="42">
        <v>952.34249563482024</v>
      </c>
      <c r="X16" s="41">
        <v>951.87968283273233</v>
      </c>
      <c r="Y16" s="42">
        <v>947.75216475807713</v>
      </c>
      <c r="Z16" s="41">
        <v>947.94701180554398</v>
      </c>
      <c r="AA16" s="42">
        <v>943.31918166769253</v>
      </c>
      <c r="AB16" s="41">
        <v>944.18054211545359</v>
      </c>
      <c r="AC16" s="42">
        <v>939.05663993388771</v>
      </c>
      <c r="AD16" s="41">
        <v>940.58338187711126</v>
      </c>
      <c r="AE16" s="42">
        <v>934.97157424892077</v>
      </c>
      <c r="AF16" s="41">
        <v>937.15467463212565</v>
      </c>
      <c r="AG16" s="42">
        <v>931.06606616416673</v>
      </c>
      <c r="AH16" s="41">
        <v>933.89061526868295</v>
      </c>
      <c r="AI16" s="42">
        <v>927.33838639803116</v>
      </c>
      <c r="AJ16" s="41">
        <v>930.78529770260855</v>
      </c>
      <c r="AK16" s="42">
        <v>923.78397919525696</v>
      </c>
      <c r="AL16" s="41">
        <v>927.83151499319956</v>
      </c>
      <c r="AM16" s="42">
        <v>920.39641524262504</v>
      </c>
      <c r="AN16" s="41">
        <v>925.02129668158989</v>
      </c>
      <c r="AO16" s="42">
        <v>917.16805669349867</v>
      </c>
      <c r="AP16" s="41">
        <v>924.4757519463825</v>
      </c>
      <c r="AQ16" s="42">
        <v>916.54076558263409</v>
      </c>
      <c r="AR16" s="41">
        <v>923.93555277265716</v>
      </c>
      <c r="AS16" s="42">
        <v>915.91944542924318</v>
      </c>
      <c r="AT16" s="41">
        <v>923.40063019185584</v>
      </c>
      <c r="AU16" s="42">
        <v>915.30402533367101</v>
      </c>
      <c r="AV16" s="41">
        <v>922.87091806536773</v>
      </c>
      <c r="AW16" s="42">
        <v>914.69443726314489</v>
      </c>
    </row>
    <row r="17" spans="1:49" x14ac:dyDescent="0.2">
      <c r="A17" t="s">
        <v>62</v>
      </c>
      <c r="B17" s="35">
        <v>999.99999999999977</v>
      </c>
      <c r="C17" s="36">
        <v>999.99999999999977</v>
      </c>
      <c r="D17" s="35">
        <v>998.81914245366613</v>
      </c>
      <c r="E17" s="36">
        <v>1034.0787312425396</v>
      </c>
      <c r="F17" s="35">
        <v>997.64037326148434</v>
      </c>
      <c r="G17" s="36">
        <v>1070.2455523016304</v>
      </c>
      <c r="H17" s="35">
        <v>996.46995227052628</v>
      </c>
      <c r="I17" s="36">
        <v>1108.3574751937831</v>
      </c>
      <c r="J17" s="35">
        <v>995.31467165957861</v>
      </c>
      <c r="K17" s="36">
        <v>1148.1977088911233</v>
      </c>
      <c r="L17" s="35">
        <v>994.181719910791</v>
      </c>
      <c r="M17" s="36">
        <v>1189.4739436899447</v>
      </c>
      <c r="N17" s="35">
        <v>993.07801395860474</v>
      </c>
      <c r="O17" s="36">
        <v>1231.8376402554049</v>
      </c>
      <c r="P17" s="35">
        <v>992.01009263238223</v>
      </c>
      <c r="Q17" s="36">
        <v>1274.8970808398444</v>
      </c>
      <c r="R17" s="35">
        <v>990.98334550689481</v>
      </c>
      <c r="S17" s="36">
        <v>1318.2517537975627</v>
      </c>
      <c r="T17" s="35">
        <v>990.00191818177791</v>
      </c>
      <c r="U17" s="36">
        <v>1361.5148461941503</v>
      </c>
      <c r="V17" s="35">
        <v>989.06853166513781</v>
      </c>
      <c r="W17" s="36">
        <v>1404.3370092926148</v>
      </c>
      <c r="X17" s="35">
        <v>988.18449163300738</v>
      </c>
      <c r="Y17" s="36">
        <v>1446.4213230063606</v>
      </c>
      <c r="Z17" s="35">
        <v>987.34986345602249</v>
      </c>
      <c r="AA17" s="36">
        <v>1487.5321861514751</v>
      </c>
      <c r="AB17" s="35">
        <v>986.56367516921989</v>
      </c>
      <c r="AC17" s="36">
        <v>1527.4944310832429</v>
      </c>
      <c r="AD17" s="35">
        <v>985.82417999892198</v>
      </c>
      <c r="AE17" s="36">
        <v>1566.1891123803973</v>
      </c>
      <c r="AF17" s="35">
        <v>985.12910504303727</v>
      </c>
      <c r="AG17" s="36">
        <v>1603.5454099972023</v>
      </c>
      <c r="AH17" s="35">
        <v>984.47586029225977</v>
      </c>
      <c r="AI17" s="36">
        <v>1639.5315137849129</v>
      </c>
      <c r="AJ17" s="35">
        <v>983.86170308342196</v>
      </c>
      <c r="AK17" s="36">
        <v>1674.1464059791738</v>
      </c>
      <c r="AL17" s="35">
        <v>983.28386837504206</v>
      </c>
      <c r="AM17" s="36">
        <v>1707.411182313597</v>
      </c>
      <c r="AN17" s="35">
        <v>982.73965382365566</v>
      </c>
      <c r="AO17" s="36">
        <v>1739.3629454965831</v>
      </c>
      <c r="AP17" s="35">
        <v>982.63461550915235</v>
      </c>
      <c r="AQ17" s="36">
        <v>1745.5998066280049</v>
      </c>
      <c r="AR17" s="35">
        <v>982.53079834225889</v>
      </c>
      <c r="AS17" s="36">
        <v>1751.7864307509305</v>
      </c>
      <c r="AT17" s="35">
        <v>982.42818250613652</v>
      </c>
      <c r="AU17" s="36">
        <v>1757.9232750994881</v>
      </c>
      <c r="AV17" s="35">
        <v>982.32674859263932</v>
      </c>
      <c r="AW17" s="36">
        <v>1764.0107684552625</v>
      </c>
    </row>
    <row r="18" spans="1:49" x14ac:dyDescent="0.2">
      <c r="A18" t="s">
        <v>19</v>
      </c>
      <c r="B18" s="33">
        <v>27857.010133999996</v>
      </c>
      <c r="C18" s="34">
        <v>1236.7674480000003</v>
      </c>
      <c r="D18" s="33">
        <v>27409.167558173634</v>
      </c>
      <c r="E18" s="34">
        <v>1162.3607980884162</v>
      </c>
      <c r="F18" s="33">
        <v>26886.752351569641</v>
      </c>
      <c r="G18" s="34">
        <v>1088.9034224289346</v>
      </c>
      <c r="H18" s="33">
        <v>26280.129165911188</v>
      </c>
      <c r="I18" s="34">
        <v>1016.5363048528587</v>
      </c>
      <c r="J18" s="33">
        <v>25579.944872839074</v>
      </c>
      <c r="K18" s="34">
        <v>945.39573058513338</v>
      </c>
      <c r="L18" s="33">
        <v>24777.651847227648</v>
      </c>
      <c r="M18" s="34">
        <v>875.60708194878475</v>
      </c>
      <c r="N18" s="33">
        <v>23866.114697040965</v>
      </c>
      <c r="O18" s="34">
        <v>807.27426107094857</v>
      </c>
      <c r="P18" s="33">
        <v>22840.107764674434</v>
      </c>
      <c r="Q18" s="34">
        <v>740.47569576977764</v>
      </c>
      <c r="R18" s="33">
        <v>21696.629123519575</v>
      </c>
      <c r="S18" s="34">
        <v>675.25665315110996</v>
      </c>
      <c r="T18" s="33">
        <v>20435.001817589335</v>
      </c>
      <c r="U18" s="34">
        <v>611.62968952678705</v>
      </c>
      <c r="V18" s="33">
        <v>19056.731544803875</v>
      </c>
      <c r="W18" s="34">
        <v>549.57637415804129</v>
      </c>
      <c r="X18" s="33">
        <v>17565.184413085255</v>
      </c>
      <c r="Y18" s="34">
        <v>489.05140301288247</v>
      </c>
      <c r="Z18" s="33">
        <v>15965.1597247232</v>
      </c>
      <c r="AA18" s="34">
        <v>429.9897661363546</v>
      </c>
      <c r="AB18" s="33">
        <v>14262.426784665893</v>
      </c>
      <c r="AC18" s="34">
        <v>372.31226834087749</v>
      </c>
      <c r="AD18" s="33">
        <v>12463.347051340608</v>
      </c>
      <c r="AE18" s="34">
        <v>315.93160214908062</v>
      </c>
      <c r="AF18" s="33">
        <v>10574.444849033744</v>
      </c>
      <c r="AG18" s="34">
        <v>260.75773183442641</v>
      </c>
      <c r="AH18" s="33">
        <v>8602.235892806686</v>
      </c>
      <c r="AI18" s="34">
        <v>206.70101334433565</v>
      </c>
      <c r="AJ18" s="33">
        <v>6552.9780220167968</v>
      </c>
      <c r="AK18" s="34">
        <v>153.6753492838123</v>
      </c>
      <c r="AL18" s="33">
        <v>4432.5916658650258</v>
      </c>
      <c r="AM18" s="34">
        <v>101.59931244804018</v>
      </c>
      <c r="AN18" s="33">
        <v>2246.5782039513851</v>
      </c>
      <c r="AO18" s="34">
        <v>50.397342373675855</v>
      </c>
      <c r="AP18" s="33">
        <v>1801.9527060098108</v>
      </c>
      <c r="AQ18" s="34">
        <v>40.255628814207306</v>
      </c>
      <c r="AR18" s="33">
        <v>1354.9458248072381</v>
      </c>
      <c r="AS18" s="34">
        <v>30.145535229145821</v>
      </c>
      <c r="AT18" s="33">
        <v>905.59327617195811</v>
      </c>
      <c r="AU18" s="34">
        <v>20.06657223618997</v>
      </c>
      <c r="AV18" s="33">
        <v>453.93250683847612</v>
      </c>
      <c r="AW18" s="34">
        <v>10.018227030013643</v>
      </c>
    </row>
    <row r="19" spans="1:49" x14ac:dyDescent="0.2">
      <c r="A19" t="s">
        <v>3</v>
      </c>
      <c r="B19" s="41">
        <v>1886.3937400000138</v>
      </c>
      <c r="C19" s="42">
        <v>262.7871129999973</v>
      </c>
      <c r="D19" s="41">
        <v>1853.1452554061843</v>
      </c>
      <c r="E19" s="42">
        <v>259.53455973203432</v>
      </c>
      <c r="F19" s="41">
        <v>1814.9619325761862</v>
      </c>
      <c r="G19" s="42">
        <v>255.89244100754692</v>
      </c>
      <c r="H19" s="41">
        <v>1771.2328252542047</v>
      </c>
      <c r="I19" s="42">
        <v>251.72304444203118</v>
      </c>
      <c r="J19" s="41">
        <v>1721.3697433409313</v>
      </c>
      <c r="K19" s="42">
        <v>246.87571426195518</v>
      </c>
      <c r="L19" s="41">
        <v>1664.8410408643426</v>
      </c>
      <c r="M19" s="42">
        <v>241.19165186668207</v>
      </c>
      <c r="N19" s="41">
        <v>1601.2097686065415</v>
      </c>
      <c r="O19" s="42">
        <v>234.51481937092555</v>
      </c>
      <c r="P19" s="41">
        <v>1530.1649650009949</v>
      </c>
      <c r="Q19" s="42">
        <v>226.69867672959114</v>
      </c>
      <c r="R19" s="41">
        <v>1451.5399242549754</v>
      </c>
      <c r="S19" s="42">
        <v>217.61810539745557</v>
      </c>
      <c r="T19" s="41">
        <v>1365.3173354810922</v>
      </c>
      <c r="U19" s="42">
        <v>207.17457520631226</v>
      </c>
      <c r="V19" s="41">
        <v>1271.6186062483919</v>
      </c>
      <c r="W19" s="42">
        <v>195.30013096365599</v>
      </c>
      <c r="X19" s="41">
        <v>1170.6820349499824</v>
      </c>
      <c r="Y19" s="42">
        <v>181.95762136646621</v>
      </c>
      <c r="Z19" s="41">
        <v>1062.8346588849674</v>
      </c>
      <c r="AA19" s="42">
        <v>167.13824488218779</v>
      </c>
      <c r="AB19" s="41">
        <v>948.46223641510323</v>
      </c>
      <c r="AC19" s="42">
        <v>150.8570849371205</v>
      </c>
      <c r="AD19" s="41">
        <v>827.98512399070808</v>
      </c>
      <c r="AE19" s="42">
        <v>133.14805608607531</v>
      </c>
      <c r="AF19" s="41">
        <v>701.83087802821069</v>
      </c>
      <c r="AG19" s="42">
        <v>114.05852971533911</v>
      </c>
      <c r="AH19" s="41">
        <v>570.42383631742598</v>
      </c>
      <c r="AI19" s="42">
        <v>93.644888941825187</v>
      </c>
      <c r="AJ19" s="41">
        <v>434.16946822811076</v>
      </c>
      <c r="AK19" s="42">
        <v>71.968669899519526</v>
      </c>
      <c r="AL19" s="41">
        <v>293.44978776565938</v>
      </c>
      <c r="AM19" s="42">
        <v>49.09356034520485</v>
      </c>
      <c r="AN19" s="41">
        <v>148.6184851815614</v>
      </c>
      <c r="AO19" s="42">
        <v>25.083267315969856</v>
      </c>
      <c r="AP19" s="41">
        <v>119.18784171806519</v>
      </c>
      <c r="AQ19" s="42">
        <v>20.150500174795937</v>
      </c>
      <c r="AR19" s="41">
        <v>89.608352056228966</v>
      </c>
      <c r="AS19" s="42">
        <v>15.175309038641391</v>
      </c>
      <c r="AT19" s="41">
        <v>59.882296608752434</v>
      </c>
      <c r="AU19" s="42">
        <v>10.158177203949306</v>
      </c>
      <c r="AV19" s="41">
        <v>30.012069098166425</v>
      </c>
      <c r="AW19" s="42">
        <v>5.0995829557341814</v>
      </c>
    </row>
    <row r="20" spans="1:49" x14ac:dyDescent="0.2">
      <c r="A20" t="s">
        <v>127</v>
      </c>
      <c r="B20" s="82">
        <v>26548.356269999993</v>
      </c>
      <c r="C20" s="83">
        <v>1408.5418709999938</v>
      </c>
      <c r="D20" s="82">
        <v>26114.690945726416</v>
      </c>
      <c r="E20" s="83">
        <v>1338.1147774499941</v>
      </c>
      <c r="F20" s="82">
        <v>25610.208800220833</v>
      </c>
      <c r="G20" s="83">
        <v>1267.6876838999945</v>
      </c>
      <c r="H20" s="82">
        <v>25025.826099712391</v>
      </c>
      <c r="I20" s="83">
        <v>1197.2605903499946</v>
      </c>
      <c r="J20" s="82">
        <v>24352.737296486572</v>
      </c>
      <c r="K20" s="83">
        <v>1126.8334967999951</v>
      </c>
      <c r="L20" s="82">
        <v>23582.909934251518</v>
      </c>
      <c r="M20" s="83">
        <v>1056.4064032499953</v>
      </c>
      <c r="N20" s="82">
        <v>22709.655952714878</v>
      </c>
      <c r="O20" s="83">
        <v>985.97930969999561</v>
      </c>
      <c r="P20" s="82">
        <v>21728.099847307425</v>
      </c>
      <c r="Q20" s="83">
        <v>915.55221614999596</v>
      </c>
      <c r="R20" s="82">
        <v>20635.470887342075</v>
      </c>
      <c r="S20" s="83">
        <v>845.12512259999642</v>
      </c>
      <c r="T20" s="82">
        <v>19431.195179131384</v>
      </c>
      <c r="U20" s="83">
        <v>774.69802904999653</v>
      </c>
      <c r="V20" s="82">
        <v>18116.757388012418</v>
      </c>
      <c r="W20" s="83">
        <v>704.27093549999688</v>
      </c>
      <c r="X20" s="82">
        <v>16695.393454951543</v>
      </c>
      <c r="Y20" s="83">
        <v>633.84384194999734</v>
      </c>
      <c r="Z20" s="82">
        <v>15171.685104945524</v>
      </c>
      <c r="AA20" s="83">
        <v>563.41674839999757</v>
      </c>
      <c r="AB20" s="82">
        <v>13551.121609285467</v>
      </c>
      <c r="AC20" s="83">
        <v>492.98958442290427</v>
      </c>
      <c r="AD20" s="82">
        <v>11839.742957025921</v>
      </c>
      <c r="AE20" s="83">
        <v>422.56256129999599</v>
      </c>
      <c r="AF20" s="82">
        <v>10043.735032886178</v>
      </c>
      <c r="AG20" s="83">
        <v>352.13546774999833</v>
      </c>
      <c r="AH20" s="82">
        <v>8169.2686668947417</v>
      </c>
      <c r="AI20" s="83">
        <v>281.7083741999985</v>
      </c>
      <c r="AJ20" s="82">
        <v>6222.2653698581016</v>
      </c>
      <c r="AK20" s="83">
        <v>211.28128064999879</v>
      </c>
      <c r="AL20" s="82">
        <v>4208.3232769043734</v>
      </c>
      <c r="AM20" s="83">
        <v>140.85418709999902</v>
      </c>
      <c r="AN20" s="82">
        <v>2132.641075100662</v>
      </c>
      <c r="AO20" s="83">
        <v>70.427093549999285</v>
      </c>
      <c r="AP20" s="82">
        <v>1710.5231872720603</v>
      </c>
      <c r="AQ20" s="83">
        <v>56.341674839999335</v>
      </c>
      <c r="AR20" s="82">
        <v>1286.1658524507745</v>
      </c>
      <c r="AS20" s="83">
        <v>42.256256129999379</v>
      </c>
      <c r="AT20" s="82">
        <v>859.60279627363559</v>
      </c>
      <c r="AU20" s="83">
        <v>28.170837419999433</v>
      </c>
      <c r="AV20" s="82">
        <v>430.86936670685242</v>
      </c>
      <c r="AW20" s="83">
        <v>14.08541870999948</v>
      </c>
    </row>
    <row r="21" spans="1:49" x14ac:dyDescent="0.2">
      <c r="A21" t="s">
        <v>76</v>
      </c>
      <c r="B21" s="82">
        <v>24661.962530000252</v>
      </c>
      <c r="C21" s="83">
        <v>1145.7547579999964</v>
      </c>
      <c r="D21" s="82">
        <v>24261.547393858771</v>
      </c>
      <c r="E21" s="83">
        <v>1078.698230060397</v>
      </c>
      <c r="F21" s="82">
        <v>23795.253547808592</v>
      </c>
      <c r="G21" s="83">
        <v>1012.2644733867756</v>
      </c>
      <c r="H21" s="82">
        <v>23254.607904727949</v>
      </c>
      <c r="I21" s="83">
        <v>946.57863082665699</v>
      </c>
      <c r="J21" s="82">
        <v>22631.392668410335</v>
      </c>
      <c r="K21" s="83">
        <v>881.76655930617301</v>
      </c>
      <c r="L21" s="82">
        <v>21918.106450776362</v>
      </c>
      <c r="M21" s="83">
        <v>817.94939730805925</v>
      </c>
      <c r="N21" s="82">
        <v>21108.497442048236</v>
      </c>
      <c r="O21" s="83">
        <v>755.23380314511553</v>
      </c>
      <c r="P21" s="82">
        <v>20198.000309776493</v>
      </c>
      <c r="Q21" s="83">
        <v>693.7073666943686</v>
      </c>
      <c r="R21" s="82">
        <v>19184.010195876475</v>
      </c>
      <c r="S21" s="83">
        <v>633.43075465378172</v>
      </c>
      <c r="T21" s="82">
        <v>18065.969688381225</v>
      </c>
      <c r="U21" s="83">
        <v>574.43665102514785</v>
      </c>
      <c r="V21" s="82">
        <v>16845.241265757839</v>
      </c>
      <c r="W21" s="83">
        <v>516.72995179450868</v>
      </c>
      <c r="X21" s="82">
        <v>15524.821876486398</v>
      </c>
      <c r="Y21" s="83">
        <v>460.29086208914316</v>
      </c>
      <c r="Z21" s="82">
        <v>14108.965621451798</v>
      </c>
      <c r="AA21" s="83">
        <v>405.07954978804349</v>
      </c>
      <c r="AB21" s="82">
        <v>12602.775542365374</v>
      </c>
      <c r="AC21" s="83">
        <v>351.04151468501578</v>
      </c>
      <c r="AD21" s="82">
        <v>11011.870914287145</v>
      </c>
      <c r="AE21" s="83">
        <v>298.11300008738579</v>
      </c>
      <c r="AF21" s="82">
        <v>9342.0098108373113</v>
      </c>
      <c r="AG21" s="83">
        <v>246.2249508360666</v>
      </c>
      <c r="AH21" s="82">
        <v>7598.9385594785836</v>
      </c>
      <c r="AI21" s="83">
        <v>195.30706608813367</v>
      </c>
      <c r="AJ21" s="82">
        <v>5788.1731108611293</v>
      </c>
      <c r="AK21" s="83">
        <v>145.2900696002703</v>
      </c>
      <c r="AL21" s="82">
        <v>3914.9295547788652</v>
      </c>
      <c r="AM21" s="83">
        <v>96.107530547326178</v>
      </c>
      <c r="AN21" s="82">
        <v>1984.0529027104906</v>
      </c>
      <c r="AO21" s="83">
        <v>47.696887392642317</v>
      </c>
      <c r="AP21" s="82">
        <v>1591.3599584955668</v>
      </c>
      <c r="AQ21" s="83">
        <v>38.102188961517371</v>
      </c>
      <c r="AR21" s="82">
        <v>1196.5762315591844</v>
      </c>
      <c r="AS21" s="83">
        <v>28.535583054938698</v>
      </c>
      <c r="AT21" s="82">
        <v>799.73316766857567</v>
      </c>
      <c r="AU21" s="83">
        <v>18.99663378294149</v>
      </c>
      <c r="AV21" s="82">
        <v>400.86372167774465</v>
      </c>
      <c r="AW21" s="83">
        <v>9.4849130240964286</v>
      </c>
    </row>
    <row r="22" spans="1:49" x14ac:dyDescent="0.2">
      <c r="A22" t="s">
        <v>28</v>
      </c>
      <c r="B22" s="41">
        <v>6533.6044688320826</v>
      </c>
      <c r="C22" s="42">
        <v>379.90788307663479</v>
      </c>
      <c r="D22" s="41">
        <v>6396.7940634983697</v>
      </c>
      <c r="E22" s="42">
        <v>357.27327442616564</v>
      </c>
      <c r="F22" s="41">
        <v>6243.1715766124153</v>
      </c>
      <c r="G22" s="42">
        <v>334.97351817692061</v>
      </c>
      <c r="H22" s="41">
        <v>6070.9658092583186</v>
      </c>
      <c r="I22" s="42">
        <v>313.04001223484869</v>
      </c>
      <c r="J22" s="41">
        <v>5878.5405995651981</v>
      </c>
      <c r="K22" s="42">
        <v>291.50065040379025</v>
      </c>
      <c r="L22" s="41">
        <v>5664.4986506231417</v>
      </c>
      <c r="M22" s="42">
        <v>270.37931734075113</v>
      </c>
      <c r="N22" s="41">
        <v>5427.7896662384246</v>
      </c>
      <c r="O22" s="42">
        <v>249.69248096988801</v>
      </c>
      <c r="P22" s="41">
        <v>5167.791476973568</v>
      </c>
      <c r="Q22" s="42">
        <v>229.44998294239028</v>
      </c>
      <c r="R22" s="41">
        <v>4884.344802746341</v>
      </c>
      <c r="S22" s="42">
        <v>209.65236303925008</v>
      </c>
      <c r="T22" s="41">
        <v>4577.7468945166875</v>
      </c>
      <c r="U22" s="42">
        <v>190.29227856457734</v>
      </c>
      <c r="V22" s="41">
        <v>4248.6983840302491</v>
      </c>
      <c r="W22" s="42">
        <v>171.35524517835825</v>
      </c>
      <c r="X22" s="41">
        <v>3898.2213902354142</v>
      </c>
      <c r="Y22" s="42">
        <v>152.82125731957063</v>
      </c>
      <c r="Z22" s="41">
        <v>3527.5633077118136</v>
      </c>
      <c r="AA22" s="42">
        <v>134.66634601101114</v>
      </c>
      <c r="AB22" s="41">
        <v>3138.1024997315571</v>
      </c>
      <c r="AC22" s="42">
        <v>116.86436802733752</v>
      </c>
      <c r="AD22" s="41">
        <v>2731.2750458706882</v>
      </c>
      <c r="AE22" s="42">
        <v>99.388640732612885</v>
      </c>
      <c r="AF22" s="41">
        <v>2308.4968206008539</v>
      </c>
      <c r="AG22" s="42">
        <v>82.212503894766996</v>
      </c>
      <c r="AH22" s="41">
        <v>1871.136048728715</v>
      </c>
      <c r="AI22" s="42">
        <v>65.310713265239855</v>
      </c>
      <c r="AJ22" s="41">
        <v>1420.4735646958893</v>
      </c>
      <c r="AK22" s="42">
        <v>48.659466186547654</v>
      </c>
      <c r="AL22" s="41">
        <v>957.69405753949854</v>
      </c>
      <c r="AM22" s="42">
        <v>32.236911209383713</v>
      </c>
      <c r="AN22" s="41">
        <v>483.87732810123674</v>
      </c>
      <c r="AO22" s="42">
        <v>16.023100296683477</v>
      </c>
      <c r="AP22" s="41">
        <v>387.87710124164624</v>
      </c>
      <c r="AQ22" s="42">
        <v>12.803763373348984</v>
      </c>
      <c r="AR22" s="41">
        <v>291.48231544901273</v>
      </c>
      <c r="AS22" s="42">
        <v>9.5919211703033298</v>
      </c>
      <c r="AT22" s="41">
        <v>194.69984088393764</v>
      </c>
      <c r="AU22" s="42">
        <v>6.3874310741646498</v>
      </c>
      <c r="AV22" s="41">
        <v>97.53676955928816</v>
      </c>
      <c r="AW22" s="42">
        <v>3.1901659496005559</v>
      </c>
    </row>
    <row r="23" spans="1:49" x14ac:dyDescent="0.2">
      <c r="A23" t="s">
        <v>7</v>
      </c>
      <c r="B23" s="116">
        <v>3278.5018080150408</v>
      </c>
      <c r="C23" s="8">
        <v>0</v>
      </c>
      <c r="D23" s="116">
        <v>3229.9189289124356</v>
      </c>
      <c r="E23" s="8">
        <v>0</v>
      </c>
      <c r="F23" s="116">
        <v>3172.2749894884655</v>
      </c>
      <c r="G23" s="8">
        <v>0</v>
      </c>
      <c r="H23" s="116">
        <v>3104.3863145697701</v>
      </c>
      <c r="I23" s="8">
        <v>0</v>
      </c>
      <c r="J23" s="116">
        <v>3025.1024716493266</v>
      </c>
      <c r="K23" s="8">
        <v>0</v>
      </c>
      <c r="L23" s="116">
        <v>2933.3705874522784</v>
      </c>
      <c r="M23" s="8">
        <v>0</v>
      </c>
      <c r="N23" s="116">
        <v>2828.3101108887208</v>
      </c>
      <c r="O23" s="8">
        <v>0</v>
      </c>
      <c r="P23" s="116">
        <v>2709.2739922551727</v>
      </c>
      <c r="Q23" s="8">
        <v>0</v>
      </c>
      <c r="R23" s="116">
        <v>2575.887818446688</v>
      </c>
      <c r="S23" s="8">
        <v>0</v>
      </c>
      <c r="T23" s="116">
        <v>2428.0624625957284</v>
      </c>
      <c r="U23" s="8">
        <v>0</v>
      </c>
      <c r="V23" s="116">
        <v>2265.9769444027834</v>
      </c>
      <c r="W23" s="8">
        <v>0</v>
      </c>
      <c r="X23" s="116">
        <v>2090.0390927727167</v>
      </c>
      <c r="Y23" s="8">
        <v>0</v>
      </c>
      <c r="Z23" s="116">
        <v>1900.8332066143257</v>
      </c>
      <c r="AA23" s="8">
        <v>0</v>
      </c>
      <c r="AB23" s="116">
        <v>1699.0632861983374</v>
      </c>
      <c r="AC23" s="8">
        <v>0</v>
      </c>
      <c r="AD23" s="116">
        <v>1485.506464052288</v>
      </c>
      <c r="AE23" s="8">
        <v>0</v>
      </c>
      <c r="AF23" s="116">
        <v>1260.9605976142711</v>
      </c>
      <c r="AG23" s="8">
        <v>0</v>
      </c>
      <c r="AH23" s="116">
        <v>1026.2227547420669</v>
      </c>
      <c r="AI23" s="8">
        <v>0</v>
      </c>
      <c r="AJ23" s="116">
        <v>782.05884744945013</v>
      </c>
      <c r="AK23" s="8">
        <v>0</v>
      </c>
      <c r="AL23" s="116">
        <v>529.19362726015106</v>
      </c>
      <c r="AM23" s="8">
        <v>0</v>
      </c>
      <c r="AN23" s="116">
        <v>268.30069972141945</v>
      </c>
      <c r="AO23" s="8">
        <v>0</v>
      </c>
      <c r="AP23" s="116">
        <v>215.21419920768381</v>
      </c>
      <c r="AQ23" s="8">
        <v>0</v>
      </c>
      <c r="AR23" s="116">
        <v>161.83642629256991</v>
      </c>
      <c r="AS23" s="8">
        <v>0</v>
      </c>
      <c r="AT23" s="116">
        <v>108.17176581935169</v>
      </c>
      <c r="AU23" s="8">
        <v>0</v>
      </c>
      <c r="AV23" s="116">
        <v>54.224801347518692</v>
      </c>
      <c r="AW23" s="8">
        <v>0</v>
      </c>
    </row>
    <row r="24" spans="1:49" x14ac:dyDescent="0.2">
      <c r="A24" t="s">
        <v>8</v>
      </c>
      <c r="B24" s="97">
        <v>3196.3846373657216</v>
      </c>
      <c r="C24" s="8">
        <v>0</v>
      </c>
      <c r="D24" s="97">
        <v>3181.2930532819191</v>
      </c>
      <c r="E24" s="8">
        <v>0</v>
      </c>
      <c r="F24" s="97">
        <v>3156.2973243162692</v>
      </c>
      <c r="G24" s="8">
        <v>0</v>
      </c>
      <c r="H24" s="97">
        <v>3119.7908891726638</v>
      </c>
      <c r="I24" s="8">
        <v>0</v>
      </c>
      <c r="J24" s="97">
        <v>3070.1444688583742</v>
      </c>
      <c r="K24" s="8">
        <v>0</v>
      </c>
      <c r="L24" s="97">
        <v>3005.7862765048089</v>
      </c>
      <c r="M24" s="8">
        <v>0</v>
      </c>
      <c r="N24" s="97">
        <v>2925.307014501263</v>
      </c>
      <c r="O24" s="8">
        <v>0</v>
      </c>
      <c r="P24" s="97">
        <v>2827.5500100182985</v>
      </c>
      <c r="Q24" s="8">
        <v>0</v>
      </c>
      <c r="R24" s="97">
        <v>2711.6847123659923</v>
      </c>
      <c r="S24" s="8">
        <v>0</v>
      </c>
      <c r="T24" s="97">
        <v>2577.2437284814823</v>
      </c>
      <c r="U24" s="8">
        <v>0</v>
      </c>
      <c r="V24" s="97">
        <v>2424.1221392430698</v>
      </c>
      <c r="W24" s="8">
        <v>0</v>
      </c>
      <c r="X24" s="97">
        <v>2252.5429213309967</v>
      </c>
      <c r="Y24" s="8">
        <v>0</v>
      </c>
      <c r="Z24" s="97">
        <v>2063.0005357304358</v>
      </c>
      <c r="AA24" s="8">
        <v>0</v>
      </c>
      <c r="AB24" s="97">
        <v>1856.1914838393686</v>
      </c>
      <c r="AC24" s="8">
        <v>0</v>
      </c>
      <c r="AD24" s="97">
        <v>1632.9540997535598</v>
      </c>
      <c r="AE24" s="8">
        <v>0</v>
      </c>
      <c r="AF24" s="97">
        <v>1394.196665781704</v>
      </c>
      <c r="AG24" s="8">
        <v>0</v>
      </c>
      <c r="AH24" s="97">
        <v>1140.8645997539552</v>
      </c>
      <c r="AI24" s="8">
        <v>0</v>
      </c>
      <c r="AJ24" s="97">
        <v>873.89423442651389</v>
      </c>
      <c r="AK24" s="8">
        <v>0</v>
      </c>
      <c r="AL24" s="97">
        <v>594.194242234998</v>
      </c>
      <c r="AM24" s="8">
        <v>0</v>
      </c>
      <c r="AN24" s="97">
        <v>302.62686988915505</v>
      </c>
      <c r="AO24" s="8">
        <v>0</v>
      </c>
      <c r="AP24" s="97">
        <v>242.96126716976138</v>
      </c>
      <c r="AQ24" s="8">
        <v>0</v>
      </c>
      <c r="AR24" s="97">
        <v>182.85991793299286</v>
      </c>
      <c r="AS24" s="8">
        <v>0</v>
      </c>
      <c r="AT24" s="97">
        <v>122.32855871182136</v>
      </c>
      <c r="AU24" s="8">
        <v>0</v>
      </c>
      <c r="AV24" s="97">
        <v>61.37327306386193</v>
      </c>
      <c r="AW24" s="8">
        <v>0</v>
      </c>
    </row>
    <row r="25" spans="1:49" x14ac:dyDescent="0.2">
      <c r="A25" t="s">
        <v>0</v>
      </c>
      <c r="B25" s="41">
        <v>3195.0476040000053</v>
      </c>
      <c r="C25" s="42">
        <v>91.012690000004284</v>
      </c>
      <c r="D25" s="41">
        <v>3147.6174417339453</v>
      </c>
      <c r="E25" s="42">
        <v>83.640168148876228</v>
      </c>
      <c r="F25" s="41">
        <v>3091.4880015489616</v>
      </c>
      <c r="G25" s="42">
        <v>76.553925855669178</v>
      </c>
      <c r="H25" s="41">
        <v>3025.4975310340324</v>
      </c>
      <c r="I25" s="42">
        <v>69.778035380476396</v>
      </c>
      <c r="J25" s="41">
        <v>2948.5113750746341</v>
      </c>
      <c r="K25" s="42">
        <v>63.33221143038373</v>
      </c>
      <c r="L25" s="41">
        <v>2859.4842154682183</v>
      </c>
      <c r="M25" s="42">
        <v>57.230741390437302</v>
      </c>
      <c r="N25" s="41">
        <v>2757.5336576457785</v>
      </c>
      <c r="O25" s="42">
        <v>51.480833937902304</v>
      </c>
      <c r="P25" s="41">
        <v>2642.0005741666359</v>
      </c>
      <c r="Q25" s="42">
        <v>46.082669377435835</v>
      </c>
      <c r="R25" s="41">
        <v>2512.4892963778248</v>
      </c>
      <c r="S25" s="42">
        <v>41.028934565987853</v>
      </c>
      <c r="T25" s="41">
        <v>2368.8816430246393</v>
      </c>
      <c r="U25" s="42">
        <v>36.306009938639164</v>
      </c>
      <c r="V25" s="41">
        <v>2211.3221184757822</v>
      </c>
      <c r="W25" s="42">
        <v>31.89525597918874</v>
      </c>
      <c r="X25" s="41">
        <v>2040.1810567946295</v>
      </c>
      <c r="Y25" s="42">
        <v>27.774593926954054</v>
      </c>
      <c r="Z25" s="41">
        <v>1856.0046283676052</v>
      </c>
      <c r="AA25" s="42">
        <v>23.920147333996159</v>
      </c>
      <c r="AB25" s="41">
        <v>1659.4599320350403</v>
      </c>
      <c r="AC25" s="42">
        <v>20.307567970944216</v>
      </c>
      <c r="AD25" s="41">
        <v>1451.2896650039638</v>
      </c>
      <c r="AE25" s="42">
        <v>16.913098753745142</v>
      </c>
      <c r="AF25" s="41">
        <v>1232.2606453668388</v>
      </c>
      <c r="AG25" s="42">
        <v>13.714320771541418</v>
      </c>
      <c r="AH25" s="41">
        <v>1003.1424617808752</v>
      </c>
      <c r="AI25" s="42">
        <v>10.690550633029371</v>
      </c>
      <c r="AJ25" s="41">
        <v>764.67722494900943</v>
      </c>
      <c r="AK25" s="42">
        <v>7.8230605360681347</v>
      </c>
      <c r="AL25" s="41">
        <v>517.56930967689175</v>
      </c>
      <c r="AM25" s="42">
        <v>5.0950869444342555</v>
      </c>
      <c r="AN25" s="41">
        <v>262.47508115334023</v>
      </c>
      <c r="AO25" s="42">
        <v>2.4917676499786636</v>
      </c>
      <c r="AP25" s="41">
        <v>210.55196964288837</v>
      </c>
      <c r="AQ25" s="42">
        <v>1.9848806971087212</v>
      </c>
      <c r="AR25" s="41">
        <v>158.338551020057</v>
      </c>
      <c r="AS25" s="42">
        <v>1.4823529216805194</v>
      </c>
      <c r="AT25" s="41">
        <v>105.83911054249117</v>
      </c>
      <c r="AU25" s="42">
        <v>0.98409126810449066</v>
      </c>
      <c r="AV25" s="41">
        <v>53.058135429841158</v>
      </c>
      <c r="AW25" s="42">
        <v>0.49000351685293997</v>
      </c>
    </row>
    <row r="26" spans="1:49" x14ac:dyDescent="0.2">
      <c r="A26" t="s">
        <v>27</v>
      </c>
      <c r="B26" s="33">
        <v>5036.2953101960647</v>
      </c>
      <c r="C26" s="34">
        <v>74.905331803938267</v>
      </c>
      <c r="D26" s="33">
        <v>4958.6745487373319</v>
      </c>
      <c r="E26" s="34">
        <v>70.590259067767448</v>
      </c>
      <c r="F26" s="33">
        <v>4867.5740051258226</v>
      </c>
      <c r="G26" s="34">
        <v>66.316521330075716</v>
      </c>
      <c r="H26" s="33">
        <v>4761.1900301253045</v>
      </c>
      <c r="I26" s="34">
        <v>62.090533353260987</v>
      </c>
      <c r="J26" s="33">
        <v>4637.7610584592703</v>
      </c>
      <c r="K26" s="34">
        <v>57.918597446014033</v>
      </c>
      <c r="L26" s="33">
        <v>4495.6641014596644</v>
      </c>
      <c r="M26" s="34">
        <v>53.806629348947091</v>
      </c>
      <c r="N26" s="33">
        <v>4333.5289368942585</v>
      </c>
      <c r="O26" s="34">
        <v>49.759678272305329</v>
      </c>
      <c r="P26" s="33">
        <v>4150.3319123715837</v>
      </c>
      <c r="Q26" s="34">
        <v>45.78172429786779</v>
      </c>
      <c r="R26" s="33">
        <v>3945.4578387629335</v>
      </c>
      <c r="S26" s="34">
        <v>41.875305094481114</v>
      </c>
      <c r="T26" s="33">
        <v>3718.7218159780291</v>
      </c>
      <c r="U26" s="34">
        <v>38.041498277475306</v>
      </c>
      <c r="V26" s="33">
        <v>3470.346127455331</v>
      </c>
      <c r="W26" s="34">
        <v>34.279964298283694</v>
      </c>
      <c r="X26" s="33">
        <v>3200.9029132020455</v>
      </c>
      <c r="Y26" s="34">
        <v>30.589104574770921</v>
      </c>
      <c r="Z26" s="33">
        <v>2911.2368716097817</v>
      </c>
      <c r="AA26" s="34">
        <v>26.966363391412489</v>
      </c>
      <c r="AB26" s="33">
        <v>2602.3799254438527</v>
      </c>
      <c r="AC26" s="34">
        <v>23.40846982035977</v>
      </c>
      <c r="AD26" s="33">
        <v>2275.4812610851141</v>
      </c>
      <c r="AE26" s="34">
        <v>19.911714746658845</v>
      </c>
      <c r="AF26" s="33">
        <v>1931.7272414489423</v>
      </c>
      <c r="AG26" s="34">
        <v>16.472191383235998</v>
      </c>
      <c r="AH26" s="33">
        <v>1572.3088200751999</v>
      </c>
      <c r="AI26" s="34">
        <v>13.08595294507205</v>
      </c>
      <c r="AJ26" s="33">
        <v>1198.3743545519849</v>
      </c>
      <c r="AK26" s="34">
        <v>9.7491622094653625</v>
      </c>
      <c r="AL26" s="33">
        <v>811.01395166922464</v>
      </c>
      <c r="AM26" s="34">
        <v>6.4581524723243806</v>
      </c>
      <c r="AN26" s="33">
        <v>411.24345596957528</v>
      </c>
      <c r="AO26" s="34">
        <v>3.2094913348752199</v>
      </c>
      <c r="AP26" s="33">
        <v>329.88386082884404</v>
      </c>
      <c r="AQ26" s="34">
        <v>2.5645571906826294</v>
      </c>
      <c r="AR26" s="33">
        <v>248.07298532187778</v>
      </c>
      <c r="AS26" s="34">
        <v>1.9211638698175779</v>
      </c>
      <c r="AT26" s="33">
        <v>165.8174462149849</v>
      </c>
      <c r="AU26" s="34">
        <v>1.2792889060775725</v>
      </c>
      <c r="AV26" s="33">
        <v>83.124193454237869</v>
      </c>
      <c r="AW26" s="34">
        <v>0.63890864003825298</v>
      </c>
    </row>
    <row r="27" spans="1:49" x14ac:dyDescent="0.2">
      <c r="A27" t="s">
        <v>2</v>
      </c>
      <c r="B27" s="35">
        <v>6425.1981590000069</v>
      </c>
      <c r="C27" s="36">
        <v>273.22915400000028</v>
      </c>
      <c r="D27" s="35">
        <v>6326.9091309088217</v>
      </c>
      <c r="E27" s="36">
        <v>257.50425628001381</v>
      </c>
      <c r="F27" s="35">
        <v>6211.5499574063306</v>
      </c>
      <c r="G27" s="36">
        <v>241.9313159116293</v>
      </c>
      <c r="H27" s="35">
        <v>6076.8162802109737</v>
      </c>
      <c r="I27" s="36">
        <v>226.53344649375711</v>
      </c>
      <c r="J27" s="35">
        <v>5920.4450641614176</v>
      </c>
      <c r="K27" s="36">
        <v>211.33317525204245</v>
      </c>
      <c r="L27" s="35">
        <v>5740.3369746979633</v>
      </c>
      <c r="M27" s="36">
        <v>196.35149956516398</v>
      </c>
      <c r="N27" s="35">
        <v>5534.7025561</v>
      </c>
      <c r="O27" s="36">
        <v>181.60612389479135</v>
      </c>
      <c r="P27" s="35">
        <v>5302.1835561766675</v>
      </c>
      <c r="Q27" s="36">
        <v>167.11088507472456</v>
      </c>
      <c r="R27" s="35">
        <v>5041.936402276795</v>
      </c>
      <c r="S27" s="36">
        <v>152.8743367422658</v>
      </c>
      <c r="T27" s="35">
        <v>4753.6640725300986</v>
      </c>
      <c r="U27" s="36">
        <v>138.89980400688074</v>
      </c>
      <c r="V27" s="35">
        <v>4437.5911135666101</v>
      </c>
      <c r="W27" s="36">
        <v>125.18557023708941</v>
      </c>
      <c r="X27" s="35">
        <v>4094.3943541389535</v>
      </c>
      <c r="Y27" s="36">
        <v>111.72541239223953</v>
      </c>
      <c r="Z27" s="35">
        <v>3725.1061713146619</v>
      </c>
      <c r="AA27" s="36">
        <v>98.50982375655073</v>
      </c>
      <c r="AB27" s="35">
        <v>3331.0072301739647</v>
      </c>
      <c r="AC27" s="36">
        <v>85.526777461408059</v>
      </c>
      <c r="AD27" s="35">
        <v>2913.5368383818932</v>
      </c>
      <c r="AE27" s="36">
        <v>72.762717281115656</v>
      </c>
      <c r="AF27" s="35">
        <v>2474.1906042793394</v>
      </c>
      <c r="AG27" s="36">
        <v>60.203494772123506</v>
      </c>
      <c r="AH27" s="35">
        <v>2014.4769960335248</v>
      </c>
      <c r="AI27" s="36">
        <v>47.834827367684355</v>
      </c>
      <c r="AJ27" s="35">
        <v>1535.8564789771785</v>
      </c>
      <c r="AK27" s="36">
        <v>35.642897767069009</v>
      </c>
      <c r="AL27" s="35">
        <v>1039.7198789055988</v>
      </c>
      <c r="AM27" s="36">
        <v>23.614510689974356</v>
      </c>
      <c r="AN27" s="35">
        <v>527.36701658331822</v>
      </c>
      <c r="AO27" s="36">
        <v>11.737343547389127</v>
      </c>
      <c r="AP27" s="35">
        <v>423.05784463125741</v>
      </c>
      <c r="AQ27" s="36">
        <v>9.379039963790154</v>
      </c>
      <c r="AR27" s="35">
        <v>318.15788476677119</v>
      </c>
      <c r="AS27" s="36">
        <v>7.0262346273784564</v>
      </c>
      <c r="AT27" s="35">
        <v>212.67567586139856</v>
      </c>
      <c r="AU27" s="36">
        <v>4.6788492843232294</v>
      </c>
      <c r="AV27" s="35">
        <v>106.6201448789344</v>
      </c>
      <c r="AW27" s="36">
        <v>2.3367986856358818</v>
      </c>
    </row>
    <row r="28" spans="1:49" x14ac:dyDescent="0.2">
      <c r="A28" t="s">
        <v>35</v>
      </c>
      <c r="B28" s="41">
        <v>13763.097676000001</v>
      </c>
      <c r="C28" s="42">
        <v>382.36647900000003</v>
      </c>
      <c r="D28" s="41">
        <v>13551.71477965528</v>
      </c>
      <c r="E28" s="42">
        <v>360.35450385660437</v>
      </c>
      <c r="F28" s="41">
        <v>13303.62121990744</v>
      </c>
      <c r="G28" s="42">
        <v>338.55470696531876</v>
      </c>
      <c r="H28" s="41">
        <v>13013.884497373878</v>
      </c>
      <c r="I28" s="42">
        <v>316.99954664052058</v>
      </c>
      <c r="J28" s="41">
        <v>12677.674726688752</v>
      </c>
      <c r="K28" s="42">
        <v>295.72073104332833</v>
      </c>
      <c r="L28" s="41">
        <v>12290.527640218736</v>
      </c>
      <c r="M28" s="42">
        <v>274.74787562311832</v>
      </c>
      <c r="N28" s="41">
        <v>11848.657190378326</v>
      </c>
      <c r="O28" s="42">
        <v>254.10604117262406</v>
      </c>
      <c r="P28" s="41">
        <v>11349.213601903037</v>
      </c>
      <c r="Q28" s="42">
        <v>233.8148640415528</v>
      </c>
      <c r="R28" s="41">
        <v>10790.457068829473</v>
      </c>
      <c r="S28" s="42">
        <v>213.88659702901478</v>
      </c>
      <c r="T28" s="41">
        <v>10171.821451455909</v>
      </c>
      <c r="U28" s="42">
        <v>194.32613819522905</v>
      </c>
      <c r="V28" s="41">
        <v>9493.8556268378143</v>
      </c>
      <c r="W28" s="42">
        <v>175.13127990967013</v>
      </c>
      <c r="X28" s="41">
        <v>8758.0706479885466</v>
      </c>
      <c r="Y28" s="42">
        <v>156.29347451940106</v>
      </c>
      <c r="Z28" s="41">
        <v>7966.7303471588921</v>
      </c>
      <c r="AA28" s="42">
        <v>137.79949606014827</v>
      </c>
      <c r="AB28" s="41">
        <v>7122.6196898430162</v>
      </c>
      <c r="AC28" s="42">
        <v>119.6325563652296</v>
      </c>
      <c r="AD28" s="41">
        <v>6228.8531537222216</v>
      </c>
      <c r="AE28" s="42">
        <v>101.77369933307259</v>
      </c>
      <c r="AF28" s="41">
        <v>5288.6556541727105</v>
      </c>
      <c r="AG28" s="42">
        <v>84.203087809387839</v>
      </c>
      <c r="AH28" s="41">
        <v>4305.2716073019938</v>
      </c>
      <c r="AI28" s="42">
        <v>66.900691948565253</v>
      </c>
      <c r="AJ28" s="41">
        <v>3281.8352905163442</v>
      </c>
      <c r="AK28" s="42">
        <v>49.847105994397566</v>
      </c>
      <c r="AL28" s="41">
        <v>2221.3263938128421</v>
      </c>
      <c r="AM28" s="42">
        <v>33.023794258610607</v>
      </c>
      <c r="AN28" s="41">
        <v>1126.5253205701356</v>
      </c>
      <c r="AO28" s="42">
        <v>16.4134345541603</v>
      </c>
      <c r="AP28" s="41">
        <v>903.67940762182161</v>
      </c>
      <c r="AQ28" s="42">
        <v>13.115486970762737</v>
      </c>
      <c r="AR28" s="41">
        <v>679.58543533474403</v>
      </c>
      <c r="AS28" s="42">
        <v>9.8252838827799973</v>
      </c>
      <c r="AT28" s="41">
        <v>454.26158547675965</v>
      </c>
      <c r="AU28" s="42">
        <v>6.5427142872507469</v>
      </c>
      <c r="AV28" s="41">
        <v>227.72691399769056</v>
      </c>
      <c r="AW28" s="42">
        <v>3.2676584731079616</v>
      </c>
    </row>
    <row r="29" spans="1:49" x14ac:dyDescent="0.2">
      <c r="A29" t="s">
        <v>53</v>
      </c>
      <c r="B29" s="35">
        <v>14362.768558000003</v>
      </c>
      <c r="C29" s="36">
        <v>817.26651000000004</v>
      </c>
      <c r="D29" s="35">
        <v>14131.58405517615</v>
      </c>
      <c r="E29" s="36">
        <v>766.5797740039917</v>
      </c>
      <c r="F29" s="35">
        <v>13861.959682459779</v>
      </c>
      <c r="G29" s="36">
        <v>716.70812031417734</v>
      </c>
      <c r="H29" s="35">
        <v>13548.931704795268</v>
      </c>
      <c r="I29" s="36">
        <v>667.75230273519821</v>
      </c>
      <c r="J29" s="35">
        <v>13187.682395530501</v>
      </c>
      <c r="K29" s="36">
        <v>619.80659884761099</v>
      </c>
      <c r="L29" s="35">
        <v>12773.809549269559</v>
      </c>
      <c r="M29" s="36">
        <v>572.95435595055289</v>
      </c>
      <c r="N29" s="35">
        <v>12303.639215039047</v>
      </c>
      <c r="O29" s="36">
        <v>527.26057914966111</v>
      </c>
      <c r="P29" s="35">
        <v>11774.481620730006</v>
      </c>
      <c r="Q29" s="36">
        <v>482.76963090744272</v>
      </c>
      <c r="R29" s="35">
        <v>11184.793106402778</v>
      </c>
      <c r="S29" s="36">
        <v>439.50049170891094</v>
      </c>
      <c r="T29" s="35">
        <v>10534.227919226905</v>
      </c>
      <c r="U29" s="36">
        <v>397.44797504536484</v>
      </c>
      <c r="V29" s="35">
        <v>9823.5647511450134</v>
      </c>
      <c r="W29" s="36">
        <v>356.58481115705735</v>
      </c>
      <c r="X29" s="35">
        <v>9054.5405962478762</v>
      </c>
      <c r="Y29" s="36">
        <v>316.86533714903669</v>
      </c>
      <c r="Z29" s="35">
        <v>8229.6304890342999</v>
      </c>
      <c r="AA29" s="36">
        <v>278.23102580682126</v>
      </c>
      <c r="AB29" s="35">
        <v>7351.8088636684242</v>
      </c>
      <c r="AC29" s="36">
        <v>240.61477564394872</v>
      </c>
      <c r="AD29" s="35">
        <v>6424.3548535416994</v>
      </c>
      <c r="AE29" s="36">
        <v>203.94531231039176</v>
      </c>
      <c r="AF29" s="35">
        <v>5450.6311337100078</v>
      </c>
      <c r="AG29" s="36">
        <v>168.15094527546904</v>
      </c>
      <c r="AH29" s="35">
        <v>4433.9956244291161</v>
      </c>
      <c r="AI29" s="36">
        <v>133.16169331003258</v>
      </c>
      <c r="AJ29" s="35">
        <v>3377.6731048421839</v>
      </c>
      <c r="AK29" s="36">
        <v>98.911312333966436</v>
      </c>
      <c r="AL29" s="35">
        <v>2284.714292730107</v>
      </c>
      <c r="AM29" s="36">
        <v>65.337943408671237</v>
      </c>
      <c r="AN29" s="35">
        <v>1157.9538225785782</v>
      </c>
      <c r="AO29" s="36">
        <v>32.384761053050546</v>
      </c>
      <c r="AP29" s="35">
        <v>928.77864783549091</v>
      </c>
      <c r="AQ29" s="36">
        <v>25.863911098191814</v>
      </c>
      <c r="AR29" s="35">
        <v>698.37697003576329</v>
      </c>
      <c r="AS29" s="36">
        <v>19.365379551704343</v>
      </c>
      <c r="AT29" s="35">
        <v>466.76719014911697</v>
      </c>
      <c r="AU29" s="36">
        <v>12.888801299346808</v>
      </c>
      <c r="AV29" s="35">
        <v>233.96860130547415</v>
      </c>
      <c r="AW29" s="36">
        <v>6.4337976912802421</v>
      </c>
    </row>
    <row r="30" spans="1:49" x14ac:dyDescent="0.2">
      <c r="A30" t="s">
        <v>48</v>
      </c>
      <c r="B30" s="119">
        <v>2924829.9599999995</v>
      </c>
      <c r="D30" s="119">
        <v>2932904.516937362</v>
      </c>
      <c r="F30" s="119">
        <v>2931067.2114678859</v>
      </c>
      <c r="H30" s="119">
        <v>2917553.349743152</v>
      </c>
      <c r="J30" s="119">
        <v>2890545.0766460081</v>
      </c>
      <c r="L30" s="119">
        <v>2848254.7880883496</v>
      </c>
      <c r="N30" s="119">
        <v>2789045.2622919101</v>
      </c>
      <c r="P30" s="119">
        <v>2711527.3335918989</v>
      </c>
      <c r="R30" s="119">
        <v>2614654.4641084298</v>
      </c>
      <c r="T30" s="119">
        <v>2497769.3266802072</v>
      </c>
      <c r="V30" s="119">
        <v>2360613.2210099734</v>
      </c>
      <c r="X30" s="119">
        <v>2203295.6122520119</v>
      </c>
      <c r="Z30" s="119">
        <v>2026238.5855992073</v>
      </c>
      <c r="AB30" s="119">
        <v>1830103.5198874758</v>
      </c>
      <c r="AD30" s="119">
        <v>1615723.7180151166</v>
      </c>
      <c r="AF30" s="119">
        <v>1384030.023273848</v>
      </c>
      <c r="AH30" s="119">
        <v>1136006.7668958588</v>
      </c>
      <c r="AJ30" s="119">
        <v>872644.01345771016</v>
      </c>
      <c r="AL30" s="119">
        <v>594911.59209305211</v>
      </c>
      <c r="AN30" s="119">
        <v>303738.14723003452</v>
      </c>
      <c r="AP30" s="119">
        <v>243968.57250587293</v>
      </c>
      <c r="AR30" s="119">
        <v>183703.47600075835</v>
      </c>
      <c r="AT30" s="119">
        <v>122949.30671605127</v>
      </c>
      <c r="AV30" s="119">
        <v>61712.657991939559</v>
      </c>
    </row>
    <row r="31" spans="1:49" x14ac:dyDescent="0.2">
      <c r="A31" t="s">
        <v>47</v>
      </c>
      <c r="B31" s="80">
        <v>1.0000000000000013</v>
      </c>
      <c r="D31" s="80">
        <v>0.97688955908214481</v>
      </c>
      <c r="F31" s="80">
        <v>0.95126752914313961</v>
      </c>
      <c r="H31" s="80">
        <v>0.92289922165572558</v>
      </c>
      <c r="J31" s="80">
        <v>0.8915738874354604</v>
      </c>
      <c r="L31" s="80">
        <v>0.85711903098205799</v>
      </c>
      <c r="N31" s="80">
        <v>0.81941425115386968</v>
      </c>
      <c r="P31" s="80">
        <v>0.77840149953168258</v>
      </c>
      <c r="R31" s="80">
        <v>0.73408775218028155</v>
      </c>
      <c r="T31" s="80">
        <v>0.68654260585672944</v>
      </c>
      <c r="V31" s="80">
        <v>0.63588934143402642</v>
      </c>
      <c r="X31" s="80">
        <v>0.58229252433607759</v>
      </c>
      <c r="Z31" s="80">
        <v>0.52594405541639222</v>
      </c>
      <c r="AB31" s="80">
        <v>0.46705001675430063</v>
      </c>
      <c r="AD31" s="80">
        <v>0.40582080632892548</v>
      </c>
      <c r="AF31" s="80">
        <v>0.34246062754084022</v>
      </c>
      <c r="AH31" s="80">
        <v>0.27716438703973661</v>
      </c>
      <c r="AJ31" s="80">
        <v>0.21011259914170588</v>
      </c>
      <c r="AL31" s="80">
        <v>0.14147073926515435</v>
      </c>
      <c r="AN31" s="80">
        <v>7.1388421859796547E-2</v>
      </c>
      <c r="AP31" s="80">
        <v>5.7211166604077296E-2</v>
      </c>
      <c r="AR31" s="80">
        <v>4.2982749638457933E-2</v>
      </c>
      <c r="AT31" s="80">
        <v>2.8704107620616537E-2</v>
      </c>
      <c r="AV31" s="80">
        <v>1.4376210460456951E-2</v>
      </c>
    </row>
    <row r="32" spans="1:49" x14ac:dyDescent="0.2">
      <c r="A32" t="s">
        <v>64</v>
      </c>
      <c r="B32" s="86">
        <v>14734457.915000005</v>
      </c>
      <c r="D32" s="86">
        <v>14497257.864046294</v>
      </c>
      <c r="F32" s="86">
        <v>14220031.037412614</v>
      </c>
      <c r="H32" s="86">
        <v>13897731.642687565</v>
      </c>
      <c r="J32" s="86">
        <v>13525488.393824175</v>
      </c>
      <c r="L32" s="86">
        <v>13098882.725910945</v>
      </c>
      <c r="N32" s="86">
        <v>12614265.450977145</v>
      </c>
      <c r="P32" s="86">
        <v>12069015.845305627</v>
      </c>
      <c r="R32" s="86">
        <v>11461697.447383763</v>
      </c>
      <c r="T32" s="86">
        <v>10792103.356164342</v>
      </c>
      <c r="V32" s="86">
        <v>10061172.018410746</v>
      </c>
      <c r="X32" s="86">
        <v>9270810.0969401635</v>
      </c>
      <c r="Z32" s="86">
        <v>8423662.1877316236</v>
      </c>
      <c r="AB32" s="86">
        <v>7522864.3892055536</v>
      </c>
      <c r="AD32" s="86">
        <v>6571844.6959145237</v>
      </c>
      <c r="AF32" s="86">
        <v>5574098.2929810695</v>
      </c>
      <c r="AH32" s="86">
        <v>4533098.9963461086</v>
      </c>
      <c r="AJ32" s="86">
        <v>3452170.7521371795</v>
      </c>
      <c r="AL32" s="86">
        <v>2334448.1263467357</v>
      </c>
      <c r="AN32" s="86">
        <v>1182835.7787208715</v>
      </c>
      <c r="AP32" s="86">
        <v>948684.95530986064</v>
      </c>
      <c r="AR32" s="86">
        <v>713306.87034515128</v>
      </c>
      <c r="AT32" s="86">
        <v>476720.31940267724</v>
      </c>
      <c r="AV32" s="86">
        <v>238944.97549971094</v>
      </c>
    </row>
    <row r="33" spans="1:49 16319:16321" x14ac:dyDescent="0.2">
      <c r="A33" t="s">
        <v>54</v>
      </c>
      <c r="B33" s="117">
        <v>7019665.6910000062</v>
      </c>
      <c r="D33" s="117">
        <v>6873915.2633646624</v>
      </c>
      <c r="F33" s="117">
        <v>6710265.1480961638</v>
      </c>
      <c r="H33" s="117">
        <v>6526764.0798665984</v>
      </c>
      <c r="J33" s="117">
        <v>6321596.9625283564</v>
      </c>
      <c r="L33" s="117">
        <v>6093198.4081161376</v>
      </c>
      <c r="N33" s="117">
        <v>5840372.8846344594</v>
      </c>
      <c r="P33" s="117">
        <v>5562385.49766073</v>
      </c>
      <c r="R33" s="117">
        <v>5259003.9336131699</v>
      </c>
      <c r="T33" s="117">
        <v>4930494.7542822612</v>
      </c>
      <c r="V33" s="117">
        <v>4577568.5295126801</v>
      </c>
      <c r="X33" s="117">
        <v>4201292.5892155571</v>
      </c>
      <c r="Z33" s="117">
        <v>3802987.4067562334</v>
      </c>
      <c r="AB33" s="117">
        <v>3384123.8794620931</v>
      </c>
      <c r="AD33" s="117">
        <v>2946242.9922007681</v>
      </c>
      <c r="AF33" s="117">
        <v>2490870.241824361</v>
      </c>
      <c r="AH33" s="117">
        <v>2019484.4656384666</v>
      </c>
      <c r="AJ33" s="117">
        <v>1533473.6805273362</v>
      </c>
      <c r="AL33" s="117">
        <v>1034124.4897676499</v>
      </c>
      <c r="AN33" s="117">
        <v>522611.79981744662</v>
      </c>
      <c r="AP33" s="117">
        <v>418945.07242143829</v>
      </c>
      <c r="AR33" s="117">
        <v>314842.95326871821</v>
      </c>
      <c r="AT33" s="117">
        <v>210312.94280858047</v>
      </c>
      <c r="AV33" s="117">
        <v>105362.78120024374</v>
      </c>
    </row>
    <row r="34" spans="1:49 16319:16321" x14ac:dyDescent="0.2">
      <c r="A34" t="s">
        <v>75</v>
      </c>
      <c r="B34" s="117">
        <v>1136879.4409999985</v>
      </c>
      <c r="D34" s="117">
        <v>1118577.7947446026</v>
      </c>
      <c r="F34" s="117">
        <v>1097187.5538208978</v>
      </c>
      <c r="H34" s="117">
        <v>1072319.6967182728</v>
      </c>
      <c r="J34" s="117">
        <v>1043598.128902131</v>
      </c>
      <c r="L34" s="117">
        <v>1010682.2641276307</v>
      </c>
      <c r="N34" s="117">
        <v>973289.90360621363</v>
      </c>
      <c r="P34" s="117">
        <v>931219.60181348573</v>
      </c>
      <c r="R34" s="117">
        <v>884360.20129138138</v>
      </c>
      <c r="T34" s="117">
        <v>832695.74227587401</v>
      </c>
      <c r="V34" s="117">
        <v>776298.63724292326</v>
      </c>
      <c r="X34" s="117">
        <v>715315.99440513493</v>
      </c>
      <c r="Z34" s="117">
        <v>649951.87193444604</v>
      </c>
      <c r="AB34" s="117">
        <v>580448.17865376081</v>
      </c>
      <c r="AD34" s="117">
        <v>507069.58368092554</v>
      </c>
      <c r="AF34" s="117">
        <v>430085.5583948305</v>
      </c>
      <c r="AH34" s="117">
        <v>349764.28715465346</v>
      </c>
      <c r="AJ34" s="117">
        <v>266362.14735744731</v>
      </c>
      <c r="AL34" s="117">
        <v>180121.04851046178</v>
      </c>
      <c r="AN34" s="117">
        <v>91265.096305787622</v>
      </c>
      <c r="AP34" s="117">
        <v>73198.508447135973</v>
      </c>
      <c r="AR34" s="117">
        <v>55037.242846867164</v>
      </c>
      <c r="AT34" s="117">
        <v>36782.727997893919</v>
      </c>
      <c r="AV34" s="117">
        <v>18436.486892793495</v>
      </c>
    </row>
    <row r="35" spans="1:49 16319:16321" x14ac:dyDescent="0.2">
      <c r="A35" t="s">
        <v>78</v>
      </c>
      <c r="B35" s="233">
        <v>1</v>
      </c>
      <c r="D35" s="233">
        <v>1.0024039364018116</v>
      </c>
      <c r="F35" s="233">
        <v>1.0049038159263062</v>
      </c>
      <c r="H35" s="233">
        <v>1.0074892294486535</v>
      </c>
      <c r="J35" s="233">
        <v>1.0101458647768027</v>
      </c>
      <c r="L35" s="233">
        <v>1.012855486050684</v>
      </c>
      <c r="N35" s="233">
        <v>1.0155972622655685</v>
      </c>
      <c r="P35" s="233">
        <v>1.0183485143288025</v>
      </c>
      <c r="R35" s="233">
        <v>1.021086790752705</v>
      </c>
      <c r="T35" s="233">
        <v>1.0237910575306701</v>
      </c>
      <c r="V35" s="233">
        <v>1.0264429555954766</v>
      </c>
      <c r="X35" s="233">
        <v>1.0290274936539263</v>
      </c>
      <c r="Z35" s="233">
        <v>1.0315334251465067</v>
      </c>
      <c r="AB35" s="233">
        <v>1.0339530305649847</v>
      </c>
      <c r="AD35" s="233">
        <v>1.0362817677891776</v>
      </c>
      <c r="AF35" s="233">
        <v>1.0385177382385686</v>
      </c>
      <c r="AH35" s="233">
        <v>1.0406611009454496</v>
      </c>
      <c r="AJ35" s="233">
        <v>1.0427135926901465</v>
      </c>
      <c r="AL35" s="233">
        <v>1.0446780133172719</v>
      </c>
      <c r="AN35" s="233">
        <v>1.0465578894516625</v>
      </c>
      <c r="AP35" s="233">
        <v>1.0469240632079466</v>
      </c>
      <c r="AR35" s="233">
        <v>1.0472870440716258</v>
      </c>
      <c r="AT35" s="233">
        <v>1.0476468673747619</v>
      </c>
      <c r="AV35" s="233">
        <v>1.0480035660470621</v>
      </c>
    </row>
    <row r="36" spans="1:49 16319:16321" x14ac:dyDescent="0.2">
      <c r="A36" t="s">
        <v>21</v>
      </c>
      <c r="B36" s="37">
        <v>0.4719576767198812</v>
      </c>
      <c r="C36" s="38">
        <v>0.31738834428178975</v>
      </c>
      <c r="D36" s="37">
        <v>0.471967797089132</v>
      </c>
      <c r="E36" s="38">
        <v>0.31869656763606102</v>
      </c>
      <c r="F36" s="37">
        <v>0.47197798390860907</v>
      </c>
      <c r="G36" s="38">
        <v>0.3200556202990068</v>
      </c>
      <c r="H36" s="37">
        <v>0.47198818373617263</v>
      </c>
      <c r="I36" s="38">
        <v>0.32145681885999305</v>
      </c>
      <c r="J36" s="37">
        <v>0.47199833428223359</v>
      </c>
      <c r="K36" s="38">
        <v>0.32288942489936512</v>
      </c>
      <c r="L36" s="37">
        <v>0.47200837073136542</v>
      </c>
      <c r="M36" s="38">
        <v>0.32434087784730159</v>
      </c>
      <c r="N36" s="37">
        <v>0.47201822289301637</v>
      </c>
      <c r="O36" s="38">
        <v>0.32579771577931588</v>
      </c>
      <c r="P36" s="37">
        <v>0.47202783101981682</v>
      </c>
      <c r="Q36" s="38">
        <v>0.32724616388025179</v>
      </c>
      <c r="R36" s="37">
        <v>0.47203713714872708</v>
      </c>
      <c r="S36" s="38">
        <v>0.32867332062908544</v>
      </c>
      <c r="T36" s="37">
        <v>0.47204609567273143</v>
      </c>
      <c r="U36" s="38">
        <v>0.33006779371867934</v>
      </c>
      <c r="V36" s="37">
        <v>0.47205467362660225</v>
      </c>
      <c r="W36" s="38">
        <v>0.33142027694425541</v>
      </c>
      <c r="X36" s="37">
        <v>0.47206284957919348</v>
      </c>
      <c r="Y36" s="38">
        <v>0.33272377820888877</v>
      </c>
      <c r="Z36" s="37">
        <v>0.47207061557275215</v>
      </c>
      <c r="AA36" s="38">
        <v>0.33397363627505322</v>
      </c>
      <c r="AB36" s="37">
        <v>0.47207797256706913</v>
      </c>
      <c r="AC36" s="38">
        <v>0.33516725615397208</v>
      </c>
      <c r="AD36" s="37">
        <v>0.47208492992054579</v>
      </c>
      <c r="AE36" s="38">
        <v>0.33630378705920394</v>
      </c>
      <c r="AF36" s="37">
        <v>0.47209150219272245</v>
      </c>
      <c r="AG36" s="38">
        <v>0.3373837346799945</v>
      </c>
      <c r="AH36" s="37">
        <v>0.47209770816674318</v>
      </c>
      <c r="AI36" s="38">
        <v>0.33840859508469168</v>
      </c>
      <c r="AJ36" s="37">
        <v>0.47210356876052723</v>
      </c>
      <c r="AK36" s="38">
        <v>0.33938055515329069</v>
      </c>
      <c r="AL36" s="37">
        <v>0.4721091057798884</v>
      </c>
      <c r="AM36" s="38">
        <v>0.34030221386820447</v>
      </c>
      <c r="AN36" s="37">
        <v>0.47211434113602624</v>
      </c>
      <c r="AO36" s="38">
        <v>0.34117639943118666</v>
      </c>
      <c r="AP36" s="37">
        <v>0.47211535390237686</v>
      </c>
      <c r="AQ36" s="38">
        <v>0.34134579589591518</v>
      </c>
      <c r="AR36" s="37">
        <v>0.47211635562468734</v>
      </c>
      <c r="AS36" s="38">
        <v>0.34151343261307848</v>
      </c>
      <c r="AT36" s="37">
        <v>0.47211734646989956</v>
      </c>
      <c r="AU36" s="38">
        <v>0.3416793336140872</v>
      </c>
      <c r="AV36" s="37">
        <v>0.47211832660116843</v>
      </c>
      <c r="AW36" s="38">
        <v>0.34184352187583417</v>
      </c>
    </row>
    <row r="37" spans="1:49 16319:16321" x14ac:dyDescent="0.2">
      <c r="B37" s="39">
        <v>2.1403217525954435E-2</v>
      </c>
      <c r="C37" s="40">
        <v>0.3496246130199252</v>
      </c>
      <c r="D37" s="39">
        <v>2.1047323003729527E-2</v>
      </c>
      <c r="E37" s="40">
        <v>0.34752761320611075</v>
      </c>
      <c r="F37" s="39">
        <v>2.0698426865248493E-2</v>
      </c>
      <c r="G37" s="40">
        <v>0.34548628051794117</v>
      </c>
      <c r="H37" s="39">
        <v>2.0358631201133758E-2</v>
      </c>
      <c r="I37" s="40">
        <v>0.3435133377609369</v>
      </c>
      <c r="J37" s="39">
        <v>2.0030005770730719E-2</v>
      </c>
      <c r="K37" s="40">
        <v>0.34162082074141326</v>
      </c>
      <c r="L37" s="39">
        <v>1.9714512586133975E-2</v>
      </c>
      <c r="M37" s="40">
        <v>0.33981959754010821</v>
      </c>
      <c r="N37" s="39">
        <v>1.9413826265243284E-2</v>
      </c>
      <c r="O37" s="40">
        <v>0.33811834622043213</v>
      </c>
      <c r="P37" s="39">
        <v>1.9129282738419705E-2</v>
      </c>
      <c r="Q37" s="40">
        <v>0.33652332580602545</v>
      </c>
      <c r="R37" s="39">
        <v>1.8861744655039297E-2</v>
      </c>
      <c r="S37" s="40">
        <v>0.33503773094933997</v>
      </c>
      <c r="T37" s="39">
        <v>1.8611606824067883E-2</v>
      </c>
      <c r="U37" s="40">
        <v>0.33366187213362442</v>
      </c>
      <c r="V37" s="39">
        <v>1.8378812937631561E-2</v>
      </c>
      <c r="W37" s="40">
        <v>0.33239342571887498</v>
      </c>
      <c r="X37" s="39">
        <v>1.8162922765285843E-2</v>
      </c>
      <c r="Y37" s="40">
        <v>0.33122794922614007</v>
      </c>
      <c r="Z37" s="39">
        <v>1.79631924389906E-2</v>
      </c>
      <c r="AA37" s="40">
        <v>0.33015943813146309</v>
      </c>
      <c r="AB37" s="39">
        <v>1.777867391845378E-2</v>
      </c>
      <c r="AC37" s="40">
        <v>0.32918094821605115</v>
      </c>
      <c r="AD37" s="39">
        <v>1.7608297711380793E-2</v>
      </c>
      <c r="AE37" s="40">
        <v>0.32828508997956857</v>
      </c>
      <c r="AF37" s="39">
        <v>1.7450945132903583E-2</v>
      </c>
      <c r="AG37" s="40">
        <v>0.32746443567829925</v>
      </c>
      <c r="AH37" s="39">
        <v>1.7305502320809452E-2</v>
      </c>
      <c r="AI37" s="40">
        <v>0.32671180615076606</v>
      </c>
      <c r="AJ37" s="39">
        <v>1.7170894955656896E-2</v>
      </c>
      <c r="AK37" s="40">
        <v>0.32602044085485515</v>
      </c>
      <c r="AL37" s="39">
        <v>1.7046114592480285E-2</v>
      </c>
      <c r="AM37" s="40">
        <v>0.32538411485107421</v>
      </c>
      <c r="AN37" s="39">
        <v>1.693022910248974E-2</v>
      </c>
      <c r="AO37" s="40">
        <v>0.32479716927930563</v>
      </c>
      <c r="AP37" s="39">
        <v>1.6908043063920394E-2</v>
      </c>
      <c r="AQ37" s="40">
        <v>0.32468524795283193</v>
      </c>
      <c r="AR37" s="39">
        <v>1.6886172208710276E-2</v>
      </c>
      <c r="AS37" s="40">
        <v>0.32457505887198107</v>
      </c>
      <c r="AT37" s="39">
        <v>1.6864610157617491E-2</v>
      </c>
      <c r="AU37" s="40">
        <v>0.32446656435853816</v>
      </c>
      <c r="AV37" s="39">
        <v>1.6843350786557142E-2</v>
      </c>
      <c r="AW37" s="40">
        <v>0.32435972822090198</v>
      </c>
    </row>
    <row r="38" spans="1:49 16319:16321" x14ac:dyDescent="0.2">
      <c r="A38" t="s">
        <v>22</v>
      </c>
      <c r="B38" s="37">
        <v>0.18079094942242827</v>
      </c>
      <c r="C38" s="38">
        <v>6.0565413429233668E-2</v>
      </c>
      <c r="D38" s="37">
        <v>0.18091299337030084</v>
      </c>
      <c r="E38" s="38">
        <v>6.0730075535804437E-2</v>
      </c>
      <c r="F38" s="37">
        <v>0.1810398645949389</v>
      </c>
      <c r="G38" s="38">
        <v>6.0902114883750171E-2</v>
      </c>
      <c r="H38" s="37">
        <v>0.18117072408841883</v>
      </c>
      <c r="I38" s="38">
        <v>6.1080487786659469E-2</v>
      </c>
      <c r="J38" s="37">
        <v>0.18130457596817068</v>
      </c>
      <c r="K38" s="38">
        <v>6.1263866095699948E-2</v>
      </c>
      <c r="L38" s="37">
        <v>0.18144028050675354</v>
      </c>
      <c r="M38" s="38">
        <v>6.1450655731555975E-2</v>
      </c>
      <c r="N38" s="37">
        <v>0.18157664085271283</v>
      </c>
      <c r="O38" s="38">
        <v>6.1639123990269426E-2</v>
      </c>
      <c r="P38" s="37">
        <v>0.18171244878234238</v>
      </c>
      <c r="Q38" s="38">
        <v>6.182745032606965E-2</v>
      </c>
      <c r="R38" s="37">
        <v>0.18184658161879991</v>
      </c>
      <c r="S38" s="38">
        <v>6.2013909672816205E-2</v>
      </c>
      <c r="T38" s="37">
        <v>0.18197805163771291</v>
      </c>
      <c r="U38" s="38">
        <v>6.2196945192290624E-2</v>
      </c>
      <c r="V38" s="37">
        <v>0.18210605104533661</v>
      </c>
      <c r="W38" s="38">
        <v>6.2375251030033961E-2</v>
      </c>
      <c r="X38" s="37">
        <v>0.18222996342796835</v>
      </c>
      <c r="Y38" s="38">
        <v>6.2547831140697396E-2</v>
      </c>
      <c r="Z38" s="37">
        <v>0.18234937337341647</v>
      </c>
      <c r="AA38" s="38">
        <v>6.2713965575778727E-2</v>
      </c>
      <c r="AB38" s="37">
        <v>0.18246403397784841</v>
      </c>
      <c r="AC38" s="38">
        <v>6.2873216412325433E-2</v>
      </c>
      <c r="AD38" s="37">
        <v>0.18257385048427693</v>
      </c>
      <c r="AE38" s="38">
        <v>6.3025397305024836E-2</v>
      </c>
      <c r="AF38" s="37">
        <v>0.18267883269781834</v>
      </c>
      <c r="AG38" s="38">
        <v>6.3170481148744462E-2</v>
      </c>
      <c r="AH38" s="37">
        <v>0.18277908670116652</v>
      </c>
      <c r="AI38" s="38">
        <v>6.3308605668384602E-2</v>
      </c>
      <c r="AJ38" s="37">
        <v>0.18287477090960297</v>
      </c>
      <c r="AK38" s="38">
        <v>6.3439987316770724E-2</v>
      </c>
      <c r="AL38" s="37">
        <v>0.18296608684142221</v>
      </c>
      <c r="AM38" s="38">
        <v>6.3564922997163029E-2</v>
      </c>
      <c r="AN38" s="37">
        <v>0.18305325639065728</v>
      </c>
      <c r="AO38" s="38">
        <v>6.3683741715548081E-2</v>
      </c>
      <c r="AP38" s="37">
        <v>0.18307021029388104</v>
      </c>
      <c r="AQ38" s="38">
        <v>6.3706797439903054E-2</v>
      </c>
      <c r="AR38" s="37">
        <v>0.18308701409310588</v>
      </c>
      <c r="AS38" s="38">
        <v>6.3729632106850953E-2</v>
      </c>
      <c r="AT38" s="37">
        <v>0.18310366317638022</v>
      </c>
      <c r="AU38" s="38">
        <v>6.3752238848764659E-2</v>
      </c>
      <c r="AV38" s="37">
        <v>0.18312016038061832</v>
      </c>
      <c r="AW38" s="38">
        <v>6.3774621809242718E-2</v>
      </c>
    </row>
    <row r="39" spans="1:49 16319:16321" x14ac:dyDescent="0.2">
      <c r="A39" t="s">
        <v>23</v>
      </c>
      <c r="B39" s="39">
        <v>0.23064923795098646</v>
      </c>
      <c r="C39" s="40">
        <v>0.22092201281804777</v>
      </c>
      <c r="D39" s="39">
        <v>0.23083186008770581</v>
      </c>
      <c r="E39" s="40">
        <v>0.22153556512186026</v>
      </c>
      <c r="F39" s="39">
        <v>0.23102641316379374</v>
      </c>
      <c r="G39" s="40">
        <v>0.22217885528541309</v>
      </c>
      <c r="H39" s="39">
        <v>0.23123235969834616</v>
      </c>
      <c r="I39" s="40">
        <v>0.22284835810812217</v>
      </c>
      <c r="J39" s="39">
        <v>0.23144870302077072</v>
      </c>
      <c r="K39" s="40">
        <v>0.22353937976982624</v>
      </c>
      <c r="L39" s="39">
        <v>0.23167397016034211</v>
      </c>
      <c r="M39" s="40">
        <v>0.22424613004289154</v>
      </c>
      <c r="N39" s="39">
        <v>0.23190630843596083</v>
      </c>
      <c r="O39" s="40">
        <v>0.22496211343821182</v>
      </c>
      <c r="P39" s="39">
        <v>0.23214354375233157</v>
      </c>
      <c r="Q39" s="40">
        <v>0.22568044573157908</v>
      </c>
      <c r="R39" s="39">
        <v>0.23238339806487435</v>
      </c>
      <c r="S39" s="40">
        <v>0.22639441763198051</v>
      </c>
      <c r="T39" s="39">
        <v>0.23262361877738635</v>
      </c>
      <c r="U39" s="40">
        <v>0.22709787700846634</v>
      </c>
      <c r="V39" s="39">
        <v>0.23286213079790122</v>
      </c>
      <c r="W39" s="40">
        <v>0.22778557471447977</v>
      </c>
      <c r="X39" s="39">
        <v>0.23309714591375527</v>
      </c>
      <c r="Y39" s="40">
        <v>0.22845331125508803</v>
      </c>
      <c r="Z39" s="39">
        <v>0.23332720972068113</v>
      </c>
      <c r="AA39" s="40">
        <v>0.22909806584864661</v>
      </c>
      <c r="AB39" s="39">
        <v>0.23355122381804366</v>
      </c>
      <c r="AC39" s="40">
        <v>0.22971785980230555</v>
      </c>
      <c r="AD39" s="39">
        <v>0.23376841119645314</v>
      </c>
      <c r="AE39" s="40">
        <v>0.23031161424231519</v>
      </c>
      <c r="AF39" s="39">
        <v>0.23397829764135772</v>
      </c>
      <c r="AG39" s="40">
        <v>0.23087903989880912</v>
      </c>
      <c r="AH39" s="39">
        <v>0.23418062712254376</v>
      </c>
      <c r="AI39" s="40">
        <v>0.2314203815150053</v>
      </c>
      <c r="AJ39" s="39">
        <v>0.23437534412857547</v>
      </c>
      <c r="AK39" s="40">
        <v>0.23193633808661546</v>
      </c>
      <c r="AL39" s="39">
        <v>0.23456252172118275</v>
      </c>
      <c r="AM39" s="40">
        <v>0.23242785921461098</v>
      </c>
      <c r="AN39" s="39">
        <v>0.2347423364367022</v>
      </c>
      <c r="AO39" s="40">
        <v>0.23289608131241296</v>
      </c>
      <c r="AP39" s="39">
        <v>0.23477744072876575</v>
      </c>
      <c r="AQ39" s="40">
        <v>0.23298704404985063</v>
      </c>
      <c r="AR39" s="39">
        <v>0.23481225517782903</v>
      </c>
      <c r="AS39" s="40">
        <v>0.23307712316168241</v>
      </c>
      <c r="AT39" s="39">
        <v>0.2348467921056149</v>
      </c>
      <c r="AU39" s="40">
        <v>0.23316634397004518</v>
      </c>
      <c r="AV39" s="39">
        <v>0.23488105229897821</v>
      </c>
      <c r="AW39" s="40">
        <v>0.23325471449539506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0.12229933380061078</v>
      </c>
      <c r="E42" s="135"/>
      <c r="F42" s="177">
        <f>10.8%+(1-10.8%)*(1-SUM(F26:G26)/SUM($B$26:$C$26))</f>
        <v>0.13894392768808506</v>
      </c>
      <c r="G42" s="135"/>
      <c r="H42" s="177">
        <f>10.8%+(1-10.8%)*(1-SUM(H26:I26)/SUM($B$26:$C$26))</f>
        <v>0.15824743265422422</v>
      </c>
      <c r="I42" s="135"/>
      <c r="J42" s="177">
        <f>10.8%+(1-10.8%)*(1-SUM(J26:K26)/SUM($B$26:$C$26))</f>
        <v>0.18051617487891386</v>
      </c>
      <c r="K42" s="135"/>
      <c r="L42" s="177">
        <f>10.8%+(1-10.8%)*(1-SUM(L26:M26)/SUM($B$26:$C$26))</f>
        <v>0.20603236379831424</v>
      </c>
      <c r="M42" s="135"/>
      <c r="N42" s="177">
        <f>10.8%+(1-10.8%)*(1-SUM(N26:O26)/SUM($B$26:$C$26))</f>
        <v>0.23503424760906269</v>
      </c>
      <c r="O42" s="135"/>
      <c r="P42" s="177">
        <f>10.8%+(1-10.8%)*(1-SUM(P26:Q26)/SUM($B$26:$C$26))</f>
        <v>0.26769977817882179</v>
      </c>
      <c r="Q42" s="135"/>
      <c r="R42" s="177">
        <f>10.8%+(1-10.8%)*(1-SUM(R26:S26)/SUM($B$26:$C$26))</f>
        <v>0.30413587463295449</v>
      </c>
      <c r="S42" s="135"/>
      <c r="T42" s="177">
        <f>10.8%+(1-10.8%)*(1-SUM(T26:U26)/SUM($B$26:$C$26))</f>
        <v>0.34437461742752928</v>
      </c>
      <c r="U42" s="135"/>
      <c r="V42" s="177">
        <f>10.8%+(1-10.8%)*(1-SUM(V26:W26)/SUM($B$26:$C$26))</f>
        <v>0.38837727320738158</v>
      </c>
      <c r="W42" s="135"/>
      <c r="X42" s="177">
        <f>10.8%+(1-10.8%)*(1-SUM(X26:Y26)/SUM($B$26:$C$26))</f>
        <v>0.43604427183492322</v>
      </c>
      <c r="Y42" s="162"/>
      <c r="Z42" s="177">
        <f>10.8%+(1-10.8%)*(1-SUM(Z26:AA26)/SUM($B$26:$C$26))</f>
        <v>0.48722864368018215</v>
      </c>
      <c r="AA42" s="135"/>
      <c r="AB42" s="177">
        <f>10.8%+(1-10.8%)*(1-SUM(AB26:AC26)/SUM($B$26:$C$26))</f>
        <v>0.54175086978014286</v>
      </c>
      <c r="AC42" s="135"/>
      <c r="AD42" s="177">
        <f>10.8%+(1-10.8%)*(1-SUM(AD26:AE26)/SUM($B$26:$C$26))</f>
        <v>0.59941104295198211</v>
      </c>
      <c r="AE42" s="135"/>
      <c r="AF42" s="177">
        <f>10.8%+(1-10.8%)*(1-SUM(AF26:AG26)/SUM($B$26:$C$26))</f>
        <v>0.66000280251054533</v>
      </c>
      <c r="AG42" s="135"/>
      <c r="AH42" s="177">
        <f>10.8%+(1-10.8%)*(1-SUM(AH26:AI26)/SUM($B$26:$C$26))</f>
        <v>0.72331899360133134</v>
      </c>
      <c r="AI42" s="135"/>
      <c r="AJ42" s="177">
        <f>10.8%+(1-10.8%)*(1-SUM(AJ26:AK26)/SUM($B$26:$C$26))</f>
        <v>0.78915987603853244</v>
      </c>
      <c r="AK42" s="135"/>
      <c r="AL42" s="177">
        <f>10.8%+(1-10.8%)*(1-SUM(AL26:AM26)/SUM($B$26:$C$26))</f>
        <v>0.85733584573018584</v>
      </c>
      <c r="AM42" s="135"/>
      <c r="AN42" s="177">
        <f>10.8%+(1-10.8%)*(1-SUM(AN26:AO26)/SUM($B$26:$C$26))</f>
        <v>0.92767021784319736</v>
      </c>
      <c r="AO42" s="135"/>
      <c r="AP42" s="177">
        <f>10.8%+(1-10.8%)*(1-SUM(AP26:AQ26)/SUM($B$26:$C$26))</f>
        <v>0.94198154022038538</v>
      </c>
      <c r="AQ42" s="135"/>
      <c r="AR42" s="177">
        <f>10.8%+(1-10.8%)*(1-SUM(AR26:AS26)/SUM($B$26:$C$26))</f>
        <v>0.95637135054989064</v>
      </c>
      <c r="AS42" s="135"/>
      <c r="AT42" s="177">
        <f>10.8%+(1-10.8%)*(1-SUM(AT26:AU26)/SUM($B$26:$C$26))</f>
        <v>0.97083849800314925</v>
      </c>
      <c r="AU42" s="135"/>
      <c r="AV42" s="177">
        <f>10.8%+(1-10.8%)*(1-SUM(AV26:AW26)/SUM($B$26:$C$26))</f>
        <v>0.98538177381374381</v>
      </c>
    </row>
    <row r="43" spans="1:49 16319:16321" x14ac:dyDescent="0.2">
      <c r="A43" t="s">
        <v>108</v>
      </c>
      <c r="B43" s="162">
        <f>SUM(B15:C15*B27:C27)/SUM(B15:C15*B27:C27,B13:C13*B26:C26)</f>
        <v>0.56058995943839085</v>
      </c>
      <c r="C43" s="135"/>
      <c r="D43" s="162">
        <f t="array" ref="D43">SUM(D15:E15*D27:E27)/SUM(D15:E15*D27:E27,D13:E13*D26:E26)</f>
        <v>0.56676241217920698</v>
      </c>
      <c r="E43" s="135"/>
      <c r="F43" s="162">
        <f t="array" ref="F43">SUM(F15:G15*F27:G27)/SUM(F15:G15*F27:G27,F13:G13*F26:G26)</f>
        <v>0.56630011484243348</v>
      </c>
      <c r="G43" s="135"/>
      <c r="H43" s="162">
        <f t="array" ref="H43">SUM(H15:I15*H27:I27)/SUM(H15:I15*H27:I27,H13:I13*H26:I26)</f>
        <v>0.56581172432679183</v>
      </c>
      <c r="I43" s="135"/>
      <c r="J43" s="162">
        <f t="array" ref="J43">SUM(J15:K15*J27:K27)/SUM(J15:K15*J27:K27,J13:K13*J26:K26)</f>
        <v>0.56529677138306977</v>
      </c>
      <c r="K43" s="135"/>
      <c r="L43" s="162">
        <f t="array" ref="L43">SUM(L15:M15*L27:M27)/SUM(L15:M15*L27:M27,L13:M13*L26:M26)</f>
        <v>0.56475635761981657</v>
      </c>
      <c r="M43" s="135"/>
      <c r="N43" s="162">
        <f t="array" ref="N43">SUM(N15:O15*N27:O27)/SUM(N15:O15*N27:O27,N13:O13*N26:O26)</f>
        <v>0.56419326654974522</v>
      </c>
      <c r="O43" s="135"/>
      <c r="P43" s="162">
        <f t="array" ref="P43">SUM(P15:Q15*P27:Q27)/SUM(P15:Q15*P27:Q27,P13:Q13*P26:Q26)</f>
        <v>0.56361164024026289</v>
      </c>
      <c r="Q43" s="135"/>
      <c r="R43" s="162">
        <f t="array" ref="R43">SUM(R15:S15*R27:S27)/SUM(R15:S15*R27:S27,R13:S13*R26:S26)</f>
        <v>0.56301669439785307</v>
      </c>
      <c r="S43" s="135"/>
      <c r="T43" s="162">
        <f t="array" ref="T43">SUM(T15:U15*T27:U27)/SUM(T15:U15*T27:U27,T13:U13*T26:U26)</f>
        <v>0.56241414535394574</v>
      </c>
      <c r="U43" s="135"/>
      <c r="V43" s="162">
        <f t="array" ref="V43">SUM(V15:W15*V27:W27)/SUM(V15:W15*V27:W27,V13:W13*V26:W26)</f>
        <v>0.5618097095279484</v>
      </c>
      <c r="W43" s="135"/>
      <c r="X43" s="162">
        <f t="array" ref="X43">SUM(X15:Y15*X27:Y27)/SUM(X15:Y15*X27:Y27,X13:Y13*X26:Y26)</f>
        <v>0.5612086873806772</v>
      </c>
      <c r="Y43" s="135"/>
      <c r="Z43" s="162">
        <f t="array" ref="Z43">SUM(Z15:AA15*Z27:AA27)/SUM(Z15:AA15*Z27:AA27,Z13:AA13*Z26:AA26)</f>
        <v>0.56061564851320345</v>
      </c>
      <c r="AA43" s="135"/>
      <c r="AB43" s="162">
        <f t="array" ref="AB43">SUM(AB15:AC15*AB27:AC27)/SUM(AB15:AC15*AB27:AC27,AB13:AC13*AB26:AC26)</f>
        <v>0.56003431322478514</v>
      </c>
      <c r="AC43" s="135"/>
      <c r="AD43" s="162">
        <f t="array" ref="AD43">SUM(AD15:AE15*AD27:AE27)/SUM(AD15:AE15*AD27:AE27,AD13:AE13*AD26:AE26)</f>
        <v>0.55946748752395503</v>
      </c>
      <c r="AE43" s="135"/>
      <c r="AF43" s="162">
        <f t="array" ref="AF43">SUM(AF15:AG15*AF27:AG27)/SUM(AF15:AG15*AF27:AG27,AF13:AG13*AF26:AG26)</f>
        <v>0.55891719792137862</v>
      </c>
      <c r="AG43" s="135"/>
      <c r="AH43" s="162">
        <f t="array" ref="AH43">SUM(AH15:AI15*AH27:AI27)/SUM(AH15:AI15*AH27:AI27,AH13:AI13*AH26:AI26)</f>
        <v>0.55838470731680967</v>
      </c>
      <c r="AI43" s="135"/>
      <c r="AJ43" s="162">
        <f t="array" ref="AJ43">SUM(AJ15:AK15*AJ27:AK27)/SUM(AJ15:AK15*AJ27:AK27,AJ13:AK13*AJ26:AK26)</f>
        <v>0.55787072447994623</v>
      </c>
      <c r="AK43" s="135"/>
      <c r="AL43" s="162">
        <f t="array" ref="AL43">SUM(AL15:AM15*AL27:AM27)/SUM(AL15:AM15*AL27:AM27,AL13:AM13*AL26:AM26)</f>
        <v>0.55737547301593315</v>
      </c>
      <c r="AM43" s="135"/>
      <c r="AN43" s="162">
        <f t="array" ref="AN43">SUM(AN15:AO15*AN27:AO27)/SUM(AN15:AO15*AN27:AO27,AN13:AO13*AN26:AO26)</f>
        <v>0.55689883658533934</v>
      </c>
      <c r="AO43" s="135"/>
      <c r="AP43" s="162">
        <f t="array" ref="AP43">SUM(AP15:AQ15*AP27:AQ27)/SUM(AP15:AQ15*AP27:AQ27,AP13:AQ13*AP26:AQ26)</f>
        <v>0.55680572499943093</v>
      </c>
      <c r="AQ43" s="135"/>
      <c r="AR43" s="162">
        <f t="array" ref="AR43">SUM(AR15:AS15*AR27:AS27)/SUM(AR15:AS15*AR27:AS27,AR13:AS13*AR26:AS26)</f>
        <v>0.55671332198900492</v>
      </c>
      <c r="AS43" s="135"/>
      <c r="AT43" s="162">
        <f t="array" ref="AT43">SUM(AT15:AU15*AT27:AU27)/SUM(AT15:AU15*AT27:AU27,AT13:AU13*AT26:AU26)</f>
        <v>0.5566216485241986</v>
      </c>
      <c r="AU43" s="135"/>
      <c r="AV43" s="162">
        <f t="array" ref="AV43">SUM(AV15:AW15*AV27:AW27)/SUM(AV15:AW15*AV27:AW27,AV13:AW13*AV26:AW26)</f>
        <v>0.55653069648219478</v>
      </c>
    </row>
    <row r="44" spans="1:49 16319:16321" x14ac:dyDescent="0.2">
      <c r="A44" t="s">
        <v>142</v>
      </c>
      <c r="B44" s="193">
        <f>(SUM(B11:C11*B24:C24)+B34)/B32</f>
        <v>0.29754226190682342</v>
      </c>
      <c r="D44" s="193">
        <f>(SUM(D11:E11*D24:E24)+D34)/D32</f>
        <v>0.2998010054509111</v>
      </c>
      <c r="F44" s="193">
        <f>(SUM(F11:G11*F24:G24)+F34)/F32</f>
        <v>0.3020655744857339</v>
      </c>
      <c r="H44" s="193">
        <f>(SUM(H11:I11*H24:I24)+H34)/H32</f>
        <v>0.30432578363692148</v>
      </c>
      <c r="J44" s="193">
        <f>(SUM(J11:K11*J24:K24)+J34)/J32</f>
        <v>0.30656978840668014</v>
      </c>
      <c r="L44" s="193">
        <f>(SUM(L11:M11*L24:M24)+L34)/L32</f>
        <v>0.30878447255407776</v>
      </c>
      <c r="N44" s="193">
        <f>(SUM(N11:O11*N24:O24)+N34)/N32</f>
        <v>0.31095633376553838</v>
      </c>
      <c r="P44" s="193">
        <f>(SUM(P11:Q11*P24:Q24)+P34)/P32</f>
        <v>0.31307234752329333</v>
      </c>
      <c r="R44" s="193">
        <f>(SUM(R11:S11*R24:S24)+R34)/R32</f>
        <v>0.31512089064505605</v>
      </c>
      <c r="T44" s="193">
        <f>(SUM(T11:U11*T24:U24)+T34)/T32</f>
        <v>0.31709245973811706</v>
      </c>
      <c r="V44" s="193">
        <f>(SUM(V11:W11*V24:W24)+V34)/V32</f>
        <v>0.3189801083605231</v>
      </c>
      <c r="X44" s="193">
        <f>(SUM(X11:Y11*X24:Y24)+X34)/X32</f>
        <v>0.3207795263819791</v>
      </c>
      <c r="Z44" s="193">
        <f>(SUM(Z11:AA11*Z24:AA24)+Z34)/Z32</f>
        <v>0.32248894297568254</v>
      </c>
      <c r="AB44" s="193">
        <f>(SUM(AB11:AC11*AB24:AC24)+AB34)/AB32</f>
        <v>0.3241086693798772</v>
      </c>
      <c r="AD44" s="193">
        <f>(SUM(AD11:AE11*AD24:AE24)+AD34)/AD32</f>
        <v>0.32564085918613217</v>
      </c>
      <c r="AF44" s="193">
        <f>(SUM(AF11:AG11*AF24:AG24)+AF34)/AF32</f>
        <v>0.32708865045582536</v>
      </c>
      <c r="AH44" s="193">
        <f>(SUM(AH11:AI11*AH24:AI24)+AH34)/AH32</f>
        <v>0.328456252305309</v>
      </c>
      <c r="AJ44" s="193">
        <f>(SUM(AJ11:AK11*AJ24:AK24)+AJ34)/AJ32</f>
        <v>0.32974816638956433</v>
      </c>
      <c r="AL44" s="193">
        <f>(SUM(AL11:AM11*AL24:AM24)+AL34)/AL32</f>
        <v>0.3309692295776096</v>
      </c>
      <c r="AN44" s="193">
        <f>(SUM(AN11:AO11*AN24:AO24)+AN34)/AN32</f>
        <v>0.33212424545138103</v>
      </c>
      <c r="AP44" s="193">
        <f>(SUM(AP11:AQ11*AP24:AQ24)+AP34)/AP32</f>
        <v>0.33234768576073381</v>
      </c>
      <c r="AR44" s="193">
        <f>(SUM(AR11:AS11*AR24:AS24)+AR34)/AR32</f>
        <v>0.33256879501300302</v>
      </c>
      <c r="AT44" s="193">
        <f>(SUM(AT11:AU11*AT24:AU24)+AT34)/AT32</f>
        <v>0.33278748838136951</v>
      </c>
      <c r="AV44" s="193">
        <f>(SUM(AV11:AW11*AV24:AW24)+AV34)/AV32</f>
        <v>0.33300381948443314</v>
      </c>
    </row>
    <row r="45" spans="1:49 16319:16321" x14ac:dyDescent="0.2">
      <c r="A45" t="s">
        <v>82</v>
      </c>
      <c r="B45" s="193">
        <f>SUM(B11:C11*B24:C24)/B32</f>
        <v>0.22038438833194082</v>
      </c>
      <c r="D45" s="193">
        <f>SUM(D11:E11*D24:E24)/D32</f>
        <v>0.22264311771555426</v>
      </c>
      <c r="F45" s="193">
        <f>SUM(F11:G11*F24:G24)/F32</f>
        <v>0.22490768707084571</v>
      </c>
      <c r="H45" s="193">
        <f>SUM(H11:I11*H24:I24)/H32</f>
        <v>0.22716789022756895</v>
      </c>
      <c r="J45" s="193">
        <f>SUM(J11:K11*J24:K24)/J32</f>
        <v>0.22941189964765796</v>
      </c>
      <c r="L45" s="193">
        <f>SUM(L11:M11*L24:M24)/L32</f>
        <v>0.23162657403129788</v>
      </c>
      <c r="N45" s="193">
        <f>SUM(N11:O11*N24:O24)/N32</f>
        <v>0.23379845981808475</v>
      </c>
      <c r="P45" s="193">
        <f>SUM(P11:Q11*P24:Q24)/P32</f>
        <v>0.23591447369585164</v>
      </c>
      <c r="R45" s="193">
        <f>SUM(R11:S11*R24:S24)/R32</f>
        <v>0.23796301718424118</v>
      </c>
      <c r="T45" s="193">
        <f>SUM(T11:U11*T24:U24)/T32</f>
        <v>0.23993458654185576</v>
      </c>
      <c r="V45" s="193">
        <f>SUM(V11:W11*V24:W24)/V32</f>
        <v>0.24182223492168425</v>
      </c>
      <c r="X45" s="193">
        <f>SUM(X11:Y11*X24:Y24)/X32</f>
        <v>0.24362165269829469</v>
      </c>
      <c r="Z45" s="193">
        <f>SUM(Z11:AA11*Z24:AA24)/Z32</f>
        <v>0.24533106823551928</v>
      </c>
      <c r="AB45" s="193">
        <f>SUM(AB11:AC11*AB24:AC24)/AB32</f>
        <v>0.24695080122972987</v>
      </c>
      <c r="AD45" s="193">
        <f>SUM(AD11:AE11*AD24:AE24)/AD32</f>
        <v>0.2484829823427929</v>
      </c>
      <c r="AF45" s="193">
        <f>SUM(AF11:AG11*AF24:AG24)/AF32</f>
        <v>0.24993077921118009</v>
      </c>
      <c r="AH45" s="193">
        <f>SUM(AH11:AI11*AH24:AI24)/AH32</f>
        <v>0.2512983769894202</v>
      </c>
      <c r="AJ45" s="193">
        <f>SUM(AJ11:AK11*AJ24:AK24)/AJ32</f>
        <v>0.25259029486986989</v>
      </c>
      <c r="AL45" s="193">
        <f>SUM(AL11:AM11*AL24:AM24)/AL32</f>
        <v>0.25381135809714972</v>
      </c>
      <c r="AN45" s="193">
        <f>SUM(AN11:AO11*AN24:AO24)/AN32</f>
        <v>0.25496636948276391</v>
      </c>
      <c r="AP45" s="193">
        <f>SUM(AP11:AQ11*AP24:AQ24)/AP32</f>
        <v>0.25518981787483719</v>
      </c>
      <c r="AR45" s="193">
        <f>SUM(AR11:AS11*AR24:AS24)/AR32</f>
        <v>0.25541091930063814</v>
      </c>
      <c r="AT45" s="193">
        <f>SUM(AT11:AU11*AT24:AU24)/AT32</f>
        <v>0.25562961089886138</v>
      </c>
      <c r="AV45" s="193">
        <f>SUM(AV11:AW11*AV24:AW24)/AV32</f>
        <v>0.25584594305603431</v>
      </c>
      <c r="XCQ45" s="193"/>
    </row>
    <row r="46" spans="1:49 16319:16321" x14ac:dyDescent="0.2">
      <c r="A46" t="s">
        <v>139</v>
      </c>
      <c r="B46" s="193">
        <f>B34/B32</f>
        <v>7.7157873574882588E-2</v>
      </c>
      <c r="D46" s="193">
        <f>D34/D32</f>
        <v>7.7157887735356812E-2</v>
      </c>
      <c r="F46" s="193">
        <f>F34/F32</f>
        <v>7.7157887414888174E-2</v>
      </c>
      <c r="H46" s="193">
        <f>H34/H32</f>
        <v>7.7157893409352515E-2</v>
      </c>
      <c r="J46" s="193">
        <f>J34/J32</f>
        <v>7.7157888759022158E-2</v>
      </c>
      <c r="L46" s="193">
        <f>L34/L32</f>
        <v>7.7157898522779864E-2</v>
      </c>
      <c r="N46" s="193">
        <f>N34/N32</f>
        <v>7.7157873947453617E-2</v>
      </c>
      <c r="P46" s="193">
        <f>P34/P32</f>
        <v>7.7157873827441659E-2</v>
      </c>
      <c r="R46" s="193">
        <f>R34/R32</f>
        <v>7.7157873460814888E-2</v>
      </c>
      <c r="T46" s="193">
        <f>T34/T32</f>
        <v>7.7157873196261273E-2</v>
      </c>
      <c r="V46" s="193">
        <f>V34/V32</f>
        <v>7.7157873438838856E-2</v>
      </c>
      <c r="X46" s="193">
        <f>X34/X32</f>
        <v>7.7157873683684389E-2</v>
      </c>
      <c r="Z46" s="193">
        <f>Z34/Z32</f>
        <v>7.7157874740163238E-2</v>
      </c>
      <c r="AB46" s="193">
        <f>AB34/AB32</f>
        <v>7.7157868150147343E-2</v>
      </c>
      <c r="AD46" s="193">
        <f>AD34/AD32</f>
        <v>7.7157876843339315E-2</v>
      </c>
      <c r="AF46" s="193">
        <f>AF34/AF32</f>
        <v>7.7157871244645293E-2</v>
      </c>
      <c r="AH46" s="193">
        <f>AH34/AH32</f>
        <v>7.7157875315888746E-2</v>
      </c>
      <c r="AJ46" s="193">
        <f>AJ34/AJ32</f>
        <v>7.7157871519694401E-2</v>
      </c>
      <c r="AL46" s="193">
        <f>AL34/AL32</f>
        <v>7.7157871480459869E-2</v>
      </c>
      <c r="AN46" s="193">
        <f>AN34/AN32</f>
        <v>7.715787596861709E-2</v>
      </c>
      <c r="AP46" s="193">
        <f>AP34/AP32</f>
        <v>7.7157867885896625E-2</v>
      </c>
      <c r="AR46" s="193">
        <f>AR34/AR32</f>
        <v>7.715787571236489E-2</v>
      </c>
      <c r="AT46" s="193">
        <f>AT34/AT32</f>
        <v>7.7157877482508144E-2</v>
      </c>
      <c r="AV46" s="193">
        <f>AV34/AV32</f>
        <v>7.7157876428398886E-2</v>
      </c>
      <c r="XCS46" s="193"/>
    </row>
    <row r="48" spans="1:49 16319:16321" x14ac:dyDescent="0.2">
      <c r="A48" t="s">
        <v>159</v>
      </c>
      <c r="B48" s="191">
        <f>B24/$B$24</f>
        <v>1</v>
      </c>
      <c r="C48" s="191"/>
      <c r="D48" s="191">
        <f>D24/$B$24</f>
        <v>0.99527854567082386</v>
      </c>
      <c r="E48" s="191"/>
      <c r="F48" s="191">
        <f>F24/$B$24</f>
        <v>0.98745854532623145</v>
      </c>
      <c r="G48" s="191"/>
      <c r="H48" s="191">
        <f>H24/$B$24</f>
        <v>0.97603738070266099</v>
      </c>
      <c r="I48" s="191"/>
      <c r="J48" s="191">
        <f>J24/$B$24</f>
        <v>0.96050532622651219</v>
      </c>
      <c r="K48" s="191"/>
      <c r="L48" s="191">
        <f>L24/$B$24</f>
        <v>0.94037064293426431</v>
      </c>
      <c r="M48" s="191"/>
      <c r="N48" s="191">
        <f>N24/$B$24</f>
        <v>0.91519242718928051</v>
      </c>
      <c r="O48" s="191"/>
      <c r="P48" s="191">
        <f>P24/$B$24</f>
        <v>0.88460880989235524</v>
      </c>
      <c r="Q48" s="191"/>
      <c r="R48" s="191">
        <f>R24/$B$24</f>
        <v>0.84835995038469736</v>
      </c>
      <c r="S48" s="191"/>
      <c r="T48" s="191">
        <f>T24/$B$24</f>
        <v>0.80629962312842929</v>
      </c>
      <c r="U48" s="191"/>
      <c r="V48" s="191">
        <f>V24/$B$24</f>
        <v>0.75839500381308722</v>
      </c>
      <c r="W48" s="191"/>
      <c r="X48" s="191">
        <f>X24/$B$24</f>
        <v>0.70471585146505222</v>
      </c>
      <c r="Y48" s="191"/>
      <c r="Z48" s="191">
        <f>Z24/$B$24</f>
        <v>0.64541685991540854</v>
      </c>
      <c r="AA48" s="191"/>
      <c r="AB48" s="191">
        <f>AB24/$B$24</f>
        <v>0.58071593203787142</v>
      </c>
      <c r="AC48" s="191"/>
      <c r="AD48" s="191">
        <f>AD24/$B$24</f>
        <v>0.5108753435566965</v>
      </c>
      <c r="AE48" s="191"/>
      <c r="AF48" s="191">
        <f>AF24/$B$24</f>
        <v>0.43617925373672228</v>
      </c>
      <c r="AG48" s="191"/>
      <c r="AH48" s="191">
        <f>AH24/$B$24</f>
        <v>0.35692343981924246</v>
      </c>
      <c r="AI48" s="191"/>
      <c r="AJ48" s="191">
        <f>AJ24/$B$24</f>
        <v>0.27340083674871113</v>
      </c>
      <c r="AK48" s="191"/>
      <c r="AL48" s="191">
        <f>AL24/$B$24</f>
        <v>0.18589572584252537</v>
      </c>
      <c r="AM48" s="191"/>
      <c r="AN48" s="191">
        <f>AN24/$B$24</f>
        <v>9.4677863969013093E-2</v>
      </c>
      <c r="AO48" s="191"/>
      <c r="AP48" s="191">
        <f>AP24/$B$24</f>
        <v>7.6011273590025838E-2</v>
      </c>
      <c r="AQ48" s="191"/>
      <c r="AR48" s="191">
        <f>AR24/$B$24</f>
        <v>5.7208358404480256E-2</v>
      </c>
      <c r="AS48" s="191"/>
      <c r="AT48" s="191">
        <f>AT24/$B$24</f>
        <v>3.8270913106577063E-2</v>
      </c>
      <c r="AU48" s="191"/>
      <c r="AV48" s="191">
        <f>AV24/$B$24</f>
        <v>1.9200840958377992E-2</v>
      </c>
    </row>
    <row r="49" spans="1:48 16321:16384" x14ac:dyDescent="0.2">
      <c r="A49" t="s">
        <v>160</v>
      </c>
      <c r="B49" s="191">
        <f>B13/B35/$B$13*$B$35</f>
        <v>1</v>
      </c>
      <c r="C49" s="191"/>
      <c r="D49" s="191">
        <f>D13/D35/$B$13*$B$35</f>
        <v>0.99380276299449966</v>
      </c>
      <c r="E49" s="191"/>
      <c r="F49" s="191">
        <f>F13/F35/$B$13*$B$35</f>
        <v>0.98748241494128419</v>
      </c>
      <c r="G49" s="191"/>
      <c r="H49" s="191">
        <f>H13/H35/$B$13*$B$35</f>
        <v>0.98108024229005841</v>
      </c>
      <c r="I49" s="191"/>
      <c r="J49" s="191">
        <f>J13/J35/$B$13*$B$35</f>
        <v>0.9746428067917301</v>
      </c>
      <c r="K49" s="191"/>
      <c r="L49" s="191">
        <f>L13/L35/$B$13*$B$35</f>
        <v>0.96822107270159596</v>
      </c>
      <c r="M49" s="191"/>
      <c r="N49" s="191">
        <f>N13/N35/$B$13*$B$35</f>
        <v>0.96186614172348062</v>
      </c>
      <c r="O49" s="191"/>
      <c r="P49" s="191">
        <f>P13/P35/$B$13*$B$35</f>
        <v>0.95562782199921048</v>
      </c>
      <c r="Q49" s="191"/>
      <c r="R49" s="191">
        <f>R13/R35/$B$13*$B$35</f>
        <v>0.94954992184878328</v>
      </c>
      <c r="S49" s="191"/>
      <c r="T49" s="191">
        <f>T13/T35/$B$13*$B$35</f>
        <v>0.94366887190730253</v>
      </c>
      <c r="U49" s="191"/>
      <c r="V49" s="191">
        <f>V13/V35/$B$13*$B$35</f>
        <v>0.93801220644966199</v>
      </c>
      <c r="W49" s="191"/>
      <c r="X49" s="191">
        <f>X13/X35/$B$13*$B$35</f>
        <v>0.93259838619111335</v>
      </c>
      <c r="Y49" s="191"/>
      <c r="Z49" s="191">
        <f>Z13/Z35/$B$13*$B$35</f>
        <v>0.92743728175374951</v>
      </c>
      <c r="AA49" s="191"/>
      <c r="AB49" s="191">
        <f>AB13/AB35/$B$13*$B$35</f>
        <v>0.92253153650268938</v>
      </c>
      <c r="AC49" s="191"/>
      <c r="AD49" s="191">
        <f>AD13/AD35/$B$13*$B$35</f>
        <v>0.91787798247703678</v>
      </c>
      <c r="AE49" s="191"/>
      <c r="AF49" s="191">
        <f>AF13/AF35/$B$13*$B$35</f>
        <v>0.91346917776516912</v>
      </c>
      <c r="AG49" s="191"/>
      <c r="AH49" s="191">
        <f>AH13/AH35/$B$13*$B$35</f>
        <v>0.90929477312612961</v>
      </c>
      <c r="AI49" s="191"/>
      <c r="AJ49" s="191">
        <f>AJ13/AJ35/$B$13*$B$35</f>
        <v>0.90534256175311945</v>
      </c>
      <c r="AK49" s="191"/>
      <c r="AL49" s="191">
        <f>AL13/AL35/$B$13*$B$35</f>
        <v>0.90159945098835848</v>
      </c>
      <c r="AM49" s="191"/>
      <c r="AN49" s="191">
        <f>AN13/AN35/$B$13*$B$35</f>
        <v>0.89805204692539298</v>
      </c>
      <c r="AO49" s="191"/>
      <c r="AP49" s="191">
        <f>AP13/AP35/$B$13*$B$35</f>
        <v>0.8973648789871097</v>
      </c>
      <c r="AQ49" s="191"/>
      <c r="AR49" s="191">
        <f>AR13/AR35/$B$13*$B$35</f>
        <v>0.89668490724209171</v>
      </c>
      <c r="AS49" s="191"/>
      <c r="AT49" s="191">
        <f>AT13/AT35/$B$13*$B$35</f>
        <v>0.89601202522776968</v>
      </c>
      <c r="AU49" s="191"/>
      <c r="AV49" s="191">
        <f>AV13/AV35/$B$13*$B$35</f>
        <v>0.89534613153600073</v>
      </c>
    </row>
    <row r="51" spans="1:48 16321:16384" x14ac:dyDescent="0.2">
      <c r="A51" t="s">
        <v>166</v>
      </c>
      <c r="B51" s="29">
        <f>B30-B10*B23</f>
        <v>-405838.32800000021</v>
      </c>
      <c r="D51" s="29">
        <f>D30-D10*D23</f>
        <v>-344145.59982206346</v>
      </c>
      <c r="F51" s="29">
        <f>F30-F10*F23</f>
        <v>-283316.83332755603</v>
      </c>
      <c r="H51" s="29">
        <f>H30-H10*H23</f>
        <v>-223976.1401412813</v>
      </c>
      <c r="J51" s="29">
        <f>J30-J10*J23</f>
        <v>-166840.23965812521</v>
      </c>
      <c r="L51" s="29">
        <f>L30-L10*L23</f>
        <v>-112697.93613832677</v>
      </c>
      <c r="N51" s="29">
        <f>N30-N10*N23</f>
        <v>-62361.566269626375</v>
      </c>
      <c r="P51" s="29">
        <f>P30-P10*P23</f>
        <v>-16627.891067341901</v>
      </c>
      <c r="R51" s="29">
        <f>R30-R10*R23</f>
        <v>23781.258261573501</v>
      </c>
      <c r="T51" s="29">
        <f>T30-T10*T23</f>
        <v>58255.323752266355</v>
      </c>
      <c r="V51" s="29">
        <f>V30-V10*V23</f>
        <v>86323.472778430674</v>
      </c>
      <c r="X51" s="29">
        <f>X30-X10*X23</f>
        <v>107664.17660114029</v>
      </c>
      <c r="Z51" s="29">
        <f>Z30-Z10*Z23</f>
        <v>122101.71952961432</v>
      </c>
      <c r="AB51" s="29">
        <f>AB30-AB10*AB23</f>
        <v>129588.57725469023</v>
      </c>
      <c r="AD51" s="29">
        <f>AD30-AD10*AD23</f>
        <v>130183.16751679196</v>
      </c>
      <c r="AF51" s="29">
        <f>AF30-AF10*AF23</f>
        <v>124026.26027643774</v>
      </c>
      <c r="AH51" s="29">
        <f>AH30-AH10*AH23</f>
        <v>111316.94385701744</v>
      </c>
      <c r="AJ51" s="29">
        <f>AJ30-AJ10*AJ23</f>
        <v>92293.917428784887</v>
      </c>
      <c r="AL51" s="29">
        <f>AL30-AL10*AL23</f>
        <v>67218.453379839542</v>
      </c>
      <c r="AN51" s="29">
        <f>AN30-AN10*AN23</f>
        <v>36362.608827175631</v>
      </c>
      <c r="AP51" s="29">
        <f>AP30-AP10*AP23</f>
        <v>29521.93903070793</v>
      </c>
      <c r="AQ51" s="29"/>
      <c r="AR51" s="29">
        <f>AR30-AR10*AR23</f>
        <v>22463.165269508609</v>
      </c>
      <c r="AT51" s="29">
        <f>AT30-AT10*AT23</f>
        <v>15188.487876335741</v>
      </c>
      <c r="AV51" s="29">
        <f>AV30-AV10*AV23</f>
        <v>7700.0531804904167</v>
      </c>
      <c r="XFD51" s="29"/>
    </row>
    <row r="52" spans="1:48 16321:16384" x14ac:dyDescent="0.2">
      <c r="A52" t="s">
        <v>167</v>
      </c>
      <c r="B52" s="29">
        <f t="array" ref="B52">Calibration!sL*SUM(B13:C13*B26:C26)</f>
        <v>2049247.8195702801</v>
      </c>
      <c r="D52" s="29">
        <f t="array" ref="D52">Calibration!sL*SUM(D13:E13*D26:E26)</f>
        <v>2008718.218807098</v>
      </c>
      <c r="F52" s="29">
        <f t="array" ref="F52">Calibration!sL*SUM(F13:G13*F26:G26)</f>
        <v>1962975.7158209786</v>
      </c>
      <c r="H52" s="29">
        <f t="array" ref="H52">Calibration!sL*SUM(H13:I13*H26:I26)</f>
        <v>1911432.7315172167</v>
      </c>
      <c r="J52" s="29">
        <f t="array" ref="J52">Calibration!sL*SUM(J13:K13*J26:K26)</f>
        <v>1853529.8540473327</v>
      </c>
      <c r="L52" s="29">
        <f t="array" ref="L52">Calibration!sL*SUM(L13:M13*L26:M26)</f>
        <v>1788769.7530166588</v>
      </c>
      <c r="N52" s="29">
        <f t="array" ref="N52">Calibration!sL*SUM(N13:O13*N26:O26)</f>
        <v>1716752.8558048515</v>
      </c>
      <c r="P52" s="29">
        <f t="array" ref="P52">Calibration!sL*SUM(P13:Q13*P26:Q26)</f>
        <v>1637208.5815166647</v>
      </c>
      <c r="R52" s="29">
        <f t="array" ref="R52">Calibration!sL*SUM(R13:S13*R26:S26)</f>
        <v>1550010.1249537291</v>
      </c>
      <c r="T52" s="29">
        <f t="array" ref="T52">Calibration!sL*SUM(T13:U13*T26:U26)</f>
        <v>1455178.7617582772</v>
      </c>
      <c r="V52" s="29">
        <f t="array" ref="V52">Calibration!sL*SUM(V13:W13*V26:W26)</f>
        <v>1352871.5077595236</v>
      </c>
      <c r="X52" s="29">
        <f t="array" ref="X52">Calibration!sL*SUM(X13:Y13*X26:Y26)</f>
        <v>1243358.2418745677</v>
      </c>
      <c r="Z52" s="29">
        <f t="array" ref="Z52">Calibration!sL*SUM(Z13:AA13*Z26:AA26)</f>
        <v>1126993.054781572</v>
      </c>
      <c r="AB52" s="29">
        <f t="array" ref="AB52">Calibration!sL*SUM(AB13:AC13*AB26:AC26)</f>
        <v>1004184.0256520687</v>
      </c>
      <c r="AD52" s="29">
        <f t="array" ref="AD52">Calibration!sL*SUM(AD13:AE13*AD26:AE26)</f>
        <v>875369.49862288148</v>
      </c>
      <c r="AF52" s="29">
        <f t="array" ref="AF52">Calibration!sL*SUM(AF13:AG13*AF26:AG26)</f>
        <v>740990.74112557911</v>
      </c>
      <c r="AH52" s="29">
        <f t="array" ref="AH52">Calibration!sL*SUM(AH13:AI13*AH26:AI26)</f>
        <v>601482.49139495601</v>
      </c>
      <c r="AJ52" s="29">
        <f t="array" ref="AJ52">Calibration!sL*SUM(AJ13:AK13*AJ26:AK26)</f>
        <v>457257.52673801273</v>
      </c>
      <c r="AL52" s="29">
        <f t="array" ref="AL52">Calibration!sL*SUM(AL13:AM13*AL26:AM26)</f>
        <v>308702.81271874829</v>
      </c>
      <c r="AN52" s="29">
        <f t="array" ref="AN52">Calibration!sL*SUM(AN13:AO13*AN26:AO26)</f>
        <v>156175.01179912841</v>
      </c>
      <c r="AP52" s="29">
        <f t="array" ref="AP52">Calibration!sL*SUM(AP13:AQ13*AP26:AQ26)</f>
        <v>125221.83764945372</v>
      </c>
      <c r="AQ52" s="29"/>
      <c r="AR52" s="29">
        <f t="array" ref="AR52">Calibration!sL*SUM(AR13:AS13*AR26:AS26)</f>
        <v>94125.433086862366</v>
      </c>
      <c r="AT52" s="29">
        <f t="array" ref="AT52">Calibration!sL*SUM(AT13:AU13*AT26:AU26)</f>
        <v>62888.070968479617</v>
      </c>
      <c r="AV52" s="29">
        <f t="array" ref="AV52">Calibration!sL*SUM(AV13:AW13*AV26:AW26)</f>
        <v>31512.149386969963</v>
      </c>
    </row>
    <row r="53" spans="1:48 16321:16384" x14ac:dyDescent="0.2">
      <c r="A53" t="s">
        <v>168</v>
      </c>
      <c r="B53" s="29">
        <f t="array" ref="B53">Calibration!sK*SUM(B15:C15*B27:C27)</f>
        <v>2740714.4444297305</v>
      </c>
      <c r="D53" s="29">
        <f t="array" ref="D53">Calibration!sK*SUM(D15:E15*D27:E27)</f>
        <v>2681719.2972148694</v>
      </c>
      <c r="F53" s="29">
        <f t="array" ref="F53">Calibration!sK*SUM(F15:G15*F27:G27)</f>
        <v>2615722.4336588387</v>
      </c>
      <c r="H53" s="29">
        <f t="array" ref="H53">Calibration!sK*SUM(H15:I15*H27:I27)</f>
        <v>2541980.7448830409</v>
      </c>
      <c r="J53" s="29">
        <f t="array" ref="J53">Calibration!sK*SUM(J15:K15*J27:K27)</f>
        <v>2459815.9447851204</v>
      </c>
      <c r="L53" s="29">
        <f t="array" ref="L53">Calibration!sK*SUM(L15:M15*L27:M27)</f>
        <v>2368658.8909956319</v>
      </c>
      <c r="N53" s="29">
        <f t="array" ref="N53">Calibration!sK*SUM(N15:O15*N27:O27)</f>
        <v>2268094.413023219</v>
      </c>
      <c r="P53" s="29">
        <f t="array" ref="P53">Calibration!sK*SUM(P15:Q15*P27:Q27)</f>
        <v>2157894.4413442686</v>
      </c>
      <c r="R53" s="29">
        <f t="array" ref="R53">Calibration!sK*SUM(R15:S15*R27:S27)</f>
        <v>2038028.9541033651</v>
      </c>
      <c r="T53" s="29">
        <f t="array" ref="T53">Calibration!sK*SUM(T15:U15*T27:U27)</f>
        <v>1908660.5438339291</v>
      </c>
      <c r="V53" s="29">
        <f t="array" ref="V53">Calibration!sK*SUM(V15:W15*V27:W27)</f>
        <v>1770118.8567208641</v>
      </c>
      <c r="X53" s="29">
        <f t="array" ref="X53">Calibration!sK*SUM(X15:Y15*X27:Y27)</f>
        <v>1622863.6386328407</v>
      </c>
      <c r="Z53" s="29">
        <f t="array" ref="Z53">Calibration!sK*SUM(Z15:AA15*Z27:AA27)</f>
        <v>1467443.056957596</v>
      </c>
      <c r="AB53" s="29">
        <f t="array" ref="AB53">Calibration!sK*SUM(AB15:AC15*AB27:AC27)</f>
        <v>1304453.2711005083</v>
      </c>
      <c r="AD53" s="29">
        <f t="array" ref="AD53">Calibration!sK*SUM(AD15:AE15*AD27:AE27)</f>
        <v>1134508.319371351</v>
      </c>
      <c r="AF53" s="29">
        <f t="array" ref="AF53">Calibration!sK*SUM(AF15:AG15*AF27:AG27)</f>
        <v>958207.39285976521</v>
      </c>
      <c r="AH53" s="29">
        <f t="array" ref="AH53">Calibration!sK*SUM(AH15:AI15*AH27:AI27)</f>
        <v>776125.20760281279</v>
      </c>
      <c r="AJ53" s="29">
        <f t="array" ref="AJ53">Calibration!sK*SUM(AJ15:AK15*AJ27:AK27)</f>
        <v>588795.5912031323</v>
      </c>
      <c r="AL53" s="29">
        <f t="array" ref="AL53">Calibration!sK*SUM(AL15:AM15*AL27:AM27)</f>
        <v>396709.27327105956</v>
      </c>
      <c r="AN53" s="29">
        <f t="array" ref="AN53">Calibration!sK*SUM(AN15:AO15*AN27:AO27)</f>
        <v>200310.7953437198</v>
      </c>
      <c r="AP53" s="29">
        <f t="array" ref="AP53">Calibration!sK*SUM(AP15:AQ15*AP27:AQ27)</f>
        <v>160549.51972057417</v>
      </c>
      <c r="AQ53" s="29"/>
      <c r="AR53" s="29">
        <f t="array" ref="AR53">Calibration!sK*SUM(AR15:AS15*AR27:AS27)</f>
        <v>120634.99466257516</v>
      </c>
      <c r="AT53" s="29">
        <f t="array" ref="AT53">Calibration!sK*SUM(AT15:AU15*AT27:AU27)</f>
        <v>80569.982610070845</v>
      </c>
      <c r="AV53" s="29">
        <f t="array" ref="AV53">Calibration!sK*SUM(AV15:AW15*AV27:AW27)</f>
        <v>40357.380930836582</v>
      </c>
      <c r="XFD53" s="29"/>
    </row>
    <row r="55" spans="1:48 16321:16384" x14ac:dyDescent="0.2">
      <c r="A55" t="s">
        <v>169</v>
      </c>
      <c r="B55" s="193">
        <f>B30/B32</f>
        <v>0.19850271905982084</v>
      </c>
      <c r="D55" s="193">
        <f>D30/D32</f>
        <v>0.20230753597968812</v>
      </c>
      <c r="F55" s="193">
        <f>F30/F32</f>
        <v>0.20612242010979492</v>
      </c>
      <c r="H55" s="193">
        <f>H30/H32</f>
        <v>0.20993018319491388</v>
      </c>
      <c r="J55" s="193">
        <f>J30/J32</f>
        <v>0.21371095759956804</v>
      </c>
      <c r="L55" s="193">
        <f>L30/L32</f>
        <v>0.21744257488878857</v>
      </c>
      <c r="N55" s="193">
        <f>N30/N32</f>
        <v>0.22110247109758269</v>
      </c>
      <c r="P55" s="193">
        <f>P30/P32</f>
        <v>0.22466847076404961</v>
      </c>
      <c r="R55" s="193">
        <f>R30/R32</f>
        <v>0.22812105066560176</v>
      </c>
      <c r="T55" s="193">
        <f>T30/T32</f>
        <v>0.23144416285204555</v>
      </c>
      <c r="V55" s="193">
        <f>V30/V32</f>
        <v>0.23462606709142161</v>
      </c>
      <c r="X55" s="193">
        <f>X30/X32</f>
        <v>0.23765944822655907</v>
      </c>
      <c r="Z55" s="193">
        <f>Z30/Z32</f>
        <v>0.24054129195141022</v>
      </c>
      <c r="AB55" s="193">
        <f>AB30/AB32</f>
        <v>0.24327216671796772</v>
      </c>
      <c r="AD55" s="193">
        <f>AD30/AD32</f>
        <v>0.24585543219235736</v>
      </c>
      <c r="AF55" s="193">
        <f>AF30/AF32</f>
        <v>0.24829666620996352</v>
      </c>
      <c r="AH55" s="193">
        <f>AH30/AH32</f>
        <v>0.25060268214118725</v>
      </c>
      <c r="AJ55" s="193">
        <f>AJ30/AJ32</f>
        <v>0.25278124290852971</v>
      </c>
      <c r="AL55" s="193">
        <f>AL30/AL32</f>
        <v>0.25484035621903123</v>
      </c>
      <c r="AN55" s="193">
        <f>AN30/AN32</f>
        <v>0.25678809577310846</v>
      </c>
      <c r="AP55" s="193">
        <f>AP30/AP32</f>
        <v>0.25716500629672956</v>
      </c>
      <c r="AR55" s="193">
        <f>AR30/AR32</f>
        <v>0.25753779143031225</v>
      </c>
      <c r="AT55" s="193">
        <f>AT30/AT32</f>
        <v>0.25790657899815295</v>
      </c>
      <c r="AV55" s="193">
        <f>AV30/AV32</f>
        <v>0.25827141944658388</v>
      </c>
      <c r="XCS55" s="193"/>
      <c r="XFD55" s="193"/>
    </row>
    <row r="56" spans="1:48 16321:16384" x14ac:dyDescent="0.2">
      <c r="A56" t="s">
        <v>170</v>
      </c>
      <c r="B56" s="193">
        <f>(Model!$C$52*B5*B20+B2*C5*C20)/B32</f>
        <v>2.9221206744340551E-2</v>
      </c>
      <c r="D56" s="193">
        <f>(Model!$C$52*D5*D20+D2*E5*E20)/D32</f>
        <v>3.3663047569251758E-2</v>
      </c>
      <c r="F56" s="193">
        <f>(Model!$C$52*F5*F20+F2*G5*G20)/F32</f>
        <v>3.810764492886428E-2</v>
      </c>
      <c r="H56" s="193">
        <f>(Model!$C$52*H5*H20+H2*I5*I20)/H32</f>
        <v>4.2533704083149999E-2</v>
      </c>
      <c r="J56" s="193">
        <f>(Model!$C$52*J5*J20+J2*K5*K20)/J32</f>
        <v>4.6917245535774775E-2</v>
      </c>
      <c r="L56" s="193">
        <f>(Model!$C$52*L5*L20+L2*M5*M20)/L32</f>
        <v>5.1232121196416694E-2</v>
      </c>
      <c r="N56" s="193">
        <f>(Model!$C$52*N5*N20+N2*O5*O20)/N32</f>
        <v>5.5452297078606612E-2</v>
      </c>
      <c r="P56" s="193">
        <f>(Model!$C$52*P5*P20+P2*Q5*Q20)/P32</f>
        <v>5.9552710621280362E-2</v>
      </c>
      <c r="R56" s="193">
        <f>(Model!$C$52*R5*R20+R2*S5*S20)/R32</f>
        <v>6.3511834194207528E-2</v>
      </c>
      <c r="T56" s="193">
        <f>(Model!$C$52*T5*T20+T2*U5*U20)/T32</f>
        <v>6.7312475347786976E-2</v>
      </c>
      <c r="V56" s="193">
        <f>(Model!$C$52*V5*V20+V2*W5*W20)/V32</f>
        <v>7.0942589067439096E-2</v>
      </c>
      <c r="X56" s="193">
        <f>(Model!$C$52*X5*X20+X2*Y5*Y20)/X32</f>
        <v>7.4395288318092834E-2</v>
      </c>
      <c r="Z56" s="193">
        <f>(Model!$C$52*Z5*Z20+Z2*AA5*AA20)/Z32</f>
        <v>7.7668557224609538E-2</v>
      </c>
      <c r="AB56" s="193">
        <f>(Model!$C$52*AB5*AB20+AB2*AC5*AC20)/AB32</f>
        <v>8.0764373579450613E-2</v>
      </c>
      <c r="AD56" s="193">
        <f>(Model!$C$52*AD5*AD20+AD2*AE5*AE20)/AD32</f>
        <v>8.3687761932474888E-2</v>
      </c>
      <c r="AF56" s="193">
        <f>(Model!$C$52*AF5*AF20+AF2*AG5*AG20)/AF32</f>
        <v>8.6446090815960441E-2</v>
      </c>
      <c r="AH56" s="193">
        <f>(Model!$C$52*AH5*AH20+AH2*AI5*AI20)/AH32</f>
        <v>8.9047985939104526E-2</v>
      </c>
      <c r="AJ56" s="193">
        <f>(Model!$C$52*AJ5*AJ20+AJ2*AK5*AK20)/AJ32</f>
        <v>9.1502985537649975E-2</v>
      </c>
      <c r="AL56" s="193">
        <f>(Model!$C$52*AL5*AL20+AL2*AM5*AM20)/AL32</f>
        <v>9.3820780157012423E-2</v>
      </c>
      <c r="AN56" s="193">
        <f>(Model!$C$52*AN5*AN20+AN2*AO5*AO20)/AN32</f>
        <v>9.6011014054468727E-2</v>
      </c>
      <c r="AP56" s="193">
        <f>(Model!$C$52*AP5*AP20+AP2*AQ5*AQ20)/AP32</f>
        <v>9.6434612670565939E-2</v>
      </c>
      <c r="AR56" s="193">
        <f>(Model!$C$52*AR5*AR20+AR2*AS5*AS20)/AR32</f>
        <v>9.6853503714767031E-2</v>
      </c>
      <c r="AT56" s="193">
        <f>(Model!$C$52*AT5*AT20+AT2*AU5*AU20)/AT32</f>
        <v>9.7267831148743808E-2</v>
      </c>
      <c r="AV56" s="193">
        <f>(Model!$C$52*AV5*AV20+AV2*AW5*AW20)/AV32</f>
        <v>9.7677655108311945E-2</v>
      </c>
      <c r="XFD56" s="193"/>
    </row>
    <row r="57" spans="1:48 16321:16384" x14ac:dyDescent="0.2">
      <c r="A57" t="s">
        <v>171</v>
      </c>
      <c r="B57" s="193">
        <f t="array" ref="B57">SUM(Model!tauL*B13:C13*B26:C26)/B32</f>
        <v>0.15852881819439493</v>
      </c>
      <c r="D57" s="193">
        <f t="array" ref="D57">SUM(Model!tauL*D13:E13*D26:E26)/D32</f>
        <v>0.15793597208680477</v>
      </c>
      <c r="F57" s="193">
        <f t="array" ref="F57">SUM(Model!tauL*F13:G13*F26:G26)/F32</f>
        <v>0.15734838352234692</v>
      </c>
      <c r="H57" s="193">
        <f t="array" ref="H57">SUM(Model!tauL*H13:I13*H26:I26)/H32</f>
        <v>0.15677001511807148</v>
      </c>
      <c r="J57" s="193">
        <f t="array" ref="J57">SUM(Model!tauL*J13:K13*J26:K26)/J32</f>
        <v>0.15620485656526936</v>
      </c>
      <c r="L57" s="193">
        <f t="array" ref="L57">SUM(Model!tauL*L13:M13*L26:M26)/L32</f>
        <v>0.15565679776909536</v>
      </c>
      <c r="N57" s="193">
        <f t="array" ref="N57">SUM(Model!tauL*N13:O13*N26:O26)/N32</f>
        <v>0.15512925814685793</v>
      </c>
      <c r="P57" s="193">
        <f t="array" ref="P57">SUM(Model!tauL*P13:Q13*P26:Q26)/P32</f>
        <v>0.15462512293506589</v>
      </c>
      <c r="R57" s="193">
        <f t="array" ref="R57">SUM(Model!tauL*R13:S13*R26:S26)/R32</f>
        <v>0.15414643952443524</v>
      </c>
      <c r="T57" s="193">
        <f t="array" ref="T57">SUM(Model!tauL*T13:U13*T26:U26)/T32</f>
        <v>0.15369443922965773</v>
      </c>
      <c r="V57" s="193">
        <f t="array" ref="V57">SUM(Model!tauL*V13:W13*V26:W26)/V32</f>
        <v>0.15326954887362815</v>
      </c>
      <c r="X57" s="193">
        <f t="array" ref="X57">SUM(Model!tauL*X13:Y13*X26:Y26)/X32</f>
        <v>0.15287148891292962</v>
      </c>
      <c r="Y57" s="193"/>
      <c r="Z57" s="193">
        <f t="array" ref="Z57">SUM(Model!tauL*Z13:AA13*Z26:AA26)/Z32</f>
        <v>0.15249942304066103</v>
      </c>
      <c r="AB57" s="193">
        <f t="array" ref="AB57">SUM(Model!tauL*AB13:AC13*AB26:AC26)/AB32</f>
        <v>0.15215210964220263</v>
      </c>
      <c r="AD57" s="193">
        <f t="array" ref="AD57">SUM(Model!tauL*AD13:AE13*AD26:AE26)/AD32</f>
        <v>0.15182805246696757</v>
      </c>
      <c r="AF57" s="193">
        <f t="array" ref="AF57">SUM(Model!tauL*AF13:AG13*AF26:AG26)/AF32</f>
        <v>0.15152561720587013</v>
      </c>
      <c r="AH57" s="193">
        <f t="array" ref="AH57">SUM(Model!tauL*AH13:AI13*AH26:AI26)/AH32</f>
        <v>0.15124314145117862</v>
      </c>
      <c r="AJ57" s="193">
        <f t="array" ref="AJ57">SUM(Model!tauL*AJ13:AK13*AJ26:AK26)/AJ32</f>
        <v>0.15097898356336328</v>
      </c>
      <c r="AL57" s="193">
        <f t="array" ref="AL57">SUM(Model!tauL*AL13:AM13*AL26:AM26)/AL32</f>
        <v>0.15073158350549418</v>
      </c>
      <c r="AN57" s="193">
        <f t="array" ref="AN57">SUM(Model!tauL*AN13:AO13*AN26:AO26)/AN32</f>
        <v>0.15049947944217648</v>
      </c>
      <c r="AP57" s="193">
        <f t="array" ref="AP57">SUM(Model!tauL*AP13:AQ13*AP26:AQ26)/AP32</f>
        <v>0.15045477047406849</v>
      </c>
      <c r="AR57" s="193">
        <f t="array" ref="AR57">SUM(Model!tauL*AR13:AS13*AR26:AS26)/AR32</f>
        <v>0.15041061378051365</v>
      </c>
      <c r="AT57" s="193">
        <f t="array" ref="AT57">SUM(Model!tauL*AT13:AU13*AT26:AU26)/AT32</f>
        <v>0.15036699234395523</v>
      </c>
      <c r="AV57" s="193">
        <f t="array" ref="AV57">SUM(Model!tauL*AV13:AW13*AV26:AW26)/AV32</f>
        <v>0.15032389738049082</v>
      </c>
      <c r="XFD57" s="193"/>
    </row>
    <row r="58" spans="1:48 16321:16384" x14ac:dyDescent="0.2">
      <c r="A58" t="s">
        <v>172</v>
      </c>
      <c r="B58" s="193">
        <f t="array" ref="B58">SUM(Model!tauY/(1+Model!tauY)*B3:C3*B18:C18)/B32</f>
        <v>1.075269412108535E-2</v>
      </c>
      <c r="D58" s="193">
        <f t="array" ref="D58">SUM(Model!tauY/(1+Model!tauY)*D3:E3*D18:E18)/D32</f>
        <v>1.0708516323631576E-2</v>
      </c>
      <c r="F58" s="193">
        <f t="array" ref="F58">SUM(Model!tauY/(1+Model!tauY)*F3:G3*F18:G18)/F32</f>
        <v>1.066639165858369E-2</v>
      </c>
      <c r="H58" s="193">
        <f t="array" ref="H58">SUM(Model!tauY/(1+Model!tauY)*H3:I3*H18:I18)/H32</f>
        <v>1.0626463993692417E-2</v>
      </c>
      <c r="J58" s="193">
        <f t="array" ref="J58">SUM(Model!tauY/(1+Model!tauY)*J3:K3*J18:K18)/J32</f>
        <v>1.0588855498523895E-2</v>
      </c>
      <c r="L58" s="193">
        <f t="array" ref="L58">SUM(Model!tauY/(1+Model!tauY)*L3:M3*L18:M18)/L32</f>
        <v>1.055365592327652E-2</v>
      </c>
      <c r="N58" s="193">
        <f t="array" ref="N58">SUM(Model!tauY/(1+Model!tauY)*N3:O3*N18:O18)/N32</f>
        <v>1.052091587211814E-2</v>
      </c>
      <c r="P58" s="193">
        <f t="array" ref="P58">SUM(Model!tauY/(1+Model!tauY)*P3:Q3*P18:Q18)/P32</f>
        <v>1.0490637207703379E-2</v>
      </c>
      <c r="R58" s="193">
        <f t="array" ref="R58">SUM(Model!tauY/(1+Model!tauY)*R3:S3*R18:S18)/R32</f>
        <v>1.0462776946958963E-2</v>
      </c>
      <c r="T58" s="193">
        <f t="array" ref="T58">SUM(Model!tauY/(1+Model!tauY)*T3:U3*T18:U18)/T32</f>
        <v>1.0437248274600843E-2</v>
      </c>
      <c r="V58" s="193">
        <f t="array" ref="V58">SUM(Model!tauY/(1+Model!tauY)*V3:W3*V18:W18)/V32</f>
        <v>1.0413929150354393E-2</v>
      </c>
      <c r="X58" s="193">
        <f t="array" ref="X58">SUM(Model!tauY/(1+Model!tauY)*X3:Y3*X18:Y18)/X32</f>
        <v>1.0392670995536632E-2</v>
      </c>
      <c r="Y58" s="193"/>
      <c r="Z58" s="193">
        <f t="array" ref="Z58">SUM(Model!tauY/(1+Model!tauY)*Z3:AA3*Z18:AA18)/Z32</f>
        <v>1.0373311686139627E-2</v>
      </c>
      <c r="AB58" s="193">
        <f t="array" ref="AB58">SUM(Model!tauY/(1+Model!tauY)*AB3:AC3*AB18:AC18)/AB32</f>
        <v>1.0355683496314511E-2</v>
      </c>
      <c r="AD58" s="193">
        <f t="array" ref="AD58">SUM(Model!tauY/(1+Model!tauY)*AD3:AE3*AD18:AE18)/AD32</f>
        <v>1.033961779291492E-2</v>
      </c>
      <c r="AF58" s="193">
        <f t="array" ref="AF58">SUM(Model!tauY/(1+Model!tauY)*AF3:AG3*AF18:AG18)/AF32</f>
        <v>1.0324958188132952E-2</v>
      </c>
      <c r="AH58" s="193">
        <f t="array" ref="AH58">SUM(Model!tauY/(1+Model!tauY)*AH3:AI3*AH18:AI18)/AH32</f>
        <v>1.0311554750904136E-2</v>
      </c>
      <c r="AJ58" s="193">
        <f t="array" ref="AJ58">SUM(Model!tauY/(1+Model!tauY)*AJ3:AK3*AJ18:AK18)/AJ32</f>
        <v>1.0299273807516435E-2</v>
      </c>
      <c r="AL58" s="193">
        <f t="array" ref="AL58">SUM(Model!tauY/(1+Model!tauY)*AL3:AM3*AL18:AM18)/AL32</f>
        <v>1.0287992556524616E-2</v>
      </c>
      <c r="AN58" s="193">
        <f t="array" ref="AN58">SUM(Model!tauY/(1+Model!tauY)*AN3:AO3*AN18:AO18)/AN32</f>
        <v>1.0277602276463288E-2</v>
      </c>
      <c r="AP58" s="193">
        <f t="array" ref="AP58">SUM(Model!tauY/(1+Model!tauY)*AP3:AQ3*AP18:AQ18)/AP32</f>
        <v>1.027562315209515E-2</v>
      </c>
      <c r="AR58" s="193">
        <f t="array" ref="AR58">SUM(Model!tauY/(1+Model!tauY)*AR3:AS3*AR18:AS18)/AR32</f>
        <v>1.0273673935031575E-2</v>
      </c>
      <c r="AT58" s="193">
        <f t="array" ref="AT58">SUM(Model!tauY/(1+Model!tauY)*AT3:AU3*AT18:AU18)/AT32</f>
        <v>1.0271755505453908E-2</v>
      </c>
      <c r="AV58" s="193">
        <f t="array" ref="AV58">SUM(Model!tauY/(1+Model!tauY)*AV3:AW3*AV18:AW18)/AV32</f>
        <v>1.0269866957781128E-2</v>
      </c>
      <c r="XFD58" s="193"/>
    </row>
    <row r="59" spans="1:48 16321:16384" x14ac:dyDescent="0.2">
      <c r="A59" t="s">
        <v>173</v>
      </c>
      <c r="B59" s="193">
        <f>(B2*C5*C20)/B32</f>
        <v>5.5174232040962052E-4</v>
      </c>
      <c r="D59" s="193">
        <f>(D2*E5*E20)/D32</f>
        <v>5.037708525839308E-3</v>
      </c>
      <c r="F59" s="193">
        <f>(F2*G5*G20)/F32</f>
        <v>9.5251811087504711E-3</v>
      </c>
      <c r="H59" s="193">
        <f>(H2*I5*I20)/H32</f>
        <v>1.39926484214675E-2</v>
      </c>
      <c r="J59" s="193">
        <f>(J2*K5*K20)/J32</f>
        <v>1.8415919659023127E-2</v>
      </c>
      <c r="L59" s="193">
        <f>(L2*M5*M20)/L32</f>
        <v>2.2768652141358516E-2</v>
      </c>
      <c r="N59" s="193">
        <f>(N2*O5*O20)/N32</f>
        <v>2.7024651054088453E-2</v>
      </c>
      <c r="P59" s="193">
        <f>(P2*Q5*Q20)/P32</f>
        <v>3.1158735944242247E-2</v>
      </c>
      <c r="R59" s="193">
        <f>(R2*S5*S20)/R32</f>
        <v>3.5149314615882485E-2</v>
      </c>
      <c r="T59" s="193">
        <f>(T2*U5*U20)/T32</f>
        <v>3.8979183860459267E-2</v>
      </c>
      <c r="V59" s="193">
        <f>(V2*W5*W20)/V32</f>
        <v>4.2636338151017847E-2</v>
      </c>
      <c r="X59" s="193">
        <f>(X2*Y5*Y20)/X32</f>
        <v>4.6113971994514093E-2</v>
      </c>
      <c r="Z59" s="193">
        <f>(Z2*AA5*AA20)/Z32</f>
        <v>4.9410182476422593E-2</v>
      </c>
      <c r="AB59" s="193">
        <f>(AB2*AC5*AC20)/AB32</f>
        <v>5.2527080763335794E-2</v>
      </c>
      <c r="AD59" s="193">
        <f>(AD2*AE5*AE20)/AD32</f>
        <v>5.5469835408013882E-2</v>
      </c>
      <c r="AF59" s="193">
        <f>(AF2*AG5*AG20)/AF32</f>
        <v>5.8245961406561131E-2</v>
      </c>
      <c r="AH59" s="193">
        <f>(AH2*AI5*AI20)/AH32</f>
        <v>6.0864227405357074E-2</v>
      </c>
      <c r="AJ59" s="193">
        <f>(AJ2*AK5*AK20)/AJ32</f>
        <v>6.333430750019664E-2</v>
      </c>
      <c r="AL59" s="193">
        <f>(AL2*AM5*AM20)/AL32</f>
        <v>6.5666018253459468E-2</v>
      </c>
      <c r="AN59" s="193">
        <f>(AN2*AO5*AO20)/AN32</f>
        <v>6.7869119295086863E-2</v>
      </c>
      <c r="AP59" s="193">
        <f>(AP2*AQ5*AQ20)/AP32</f>
        <v>6.8295174983968809E-2</v>
      </c>
      <c r="AR59" s="193">
        <f>(AR2*AS5*AS20)/AR32</f>
        <v>6.8716485896680432E-2</v>
      </c>
      <c r="AT59" s="193">
        <f>(AT2*AU5*AU20)/AT32</f>
        <v>6.9133197096980722E-2</v>
      </c>
      <c r="AV59" s="193">
        <f>(AV2*AW5*AW20)/AV32</f>
        <v>6.9545369421484746E-2</v>
      </c>
      <c r="XFD59" s="193"/>
    </row>
    <row r="60" spans="1:48 16321:16384" x14ac:dyDescent="0.2">
      <c r="A60" t="s">
        <v>174</v>
      </c>
      <c r="B60" s="193">
        <f>Model!$C$52*B5*B20/B32</f>
        <v>2.8669464423930927E-2</v>
      </c>
      <c r="D60" s="193">
        <f>Model!$C$52*D5*D20/D32</f>
        <v>2.862533904341245E-2</v>
      </c>
      <c r="F60" s="193">
        <f>Model!$C$52*F5*F20/F32</f>
        <v>2.8582463820113816E-2</v>
      </c>
      <c r="H60" s="193">
        <f>Model!$C$52*H5*H20/H32</f>
        <v>2.8541055661682496E-2</v>
      </c>
      <c r="J60" s="193">
        <f>Model!$C$52*J5*J20/J32</f>
        <v>2.8501325876751648E-2</v>
      </c>
      <c r="L60" s="193">
        <f>Model!$C$52*L5*L20/L32</f>
        <v>2.8463469055058182E-2</v>
      </c>
      <c r="N60" s="193">
        <f>Model!$C$52*N5*N20/N32</f>
        <v>2.8427646024518166E-2</v>
      </c>
      <c r="P60" s="193">
        <f>Model!$C$52*P5*P20/P32</f>
        <v>2.8393974677038112E-2</v>
      </c>
      <c r="R60" s="193">
        <f>Model!$C$52*R5*R20/R32</f>
        <v>2.8362519578325047E-2</v>
      </c>
      <c r="T60" s="193">
        <f>Model!$C$52*T5*T20/T32</f>
        <v>2.8333291487327709E-2</v>
      </c>
      <c r="V60" s="193">
        <f>Model!$C$52*V5*V20/V32</f>
        <v>2.8306250916421263E-2</v>
      </c>
      <c r="X60" s="193">
        <f>Model!$C$52*X5*X20/X32</f>
        <v>2.8281316323578748E-2</v>
      </c>
      <c r="Z60" s="193">
        <f>Model!$C$52*Z5*Z20/Z32</f>
        <v>2.8258374748186949E-2</v>
      </c>
      <c r="AB60" s="193">
        <f>Model!$C$52*AB5*AB20/AB32</f>
        <v>2.8237292816114815E-2</v>
      </c>
      <c r="AD60" s="193">
        <f>Model!$C$52*AD5*AD20/AD32</f>
        <v>2.821792652446101E-2</v>
      </c>
      <c r="AF60" s="193">
        <f>Model!$C$52*AF5*AF20/AF32</f>
        <v>2.820012940939931E-2</v>
      </c>
      <c r="AH60" s="193">
        <f>Model!$C$52*AH5*AH20/AH32</f>
        <v>2.8183758533747452E-2</v>
      </c>
      <c r="AJ60" s="193">
        <f>Model!$C$52*AJ5*AJ20/AJ32</f>
        <v>2.8168678037453338E-2</v>
      </c>
      <c r="AL60" s="193">
        <f>Model!$C$52*AL5*AL20/AL32</f>
        <v>2.8154761903552948E-2</v>
      </c>
      <c r="AN60" s="193">
        <f>Model!$C$52*AN5*AN20/AN32</f>
        <v>2.8141894759381864E-2</v>
      </c>
      <c r="AP60" s="193">
        <f>Model!$C$52*AP5*AP20/AP32</f>
        <v>2.813943768659713E-2</v>
      </c>
      <c r="AR60" s="193">
        <f>Model!$C$52*AR5*AR20/AR32</f>
        <v>2.8137017818086602E-2</v>
      </c>
      <c r="AT60" s="193">
        <f>Model!$C$52*AT5*AT20/AT32</f>
        <v>2.8134634051763096E-2</v>
      </c>
      <c r="AV60" s="193">
        <f>Model!$C$52*AV5*AV20/AV32</f>
        <v>2.8132285686827203E-2</v>
      </c>
      <c r="XFD60" s="193"/>
    </row>
    <row r="62" spans="1:48 16321:16384" x14ac:dyDescent="0.2">
      <c r="A62" t="s">
        <v>175</v>
      </c>
      <c r="B62">
        <f>B13/B15</f>
        <v>1</v>
      </c>
      <c r="D62">
        <f>D13/D15</f>
        <v>1.0007778278414023</v>
      </c>
      <c r="F62">
        <f>F13/F15</f>
        <v>1.0017219782608955</v>
      </c>
      <c r="H62">
        <f>H13/H15</f>
        <v>1.0028478052936778</v>
      </c>
      <c r="J62">
        <f>J13/J15</f>
        <v>1.0041632874198829</v>
      </c>
      <c r="L62">
        <f>L13/L15</f>
        <v>1.0056681411985515</v>
      </c>
      <c r="N62">
        <f>N13/N15</f>
        <v>1.0073529033603854</v>
      </c>
      <c r="P62">
        <f>P13/P15</f>
        <v>1.0092000586730407</v>
      </c>
      <c r="R62">
        <f>R13/R15</f>
        <v>1.0111853756058897</v>
      </c>
      <c r="T62">
        <f>T13/T15</f>
        <v>1.0132805575180677</v>
      </c>
      <c r="V62">
        <f>V13/V15</f>
        <v>1.015455820151786</v>
      </c>
      <c r="X62">
        <f>X13/X15</f>
        <v>1.0176822100263052</v>
      </c>
      <c r="Z62">
        <f>Z13/Z15</f>
        <v>1.019933382840404</v>
      </c>
      <c r="AB62">
        <f>AB13/AB15</f>
        <v>1.0221866231443895</v>
      </c>
      <c r="AD62">
        <f>AD13/AD15</f>
        <v>1.0244232676873291</v>
      </c>
      <c r="AF62">
        <f>AF13/AF15</f>
        <v>1.026628668962474</v>
      </c>
      <c r="AH62">
        <f>AH13/AH15</f>
        <v>1.0287918097830624</v>
      </c>
      <c r="AJ62">
        <f>AJ13/AJ15</f>
        <v>1.0309048340675104</v>
      </c>
      <c r="AL62">
        <f>AL13/AL15</f>
        <v>1.0329624631996228</v>
      </c>
      <c r="AN62">
        <f>AN13/AN15</f>
        <v>1.0349614929750266</v>
      </c>
      <c r="AP62">
        <f>AP13/AP15</f>
        <v>1.0353541031609761</v>
      </c>
      <c r="AR62">
        <f>AR13/AR15</f>
        <v>1.0357442941239503</v>
      </c>
      <c r="AT62">
        <f>AT13/AT15</f>
        <v>1.0361320627644179</v>
      </c>
      <c r="AV62">
        <f>AV13/AV15</f>
        <v>1.0365174059256708</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0.99881833643978279</v>
      </c>
      <c r="E65" s="191"/>
      <c r="F65" s="191">
        <f t="array" ref="F65">SQRT((F9:G9*$B$22:$C$22+F10:G10*$B$23:$C$23+F11:G11*$B$24:$C$24+F4:G4*($B$25:$C$25-$B$19:$C$19))/($B$9:$C$9*$B$22:$C$22+$B$10:$C$10*$B$23:$C$23+$B$11:$C$11*$B$24:$C$24+$B$4:$C$4*($B$25:$C$25-$B$19:$C$19))*(F9:G9*F22:G22+F10:G10*F23:G23+F11:G11*F24:G24+F4:G4*(F25:G25-F19:G19))/($B$9:$C$9*F22:G22+$B$10:$C$10*F23:G23+$B$11:$C$11*F24:G24+$B$4:$C$4*(F25:G25-F19:G19)))</f>
        <v>0.99763863941764142</v>
      </c>
      <c r="G65" s="191"/>
      <c r="H65" s="191">
        <f t="array" ref="H65">SQRT((H9:I9*$B$22:$C$22+H10:I10*$B$23:$C$23+H11:I11*$B$24:$C$24+H4:I4*($B$25:$C$25-$B$19:$C$19))/($B$9:$C$9*$B$22:$C$22+$B$10:$C$10*$B$23:$C$23+$B$11:$C$11*$B$24:$C$24+$B$4:$C$4*($B$25:$C$25-$B$19:$C$19))*(H9:I9*H22:I22+H10:I10*H23:I23+H11:I11*H24:I24+H4:I4*(H25:I25-H19:I19))/($B$9:$C$9*H22:I22+$B$10:$C$10*H23:I23+$B$11:$C$11*H24:I24+$B$4:$C$4*(H25:I25-H19:I19)))</f>
        <v>0.99646716807502345</v>
      </c>
      <c r="I65" s="191"/>
      <c r="J65" s="191">
        <f t="array" ref="J65">SQRT((J9:K9*$B$22:$C$22+J10:K10*$B$23:$C$23+J11:K11*$B$24:$C$24+J4:K4*($B$25:$C$25-$B$19:$C$19))/($B$9:$C$9*$B$22:$C$22+$B$10:$C$10*$B$23:$C$23+$B$11:$C$11*$B$24:$C$24+$B$4:$C$4*($B$25:$C$25-$B$19:$C$19))*(J9:K9*J22:K22+J10:K10*J23:K23+J11:K11*J24:K24+J4:K4*(J25:K25-J19:K19))/($B$9:$C$9*J22:K22+$B$10:$C$10*J23:K23+$B$11:$C$11*J24:K24+$B$4:$C$4*(J25:K25-J19:K19)))</f>
        <v>0.99531074151244947</v>
      </c>
      <c r="K65" s="191"/>
      <c r="L65" s="191">
        <f t="array" ref="L65">SQRT((L9:M9*$B$22:$C$22+L10:M10*$B$23:$C$23+L11:M11*$B$24:$C$24+L4:M4*($B$25:$C$25-$B$19:$C$19))/($B$9:$C$9*$B$22:$C$22+$B$10:$C$10*$B$23:$C$23+$B$11:$C$11*$B$24:$C$24+$B$4:$C$4*($B$25:$C$25-$B$19:$C$19))*(L9:M9*L22:M22+L10:M10*L23:M23+L11:M11*L24:M24+L4:M4*(L25:M25-L19:M19))/($B$9:$C$9*L22:M22+$B$10:$C$10*L23:M23+$B$11:$C$11*L24:M24+$B$4:$C$4*(L25:M25-L19:M19)))</f>
        <v>0.99417654656849863</v>
      </c>
      <c r="M65" s="191"/>
      <c r="N65" s="191">
        <f t="array" ref="N65">SQRT((N9:O9*$B$22:$C$22+N10:O10*$B$23:$C$23+N11:O11*$B$24:$C$24+N4:O4*($B$25:$C$25-$B$19:$C$19))/($B$9:$C$9*$B$22:$C$22+$B$10:$C$10*$B$23:$C$23+$B$11:$C$11*$B$24:$C$24+$B$4:$C$4*($B$25:$C$25-$B$19:$C$19))*(N9:O9*N22:O22+N10:O10*N23:O23+N11:O11*N24:O24+N4:O4*(N25:O25-N19:O19))/($B$9:$C$9*N22:O22+$B$10:$C$10*N23:O23+$B$11:$C$11*N24:O24+$B$4:$C$4*(N25:O25-N19:O19)))</f>
        <v>0.99307156118077722</v>
      </c>
      <c r="O65" s="191"/>
      <c r="P65" s="191">
        <f t="array" ref="P65">SQRT((P9:Q9*$B$22:$C$22+P10:Q10*$B$23:$C$23+P11:Q11*$B$24:$C$24+P4:Q4*($B$25:$C$25-$B$19:$C$19))/($B$9:$C$9*$B$22:$C$22+$B$10:$C$10*$B$23:$C$23+$B$11:$C$11*$B$24:$C$24+$B$4:$C$4*($B$25:$C$25-$B$19:$C$19))*(P9:Q9*P22:Q22+P10:Q10*P23:Q23+P11:Q11*P24:Q24+P4:Q4*(P25:Q25-P19:Q19))/($B$9:$C$9*P22:Q22+$B$10:$C$10*P23:Q23+$B$11:$C$11*P24:Q24+$B$4:$C$4*(P25:Q25-P19:Q19)))</f>
        <v>0.99200229254834338</v>
      </c>
      <c r="Q65" s="191"/>
      <c r="R65" s="191">
        <f t="array" ref="R65">SQRT((R9:S9*$B$22:$C$22+R10:S10*$B$23:$C$23+R11:S11*$B$24:$C$24+R4:S4*($B$25:$C$25-$B$19:$C$19))/($B$9:$C$9*$B$22:$C$22+$B$10:$C$10*$B$23:$C$23+$B$11:$C$11*$B$24:$C$24+$B$4:$C$4*($B$25:$C$25-$B$19:$C$19))*(R9:S9*R22:S22+R10:S10*R23:S23+R11:S11*R24:S24+R4:S4*(R25:S25-R19:S19))/($B$9:$C$9*R22:S22+$B$10:$C$10*R23:S23+$B$11:$C$11*R24:S24+$B$4:$C$4*(R25:S25-R19:S19)))</f>
        <v>0.99097417203653759</v>
      </c>
      <c r="S65" s="191"/>
      <c r="T65" s="191">
        <f t="array" ref="T65">SQRT((T9:U9*$B$22:$C$22+T10:U10*$B$23:$C$23+T11:U11*$B$24:$C$24+T4:U4*($B$25:$C$25-$B$19:$C$19))/($B$9:$C$9*$B$22:$C$22+$B$10:$C$10*$B$23:$C$23+$B$11:$C$11*$B$24:$C$24+$B$4:$C$4*($B$25:$C$25-$B$19:$C$19))*(T9:U9*T22:U22+T10:U10*T23:U23+T11:U11*T24:U24+T4:U4*(T25:U25-T19:U19))/($B$9:$C$9*T22:U22+$B$10:$C$10*T23:U23+$B$11:$C$11*T24:U24+$B$4:$C$4*(T25:U25-T19:U19)))</f>
        <v>0.98999136273059807</v>
      </c>
      <c r="U65" s="191"/>
      <c r="V65" s="191">
        <f t="array" ref="V65">SQRT((V9:W9*$B$22:$C$22+V10:W10*$B$23:$C$23+V11:W11*$B$24:$C$24+V4:W4*($B$25:$C$25-$B$19:$C$19))/($B$9:$C$9*$B$22:$C$22+$B$10:$C$10*$B$23:$C$23+$B$11:$C$11*$B$24:$C$24+$B$4:$C$4*($B$25:$C$25-$B$19:$C$19))*(V9:W9*V22:W22+V10:W10*V23:W23+V11:W11*V24:W24+V4:W4*(V25:W25-V19:W19))/($B$9:$C$9*V22:W22+$B$10:$C$10*V23:W23+$B$11:$C$11*V24:W24+$B$4:$C$4*(V25:W25-V19:W19)))</f>
        <v>0.98905659793280953</v>
      </c>
      <c r="W65" s="191"/>
      <c r="X65" s="191">
        <f t="array" ref="X65">SQRT((X9:Y9*$B$22:$C$22+X10:Y10*$B$23:$C$23+X11:Y11*$B$24:$C$24+X4:Y4*($B$25:$C$25-$B$19:$C$19))/($B$9:$C$9*$B$22:$C$22+$B$10:$C$10*$B$23:$C$23+$B$11:$C$11*$B$24:$C$24+$B$4:$C$4*($B$25:$C$25-$B$19:$C$19))*(X9:Y9*X22:Y22+X10:Y10*X23:Y23+X11:Y11*X24:Y24+X4:Y4*(X25:Y25-X19:Y19))/($B$9:$C$9*X22:Y22+$B$10:$C$10*X23:Y23+$B$11:$C$11*X24:Y24+$B$4:$C$4*(X25:Y25-X19:Y19)))</f>
        <v>0.98817120614447362</v>
      </c>
      <c r="Y65" s="191"/>
      <c r="Z65" s="191">
        <f t="array" ref="Z65">SQRT((Z9:AA9*$B$22:$C$22+Z10:AA10*$B$23:$C$23+Z11:AA11*$B$24:$C$24+Z4:AA4*($B$25:$C$25-$B$19:$C$19))/($B$9:$C$9*$B$22:$C$22+$B$10:$C$10*$B$23:$C$23+$B$11:$C$11*$B$24:$C$24+$B$4:$C$4*($B$25:$C$25-$B$19:$C$19))*(Z9:AA9*Z22:AA22+Z10:AA10*Z23:AA23+Z11:AA11*Z24:AA24+Z4:AA4*(Z25:AA25-Z19:AA19))/($B$9:$C$9*Z22:AA22+$B$10:$C$10*Z23:AA23+$B$11:$C$11*Z24:AA24+$B$4:$C$4*(Z25:AA25-Z19:AA19)))</f>
        <v>0.98733525361978869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0.98654777899494395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0.98580703851252349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0.98511076545026999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0.98445636990189389</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0.98384110900287447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0.98326221727799823</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0.98271699097027587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0.98261175556403202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0.98250774306679156</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0.98240493359861136</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0.98230330774059049</v>
      </c>
    </row>
    <row r="66" spans="1:48 16384:16384" x14ac:dyDescent="0.2">
      <c r="A66" t="s">
        <v>182</v>
      </c>
      <c r="B66" s="191">
        <f t="array" ref="B66">SQRT((B9:C9*$B$22:$C$22)/($B$9:$C$9*$B$22:$C$22)*(B9:C9*B22:C22)/($B$9:$C$9*B22:C22))</f>
        <v>1</v>
      </c>
      <c r="C66" s="191"/>
      <c r="D66" s="191">
        <f t="array" ref="D66">SQRT((D9:E9*$B$22:$C$22)/($B$9:$C$9*$B$22:$C$22)*(D9:E9*D22:E22)/($B$9:$C$9*D22:E22))</f>
        <v>0.99870105119432229</v>
      </c>
      <c r="E66" s="191"/>
      <c r="F66" s="191">
        <f t="array" ref="F66">SQRT((F9:G9*$B$22:$C$22)/($B$9:$C$9*$B$22:$C$22)*(F9:G9*F22:G22)/($B$9:$C$9*F22:G22))</f>
        <v>0.99740371605267308</v>
      </c>
      <c r="G66" s="191"/>
      <c r="H66" s="191">
        <f t="array" ref="H66">SQRT((H9:I9*$B$22:$C$22)/($B$9:$C$9*$B$22:$C$22)*(H9:I9*H22:I22)/($B$9:$C$9*H22:I22))</f>
        <v>0.99611487637583607</v>
      </c>
      <c r="I66" s="191"/>
      <c r="J66" s="191">
        <f t="array" ref="J66">SQRT((J9:K9*$B$22:$C$22)/($B$9:$C$9*$B$22:$C$22)*(J9:K9*J22:K22)/($B$9:$C$9*J22:K22))</f>
        <v>0.99484204250002262</v>
      </c>
      <c r="K66" s="191"/>
      <c r="L66" s="191">
        <f t="array" ref="L66">SQRT((L9:M9*$B$22:$C$22)/($B$9:$C$9*$B$22:$C$22)*(L9:M9*L22:M22)/($B$9:$C$9*L22:M22))</f>
        <v>0.99359314308456148</v>
      </c>
      <c r="M66" s="191"/>
      <c r="N66" s="191">
        <f t="array" ref="N66">SQRT((N9:O9*$B$22:$C$22)/($B$9:$C$9*$B$22:$C$22)*(N9:O9*N22:O22)/($B$9:$C$9*N22:O22))</f>
        <v>0.99237589055469744</v>
      </c>
      <c r="O66" s="191"/>
      <c r="P66" s="191">
        <f t="array" ref="P66">SQRT((P9:Q9*$B$22:$C$22)/($B$9:$C$9*$B$22:$C$22)*(P9:Q9*P22:Q22)/($B$9:$C$9*P22:Q22))</f>
        <v>0.9911974916273335</v>
      </c>
      <c r="Q66" s="191"/>
      <c r="R66" s="191">
        <f t="array" ref="R66">SQRT((R9:S9*$B$22:$C$22)/($B$9:$C$9*$B$22:$C$22)*(R9:S9*R22:S22)/($B$9:$C$9*R22:S22))</f>
        <v>0.99006397839955218</v>
      </c>
      <c r="S66" s="191"/>
      <c r="T66" s="191">
        <f t="array" ref="T66">SQRT((T9:U9*$B$22:$C$22)/($B$9:$C$9*$B$22:$C$22)*(T9:U9*T22:U22)/($B$9:$C$9*T22:U22))</f>
        <v>0.98897999287002047</v>
      </c>
      <c r="U66" s="191"/>
      <c r="V66" s="191">
        <f t="array" ref="V66">SQRT((V9:W9*$B$22:$C$22)/($B$9:$C$9*$B$22:$C$22)*(V9:W9*V22:W22)/($B$9:$C$9*V22:W22))</f>
        <v>0.98794860517389449</v>
      </c>
      <c r="W66" s="191"/>
      <c r="X66" s="191">
        <f t="array" ref="X66">SQRT((X9:Y9*$B$22:$C$22)/($B$9:$C$9*$B$22:$C$22)*(X9:Y9*X22:Y22)/($B$9:$C$9*X22:Y22))</f>
        <v>0.98697133749334531</v>
      </c>
      <c r="Y66" s="191"/>
      <c r="Z66" s="191">
        <f t="array" ref="Z66">SQRT((Z9:AA9*$B$22:$C$22)/($B$9:$C$9*$B$22:$C$22)*(Z9:AA9*Z22:AA22)/($B$9:$C$9*Z22:AA22))</f>
        <v>0.98604831815662897</v>
      </c>
      <c r="AA66" s="191"/>
      <c r="AB66" s="191">
        <f t="array" ref="AB66">SQRT((AB9:AC9*$B$22:$C$22)/($B$9:$C$9*$B$22:$C$22)*(AB9:AC9*AB22:AC22)/($B$9:$C$9*AB22:AC22))</f>
        <v>0.98517853817609014</v>
      </c>
      <c r="AC66" s="191"/>
      <c r="AD66" s="191">
        <f t="array" ref="AD66">SQRT((AD9:AE9*$B$22:$C$22)/($B$9:$C$9*$B$22:$C$22)*(AD9:AE9*AD22:AE22)/($B$9:$C$9*AD22:AE22))</f>
        <v>0.98436012026845177</v>
      </c>
      <c r="AE66" s="191"/>
      <c r="AF66" s="191">
        <f t="array" ref="AF66">SQRT((AF9:AG9*$B$22:$C$22)/($B$9:$C$9*$B$22:$C$22)*(AF9:AG9*AF22:AG22)/($B$9:$C$9*AF22:AG22))</f>
        <v>0.98359060450004265</v>
      </c>
      <c r="AG66" s="191"/>
      <c r="AH66" s="191">
        <f t="array" ref="AH66">SQRT((AH9:AI9*$B$22:$C$22)/($B$9:$C$9*$B$22:$C$22)*(AH9:AI9*AH22:AI22)/($B$9:$C$9*AH22:AI22))</f>
        <v>0.98286716846331201</v>
      </c>
      <c r="AI66" s="191"/>
      <c r="AJ66" s="191">
        <f t="array" ref="AJ66">SQRT((AJ9:AK9*$B$22:$C$22)/($B$9:$C$9*$B$22:$C$22)*(AJ9:AK9*AJ22:AK22)/($B$9:$C$9*AJ22:AK22))</f>
        <v>0.98218681549796494</v>
      </c>
      <c r="AK66" s="191"/>
      <c r="AL66" s="191">
        <f t="array" ref="AL66">SQRT((AL9:AM9*$B$22:$C$22)/($B$9:$C$9*$B$22:$C$22)*(AL9:AM9*AL22:AM22)/($B$9:$C$9*AL22:AM22))</f>
        <v>0.98154651894449019</v>
      </c>
      <c r="AM66" s="191"/>
      <c r="AN66" s="191">
        <f t="array" ref="AN66">SQRT((AN9:AO9*$B$22:$C$22)/($B$9:$C$9*$B$22:$C$22)*(AN9:AO9*AN22:AO22)/($B$9:$C$9*AN22:AO22))</f>
        <v>0.98094331585042693</v>
      </c>
      <c r="AO66" s="191"/>
      <c r="AP66" s="191">
        <f t="array" ref="AP66">SQRT((AP9:AQ9*$B$22:$C$22)/($B$9:$C$9*$B$22:$C$22)*(AP9:AQ9*AP22:AQ22)/($B$9:$C$9*AP22:AQ22))</f>
        <v>0.98082687420969727</v>
      </c>
      <c r="AQ66" s="191"/>
      <c r="AR66" s="191">
        <f t="array" ref="AR66">SQRT((AR9:AS9*$B$22:$C$22)/($B$9:$C$9*$B$22:$C$22)*(AR9:AS9*AR22:AS22)/($B$9:$C$9*AR22:AS22))</f>
        <v>0.98071178056771791</v>
      </c>
      <c r="AS66" s="191"/>
      <c r="AT66" s="191">
        <f t="array" ref="AT66">SQRT((AT9:AU9*$B$22:$C$22)/($B$9:$C$9*$B$22:$C$22)*(AT9:AU9*AT22:AU22)/($B$9:$C$9*AT22:AU22))</f>
        <v>0.98059801314417194</v>
      </c>
      <c r="AU66" s="191"/>
      <c r="AV66" s="191">
        <f t="array" ref="AV66">SQRT((AV9:AW9*$B$22:$C$22)/($B$9:$C$9*$B$22:$C$22)*(AV9:AW9*AV22:AW22)/($B$9:$C$9*AV22:AW22))</f>
        <v>0.98048555061287024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0.99870105119432229</v>
      </c>
      <c r="E68" s="191"/>
      <c r="F68" s="191">
        <f>F66/F67</f>
        <v>0.99740371605267308</v>
      </c>
      <c r="G68" s="191"/>
      <c r="H68" s="191">
        <f>H66/H67</f>
        <v>0.99611487637583607</v>
      </c>
      <c r="I68" s="191"/>
      <c r="J68" s="191">
        <f>J66/J67</f>
        <v>0.99484204250002262</v>
      </c>
      <c r="K68" s="191"/>
      <c r="L68" s="191">
        <f>L66/L67</f>
        <v>0.99359314308456148</v>
      </c>
      <c r="M68" s="191"/>
      <c r="N68" s="191">
        <f>N66/N67</f>
        <v>0.99237589055469744</v>
      </c>
      <c r="O68" s="191"/>
      <c r="P68" s="191">
        <f>P66/P67</f>
        <v>0.9911974916273335</v>
      </c>
      <c r="Q68" s="191"/>
      <c r="R68" s="191">
        <f>R66/R67</f>
        <v>0.99006397839955218</v>
      </c>
      <c r="S68" s="191"/>
      <c r="T68" s="191">
        <f>T66/T67</f>
        <v>0.98897999287002047</v>
      </c>
      <c r="U68" s="191"/>
      <c r="V68" s="191">
        <f>V66/V67</f>
        <v>0.98794860517389449</v>
      </c>
      <c r="W68" s="191"/>
      <c r="X68" s="191">
        <f>X66/X67</f>
        <v>0.98697133749334531</v>
      </c>
      <c r="Y68" s="191"/>
      <c r="Z68" s="191">
        <f>Z66/Z67</f>
        <v>0.98604831815662897</v>
      </c>
      <c r="AA68" s="191"/>
      <c r="AB68" s="191">
        <f>AB66/AB67</f>
        <v>0.98517853817609014</v>
      </c>
      <c r="AC68" s="191"/>
      <c r="AD68" s="191">
        <f>AD66/AD67</f>
        <v>0.98436012026845177</v>
      </c>
      <c r="AE68" s="191"/>
      <c r="AF68" s="191">
        <f>AF66/AF67</f>
        <v>0.98359060450004265</v>
      </c>
      <c r="AG68" s="191"/>
      <c r="AH68" s="191">
        <f>AH66/AH67</f>
        <v>0.98286716846331201</v>
      </c>
      <c r="AI68" s="191"/>
      <c r="AJ68" s="191">
        <f>AJ66/AJ67</f>
        <v>0.98218681549796494</v>
      </c>
      <c r="AK68" s="191"/>
      <c r="AL68" s="191">
        <f>AL66/AL67</f>
        <v>0.98154651894449019</v>
      </c>
      <c r="AM68" s="191"/>
      <c r="AN68" s="191">
        <f>AN66/AN67</f>
        <v>0.98094331585042693</v>
      </c>
      <c r="AO68" s="191"/>
      <c r="AP68" s="191">
        <f>AP66/AP67</f>
        <v>0.98082687420969727</v>
      </c>
      <c r="AQ68" s="191"/>
      <c r="AR68" s="191">
        <f>AR66/AR67</f>
        <v>0.98071178056771791</v>
      </c>
      <c r="AS68" s="191"/>
      <c r="AT68" s="191">
        <f>AT66/AT67</f>
        <v>0.98059801314417194</v>
      </c>
      <c r="AU68" s="191"/>
      <c r="AV68" s="191">
        <f>AV66/AV67</f>
        <v>0.98048555061287024</v>
      </c>
      <c r="XFD68" s="191"/>
    </row>
    <row r="69" spans="1:48 16384:16384" x14ac:dyDescent="0.2">
      <c r="A69" t="s">
        <v>177</v>
      </c>
      <c r="B69" s="191">
        <f>B32/B65/($B$32)</f>
        <v>1</v>
      </c>
      <c r="C69" s="191"/>
      <c r="D69" s="191">
        <f>D32/D65/($B$32)</f>
        <v>0.98506569403535349</v>
      </c>
      <c r="E69" s="191"/>
      <c r="F69" s="191">
        <f>F32/F65/($B$32)</f>
        <v>0.96737112551548765</v>
      </c>
      <c r="G69" s="191"/>
      <c r="H69" s="191">
        <f>H32/H65/($B$32)</f>
        <v>0.94655698528983123</v>
      </c>
      <c r="I69" s="191"/>
      <c r="J69" s="191">
        <f>J32/J65/($B$32)</f>
        <v>0.92227429055182475</v>
      </c>
      <c r="K69" s="191"/>
      <c r="L69" s="191">
        <f>L32/L65/($B$32)</f>
        <v>0.89420393711180179</v>
      </c>
      <c r="M69" s="191"/>
      <c r="N69" s="191">
        <f>N32/N65/($B$32)</f>
        <v>0.86207938162505127</v>
      </c>
      <c r="O69" s="191"/>
      <c r="P69" s="191">
        <f>P32/P65/($B$32)</f>
        <v>0.82570519876800286</v>
      </c>
      <c r="Q69" s="191"/>
      <c r="R69" s="191">
        <f>R32/R65/($B$32)</f>
        <v>0.7849688846129228</v>
      </c>
      <c r="S69" s="191"/>
      <c r="T69" s="191">
        <f>T32/T65/($B$32)</f>
        <v>0.73984463302448666</v>
      </c>
      <c r="U69" s="191"/>
      <c r="V69" s="191">
        <f>V32/V65/($B$32)</f>
        <v>0.69038805266920544</v>
      </c>
      <c r="W69" s="191"/>
      <c r="X69" s="191">
        <f>X32/X65/($B$32)</f>
        <v>0.63672415744014421</v>
      </c>
      <c r="Y69" s="191"/>
      <c r="Z69" s="191">
        <f>Z32/Z65/($B$32)</f>
        <v>0.57903142642090255</v>
      </c>
      <c r="AA69" s="191"/>
      <c r="AB69" s="191">
        <f>AB32/AB65/($B$32)</f>
        <v>0.5175245390750024</v>
      </c>
      <c r="AC69" s="191"/>
      <c r="AD69" s="191">
        <f>AD32/AD65/($B$32)</f>
        <v>0.45244022997597833</v>
      </c>
      <c r="AE69" s="191"/>
      <c r="AF69" s="191">
        <f>AF32/AF65/($B$32)</f>
        <v>0.38402137204302583</v>
      </c>
      <c r="AG69" s="191"/>
      <c r="AH69" s="191">
        <f>AH32/AH65/($B$32)</f>
        <v>0.31251046670114541</v>
      </c>
      <c r="AI69" s="191"/>
      <c r="AJ69" s="191">
        <f>AJ32/AJ65/($B$32)</f>
        <v>0.23814043404357982</v>
      </c>
      <c r="AK69" s="191"/>
      <c r="AL69" s="191">
        <f>AL32/AL65/($B$32)</f>
        <v>0.16113159791674067</v>
      </c>
      <c r="AM69" s="191"/>
      <c r="AN69" s="191">
        <f>AN32/AN65/($B$32)</f>
        <v>8.16886699700793E-2</v>
      </c>
      <c r="AO69" s="191"/>
      <c r="AP69" s="191">
        <f>AP32/AP65/($B$32)</f>
        <v>6.5524828839626001E-2</v>
      </c>
      <c r="AQ69" s="191"/>
      <c r="AR69" s="191">
        <f>AR32/AR65/($B$32)</f>
        <v>4.9272688844061802E-2</v>
      </c>
      <c r="AS69" s="191"/>
      <c r="AT69" s="191">
        <f>AT32/AT65/($B$32)</f>
        <v>3.293358176340095E-2</v>
      </c>
      <c r="AU69" s="191"/>
      <c r="AV69" s="191">
        <f>AV32/AV65/($B$32)</f>
        <v>1.6508899873779237E-2</v>
      </c>
    </row>
    <row r="70" spans="1:48 16384:16384" x14ac:dyDescent="0.2">
      <c r="A70" t="s">
        <v>178</v>
      </c>
      <c r="B70" s="138">
        <f>B18/$B$18</f>
        <v>1</v>
      </c>
      <c r="C70" s="138"/>
      <c r="D70" s="138">
        <f>D18/$B$18</f>
        <v>0.98392352324703503</v>
      </c>
      <c r="E70" s="138"/>
      <c r="F70" s="138">
        <f>F18/$B$18</f>
        <v>0.96517006750677314</v>
      </c>
      <c r="G70" s="138"/>
      <c r="H70" s="138">
        <f>H18/$B$18</f>
        <v>0.94339374683415156</v>
      </c>
      <c r="I70" s="138"/>
      <c r="J70" s="138">
        <f>J18/$B$18</f>
        <v>0.91825880630377765</v>
      </c>
      <c r="K70" s="138"/>
      <c r="L70" s="138">
        <f>L18/$B$18</f>
        <v>0.88945840662871656</v>
      </c>
      <c r="M70" s="138"/>
      <c r="N70" s="138">
        <f>N18/$B$18</f>
        <v>0.85673640431037967</v>
      </c>
      <c r="O70" s="138"/>
      <c r="P70" s="138">
        <f>P18/$B$18</f>
        <v>0.81990521074613321</v>
      </c>
      <c r="Q70" s="138"/>
      <c r="R70" s="138">
        <f>R18/$B$18</f>
        <v>0.77885706395455689</v>
      </c>
      <c r="S70" s="138"/>
      <c r="T70" s="138">
        <f>T18/$B$18</f>
        <v>0.73356766283571961</v>
      </c>
      <c r="U70" s="138"/>
      <c r="V70" s="138">
        <f>V18/$B$18</f>
        <v>0.6840910583417128</v>
      </c>
      <c r="W70" s="138"/>
      <c r="X70" s="138">
        <f>X18/$B$18</f>
        <v>0.63054808569160203</v>
      </c>
      <c r="Y70" s="138"/>
      <c r="Z70" s="138">
        <f>Z18/$B$18</f>
        <v>0.57311102835251615</v>
      </c>
      <c r="AA70" s="138"/>
      <c r="AB70" s="138">
        <f>AB18/$B$18</f>
        <v>0.51198699056573693</v>
      </c>
      <c r="AC70" s="138"/>
      <c r="AD70" s="138">
        <f>AD18/$B$18</f>
        <v>0.44740433346538011</v>
      </c>
      <c r="AE70" s="138"/>
      <c r="AF70" s="138">
        <f>AF18/$B$18</f>
        <v>0.37959726468015453</v>
      </c>
      <c r="AG70" s="138"/>
      <c r="AH70" s="138">
        <f>AH18/$B$18</f>
        <v>0.30879968278819331</v>
      </c>
      <c r="AI70" s="138"/>
      <c r="AJ70" s="138">
        <f>AJ18/$B$18</f>
        <v>0.23523622924697027</v>
      </c>
      <c r="AK70" s="138"/>
      <c r="AL70" s="138">
        <f>AL18/$B$18</f>
        <v>0.15911943329679037</v>
      </c>
      <c r="AM70" s="138"/>
      <c r="AN70" s="138">
        <f>AN18/$B$18</f>
        <v>8.0646781300100653E-2</v>
      </c>
      <c r="AO70" s="138"/>
      <c r="AP70" s="138">
        <f>AP18/$B$18</f>
        <v>6.4685789944502844E-2</v>
      </c>
      <c r="AQ70" s="138"/>
      <c r="AR70" s="138">
        <f>AR18/$B$18</f>
        <v>4.8639312628655063E-2</v>
      </c>
      <c r="AS70" s="138"/>
      <c r="AT70" s="138">
        <f>AT18/$B$18</f>
        <v>3.250863146532243E-2</v>
      </c>
      <c r="AU70" s="138"/>
      <c r="AV70" s="138">
        <f>AV18/$B$18</f>
        <v>1.6295090702660983E-2</v>
      </c>
    </row>
    <row r="71" spans="1:48 16384:16384" x14ac:dyDescent="0.2">
      <c r="A71" t="s">
        <v>179</v>
      </c>
      <c r="B71" s="138">
        <f>C18/$C$18</f>
        <v>1</v>
      </c>
      <c r="D71" s="138">
        <f>E18/$C$18</f>
        <v>0.93983780052433585</v>
      </c>
      <c r="E71" s="138"/>
      <c r="F71" s="138">
        <f>G18/$C$18</f>
        <v>0.8804431457100691</v>
      </c>
      <c r="G71" s="138"/>
      <c r="H71" s="138">
        <f>I18/$C$18</f>
        <v>0.82193002936543857</v>
      </c>
      <c r="I71" s="138"/>
      <c r="J71" s="138">
        <f>K18/$C$18</f>
        <v>0.76440864619613857</v>
      </c>
      <c r="K71" s="138"/>
      <c r="L71" s="138">
        <f>M18/$C$18</f>
        <v>0.70798037526355118</v>
      </c>
      <c r="M71" s="138"/>
      <c r="N71" s="138">
        <f>O18/$C$18</f>
        <v>0.65272922761381447</v>
      </c>
      <c r="O71" s="138"/>
      <c r="P71" s="138">
        <f>Q18/$C$18</f>
        <v>0.59871861679996086</v>
      </c>
      <c r="Q71" s="138"/>
      <c r="R71" s="138">
        <f>S18/$C$18</f>
        <v>0.5459851439679142</v>
      </c>
      <c r="S71" s="138"/>
      <c r="T71" s="138">
        <f>U18/$C$18</f>
        <v>0.49453896164219457</v>
      </c>
      <c r="U71" s="138"/>
      <c r="V71" s="138">
        <f>W18/$C$18</f>
        <v>0.44436516747491334</v>
      </c>
      <c r="W71" s="138"/>
      <c r="X71" s="138">
        <f>Y18/$C$18</f>
        <v>0.39542713046315753</v>
      </c>
      <c r="Y71" s="138"/>
      <c r="Z71" s="138">
        <f>AA18/$C$18</f>
        <v>0.34767228619389934</v>
      </c>
      <c r="AA71" s="138"/>
      <c r="AB71" s="138">
        <f>AC18/$C$18</f>
        <v>0.30103660065030868</v>
      </c>
      <c r="AC71" s="138"/>
      <c r="AD71" s="138">
        <f>AE18/$C$18</f>
        <v>0.2554494805470337</v>
      </c>
      <c r="AE71" s="138"/>
      <c r="AF71" s="138">
        <f>AG18/$C$18</f>
        <v>0.21083812664709328</v>
      </c>
      <c r="AG71" s="138"/>
      <c r="AH71" s="138">
        <f>AI18/$C$18</f>
        <v>0.16713005640518411</v>
      </c>
      <c r="AI71" s="138"/>
      <c r="AJ71" s="138">
        <f>AK18/$C$18</f>
        <v>0.12425565495948618</v>
      </c>
      <c r="AK71" s="138"/>
      <c r="AL71" s="138">
        <f>AM18/$C$18</f>
        <v>8.2149083574554235E-2</v>
      </c>
      <c r="AM71" s="138"/>
      <c r="AN71" s="138">
        <f>AO18/$C$18</f>
        <v>4.0749247124165777E-2</v>
      </c>
      <c r="AO71" s="138"/>
      <c r="AP71" s="138">
        <f>AQ18/$C$18</f>
        <v>3.2549068848234511E-2</v>
      </c>
      <c r="AQ71" s="138"/>
      <c r="AR71" s="138">
        <f>AS18/$C$18</f>
        <v>2.4374457201226253E-2</v>
      </c>
      <c r="AS71" s="138"/>
      <c r="AT71" s="138">
        <f>AU18/$C$18</f>
        <v>1.622501648845949E-2</v>
      </c>
      <c r="AU71" s="138"/>
      <c r="AV71" s="138">
        <f>AW18/$C$18</f>
        <v>8.1003320763449148E-3</v>
      </c>
      <c r="XFD71" s="138"/>
    </row>
    <row r="72" spans="1:48 16384:16384" x14ac:dyDescent="0.2">
      <c r="A72" t="s">
        <v>180</v>
      </c>
      <c r="B72" s="138">
        <f>C19/$C$19</f>
        <v>1</v>
      </c>
      <c r="D72" s="138">
        <f>E19/$C$19</f>
        <v>0.9876228585533301</v>
      </c>
      <c r="E72" s="138"/>
      <c r="F72" s="138">
        <f>G19/$C$19</f>
        <v>0.97376327966109033</v>
      </c>
      <c r="G72" s="138"/>
      <c r="H72" s="138">
        <f>I19/$C$19</f>
        <v>0.95789721789756777</v>
      </c>
      <c r="I72" s="138"/>
      <c r="J72" s="138">
        <f>K19/$C$19</f>
        <v>0.93945137356091624</v>
      </c>
      <c r="K72" s="138"/>
      <c r="L72" s="138">
        <f>M19/$C$19</f>
        <v>0.91782146054736158</v>
      </c>
      <c r="M72" s="138"/>
      <c r="N72" s="138">
        <f>O19/$C$19</f>
        <v>0.89241369827343076</v>
      </c>
      <c r="O72" s="138"/>
      <c r="P72" s="138">
        <f>Q19/$C$19</f>
        <v>0.86267044887240518</v>
      </c>
      <c r="Q72" s="138"/>
      <c r="R72" s="138">
        <f>S19/$C$19</f>
        <v>0.82811559103150467</v>
      </c>
      <c r="S72" s="138"/>
      <c r="T72" s="138">
        <f>U19/$C$19</f>
        <v>0.78837418182798935</v>
      </c>
      <c r="U72" s="138"/>
      <c r="V72" s="138">
        <f>W19/$C$19</f>
        <v>0.74318762717887921</v>
      </c>
      <c r="W72" s="138"/>
      <c r="X72" s="138">
        <f>Y19/$C$19</f>
        <v>0.69241455294068432</v>
      </c>
      <c r="Y72" s="138"/>
      <c r="Z72" s="138">
        <f>AA19/$C$19</f>
        <v>0.63602146609902255</v>
      </c>
      <c r="AA72" s="138"/>
      <c r="AB72" s="138">
        <f>AC19/$C$19</f>
        <v>0.57406576454577529</v>
      </c>
      <c r="AC72" s="138"/>
      <c r="AD72" s="138">
        <f>AE19/$C$19</f>
        <v>0.50667650542694864</v>
      </c>
      <c r="AE72" s="138"/>
      <c r="AF72" s="138">
        <f>AG19/$C$19</f>
        <v>0.43403395399887923</v>
      </c>
      <c r="AG72" s="138"/>
      <c r="AH72" s="138">
        <f>AI19/$C$19</f>
        <v>0.35635266841196339</v>
      </c>
      <c r="AI72" s="138"/>
      <c r="AJ72" s="138">
        <f>AK19/$C$19</f>
        <v>0.27386681591010997</v>
      </c>
      <c r="AK72" s="138"/>
      <c r="AL72" s="138">
        <f>AM19/$C$19</f>
        <v>0.18681875144008814</v>
      </c>
      <c r="AM72" s="138"/>
      <c r="AN72" s="138">
        <f>AO19/$C$19</f>
        <v>9.5450903317203808E-2</v>
      </c>
      <c r="AO72" s="138"/>
      <c r="AP72" s="138">
        <f>AQ19/$C$19</f>
        <v>7.6679940445923397E-2</v>
      </c>
      <c r="AQ72" s="138"/>
      <c r="AR72" s="138">
        <f>AS19/$C$19</f>
        <v>5.7747538931414592E-2</v>
      </c>
      <c r="AS72" s="138"/>
      <c r="AT72" s="138">
        <f>AU19/$C$19</f>
        <v>3.8655537891423959E-2</v>
      </c>
      <c r="AU72" s="138"/>
      <c r="AV72" s="138">
        <f>AW19/$C$19</f>
        <v>1.9405757373399942E-2</v>
      </c>
      <c r="XFD72" s="138"/>
    </row>
    <row r="73" spans="1:48 16384:16384" x14ac:dyDescent="0.2">
      <c r="A73" t="s">
        <v>184</v>
      </c>
      <c r="B73" s="193">
        <f t="array" ref="B73">SUM(B9:C9*B22:C22)/B32</f>
        <v>0.47641153352875198</v>
      </c>
      <c r="D73" s="193">
        <f t="array" ref="D73">SUM(D9:E9*D22:E22)/D32</f>
        <v>0.47415278998466415</v>
      </c>
      <c r="E73" s="138"/>
      <c r="F73" s="193">
        <f t="array" ref="F73">SUM(F9:G9*F22:G22)/F32</f>
        <v>0.47188822094984134</v>
      </c>
      <c r="G73" s="138"/>
      <c r="H73" s="193">
        <f t="array" ref="H73">SUM(H9:I9*H22:I22)/H32</f>
        <v>0.4696280117986536</v>
      </c>
      <c r="I73" s="138"/>
      <c r="J73" s="193">
        <f t="array" ref="J73">SUM(J9:K9*J22:K22)/J32</f>
        <v>0.46738400702889504</v>
      </c>
      <c r="K73" s="138"/>
      <c r="L73" s="193">
        <f t="array" ref="L73">SUM(L9:M9*L22:M22)/L32</f>
        <v>0.46516932288149759</v>
      </c>
      <c r="M73" s="138"/>
      <c r="N73" s="193">
        <f t="array" ref="N73">SUM(N9:O9*N22:O22)/N32</f>
        <v>0.46299746167003675</v>
      </c>
      <c r="O73" s="138"/>
      <c r="P73" s="193">
        <f t="array" ref="P73">SUM(P9:Q9*P22:Q22)/P32</f>
        <v>0.46088144791228203</v>
      </c>
      <c r="Q73" s="138"/>
      <c r="R73" s="193">
        <f t="array" ref="R73">SUM(R9:S9*R22:S22)/R32</f>
        <v>0.45883290479051919</v>
      </c>
      <c r="S73" s="138"/>
      <c r="T73" s="193">
        <f t="array" ref="T73">SUM(T9:U9*T22:U22)/T32</f>
        <v>0.45686133569745818</v>
      </c>
      <c r="U73" s="138"/>
      <c r="V73" s="193">
        <f t="array" ref="V73">SUM(V9:W9*V22:W22)/V32</f>
        <v>0.4549736870750522</v>
      </c>
      <c r="W73" s="138"/>
      <c r="X73" s="193">
        <f t="array" ref="X73">SUM(X9:Y9*X22:Y22)/X32</f>
        <v>0.45317426905359609</v>
      </c>
      <c r="Y73" s="138"/>
      <c r="Z73" s="193">
        <f t="array" ref="Z73">SUM(Z9:AA9*Z22:AA22)/Z32</f>
        <v>0.45146485245989265</v>
      </c>
      <c r="AA73" s="138"/>
      <c r="AB73" s="193">
        <f t="array" ref="AB73">SUM(AB9:AC9*AB22:AC22)/AB32</f>
        <v>0.44984512605569799</v>
      </c>
      <c r="AC73" s="138"/>
      <c r="AD73" s="193">
        <f t="array" ref="AD73">SUM(AD9:AE9*AD22:AE22)/AD32</f>
        <v>0.44831293624944318</v>
      </c>
      <c r="AE73" s="138"/>
      <c r="AF73" s="193">
        <f t="array" ref="AF73">SUM(AF9:AG9*AF22:AG22)/AF32</f>
        <v>0.44686514497974994</v>
      </c>
      <c r="AG73" s="138"/>
      <c r="AH73" s="193">
        <f t="array" ref="AH73">SUM(AH9:AI9*AH22:AI22)/AH32</f>
        <v>0.44549754313026635</v>
      </c>
      <c r="AI73" s="138"/>
      <c r="AJ73" s="193">
        <f t="array" ref="AJ73">SUM(AJ9:AK9*AJ22:AK22)/AJ32</f>
        <v>0.44420562904601096</v>
      </c>
      <c r="AK73" s="138"/>
      <c r="AL73" s="193">
        <f t="array" ref="AL73">SUM(AL9:AM9*AL22:AM22)/AL32</f>
        <v>0.44298456585796575</v>
      </c>
      <c r="AM73" s="138"/>
      <c r="AN73" s="193">
        <f t="array" ref="AN73">SUM(AN9:AO9*AN22:AO22)/AN32</f>
        <v>0.44182954998419416</v>
      </c>
      <c r="AO73" s="138"/>
      <c r="AP73" s="193">
        <f t="array" ref="AP73">SUM(AP9:AQ9*AP22:AQ22)/AP32</f>
        <v>0.44160610967484143</v>
      </c>
      <c r="AQ73" s="138"/>
      <c r="AR73" s="193">
        <f t="array" ref="AR73">SUM(AR9:AS9*AR22:AS22)/AR32</f>
        <v>0.44138500042257212</v>
      </c>
      <c r="AS73" s="138"/>
      <c r="AT73" s="193">
        <f t="array" ref="AT73">SUM(AT9:AU9*AT22:AU22)/AT32</f>
        <v>0.44116630705420545</v>
      </c>
      <c r="AU73" s="138"/>
      <c r="AV73" s="193">
        <f t="array" ref="AV73">SUM(AV9:AW9*AV22:AW22)/AV32</f>
        <v>0.44094997595114199</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0.22604620456442487</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0.22604620456442481</v>
      </c>
      <c r="AE74" s="138"/>
      <c r="AF74" s="193">
        <f t="array" ref="AF74">SUM(AF10:AG10*AF23:AG23)/AF32</f>
        <v>0.22604620456442487</v>
      </c>
      <c r="AG74" s="138"/>
      <c r="AH74" s="193">
        <f t="array" ref="AH74">SUM(AH10:AI10*AH23:AI23)/AH32</f>
        <v>0.22604620456442484</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0.22264311771555426</v>
      </c>
      <c r="E75" s="138"/>
      <c r="F75" s="193">
        <f t="array" ref="F75">SUM(F11:G11*F24:G24)/F32</f>
        <v>0.22490768707084571</v>
      </c>
      <c r="G75" s="138"/>
      <c r="H75" s="193">
        <f t="array" ref="H75">SUM(H11:I11*H24:I24)/H32</f>
        <v>0.22716789022756895</v>
      </c>
      <c r="I75" s="138"/>
      <c r="J75" s="193">
        <f t="array" ref="J75">SUM(J11:K11*J24:K24)/J32</f>
        <v>0.22941189964765796</v>
      </c>
      <c r="K75" s="138"/>
      <c r="L75" s="193">
        <f t="array" ref="L75">SUM(L11:M11*L24:M24)/L32</f>
        <v>0.23162657403129788</v>
      </c>
      <c r="M75" s="138"/>
      <c r="N75" s="193">
        <f t="array" ref="N75">SUM(N11:O11*N24:O24)/N32</f>
        <v>0.23379845981808475</v>
      </c>
      <c r="O75" s="138"/>
      <c r="P75" s="193">
        <f t="array" ref="P75">SUM(P11:Q11*P24:Q24)/P32</f>
        <v>0.23591447369585164</v>
      </c>
      <c r="Q75" s="138"/>
      <c r="R75" s="193">
        <f t="array" ref="R75">SUM(R11:S11*R24:S24)/R32</f>
        <v>0.23796301718424118</v>
      </c>
      <c r="S75" s="138"/>
      <c r="T75" s="193">
        <f t="array" ref="T75">SUM(T11:U11*T24:U24)/T32</f>
        <v>0.23993458654185576</v>
      </c>
      <c r="U75" s="138"/>
      <c r="V75" s="193">
        <f t="array" ref="V75">SUM(V11:W11*V24:W24)/V32</f>
        <v>0.24182223492168425</v>
      </c>
      <c r="W75" s="138"/>
      <c r="X75" s="193">
        <f t="array" ref="X75">SUM(X11:Y11*X24:Y24)/X32</f>
        <v>0.24362165269829469</v>
      </c>
      <c r="Y75" s="138"/>
      <c r="Z75" s="193">
        <f t="array" ref="Z75">SUM(Z11:AA11*Z24:AA24)/Z32</f>
        <v>0.24533106823551928</v>
      </c>
      <c r="AA75" s="138"/>
      <c r="AB75" s="193">
        <f t="array" ref="AB75">SUM(AB11:AC11*AB24:AC24)/AB32</f>
        <v>0.24695080122972987</v>
      </c>
      <c r="AC75" s="138"/>
      <c r="AD75" s="193">
        <f t="array" ref="AD75">SUM(AD11:AE11*AD24:AE24)/AD32</f>
        <v>0.2484829823427929</v>
      </c>
      <c r="AE75" s="138"/>
      <c r="AF75" s="193">
        <f t="array" ref="AF75">SUM(AF11:AG11*AF24:AG24)/AF32</f>
        <v>0.24993077921118009</v>
      </c>
      <c r="AG75" s="138"/>
      <c r="AH75" s="193">
        <f t="array" ref="AH75">SUM(AH11:AI11*AH24:AI24)/AH32</f>
        <v>0.2512983769894202</v>
      </c>
      <c r="AI75" s="138"/>
      <c r="AJ75" s="193">
        <f t="array" ref="AJ75">SUM(AJ11:AK11*AJ24:AK24)/AJ32</f>
        <v>0.25259029486986989</v>
      </c>
      <c r="AK75" s="138"/>
      <c r="AL75" s="193">
        <f t="array" ref="AL75">SUM(AL11:AM11*AL24:AM24)/AL32</f>
        <v>0.25381135809714972</v>
      </c>
      <c r="AM75" s="138"/>
      <c r="AN75" s="193">
        <f t="array" ref="AN75">SUM(AN11:AO11*AN24:AO24)/AN32</f>
        <v>0.25496636948276391</v>
      </c>
      <c r="AO75" s="138"/>
      <c r="AP75" s="193">
        <f t="array" ref="AP75">SUM(AP11:AQ11*AP24:AQ24)/AP32</f>
        <v>0.25518981787483719</v>
      </c>
      <c r="AQ75" s="138"/>
      <c r="AR75" s="193">
        <f t="array" ref="AR75">SUM(AR11:AS11*AR24:AS24)/AR32</f>
        <v>0.25541091930063814</v>
      </c>
      <c r="AS75" s="138"/>
      <c r="AT75" s="193">
        <f t="array" ref="AT75">SUM(AT11:AU11*AT24:AU24)/AT32</f>
        <v>0.25562961089886138</v>
      </c>
      <c r="AU75" s="138"/>
      <c r="AV75" s="193">
        <f t="array" ref="AV75">SUM(AV11:AW11*AV24:AW24)/AV32</f>
        <v>0.25584594305603431</v>
      </c>
      <c r="XFD75" s="193"/>
    </row>
    <row r="76" spans="1:48 16384:16384" x14ac:dyDescent="0.2">
      <c r="A76" t="s">
        <v>187</v>
      </c>
      <c r="B76" s="193">
        <f t="array" ref="B76">SUM(B12:C12*B25:C25)/B32</f>
        <v>0.22301874374724892</v>
      </c>
      <c r="D76" s="193">
        <f t="array" ref="D76">SUM(D12:E12*D25:E25)/D32</f>
        <v>0.2228875032909812</v>
      </c>
      <c r="E76" s="138"/>
      <c r="F76" s="193">
        <f t="array" ref="F76">SUM(F12:G12*F25:G25)/F32</f>
        <v>0.22278727233924994</v>
      </c>
      <c r="G76" s="138"/>
      <c r="H76" s="193">
        <f t="array" ref="H76">SUM(H12:I12*H25:I25)/H32</f>
        <v>0.22271804104399442</v>
      </c>
      <c r="I76" s="138"/>
      <c r="J76" s="193">
        <f t="array" ref="J76">SUM(J12:K12*J25:K25)/J32</f>
        <v>0.22267910028892154</v>
      </c>
      <c r="K76" s="138"/>
      <c r="L76" s="193">
        <f t="array" ref="L76">SUM(L12:M12*L25:M25)/L32</f>
        <v>0.22266898772130325</v>
      </c>
      <c r="M76" s="138"/>
      <c r="N76" s="193">
        <f t="array" ref="N76">SUM(N12:O12*N25:O25)/N32</f>
        <v>0.22268553825035328</v>
      </c>
      <c r="O76" s="138"/>
      <c r="P76" s="193">
        <f t="array" ref="P76">SUM(P12:Q12*P25:Q25)/P32</f>
        <v>0.22272596854611229</v>
      </c>
      <c r="Q76" s="138"/>
      <c r="R76" s="193">
        <f t="array" ref="R76">SUM(R12:S12*R25:S25)/R32</f>
        <v>0.22278709088824153</v>
      </c>
      <c r="S76" s="138"/>
      <c r="T76" s="193">
        <f t="array" ref="T76">SUM(T12:U12*T25:U25)/T32</f>
        <v>0.22286551319854245</v>
      </c>
      <c r="U76" s="138"/>
      <c r="V76" s="193">
        <f t="array" ref="V76">SUM(V12:W12*V25:W25)/V32</f>
        <v>0.22295785921860301</v>
      </c>
      <c r="W76" s="138"/>
      <c r="X76" s="193">
        <f t="array" ref="X76">SUM(X12:Y12*X25:Y25)/X32</f>
        <v>0.22306094387631922</v>
      </c>
      <c r="Y76" s="138"/>
      <c r="Z76" s="193">
        <f t="array" ref="Z76">SUM(Z12:AA12*Z25:AA25)/Z32</f>
        <v>0.22317190953354685</v>
      </c>
      <c r="AA76" s="138"/>
      <c r="AB76" s="193">
        <f t="array" ref="AB76">SUM(AB12:AC12*AB25:AC25)/AB32</f>
        <v>0.22328828662872854</v>
      </c>
      <c r="AC76" s="138"/>
      <c r="AD76" s="193">
        <f t="array" ref="AD76">SUM(AD12:AE12*AD25:AE25)/AD32</f>
        <v>0.22340801277157951</v>
      </c>
      <c r="AE76" s="138"/>
      <c r="AF76" s="193">
        <f t="array" ref="AF76">SUM(AF12:AG12*AF25:AG25)/AF32</f>
        <v>0.22352942137875786</v>
      </c>
      <c r="AG76" s="138"/>
      <c r="AH76" s="193">
        <f t="array" ref="AH76">SUM(AH12:AI12*AH25:AI25)/AH32</f>
        <v>0.22365119606501022</v>
      </c>
      <c r="AI76" s="138"/>
      <c r="AJ76" s="193">
        <f t="array" ref="AJ76">SUM(AJ12:AK12*AJ25:AK25)/AJ32</f>
        <v>0.22377232789161314</v>
      </c>
      <c r="AK76" s="138"/>
      <c r="AL76" s="193">
        <f t="array" ref="AL76">SUM(AL12:AM12*AL25:AM25)/AL32</f>
        <v>0.22389205856514915</v>
      </c>
      <c r="AM76" s="138"/>
      <c r="AN76" s="193">
        <f t="array" ref="AN76">SUM(AN12:AO12*AN25:AO25)/AN32</f>
        <v>0.22400983599756871</v>
      </c>
      <c r="AO76" s="138"/>
      <c r="AP76" s="193">
        <f t="array" ref="AP76">SUM(AP12:AQ12*AP25:AQ25)/AP32</f>
        <v>0.22403311989972272</v>
      </c>
      <c r="AQ76" s="138"/>
      <c r="AR76" s="193">
        <f t="array" ref="AR76">SUM(AR12:AS12*AR25:AS25)/AR32</f>
        <v>0.22405630814182989</v>
      </c>
      <c r="AS76" s="138"/>
      <c r="AT76" s="193">
        <f t="array" ref="AT76">SUM(AT12:AU12*AT25:AU25)/AT32</f>
        <v>0.2240793972122761</v>
      </c>
      <c r="AU76" s="138"/>
      <c r="AV76" s="193">
        <f t="array" ref="AV76">SUM(AV12:AW12*AV25:AW25)/AV32</f>
        <v>0.22410238522365949</v>
      </c>
      <c r="XFD76" s="193"/>
    </row>
    <row r="77" spans="1:48 16384:16384" x14ac:dyDescent="0.2">
      <c r="A77" t="s">
        <v>188</v>
      </c>
      <c r="B77" s="193">
        <f t="array" ref="B77">SUM(B4:C4*B19:C19)/B32</f>
        <v>0.14586087017236635</v>
      </c>
      <c r="D77" s="193">
        <f t="array" ref="D77">SUM(D4:E4*D19:E19)/D32</f>
        <v>0.14572961555562439</v>
      </c>
      <c r="E77" s="138"/>
      <c r="F77" s="193">
        <f t="array" ref="F77">SUM(F4:G4*F19:G19)/F32</f>
        <v>0.14562938492436178</v>
      </c>
      <c r="G77" s="138"/>
      <c r="H77" s="193">
        <f t="array" ref="H77">SUM(H4:I4*H19:I19)/H32</f>
        <v>0.14556014763464187</v>
      </c>
      <c r="I77" s="138"/>
      <c r="J77" s="193">
        <f t="array" ref="J77">SUM(J4:K4*J19:K19)/J32</f>
        <v>0.14552121152989936</v>
      </c>
      <c r="K77" s="138"/>
      <c r="L77" s="193">
        <f t="array" ref="L77">SUM(L4:M4*L19:M19)/L32</f>
        <v>0.1455110891985234</v>
      </c>
      <c r="M77" s="138"/>
      <c r="N77" s="193">
        <f t="array" ref="N77">SUM(N4:O4*N19:O19)/N32</f>
        <v>0.14552766430289965</v>
      </c>
      <c r="O77" s="138"/>
      <c r="P77" s="193">
        <f t="array" ref="P77">SUM(P4:Q4*P19:Q19)/P32</f>
        <v>0.1455680947186706</v>
      </c>
      <c r="Q77" s="138"/>
      <c r="R77" s="193">
        <f t="array" ref="R77">SUM(R4:S4*R19:S19)/R32</f>
        <v>0.14562921742742665</v>
      </c>
      <c r="S77" s="138"/>
      <c r="T77" s="193">
        <f t="array" ref="T77">SUM(T4:U4*T19:U19)/T32</f>
        <v>0.14570764000228117</v>
      </c>
      <c r="U77" s="138"/>
      <c r="V77" s="193">
        <f t="array" ref="V77">SUM(V4:W4*V19:W19)/V32</f>
        <v>0.14579998577976414</v>
      </c>
      <c r="W77" s="138"/>
      <c r="X77" s="193">
        <f t="array" ref="X77">SUM(X4:Y4*X19:Y19)/X32</f>
        <v>0.14590307019263485</v>
      </c>
      <c r="Y77" s="138"/>
      <c r="Z77" s="193">
        <f t="array" ref="Z77">SUM(Z4:AA4*Z19:AA19)/Z32</f>
        <v>0.14601403479338362</v>
      </c>
      <c r="AA77" s="138"/>
      <c r="AB77" s="193">
        <f t="array" ref="AB77">SUM(AB4:AC4*AB19:AC19)/AB32</f>
        <v>0.14613041847858119</v>
      </c>
      <c r="AC77" s="138"/>
      <c r="AD77" s="193">
        <f t="array" ref="AD77">SUM(AD4:AE4*AD19:AE19)/AD32</f>
        <v>0.14625013592824018</v>
      </c>
      <c r="AE77" s="138"/>
      <c r="AF77" s="193">
        <f t="array" ref="AF77">SUM(AF4:AG4*AF19:AG19)/AF32</f>
        <v>0.14637155013411254</v>
      </c>
      <c r="AG77" s="138"/>
      <c r="AH77" s="193">
        <f t="array" ref="AH77">SUM(AH4:AI4*AH19:AI19)/AH32</f>
        <v>0.1464933207491215</v>
      </c>
      <c r="AI77" s="138"/>
      <c r="AJ77" s="193">
        <f t="array" ref="AJ77">SUM(AJ4:AK4*AJ19:AK19)/AJ32</f>
        <v>0.14661445637191869</v>
      </c>
      <c r="AK77" s="138"/>
      <c r="AL77" s="193">
        <f t="array" ref="AL77">SUM(AL4:AM4*AL19:AM19)/AL32</f>
        <v>0.14673418708468927</v>
      </c>
      <c r="AM77" s="138"/>
      <c r="AN77" s="193">
        <f t="array" ref="AN77">SUM(AN4:AO4*AN19:AO19)/AN32</f>
        <v>0.14685196002895159</v>
      </c>
      <c r="AO77" s="138"/>
      <c r="AP77" s="193">
        <f t="array" ref="AP77">SUM(AP4:AQ4*AP19:AQ19)/AP32</f>
        <v>0.14687525201382609</v>
      </c>
      <c r="AQ77" s="138"/>
      <c r="AR77" s="193">
        <f t="array" ref="AR77">SUM(AR4:AS4*AR19:AS19)/AR32</f>
        <v>0.14689843242946501</v>
      </c>
      <c r="AS77" s="138"/>
      <c r="AT77" s="193">
        <f t="array" ref="AT77">SUM(AT4:AU4*AT19:AU19)/AT32</f>
        <v>0.14692151972976797</v>
      </c>
      <c r="AU77" s="138"/>
      <c r="AV77" s="193">
        <f t="array" ref="AV77">SUM(AV4:AW4*AV19:AW19)/AV32</f>
        <v>0.14694450879526058</v>
      </c>
      <c r="XFD77" s="193"/>
    </row>
    <row r="78" spans="1:48 16384:16384" x14ac:dyDescent="0.2">
      <c r="A78" t="s">
        <v>189</v>
      </c>
      <c r="B78" s="193">
        <f t="array" ref="B78">SUM(B13:C13*B26:C26)/B32</f>
        <v>0.346887593115773</v>
      </c>
      <c r="D78" s="193">
        <f t="array" ref="D78">SUM(D13:E13*D26:E26)/D32</f>
        <v>0.34559034658550603</v>
      </c>
      <c r="E78" s="138"/>
      <c r="F78" s="193">
        <f t="array" ref="F78">SUM(F13:G13*F26:G26)/F32</f>
        <v>0.34430460443976446</v>
      </c>
      <c r="G78" s="138"/>
      <c r="H78" s="193">
        <f t="array" ref="H78">SUM(H13:I13*H26:I26)/H32</f>
        <v>0.34303903754802556</v>
      </c>
      <c r="I78" s="138"/>
      <c r="J78" s="193">
        <f t="array" ref="J78">SUM(J13:K13*J26:K26)/J32</f>
        <v>0.341802376022738</v>
      </c>
      <c r="K78" s="138"/>
      <c r="L78" s="193">
        <f t="array" ref="L78">SUM(L13:M13*L26:M26)/L32</f>
        <v>0.34060313162757944</v>
      </c>
      <c r="M78" s="138"/>
      <c r="N78" s="193">
        <f t="array" ref="N78">SUM(N13:O13*N26:O26)/N32</f>
        <v>0.33944878662005701</v>
      </c>
      <c r="O78" s="138"/>
      <c r="P78" s="193">
        <f t="array" ref="P78">SUM(P13:Q13*P26:Q26)/P32</f>
        <v>0.33834565438066183</v>
      </c>
      <c r="Q78" s="138"/>
      <c r="R78" s="193">
        <f t="array" ref="R78">SUM(R13:S13*R26:S26)/R32</f>
        <v>0.33729821494302914</v>
      </c>
      <c r="S78" s="138"/>
      <c r="T78" s="193">
        <f t="array" ref="T78">SUM(T13:U13*T26:U26)/T32</f>
        <v>0.33630916262983562</v>
      </c>
      <c r="U78" s="138"/>
      <c r="V78" s="193">
        <f t="array" ref="V78">SUM(V13:W13*V26:W26)/V32</f>
        <v>0.3353794314010286</v>
      </c>
      <c r="W78" s="138"/>
      <c r="X78" s="193">
        <f t="array" ref="X78">SUM(X13:Y13*X26:Y26)/X32</f>
        <v>0.33450840956881417</v>
      </c>
      <c r="Y78" s="138"/>
      <c r="Z78" s="193">
        <f t="array" ref="Z78">SUM(Z13:AA13*Z26:AA26)/Z32</f>
        <v>0.33369426715368872</v>
      </c>
      <c r="AA78" s="138"/>
      <c r="AB78" s="193">
        <f t="array" ref="AB78">SUM(AB13:AC13*AB26:AC26)/AB32</f>
        <v>0.33293428729500862</v>
      </c>
      <c r="AC78" s="138"/>
      <c r="AD78" s="193">
        <f t="array" ref="AD78">SUM(AD13:AE13*AD26:AE26)/AD32</f>
        <v>0.33222519594600647</v>
      </c>
      <c r="AE78" s="138"/>
      <c r="AF78" s="193">
        <f t="array" ref="AF78">SUM(AF13:AG13*AF26:AG26)/AF32</f>
        <v>0.33156341696480696</v>
      </c>
      <c r="AG78" s="138"/>
      <c r="AH78" s="193">
        <f t="array" ref="AH78">SUM(AH13:AI13*AH26:AI26)/AH32</f>
        <v>0.330945312724994</v>
      </c>
      <c r="AI78" s="138"/>
      <c r="AJ78" s="193">
        <f t="array" ref="AJ78">SUM(AJ13:AK13*AJ26:AK26)/AJ32</f>
        <v>0.33036729104445367</v>
      </c>
      <c r="AK78" s="138"/>
      <c r="AL78" s="193">
        <f t="array" ref="AL78">SUM(AL13:AM13*AL26:AM26)/AL32</f>
        <v>0.3298259383012212</v>
      </c>
      <c r="AM78" s="138"/>
      <c r="AN78" s="193">
        <f t="array" ref="AN78">SUM(AN13:AO13*AN26:AO26)/AN32</f>
        <v>0.32931805575473094</v>
      </c>
      <c r="AO78" s="138"/>
      <c r="AP78" s="193">
        <f t="array" ref="AP78">SUM(AP13:AQ13*AP26:AQ26)/AP32</f>
        <v>0.32922022504789594</v>
      </c>
      <c r="AQ78" s="138"/>
      <c r="AR78" s="193">
        <f t="array" ref="AR78">SUM(AR13:AS13*AR26:AS26)/AR32</f>
        <v>0.32912360281023822</v>
      </c>
      <c r="AS78" s="138"/>
      <c r="AT78" s="193">
        <f t="array" ref="AT78">SUM(AT13:AU13*AT26:AU26)/AT32</f>
        <v>0.32902815180449457</v>
      </c>
      <c r="AU78" s="138"/>
      <c r="AV78" s="193">
        <f t="array" ref="AV78">SUM(AV13:AW13*AV26:AW26)/AV32</f>
        <v>0.32893385281001608</v>
      </c>
      <c r="XFD78" s="193"/>
    </row>
    <row r="79" spans="1:48 16384:16384" x14ac:dyDescent="0.2">
      <c r="A79" t="s">
        <v>190</v>
      </c>
      <c r="B79" s="193" cm="1">
        <f t="array" ref="B79">SUM(B15:C15*B27:C27)/B32</f>
        <v>0.45460968782440642</v>
      </c>
      <c r="D79" s="193">
        <f t="array" ref="D79">SUM(D15:E15*D27:E27)/D32</f>
        <v>0.45210208892971071</v>
      </c>
      <c r="F79" s="193">
        <f t="array" ref="F79">SUM(F15:G15*F27:G27)/F32</f>
        <v>0.44957295057659441</v>
      </c>
      <c r="H79" s="193">
        <f t="array" ref="H79">SUM(H15:I15*H27:I27)/H32</f>
        <v>0.44703074730773573</v>
      </c>
      <c r="J79" s="193">
        <f t="array" ref="J79">SUM(J15:K15*J27:K27)/J32</f>
        <v>0.44448664490363182</v>
      </c>
      <c r="L79" s="193">
        <f t="array" ref="L79">SUM(L15:M15*L27:M27)/L32</f>
        <v>0.44195426488015427</v>
      </c>
      <c r="N79" s="193">
        <f t="array" ref="N79">SUM(N15:O15*N27:O27)/N32</f>
        <v>0.43944873965876396</v>
      </c>
      <c r="P79" s="193">
        <f t="array" ref="P79">SUM(P15:Q15*P27:Q27)/P32</f>
        <v>0.43698587500968483</v>
      </c>
      <c r="R79" s="193">
        <f t="array" ref="R79">SUM(R15:S15*R27:S27)/R32</f>
        <v>0.43458073470756353</v>
      </c>
      <c r="T79" s="193">
        <f t="array" ref="T79">SUM(T15:U15*T27:U27)/T32</f>
        <v>0.43224667403417788</v>
      </c>
      <c r="V79" s="193">
        <f t="array" ref="V79">SUM(V15:W15*V27:W27)/V32</f>
        <v>0.42999451387679261</v>
      </c>
      <c r="X79" s="193">
        <f t="array" ref="X79">SUM(X15:Y15*X27:Y27)/X32</f>
        <v>0.42783213808696818</v>
      </c>
      <c r="Z79" s="193">
        <f t="array" ref="Z79">SUM(Z15:AA15*Z27:AA27)/Z32</f>
        <v>0.42576443005418452</v>
      </c>
      <c r="AB79" s="193">
        <f t="array" ref="AB79">SUM(AB15:AC15*AB27:AC27)/AB32</f>
        <v>0.42379356058625078</v>
      </c>
      <c r="AD79" s="193">
        <f t="array" ref="AD79">SUM(AD15:AE15*AD27:AE27)/AD32</f>
        <v>0.42191935987510804</v>
      </c>
      <c r="AF79" s="193">
        <f t="array" ref="AF79">SUM(AF15:AG15*AF27:AG27)/AF32</f>
        <v>0.42013992626757557</v>
      </c>
      <c r="AH79" s="193">
        <f t="array" ref="AH79">SUM(AH15:AI15*AH27:AI27)/AH32</f>
        <v>0.41845199802984512</v>
      </c>
      <c r="AJ79" s="193">
        <f t="array" ref="AJ79">SUM(AJ15:AK15*AJ27:AK27)/AJ32</f>
        <v>0.41685147354845797</v>
      </c>
      <c r="AL79" s="193">
        <f t="array" ref="AL79">SUM(AL15:AM15*AL27:AM27)/AL32</f>
        <v>0.4153337132629904</v>
      </c>
      <c r="AN79" s="193">
        <f t="array" ref="AN79">SUM(AN15:AO15*AN27:AO27)/AN32</f>
        <v>0.41389384018549757</v>
      </c>
      <c r="AP79" s="193">
        <f t="array" ref="AP79">SUM(AP15:AQ15*AP27:AQ27)/AP32</f>
        <v>0.4136147879889337</v>
      </c>
      <c r="AR79" s="193">
        <f t="array" ref="AR79">SUM(AR15:AS15*AR27:AS27)/AR32</f>
        <v>0.413338598596308</v>
      </c>
      <c r="AT79" s="193">
        <f t="array" ref="AT79">SUM(AT15:AU15*AT27:AU27)/AT32</f>
        <v>0.41306525602498578</v>
      </c>
      <c r="AV79" s="193">
        <f t="array" ref="AV79">SUM(AV15:AW15*AV27:AW27)/AV32</f>
        <v>0.41279471825625497</v>
      </c>
      <c r="XFD79" s="193"/>
    </row>
    <row r="80" spans="1:48 16384:16384" x14ac:dyDescent="0.2">
      <c r="A80" t="s">
        <v>169</v>
      </c>
      <c r="B80" s="236">
        <f>B55</f>
        <v>0.19850271905982084</v>
      </c>
      <c r="D80" s="236">
        <f>D55</f>
        <v>0.20230753597968812</v>
      </c>
      <c r="F80" s="236">
        <f>F55</f>
        <v>0.20612242010979492</v>
      </c>
      <c r="H80" s="236">
        <f>H55</f>
        <v>0.20993018319491388</v>
      </c>
      <c r="J80" s="236">
        <f>J55</f>
        <v>0.21371095759956804</v>
      </c>
      <c r="L80" s="236">
        <f>L55</f>
        <v>0.21744257488878857</v>
      </c>
      <c r="N80" s="236">
        <f>N55</f>
        <v>0.22110247109758269</v>
      </c>
      <c r="P80" s="236">
        <f>P55</f>
        <v>0.22466847076404961</v>
      </c>
      <c r="R80" s="236">
        <f>R55</f>
        <v>0.22812105066560176</v>
      </c>
      <c r="T80" s="236">
        <f>T55</f>
        <v>0.23144416285204555</v>
      </c>
      <c r="V80" s="236">
        <f>V55</f>
        <v>0.23462606709142161</v>
      </c>
      <c r="X80" s="236">
        <f>X55</f>
        <v>0.23765944822655907</v>
      </c>
      <c r="Z80" s="236">
        <f>Z55</f>
        <v>0.24054129195141022</v>
      </c>
      <c r="AB80" s="236">
        <f>AB55</f>
        <v>0.24327216671796772</v>
      </c>
      <c r="AD80" s="236">
        <f>AD55</f>
        <v>0.24585543219235736</v>
      </c>
      <c r="AF80" s="236">
        <f>AF55</f>
        <v>0.24829666620996352</v>
      </c>
      <c r="AH80" s="236">
        <f>AH55</f>
        <v>0.25060268214118725</v>
      </c>
      <c r="AJ80" s="236">
        <f>AJ55</f>
        <v>0.25278124290852971</v>
      </c>
      <c r="AL80" s="236">
        <f>AL55</f>
        <v>0.25484035621903123</v>
      </c>
      <c r="AN80" s="236">
        <f>AN55</f>
        <v>0.25678809577310846</v>
      </c>
      <c r="AP80" s="236">
        <f>AP55</f>
        <v>0.25716500629672956</v>
      </c>
      <c r="AR80" s="236">
        <f>AR55</f>
        <v>0.25753779143031225</v>
      </c>
      <c r="AT80" s="236">
        <f>AT55</f>
        <v>0.25790657899815295</v>
      </c>
      <c r="AV80" s="236">
        <f>AV55</f>
        <v>0.25827141944658388</v>
      </c>
      <c r="XFD80" s="236"/>
    </row>
    <row r="81" spans="1:48 16384:16384" x14ac:dyDescent="0.2">
      <c r="A81" t="s">
        <v>191</v>
      </c>
      <c r="B81" s="236">
        <f>B51/B$32</f>
        <v>-2.7543485504603994E-2</v>
      </c>
      <c r="D81" s="236">
        <f>D51/D$32</f>
        <v>-2.3738668584736743E-2</v>
      </c>
      <c r="F81" s="236">
        <f>F51/F$32</f>
        <v>-1.9923784454629893E-2</v>
      </c>
      <c r="H81" s="236">
        <f>H51/H$32</f>
        <v>-1.6116021369510951E-2</v>
      </c>
      <c r="J81" s="236">
        <f>J51/J$32</f>
        <v>-1.2335246964856777E-2</v>
      </c>
      <c r="L81" s="236">
        <f>L51/L$32</f>
        <v>-8.6036296756362741E-3</v>
      </c>
      <c r="N81" s="236">
        <f>N51/N$32</f>
        <v>-4.9437334668421479E-3</v>
      </c>
      <c r="P81" s="236">
        <f>P51/P$32</f>
        <v>-1.3777338003752391E-3</v>
      </c>
      <c r="R81" s="236">
        <f>R51/R$32</f>
        <v>2.0748461011769062E-3</v>
      </c>
      <c r="T81" s="236">
        <f>T51/T$32</f>
        <v>5.3979582876206881E-3</v>
      </c>
      <c r="V81" s="236">
        <f>V51/V$32</f>
        <v>8.5798625269967559E-3</v>
      </c>
      <c r="X81" s="236">
        <f>X51/X$32</f>
        <v>1.1613243662134221E-2</v>
      </c>
      <c r="Z81" s="236">
        <f>Z51/Z$32</f>
        <v>1.4495087386985378E-2</v>
      </c>
      <c r="AB81" s="236">
        <f>AB51/AB$32</f>
        <v>1.7225962153542867E-2</v>
      </c>
      <c r="AD81" s="236">
        <f>AD51/AD$32</f>
        <v>1.9809227627932548E-2</v>
      </c>
      <c r="AF81" s="236">
        <f>AF51/AF$32</f>
        <v>2.2250461645538649E-2</v>
      </c>
      <c r="AH81" s="236">
        <f>AH51/AH$32</f>
        <v>2.4556477576762419E-2</v>
      </c>
      <c r="AJ81" s="236">
        <f>AJ51/AJ$32</f>
        <v>2.6735038344104883E-2</v>
      </c>
      <c r="AL81" s="236">
        <f>AL51/AL$32</f>
        <v>2.8794151654606345E-2</v>
      </c>
      <c r="AN81" s="236">
        <f>AN51/AN$32</f>
        <v>3.0741891208683644E-2</v>
      </c>
      <c r="AP81" s="236">
        <f>AP51/AP$32</f>
        <v>3.1118801732304732E-2</v>
      </c>
      <c r="AR81" s="236">
        <f>AR51/AR$32</f>
        <v>3.1491586865887392E-2</v>
      </c>
      <c r="AT81" s="236">
        <f>AT51/AT$32</f>
        <v>3.1860374433728078E-2</v>
      </c>
      <c r="AV81" s="236">
        <f>AV51/AV$32</f>
        <v>3.2225214882159056E-2</v>
      </c>
      <c r="XFD81" s="236"/>
    </row>
    <row r="82" spans="1:48 16384:16384" x14ac:dyDescent="0.2">
      <c r="A82" t="s">
        <v>192</v>
      </c>
      <c r="B82" s="236">
        <f>B52/B$32</f>
        <v>0.13907860278212886</v>
      </c>
      <c r="D82" s="236">
        <f>D52/D$32</f>
        <v>0.13855849414038426</v>
      </c>
      <c r="F82" s="236">
        <f>F52/F$32</f>
        <v>0.13804299798336792</v>
      </c>
      <c r="H82" s="236">
        <f>H52/H$32</f>
        <v>0.13753559074677749</v>
      </c>
      <c r="J82" s="236">
        <f>J52/J$32</f>
        <v>0.13703977261875927</v>
      </c>
      <c r="L82" s="236">
        <f>L52/L$32</f>
        <v>0.13655895624428235</v>
      </c>
      <c r="N82" s="236">
        <f>N52/N$32</f>
        <v>0.13609614150555757</v>
      </c>
      <c r="P82" s="236">
        <f>P52/P$32</f>
        <v>0.13565385964369867</v>
      </c>
      <c r="R82" s="236">
        <f>R52/R$32</f>
        <v>0.13523390685099029</v>
      </c>
      <c r="T82" s="236">
        <f>T52/T$32</f>
        <v>0.13483736336968025</v>
      </c>
      <c r="V82" s="236">
        <f>V52/V$32</f>
        <v>0.13446460365491514</v>
      </c>
      <c r="X82" s="236">
        <f>X52/X$32</f>
        <v>0.13411538246101479</v>
      </c>
      <c r="Z82" s="236">
        <f>Z52/Z$32</f>
        <v>0.13378896608923199</v>
      </c>
      <c r="AB82" s="236">
        <f>AB52/AB$32</f>
        <v>0.13348426526110951</v>
      </c>
      <c r="AD82" s="236">
        <f>AD52/AD$32</f>
        <v>0.13319996730401537</v>
      </c>
      <c r="AF82" s="236">
        <f>AF52/AF$32</f>
        <v>0.13293463842548994</v>
      </c>
      <c r="AH82" s="236">
        <f>AH52/AH$32</f>
        <v>0.13268682018190631</v>
      </c>
      <c r="AJ82" s="236">
        <f>AJ52/AJ$32</f>
        <v>0.1324550723497476</v>
      </c>
      <c r="AL82" s="236">
        <f>AL52/AL$32</f>
        <v>0.13223802629611167</v>
      </c>
      <c r="AN82" s="236">
        <f>AN52/AN$32</f>
        <v>0.13203439954109045</v>
      </c>
      <c r="AP82" s="236">
        <f>AP52/AP$32</f>
        <v>0.13199517600503491</v>
      </c>
      <c r="AR82" s="236">
        <f>AR52/AR$32</f>
        <v>0.13195643698387124</v>
      </c>
      <c r="AT82" s="236">
        <f>AT52/AT$32</f>
        <v>0.13191816754796049</v>
      </c>
      <c r="AV82" s="236">
        <f>AV52/AV$32</f>
        <v>0.13188035999111469</v>
      </c>
    </row>
    <row r="83" spans="1:48 16384:16384" x14ac:dyDescent="0.2">
      <c r="A83" t="s">
        <v>193</v>
      </c>
      <c r="B83" s="236">
        <f>B53/B$32</f>
        <v>0.18600714462929935</v>
      </c>
      <c r="D83" s="236">
        <f>D53/D$32</f>
        <v>0.18498114073459554</v>
      </c>
      <c r="F83" s="236">
        <f>F53/F$32</f>
        <v>0.18394632380034376</v>
      </c>
      <c r="H83" s="236">
        <f>H53/H$32</f>
        <v>0.18290616125261927</v>
      </c>
      <c r="J83" s="236">
        <f>J53/J$32</f>
        <v>0.18186522165870833</v>
      </c>
      <c r="L83" s="236">
        <f>L53/L$32</f>
        <v>0.18082907836942305</v>
      </c>
      <c r="N83" s="236">
        <f>N53/N$32</f>
        <v>0.1798039229345316</v>
      </c>
      <c r="P83" s="236">
        <f>P53/P$32</f>
        <v>0.17879622240976714</v>
      </c>
      <c r="R83" s="236">
        <f>R53/R$32</f>
        <v>0.17781214025751166</v>
      </c>
      <c r="T83" s="236">
        <f>T53/T$32</f>
        <v>0.1768571408967948</v>
      </c>
      <c r="V83" s="236">
        <f>V53/V$32</f>
        <v>0.17593565177911255</v>
      </c>
      <c r="X83" s="236">
        <f>X53/X$32</f>
        <v>0.17505089864460366</v>
      </c>
      <c r="Z83" s="236">
        <f>Z53/Z$32</f>
        <v>0.17420487957064648</v>
      </c>
      <c r="AB83" s="236">
        <f>AB53/AB$32</f>
        <v>0.17339848276040293</v>
      </c>
      <c r="AD83" s="236">
        <f>AD53/AD$32</f>
        <v>0.17263163873556439</v>
      </c>
      <c r="AF83" s="236">
        <f>AF53/AF$32</f>
        <v>0.17190356941971124</v>
      </c>
      <c r="AH83" s="236">
        <f>AH53/AH$32</f>
        <v>0.17121294024869219</v>
      </c>
      <c r="AJ83" s="236">
        <f>AJ53/AJ$32</f>
        <v>0.17055807301496287</v>
      </c>
      <c r="AL83" s="236">
        <f>AL53/AL$32</f>
        <v>0.16993706940572914</v>
      </c>
      <c r="AN83" s="236">
        <f>AN53/AN$32</f>
        <v>0.16934793396285117</v>
      </c>
      <c r="AP83" s="236">
        <f>AP53/AP$32</f>
        <v>0.16923375755245881</v>
      </c>
      <c r="AR83" s="236">
        <f>AR53/AR$32</f>
        <v>0.16912075248091038</v>
      </c>
      <c r="AT83" s="236">
        <f>AT53/AT$32</f>
        <v>0.16900891220878464</v>
      </c>
      <c r="AV83" s="236">
        <f>AV53/AV$32</f>
        <v>0.16889821954379369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AK51" activePane="bottomRight" state="frozen"/>
      <selection pane="topRight" activeCell="B1" sqref="B1"/>
      <selection pane="bottomLeft" activeCell="A2" sqref="A2"/>
      <selection pane="bottomRight" activeCell="A42" sqref="A42:XFD83"/>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c r="AT1" s="94"/>
      <c r="AV1" s="94"/>
    </row>
    <row r="2" spans="1:49" x14ac:dyDescent="0.2">
      <c r="A2" s="229" t="s">
        <v>155</v>
      </c>
      <c r="B2" s="226">
        <v>5.7716594496607888E-3</v>
      </c>
      <c r="C2" s="227"/>
      <c r="D2" s="226">
        <v>4.3347278632492416E-2</v>
      </c>
      <c r="E2" s="227"/>
      <c r="F2" s="226">
        <v>7.8836562175367705E-2</v>
      </c>
      <c r="G2" s="227"/>
      <c r="H2" s="226">
        <v>0.11160353632484372</v>
      </c>
      <c r="I2" s="227"/>
      <c r="J2" s="226">
        <v>0.14135279255606051</v>
      </c>
      <c r="K2" s="227"/>
      <c r="L2" s="226">
        <v>0.16834845456716971</v>
      </c>
      <c r="M2" s="227"/>
      <c r="N2" s="226">
        <v>0.1936539649578233</v>
      </c>
      <c r="O2" s="227"/>
      <c r="P2" s="226">
        <v>0.21936257717732499</v>
      </c>
      <c r="Q2" s="227"/>
      <c r="R2" s="226">
        <v>0.24880787635849169</v>
      </c>
      <c r="S2" s="227"/>
      <c r="T2" s="226">
        <v>0.28674616213537124</v>
      </c>
      <c r="U2" s="227"/>
      <c r="V2" s="226">
        <v>0.339617470548218</v>
      </c>
      <c r="W2" s="227"/>
      <c r="X2" s="226">
        <v>0.41620239104829926</v>
      </c>
      <c r="Y2" s="227"/>
      <c r="Z2" s="226">
        <v>0.52940040618123629</v>
      </c>
      <c r="AA2" s="227"/>
      <c r="AB2" s="226">
        <v>0.70073512878194311</v>
      </c>
      <c r="AC2" s="227"/>
      <c r="AD2" s="226">
        <v>0.9722117381763663</v>
      </c>
      <c r="AE2" s="227"/>
      <c r="AF2" s="226">
        <v>1.4429458083909219</v>
      </c>
      <c r="AG2" s="227"/>
      <c r="AH2" s="226">
        <v>2.4181233104441771</v>
      </c>
      <c r="AI2" s="227"/>
      <c r="AJ2" s="226">
        <v>5.3537323627629849</v>
      </c>
      <c r="AK2" s="227"/>
      <c r="AL2" s="226">
        <v>25.448296046134697</v>
      </c>
      <c r="AM2" s="227"/>
      <c r="AN2" s="226">
        <v>1006.3584564894011</v>
      </c>
      <c r="AO2" s="227"/>
      <c r="AP2" s="226">
        <v>3996.4871475383779</v>
      </c>
      <c r="AQ2" s="227"/>
      <c r="AR2" s="226"/>
      <c r="AS2" s="227"/>
      <c r="AT2" s="226"/>
      <c r="AU2" s="227"/>
      <c r="AV2" s="226"/>
      <c r="AW2" s="227"/>
    </row>
    <row r="3" spans="1:49" x14ac:dyDescent="0.2">
      <c r="A3" t="s">
        <v>12</v>
      </c>
      <c r="B3" s="84">
        <v>1000</v>
      </c>
      <c r="C3" s="85">
        <v>1000</v>
      </c>
      <c r="D3" s="84">
        <v>1005.7591072514898</v>
      </c>
      <c r="E3" s="85">
        <v>1024.7112160682991</v>
      </c>
      <c r="F3" s="84">
        <v>1014.7549599162314</v>
      </c>
      <c r="G3" s="85">
        <v>1052.0548547063088</v>
      </c>
      <c r="H3" s="84">
        <v>1027.8528942493845</v>
      </c>
      <c r="I3" s="85">
        <v>1082.5415185188658</v>
      </c>
      <c r="J3" s="84">
        <v>1046.1087230729877</v>
      </c>
      <c r="K3" s="85">
        <v>1117.014844382657</v>
      </c>
      <c r="L3" s="84">
        <v>1070.8134665948426</v>
      </c>
      <c r="M3" s="85">
        <v>1156.8265476455088</v>
      </c>
      <c r="N3" s="84">
        <v>1103.5534691934458</v>
      </c>
      <c r="O3" s="85">
        <v>1204.057944725625</v>
      </c>
      <c r="P3" s="84">
        <v>1146.2815953188485</v>
      </c>
      <c r="Q3" s="85">
        <v>1261.7793397954003</v>
      </c>
      <c r="R3" s="84">
        <v>1201.4242312778056</v>
      </c>
      <c r="S3" s="85">
        <v>1334.391206051565</v>
      </c>
      <c r="T3" s="84">
        <v>1272.0805226587656</v>
      </c>
      <c r="U3" s="85">
        <v>1428.1406759405706</v>
      </c>
      <c r="V3" s="84">
        <v>1362.4652439836366</v>
      </c>
      <c r="W3" s="85">
        <v>1552.0945225423075</v>
      </c>
      <c r="X3" s="84">
        <v>1478.8471003271202</v>
      </c>
      <c r="Y3" s="85">
        <v>1720.1525830255891</v>
      </c>
      <c r="Z3" s="84">
        <v>1631.4889468895756</v>
      </c>
      <c r="AA3" s="85">
        <v>1955.4285396220598</v>
      </c>
      <c r="AB3" s="84">
        <v>1838.800589232927</v>
      </c>
      <c r="AC3" s="85">
        <v>2300.3185417545578</v>
      </c>
      <c r="AD3" s="84">
        <v>2137.326865663269</v>
      </c>
      <c r="AE3" s="85">
        <v>2842.3508102853102</v>
      </c>
      <c r="AF3" s="84">
        <v>2610.5233267528829</v>
      </c>
      <c r="AG3" s="85">
        <v>3793.5432727232765</v>
      </c>
      <c r="AH3" s="84">
        <v>3495.7674955745324</v>
      </c>
      <c r="AI3" s="85">
        <v>5809.3059539287315</v>
      </c>
      <c r="AJ3" s="84">
        <v>5772.0273131931917</v>
      </c>
      <c r="AK3" s="85">
        <v>11957.499748697353</v>
      </c>
      <c r="AL3" s="84">
        <v>17113.804491070954</v>
      </c>
      <c r="AM3" s="85">
        <v>52562.452268539178</v>
      </c>
      <c r="AN3" s="84">
        <v>306620.47176075162</v>
      </c>
      <c r="AO3" s="85">
        <v>1840758.1257524497</v>
      </c>
      <c r="AP3" s="84">
        <v>982627.71002597455</v>
      </c>
      <c r="AQ3" s="85">
        <v>7118184.2770010652</v>
      </c>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c r="AS4" s="102"/>
      <c r="AT4" s="101"/>
      <c r="AU4" s="102"/>
      <c r="AV4" s="101"/>
      <c r="AW4" s="102"/>
    </row>
    <row r="5" spans="1:49" x14ac:dyDescent="0.2">
      <c r="A5" t="s">
        <v>128</v>
      </c>
      <c r="B5" s="41">
        <v>1000</v>
      </c>
      <c r="C5" s="42">
        <v>1000</v>
      </c>
      <c r="D5" s="41">
        <v>1006.0393192949482</v>
      </c>
      <c r="E5" s="42">
        <v>1021.5694388629681</v>
      </c>
      <c r="F5" s="41">
        <v>1015.4583918518728</v>
      </c>
      <c r="G5" s="42">
        <v>1045.143994279513</v>
      </c>
      <c r="H5" s="41">
        <v>1029.1417055487993</v>
      </c>
      <c r="I5" s="42">
        <v>1071.0772001223777</v>
      </c>
      <c r="J5" s="41">
        <v>1048.1545537901982</v>
      </c>
      <c r="K5" s="42">
        <v>1099.9704460993369</v>
      </c>
      <c r="L5" s="41">
        <v>1073.7796628771082</v>
      </c>
      <c r="M5" s="42">
        <v>1132.7891718592166</v>
      </c>
      <c r="N5" s="41">
        <v>1107.5659089368835</v>
      </c>
      <c r="O5" s="42">
        <v>1170.9911520947571</v>
      </c>
      <c r="P5" s="41">
        <v>1151.3843360478736</v>
      </c>
      <c r="Q5" s="42">
        <v>1216.6449332383022</v>
      </c>
      <c r="R5" s="41">
        <v>1207.5156327180462</v>
      </c>
      <c r="S5" s="42">
        <v>1272.5438850402741</v>
      </c>
      <c r="T5" s="41">
        <v>1278.8245019180501</v>
      </c>
      <c r="U5" s="42">
        <v>1342.3391752746904</v>
      </c>
      <c r="V5" s="41">
        <v>1369.1650498197041</v>
      </c>
      <c r="W5" s="42">
        <v>1430.7980064267108</v>
      </c>
      <c r="X5" s="41">
        <v>1484.2463478845327</v>
      </c>
      <c r="Y5" s="42">
        <v>1544.3681696758249</v>
      </c>
      <c r="Z5" s="41">
        <v>1633.405243077264</v>
      </c>
      <c r="AA5" s="42">
        <v>1692.3455781512853</v>
      </c>
      <c r="AB5" s="41">
        <v>1833.3467204535004</v>
      </c>
      <c r="AC5" s="42">
        <v>1889.110440078854</v>
      </c>
      <c r="AD5" s="41">
        <v>2117.0209150994324</v>
      </c>
      <c r="AE5" s="42">
        <v>2158.3578180810578</v>
      </c>
      <c r="AF5" s="41">
        <v>2558.8650013547708</v>
      </c>
      <c r="AG5" s="42">
        <v>2541.2218323277148</v>
      </c>
      <c r="AH5" s="41">
        <v>3367.1125518611598</v>
      </c>
      <c r="AI5" s="42">
        <v>3110.3398883101399</v>
      </c>
      <c r="AJ5" s="41">
        <v>5376.8827345716772</v>
      </c>
      <c r="AK5" s="42">
        <v>3967.1239762980395</v>
      </c>
      <c r="AL5" s="41">
        <v>14752.666035054901</v>
      </c>
      <c r="AM5" s="42">
        <v>4963.6399606386249</v>
      </c>
      <c r="AN5" s="41">
        <v>213544.30926259767</v>
      </c>
      <c r="AO5" s="42">
        <v>5347.817048269887</v>
      </c>
      <c r="AP5" s="41">
        <v>626833.27836016635</v>
      </c>
      <c r="AQ5" s="42">
        <v>5356.852478771546</v>
      </c>
      <c r="AR5" s="41"/>
      <c r="AS5" s="42"/>
      <c r="AT5" s="41"/>
      <c r="AU5" s="42"/>
      <c r="AV5" s="41"/>
      <c r="AW5" s="42"/>
    </row>
    <row r="6" spans="1:49" x14ac:dyDescent="0.2">
      <c r="A6" t="s">
        <v>77</v>
      </c>
      <c r="B6" s="41">
        <v>999.99999999999932</v>
      </c>
      <c r="C6" s="42">
        <v>999.99999999999898</v>
      </c>
      <c r="D6" s="41">
        <v>1006.5027855094614</v>
      </c>
      <c r="E6" s="42">
        <v>1026.6483917538135</v>
      </c>
      <c r="F6" s="41">
        <v>1016.6506948125279</v>
      </c>
      <c r="G6" s="42">
        <v>1056.0787413026117</v>
      </c>
      <c r="H6" s="41">
        <v>1031.4057613947978</v>
      </c>
      <c r="I6" s="42">
        <v>1088.8273472083508</v>
      </c>
      <c r="J6" s="41">
        <v>1051.9329582259368</v>
      </c>
      <c r="K6" s="42">
        <v>1125.7835696467498</v>
      </c>
      <c r="L6" s="41">
        <v>1079.6445201019742</v>
      </c>
      <c r="M6" s="42">
        <v>1168.3733620343032</v>
      </c>
      <c r="N6" s="41">
        <v>1116.2597833161165</v>
      </c>
      <c r="O6" s="42">
        <v>1218.7897475331674</v>
      </c>
      <c r="P6" s="41">
        <v>1163.8757471463114</v>
      </c>
      <c r="Q6" s="42">
        <v>1280.2599400118715</v>
      </c>
      <c r="R6" s="41">
        <v>1225.0762419397599</v>
      </c>
      <c r="S6" s="42">
        <v>1357.3947397287207</v>
      </c>
      <c r="T6" s="41">
        <v>1303.1420341432479</v>
      </c>
      <c r="U6" s="42">
        <v>1456.717917486199</v>
      </c>
      <c r="V6" s="41">
        <v>1402.5262188985639</v>
      </c>
      <c r="W6" s="42">
        <v>1587.670561574703</v>
      </c>
      <c r="X6" s="41">
        <v>1529.8625694219861</v>
      </c>
      <c r="Y6" s="42">
        <v>1764.6996657754394</v>
      </c>
      <c r="Z6" s="41">
        <v>1696.0421417916068</v>
      </c>
      <c r="AA6" s="42">
        <v>2011.8103455657274</v>
      </c>
      <c r="AB6" s="41">
        <v>1920.6403223907712</v>
      </c>
      <c r="AC6" s="42">
        <v>2373.0282292037873</v>
      </c>
      <c r="AD6" s="41">
        <v>2242.5427958964892</v>
      </c>
      <c r="AE6" s="42">
        <v>2939.2519272880841</v>
      </c>
      <c r="AF6" s="41">
        <v>2750.5360230491756</v>
      </c>
      <c r="AG6" s="42">
        <v>3930.6796833311191</v>
      </c>
      <c r="AH6" s="41">
        <v>3697.0246875001189</v>
      </c>
      <c r="AI6" s="42">
        <v>6028.0443158555645</v>
      </c>
      <c r="AJ6" s="41">
        <v>6122.3486595404511</v>
      </c>
      <c r="AK6" s="42">
        <v>12417.88073907965</v>
      </c>
      <c r="AL6" s="41">
        <v>18179.675700123389</v>
      </c>
      <c r="AM6" s="42">
        <v>54599.126836700809</v>
      </c>
      <c r="AN6" s="41">
        <v>325778.72836794425</v>
      </c>
      <c r="AO6" s="42">
        <v>1912107.6197629506</v>
      </c>
      <c r="AP6" s="41">
        <v>1044024.7835222878</v>
      </c>
      <c r="AQ6" s="42">
        <v>7394091.7776908176</v>
      </c>
      <c r="AR6" s="41"/>
      <c r="AS6" s="42"/>
      <c r="AT6" s="41"/>
      <c r="AU6" s="42"/>
      <c r="AV6" s="41"/>
      <c r="AW6" s="42"/>
    </row>
    <row r="7" spans="1:49" x14ac:dyDescent="0.2">
      <c r="A7" t="s">
        <v>13</v>
      </c>
      <c r="B7" s="33">
        <v>1015.9116825427475</v>
      </c>
      <c r="C7" s="34">
        <v>1015.9116825427475</v>
      </c>
      <c r="D7" s="33">
        <v>1022.0470975690912</v>
      </c>
      <c r="E7" s="34">
        <v>1022.0470975690912</v>
      </c>
      <c r="F7" s="33">
        <v>1031.6160434183887</v>
      </c>
      <c r="G7" s="34">
        <v>1031.6160434183887</v>
      </c>
      <c r="H7" s="33">
        <v>1045.5170816589934</v>
      </c>
      <c r="I7" s="34">
        <v>1045.5170816589934</v>
      </c>
      <c r="J7" s="33">
        <v>1064.8324563058429</v>
      </c>
      <c r="K7" s="34">
        <v>1064.8324563058429</v>
      </c>
      <c r="L7" s="33">
        <v>1090.8653039936671</v>
      </c>
      <c r="M7" s="34">
        <v>1090.8653039936671</v>
      </c>
      <c r="N7" s="33">
        <v>1125.1891460750567</v>
      </c>
      <c r="O7" s="34">
        <v>1125.1891460750567</v>
      </c>
      <c r="P7" s="33">
        <v>1169.7047980877594</v>
      </c>
      <c r="Q7" s="34">
        <v>1169.7047980877594</v>
      </c>
      <c r="R7" s="33">
        <v>1226.7292381312604</v>
      </c>
      <c r="S7" s="34">
        <v>1226.7292381312604</v>
      </c>
      <c r="T7" s="33">
        <v>1299.1727514204572</v>
      </c>
      <c r="U7" s="34">
        <v>1299.1727514204572</v>
      </c>
      <c r="V7" s="33">
        <v>1390.9507694410602</v>
      </c>
      <c r="W7" s="34">
        <v>1390.9507694410602</v>
      </c>
      <c r="X7" s="33">
        <v>1507.8632045873037</v>
      </c>
      <c r="Y7" s="34">
        <v>1507.8632045873037</v>
      </c>
      <c r="Z7" s="33">
        <v>1659.3954687687688</v>
      </c>
      <c r="AA7" s="34">
        <v>1659.3954687687688</v>
      </c>
      <c r="AB7" s="33">
        <v>1862.5183514601438</v>
      </c>
      <c r="AC7" s="34">
        <v>1862.5183514601438</v>
      </c>
      <c r="AD7" s="33">
        <v>2150.7062798368511</v>
      </c>
      <c r="AE7" s="34">
        <v>2150.7062798368511</v>
      </c>
      <c r="AF7" s="33">
        <v>2599.5808489260749</v>
      </c>
      <c r="AG7" s="34">
        <v>2599.5808489260749</v>
      </c>
      <c r="AH7" s="33">
        <v>3420.6889778720747</v>
      </c>
      <c r="AI7" s="34">
        <v>3420.6889778720747</v>
      </c>
      <c r="AJ7" s="33">
        <v>5462.4379857137619</v>
      </c>
      <c r="AK7" s="34">
        <v>5462.4379857137619</v>
      </c>
      <c r="AL7" s="33">
        <v>14987.405773663868</v>
      </c>
      <c r="AM7" s="34">
        <v>14987.405773663868</v>
      </c>
      <c r="AN7" s="33">
        <v>216942.15852039441</v>
      </c>
      <c r="AO7" s="34">
        <v>216942.15852039441</v>
      </c>
      <c r="AP7" s="33">
        <v>636807.25049266301</v>
      </c>
      <c r="AQ7" s="34">
        <v>636807.25049266301</v>
      </c>
      <c r="AR7" s="33"/>
      <c r="AS7" s="34"/>
      <c r="AT7" s="33"/>
      <c r="AU7" s="34"/>
      <c r="AV7" s="33"/>
      <c r="AW7" s="34"/>
    </row>
    <row r="8" spans="1:49" x14ac:dyDescent="0.2">
      <c r="B8" s="35">
        <v>1005.7716594496609</v>
      </c>
      <c r="C8" s="36">
        <v>1005.7716594496609</v>
      </c>
      <c r="D8" s="35">
        <v>1065.8516939718002</v>
      </c>
      <c r="E8" s="36">
        <v>1065.8516939718002</v>
      </c>
      <c r="F8" s="35">
        <v>1127.5395537667421</v>
      </c>
      <c r="G8" s="36">
        <v>1127.5395537667421</v>
      </c>
      <c r="H8" s="35">
        <v>1190.6132033329475</v>
      </c>
      <c r="I8" s="36">
        <v>1190.6132033329475</v>
      </c>
      <c r="J8" s="35">
        <v>1255.4543403846137</v>
      </c>
      <c r="K8" s="36">
        <v>1255.4543403846137</v>
      </c>
      <c r="L8" s="35">
        <v>1323.4924782921396</v>
      </c>
      <c r="M8" s="36">
        <v>1323.4924782921396</v>
      </c>
      <c r="N8" s="35">
        <v>1397.7582316284363</v>
      </c>
      <c r="O8" s="36">
        <v>1397.7582316284363</v>
      </c>
      <c r="P8" s="35">
        <v>1483.5313013031905</v>
      </c>
      <c r="Q8" s="36">
        <v>1483.5313013031905</v>
      </c>
      <c r="R8" s="35">
        <v>1589.1628266501293</v>
      </c>
      <c r="S8" s="36">
        <v>1589.1628266501293</v>
      </c>
      <c r="T8" s="35">
        <v>1727.2497820686674</v>
      </c>
      <c r="U8" s="36">
        <v>1727.2497820686674</v>
      </c>
      <c r="V8" s="35">
        <v>1916.7220062347833</v>
      </c>
      <c r="W8" s="36">
        <v>1916.7220062347833</v>
      </c>
      <c r="X8" s="35">
        <v>2187.1378945537886</v>
      </c>
      <c r="Y8" s="36">
        <v>2187.1378945537886</v>
      </c>
      <c r="Z8" s="35">
        <v>2588.2740146235947</v>
      </c>
      <c r="AA8" s="36">
        <v>2588.2740146235947</v>
      </c>
      <c r="AB8" s="35">
        <v>3212.8764875908232</v>
      </c>
      <c r="AC8" s="36">
        <v>3212.8764875908232</v>
      </c>
      <c r="AD8" s="35">
        <v>4256.7386240041924</v>
      </c>
      <c r="AE8" s="36">
        <v>4256.7386240041924</v>
      </c>
      <c r="AF8" s="35">
        <v>6208.0672234764897</v>
      </c>
      <c r="AG8" s="36">
        <v>6208.0672234764897</v>
      </c>
      <c r="AH8" s="35">
        <v>10631.525275637228</v>
      </c>
      <c r="AI8" s="36">
        <v>10631.525275637228</v>
      </c>
      <c r="AJ8" s="35">
        <v>25206.04399529783</v>
      </c>
      <c r="AK8" s="36">
        <v>25206.04399529783</v>
      </c>
      <c r="AL8" s="35">
        <v>131279.81914539472</v>
      </c>
      <c r="AM8" s="36">
        <v>131279.81914539472</v>
      </c>
      <c r="AN8" s="35">
        <v>5387168.7273328584</v>
      </c>
      <c r="AO8" s="36">
        <v>5387168.7273328584</v>
      </c>
      <c r="AP8" s="35">
        <v>21413948.935148358</v>
      </c>
      <c r="AQ8" s="36">
        <v>21413948.935148358</v>
      </c>
      <c r="AR8" s="35"/>
      <c r="AS8" s="36"/>
      <c r="AT8" s="35"/>
      <c r="AU8" s="36"/>
      <c r="AV8" s="35"/>
      <c r="AW8" s="36"/>
    </row>
    <row r="9" spans="1:49" x14ac:dyDescent="0.2">
      <c r="A9" t="s">
        <v>14</v>
      </c>
      <c r="B9" s="41">
        <v>1015.9116825427475</v>
      </c>
      <c r="C9" s="42">
        <v>1005.7716594496609</v>
      </c>
      <c r="D9" s="41">
        <v>1022.0470975690912</v>
      </c>
      <c r="E9" s="42">
        <v>1065.8516939718002</v>
      </c>
      <c r="F9" s="41">
        <v>1031.6160434183887</v>
      </c>
      <c r="G9" s="42">
        <v>1127.5395537667421</v>
      </c>
      <c r="H9" s="41">
        <v>1045.5170816589934</v>
      </c>
      <c r="I9" s="42">
        <v>1190.6132033329475</v>
      </c>
      <c r="J9" s="41">
        <v>1064.8324563058429</v>
      </c>
      <c r="K9" s="42">
        <v>1255.4543403846137</v>
      </c>
      <c r="L9" s="41">
        <v>1090.8653039936671</v>
      </c>
      <c r="M9" s="42">
        <v>1323.4924782921396</v>
      </c>
      <c r="N9" s="41">
        <v>1125.1891460750567</v>
      </c>
      <c r="O9" s="42">
        <v>1397.7582316284363</v>
      </c>
      <c r="P9" s="41">
        <v>1169.7047980877594</v>
      </c>
      <c r="Q9" s="42">
        <v>1483.5313013031905</v>
      </c>
      <c r="R9" s="41">
        <v>1226.7292381312604</v>
      </c>
      <c r="S9" s="42">
        <v>1589.1628266501293</v>
      </c>
      <c r="T9" s="41">
        <v>1299.1727514204572</v>
      </c>
      <c r="U9" s="42">
        <v>1727.2497820686674</v>
      </c>
      <c r="V9" s="41">
        <v>1390.9507694410602</v>
      </c>
      <c r="W9" s="42">
        <v>1916.7220062347833</v>
      </c>
      <c r="X9" s="41">
        <v>1507.8632045873037</v>
      </c>
      <c r="Y9" s="42">
        <v>2187.1378945537886</v>
      </c>
      <c r="Z9" s="41">
        <v>1659.3954687687688</v>
      </c>
      <c r="AA9" s="42">
        <v>2588.2740146235947</v>
      </c>
      <c r="AB9" s="41">
        <v>1862.5183514601438</v>
      </c>
      <c r="AC9" s="42">
        <v>3212.8764875908232</v>
      </c>
      <c r="AD9" s="41">
        <v>2150.7062798368511</v>
      </c>
      <c r="AE9" s="42">
        <v>4256.7386240041924</v>
      </c>
      <c r="AF9" s="41">
        <v>2599.5808489260749</v>
      </c>
      <c r="AG9" s="42">
        <v>6208.0672234764897</v>
      </c>
      <c r="AH9" s="41">
        <v>3420.6889778720747</v>
      </c>
      <c r="AI9" s="42">
        <v>10631.525275637228</v>
      </c>
      <c r="AJ9" s="41">
        <v>5462.4379857137619</v>
      </c>
      <c r="AK9" s="42">
        <v>25206.04399529783</v>
      </c>
      <c r="AL9" s="41">
        <v>14987.405773663868</v>
      </c>
      <c r="AM9" s="42">
        <v>131279.81914539472</v>
      </c>
      <c r="AN9" s="41">
        <v>216942.15852039441</v>
      </c>
      <c r="AO9" s="42">
        <v>5387168.7273328584</v>
      </c>
      <c r="AP9" s="41">
        <v>636807.25049266301</v>
      </c>
      <c r="AQ9" s="42">
        <v>21413948.935148358</v>
      </c>
      <c r="AR9" s="41"/>
      <c r="AS9" s="42"/>
      <c r="AT9" s="41"/>
      <c r="AU9" s="42"/>
      <c r="AV9" s="41"/>
      <c r="AW9" s="42"/>
    </row>
    <row r="10" spans="1:49" x14ac:dyDescent="0.2">
      <c r="A10" t="s">
        <v>15</v>
      </c>
      <c r="B10" s="41">
        <v>1015.9116825427475</v>
      </c>
      <c r="C10" s="42">
        <v>1005.7716594496609</v>
      </c>
      <c r="D10" s="41">
        <v>1022.0470975690912</v>
      </c>
      <c r="E10" s="42">
        <v>1065.8516939718002</v>
      </c>
      <c r="F10" s="41">
        <v>1031.6160434183887</v>
      </c>
      <c r="G10" s="42">
        <v>1127.5395537667421</v>
      </c>
      <c r="H10" s="41">
        <v>1045.5170816589934</v>
      </c>
      <c r="I10" s="42">
        <v>1190.6132033329475</v>
      </c>
      <c r="J10" s="41">
        <v>1064.8324563058429</v>
      </c>
      <c r="K10" s="42">
        <v>1255.4543403846137</v>
      </c>
      <c r="L10" s="41">
        <v>1090.8653039936671</v>
      </c>
      <c r="M10" s="42">
        <v>1323.4924782921396</v>
      </c>
      <c r="N10" s="41">
        <v>1125.1891460750567</v>
      </c>
      <c r="O10" s="42">
        <v>1397.7582316284363</v>
      </c>
      <c r="P10" s="41">
        <v>1169.7047980877594</v>
      </c>
      <c r="Q10" s="42">
        <v>1483.5313013031905</v>
      </c>
      <c r="R10" s="41">
        <v>1226.7292381312604</v>
      </c>
      <c r="S10" s="42">
        <v>1589.1628266501293</v>
      </c>
      <c r="T10" s="41">
        <v>1299.1727514204572</v>
      </c>
      <c r="U10" s="42">
        <v>1727.2497820686674</v>
      </c>
      <c r="V10" s="41">
        <v>1390.9507694410602</v>
      </c>
      <c r="W10" s="42">
        <v>1916.7220062347833</v>
      </c>
      <c r="X10" s="41">
        <v>1507.8632045873037</v>
      </c>
      <c r="Y10" s="42">
        <v>2187.1378945537886</v>
      </c>
      <c r="Z10" s="41">
        <v>1659.3954687687688</v>
      </c>
      <c r="AA10" s="42">
        <v>2588.2740146235947</v>
      </c>
      <c r="AB10" s="41">
        <v>1862.5183514601438</v>
      </c>
      <c r="AC10" s="42">
        <v>3212.8764875908232</v>
      </c>
      <c r="AD10" s="41">
        <v>2150.7062798368511</v>
      </c>
      <c r="AE10" s="42">
        <v>4256.7386240041924</v>
      </c>
      <c r="AF10" s="41">
        <v>2599.5808489260749</v>
      </c>
      <c r="AG10" s="42">
        <v>6208.0672234764897</v>
      </c>
      <c r="AH10" s="41">
        <v>3420.6889778720747</v>
      </c>
      <c r="AI10" s="42">
        <v>10631.525275637228</v>
      </c>
      <c r="AJ10" s="41">
        <v>5462.4379857137619</v>
      </c>
      <c r="AK10" s="42">
        <v>25206.04399529783</v>
      </c>
      <c r="AL10" s="41">
        <v>14987.405773663868</v>
      </c>
      <c r="AM10" s="42">
        <v>131279.81914539472</v>
      </c>
      <c r="AN10" s="41">
        <v>216942.15852039441</v>
      </c>
      <c r="AO10" s="42">
        <v>5387168.7273328584</v>
      </c>
      <c r="AP10" s="41">
        <v>636807.25049266301</v>
      </c>
      <c r="AQ10" s="42">
        <v>21413948.935148358</v>
      </c>
      <c r="AR10" s="41"/>
      <c r="AS10" s="42"/>
      <c r="AT10" s="41"/>
      <c r="AU10" s="42"/>
      <c r="AV10" s="41"/>
      <c r="AW10" s="42"/>
    </row>
    <row r="11" spans="1:49" x14ac:dyDescent="0.2">
      <c r="A11" t="s">
        <v>29</v>
      </c>
      <c r="B11" s="41">
        <v>1015.9116825427475</v>
      </c>
      <c r="C11" s="42">
        <v>1005.7716594496609</v>
      </c>
      <c r="D11" s="41">
        <v>1022.0470975690912</v>
      </c>
      <c r="E11" s="42">
        <v>1065.8516939718002</v>
      </c>
      <c r="F11" s="41">
        <v>1031.6160434183887</v>
      </c>
      <c r="G11" s="42">
        <v>1127.5395537667421</v>
      </c>
      <c r="H11" s="41">
        <v>1045.5170816589934</v>
      </c>
      <c r="I11" s="42">
        <v>1190.6132033329475</v>
      </c>
      <c r="J11" s="41">
        <v>1064.8324563058429</v>
      </c>
      <c r="K11" s="42">
        <v>1255.4543403846137</v>
      </c>
      <c r="L11" s="41">
        <v>1090.8653039936671</v>
      </c>
      <c r="M11" s="42">
        <v>1323.4924782921396</v>
      </c>
      <c r="N11" s="41">
        <v>1125.1891460750567</v>
      </c>
      <c r="O11" s="42">
        <v>1397.7582316284363</v>
      </c>
      <c r="P11" s="41">
        <v>1169.7047980877594</v>
      </c>
      <c r="Q11" s="42">
        <v>1483.5313013031905</v>
      </c>
      <c r="R11" s="41">
        <v>1226.7292381312604</v>
      </c>
      <c r="S11" s="42">
        <v>1589.1628266501293</v>
      </c>
      <c r="T11" s="41">
        <v>1299.1727514204572</v>
      </c>
      <c r="U11" s="42">
        <v>1727.2497820686674</v>
      </c>
      <c r="V11" s="41">
        <v>1390.9507694410602</v>
      </c>
      <c r="W11" s="42">
        <v>1916.7220062347833</v>
      </c>
      <c r="X11" s="41">
        <v>1507.8632045873037</v>
      </c>
      <c r="Y11" s="42">
        <v>2187.1378945537886</v>
      </c>
      <c r="Z11" s="41">
        <v>1659.3954687687688</v>
      </c>
      <c r="AA11" s="42">
        <v>2588.2740146235947</v>
      </c>
      <c r="AB11" s="41">
        <v>1862.5183514601438</v>
      </c>
      <c r="AC11" s="42">
        <v>3212.8764875908232</v>
      </c>
      <c r="AD11" s="41">
        <v>2150.7062798368511</v>
      </c>
      <c r="AE11" s="42">
        <v>4256.7386240041924</v>
      </c>
      <c r="AF11" s="41">
        <v>2599.5808489260749</v>
      </c>
      <c r="AG11" s="42">
        <v>6208.0672234764897</v>
      </c>
      <c r="AH11" s="41">
        <v>3420.6889778720747</v>
      </c>
      <c r="AI11" s="42">
        <v>10631.525275637228</v>
      </c>
      <c r="AJ11" s="41">
        <v>5462.4379857137619</v>
      </c>
      <c r="AK11" s="42">
        <v>25206.04399529783</v>
      </c>
      <c r="AL11" s="41">
        <v>14987.405773663868</v>
      </c>
      <c r="AM11" s="42">
        <v>131279.81914539472</v>
      </c>
      <c r="AN11" s="41">
        <v>216942.15852039441</v>
      </c>
      <c r="AO11" s="42">
        <v>5387168.7273328584</v>
      </c>
      <c r="AP11" s="41">
        <v>636807.25049266301</v>
      </c>
      <c r="AQ11" s="42">
        <v>21413948.935148358</v>
      </c>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c r="AS12" s="42"/>
      <c r="AT12" s="41"/>
      <c r="AU12" s="42"/>
      <c r="AV12" s="41"/>
      <c r="AW12" s="42"/>
    </row>
    <row r="13" spans="1:49" x14ac:dyDescent="0.2">
      <c r="A13" t="s">
        <v>17</v>
      </c>
      <c r="B13" s="97">
        <v>1000</v>
      </c>
      <c r="C13" s="98">
        <v>1000</v>
      </c>
      <c r="D13" s="97">
        <v>1000.6242309338504</v>
      </c>
      <c r="E13" s="98">
        <v>1000.6242309338504</v>
      </c>
      <c r="F13" s="97">
        <v>1004.2903766727292</v>
      </c>
      <c r="G13" s="98">
        <v>1004.2903766727292</v>
      </c>
      <c r="H13" s="97">
        <v>1011.88842693857</v>
      </c>
      <c r="I13" s="98">
        <v>1011.88842693857</v>
      </c>
      <c r="J13" s="97">
        <v>1024.48976615947</v>
      </c>
      <c r="K13" s="98">
        <v>1024.48976615947</v>
      </c>
      <c r="L13" s="97">
        <v>1043.3852857121906</v>
      </c>
      <c r="M13" s="98">
        <v>1043.3852857121906</v>
      </c>
      <c r="N13" s="97">
        <v>1070.1408605125241</v>
      </c>
      <c r="O13" s="98">
        <v>1070.1408605125241</v>
      </c>
      <c r="P13" s="97">
        <v>1106.6677461021588</v>
      </c>
      <c r="Q13" s="98">
        <v>1106.6677461021588</v>
      </c>
      <c r="R13" s="97">
        <v>1155.33000559936</v>
      </c>
      <c r="S13" s="98">
        <v>1155.33000559936</v>
      </c>
      <c r="T13" s="97">
        <v>1219.1412505511701</v>
      </c>
      <c r="U13" s="98">
        <v>1219.1412505511701</v>
      </c>
      <c r="V13" s="97">
        <v>1302.1958487257141</v>
      </c>
      <c r="W13" s="98">
        <v>1302.1958487257141</v>
      </c>
      <c r="X13" s="97">
        <v>1410.5795541853488</v>
      </c>
      <c r="Y13" s="98">
        <v>1410.5795541853488</v>
      </c>
      <c r="Z13" s="97">
        <v>1554.2576878584307</v>
      </c>
      <c r="AA13" s="98">
        <v>1554.2576878584307</v>
      </c>
      <c r="AB13" s="97">
        <v>1751.1313593747275</v>
      </c>
      <c r="AC13" s="98">
        <v>1751.1313593747275</v>
      </c>
      <c r="AD13" s="97">
        <v>2036.8278885152072</v>
      </c>
      <c r="AE13" s="98">
        <v>2036.8278885152072</v>
      </c>
      <c r="AF13" s="97">
        <v>2493.0168716812536</v>
      </c>
      <c r="AG13" s="98">
        <v>2493.0168716812536</v>
      </c>
      <c r="AH13" s="97">
        <v>3353.2610602453678</v>
      </c>
      <c r="AI13" s="98">
        <v>3353.2610602453678</v>
      </c>
      <c r="AJ13" s="97">
        <v>5589.2485140232629</v>
      </c>
      <c r="AK13" s="98">
        <v>5589.2485140232629</v>
      </c>
      <c r="AL13" s="97">
        <v>16955.351147033365</v>
      </c>
      <c r="AM13" s="98">
        <v>16955.351147033365</v>
      </c>
      <c r="AN13" s="97">
        <v>321132.93291104259</v>
      </c>
      <c r="AO13" s="98">
        <v>321132.93291104259</v>
      </c>
      <c r="AP13" s="97">
        <v>1047187.9967453399</v>
      </c>
      <c r="AQ13" s="98">
        <v>1047187.9967453399</v>
      </c>
      <c r="AR13" s="97"/>
      <c r="AS13" s="98"/>
      <c r="AT13" s="97"/>
      <c r="AU13" s="98"/>
      <c r="AV13" s="97"/>
      <c r="AW13" s="98"/>
    </row>
    <row r="14" spans="1:49" x14ac:dyDescent="0.2">
      <c r="A14" t="s">
        <v>36</v>
      </c>
      <c r="B14" s="41">
        <v>1457.0034251455234</v>
      </c>
      <c r="C14" s="42">
        <v>1457.0034251455236</v>
      </c>
      <c r="D14" s="41">
        <v>1457.9129317542252</v>
      </c>
      <c r="E14" s="42">
        <v>1457.9129317542254</v>
      </c>
      <c r="F14" s="41">
        <v>1463.2545186528541</v>
      </c>
      <c r="G14" s="42">
        <v>1463.2545186528544</v>
      </c>
      <c r="H14" s="41">
        <v>1474.3249039146122</v>
      </c>
      <c r="I14" s="42">
        <v>1474.3249039146124</v>
      </c>
      <c r="J14" s="41">
        <v>1492.685098320884</v>
      </c>
      <c r="K14" s="42">
        <v>1492.6850983208842</v>
      </c>
      <c r="L14" s="41">
        <v>1520.2159350291022</v>
      </c>
      <c r="M14" s="42">
        <v>1520.2159350291024</v>
      </c>
      <c r="N14" s="41">
        <v>1559.1988991549254</v>
      </c>
      <c r="O14" s="42">
        <v>1559.1988991549256</v>
      </c>
      <c r="P14" s="41">
        <v>1612.4186965689219</v>
      </c>
      <c r="Q14" s="42">
        <v>1612.4186965689221</v>
      </c>
      <c r="R14" s="41">
        <v>1683.319775331664</v>
      </c>
      <c r="S14" s="42">
        <v>1683.3197753316645</v>
      </c>
      <c r="T14" s="41">
        <v>1776.2929777892514</v>
      </c>
      <c r="U14" s="42">
        <v>1776.2929777892516</v>
      </c>
      <c r="V14" s="41">
        <v>1897.303811803647</v>
      </c>
      <c r="W14" s="42">
        <v>1897.3038118036475</v>
      </c>
      <c r="X14" s="41">
        <v>2055.2192418882983</v>
      </c>
      <c r="Y14" s="42">
        <v>2055.2192418882987</v>
      </c>
      <c r="Z14" s="41">
        <v>2264.5587747684949</v>
      </c>
      <c r="AA14" s="42">
        <v>2264.5587747684954</v>
      </c>
      <c r="AB14" s="41">
        <v>2551.4043884887142</v>
      </c>
      <c r="AC14" s="42">
        <v>2551.4043884887146</v>
      </c>
      <c r="AD14" s="41">
        <v>2967.6652099985808</v>
      </c>
      <c r="AE14" s="42">
        <v>2967.6652099985813</v>
      </c>
      <c r="AF14" s="41">
        <v>3632.3341209851642</v>
      </c>
      <c r="AG14" s="42">
        <v>3632.3341209851646</v>
      </c>
      <c r="AH14" s="41">
        <v>4885.71285018461</v>
      </c>
      <c r="AI14" s="42">
        <v>4885.7128501846109</v>
      </c>
      <c r="AJ14" s="41">
        <v>8143.55422892142</v>
      </c>
      <c r="AK14" s="42">
        <v>8143.5542289214218</v>
      </c>
      <c r="AL14" s="41">
        <v>24704.004695772688</v>
      </c>
      <c r="AM14" s="42">
        <v>24704.004695772695</v>
      </c>
      <c r="AN14" s="41">
        <v>467891.7831784166</v>
      </c>
      <c r="AO14" s="42">
        <v>467891.78317841666</v>
      </c>
      <c r="AP14" s="41">
        <v>1525756.4980292395</v>
      </c>
      <c r="AQ14" s="42">
        <v>1525756.4980292397</v>
      </c>
      <c r="AR14" s="41"/>
      <c r="AS14" s="42"/>
      <c r="AT14" s="41"/>
      <c r="AU14" s="42"/>
      <c r="AV14" s="41"/>
      <c r="AW14" s="42"/>
    </row>
    <row r="15" spans="1:49" x14ac:dyDescent="0.2">
      <c r="A15" t="s">
        <v>18</v>
      </c>
      <c r="B15" s="154">
        <v>1000</v>
      </c>
      <c r="C15" s="155">
        <v>1000</v>
      </c>
      <c r="D15" s="154">
        <v>1006.0393192949482</v>
      </c>
      <c r="E15" s="155">
        <v>1006.0393192949482</v>
      </c>
      <c r="F15" s="154">
        <v>1015.4583918518728</v>
      </c>
      <c r="G15" s="155">
        <v>1015.4583918518728</v>
      </c>
      <c r="H15" s="154">
        <v>1029.1417055487993</v>
      </c>
      <c r="I15" s="155">
        <v>1029.1417055487993</v>
      </c>
      <c r="J15" s="154">
        <v>1048.1545537901982</v>
      </c>
      <c r="K15" s="155">
        <v>1048.1545537901982</v>
      </c>
      <c r="L15" s="154">
        <v>1073.7796628771082</v>
      </c>
      <c r="M15" s="155">
        <v>1073.7796628771082</v>
      </c>
      <c r="N15" s="154">
        <v>1107.5659089368835</v>
      </c>
      <c r="O15" s="155">
        <v>1107.5659089368835</v>
      </c>
      <c r="P15" s="154">
        <v>1151.3843360478736</v>
      </c>
      <c r="Q15" s="155">
        <v>1151.3843360478736</v>
      </c>
      <c r="R15" s="154">
        <v>1207.5156327180462</v>
      </c>
      <c r="S15" s="155">
        <v>1207.5156327180462</v>
      </c>
      <c r="T15" s="154">
        <v>1278.8245019180501</v>
      </c>
      <c r="U15" s="155">
        <v>1278.8245019180501</v>
      </c>
      <c r="V15" s="154">
        <v>1369.1650498197041</v>
      </c>
      <c r="W15" s="155">
        <v>1369.1650498197041</v>
      </c>
      <c r="X15" s="154">
        <v>1484.2463478845327</v>
      </c>
      <c r="Y15" s="155">
        <v>1484.2463478845327</v>
      </c>
      <c r="Z15" s="154">
        <v>1633.405243077264</v>
      </c>
      <c r="AA15" s="155">
        <v>1633.405243077264</v>
      </c>
      <c r="AB15" s="154">
        <v>1833.3467204535004</v>
      </c>
      <c r="AC15" s="155">
        <v>1833.3467204535004</v>
      </c>
      <c r="AD15" s="154">
        <v>2117.0209150994324</v>
      </c>
      <c r="AE15" s="155">
        <v>2117.0209150994324</v>
      </c>
      <c r="AF15" s="154">
        <v>2558.8650013547708</v>
      </c>
      <c r="AG15" s="155">
        <v>2558.8650013547708</v>
      </c>
      <c r="AH15" s="154">
        <v>3367.1125518611598</v>
      </c>
      <c r="AI15" s="155">
        <v>3367.1125518611598</v>
      </c>
      <c r="AJ15" s="154">
        <v>5376.8827345716772</v>
      </c>
      <c r="AK15" s="155">
        <v>5376.8827345716772</v>
      </c>
      <c r="AL15" s="154">
        <v>14752.666035054901</v>
      </c>
      <c r="AM15" s="155">
        <v>14752.666035054901</v>
      </c>
      <c r="AN15" s="154">
        <v>213544.30926259767</v>
      </c>
      <c r="AO15" s="155">
        <v>213544.30926259767</v>
      </c>
      <c r="AP15" s="154">
        <v>626833.27836016635</v>
      </c>
      <c r="AQ15" s="155">
        <v>626833.27836016635</v>
      </c>
      <c r="AR15" s="154"/>
      <c r="AS15" s="155"/>
      <c r="AT15" s="154"/>
      <c r="AU15" s="155"/>
      <c r="AV15" s="154"/>
      <c r="AW15" s="155"/>
    </row>
    <row r="16" spans="1:49" s="29" customFormat="1" x14ac:dyDescent="0.2">
      <c r="A16" t="s">
        <v>61</v>
      </c>
      <c r="B16" s="41">
        <v>1000</v>
      </c>
      <c r="C16" s="42">
        <v>1000</v>
      </c>
      <c r="D16" s="41">
        <v>1003.1516784603705</v>
      </c>
      <c r="E16" s="42">
        <v>1004.4934889777537</v>
      </c>
      <c r="F16" s="41">
        <v>1009.5017744270299</v>
      </c>
      <c r="G16" s="42">
        <v>1012.2698062424776</v>
      </c>
      <c r="H16" s="41">
        <v>1019.9375437332908</v>
      </c>
      <c r="I16" s="42">
        <v>1024.2149429608896</v>
      </c>
      <c r="J16" s="41">
        <v>1035.5274036170886</v>
      </c>
      <c r="K16" s="42">
        <v>1041.395881190351</v>
      </c>
      <c r="L16" s="41">
        <v>1057.558375704207</v>
      </c>
      <c r="M16" s="42">
        <v>1065.0976547839862</v>
      </c>
      <c r="N16" s="41">
        <v>1087.5884409997791</v>
      </c>
      <c r="O16" s="42">
        <v>1096.8740095015694</v>
      </c>
      <c r="P16" s="41">
        <v>1127.5102741734822</v>
      </c>
      <c r="Q16" s="42">
        <v>1138.6075454728928</v>
      </c>
      <c r="R16" s="41">
        <v>1179.6494211909737</v>
      </c>
      <c r="S16" s="42">
        <v>1192.6029141488559</v>
      </c>
      <c r="T16" s="41">
        <v>1246.9506600375171</v>
      </c>
      <c r="U16" s="42">
        <v>1261.7675992774502</v>
      </c>
      <c r="V16" s="41">
        <v>1333.3972011920312</v>
      </c>
      <c r="W16" s="42">
        <v>1350.0246938164032</v>
      </c>
      <c r="X16" s="41">
        <v>1444.900313178372</v>
      </c>
      <c r="Y16" s="42">
        <v>1463.1913400837816</v>
      </c>
      <c r="Z16" s="41">
        <v>1591.1337184744802</v>
      </c>
      <c r="AA16" s="42">
        <v>1610.7845008166573</v>
      </c>
      <c r="AB16" s="41">
        <v>1789.4425430348463</v>
      </c>
      <c r="AC16" s="42">
        <v>1809.8515524057807</v>
      </c>
      <c r="AD16" s="41">
        <v>2074.2075738411395</v>
      </c>
      <c r="AE16" s="42">
        <v>2094.1081137442802</v>
      </c>
      <c r="AF16" s="41">
        <v>2523.7255215656146</v>
      </c>
      <c r="AG16" s="42">
        <v>2540.0571259585472</v>
      </c>
      <c r="AH16" s="41">
        <v>3359.726458429187</v>
      </c>
      <c r="AI16" s="42">
        <v>3363.1585397256972</v>
      </c>
      <c r="AJ16" s="41">
        <v>5489.9536448755225</v>
      </c>
      <c r="AK16" s="42">
        <v>5437.4343814682497</v>
      </c>
      <c r="AL16" s="41">
        <v>15921.33199872345</v>
      </c>
      <c r="AM16" s="42">
        <v>15379.006765150112</v>
      </c>
      <c r="AN16" s="41">
        <v>270093.59003021923</v>
      </c>
      <c r="AO16" s="42">
        <v>243910.66571289409</v>
      </c>
      <c r="AP16" s="41">
        <v>846972.11806021002</v>
      </c>
      <c r="AQ16" s="42">
        <v>745126.51456168958</v>
      </c>
      <c r="AR16" s="41"/>
      <c r="AS16" s="42"/>
      <c r="AT16" s="41"/>
      <c r="AU16" s="42"/>
      <c r="AV16" s="41"/>
      <c r="AW16" s="42"/>
    </row>
    <row r="17" spans="1:49" x14ac:dyDescent="0.2">
      <c r="A17" t="s">
        <v>62</v>
      </c>
      <c r="B17" s="35">
        <v>999.99999999999977</v>
      </c>
      <c r="C17" s="36">
        <v>999.99999999999977</v>
      </c>
      <c r="D17" s="35">
        <v>1005.4985508173077</v>
      </c>
      <c r="E17" s="36">
        <v>1033.8438408740785</v>
      </c>
      <c r="F17" s="35">
        <v>1014.1009628238344</v>
      </c>
      <c r="G17" s="36">
        <v>1069.9936256439</v>
      </c>
      <c r="H17" s="35">
        <v>1026.6548828831194</v>
      </c>
      <c r="I17" s="36">
        <v>1108.7674803196523</v>
      </c>
      <c r="J17" s="35">
        <v>1044.2074719434306</v>
      </c>
      <c r="K17" s="36">
        <v>1150.8894504279865</v>
      </c>
      <c r="L17" s="35">
        <v>1068.0576556490857</v>
      </c>
      <c r="M17" s="36">
        <v>1197.7357263925517</v>
      </c>
      <c r="N17" s="35">
        <v>1099.8267114743667</v>
      </c>
      <c r="O17" s="36">
        <v>1251.6438173122615</v>
      </c>
      <c r="P17" s="35">
        <v>1141.5434668240591</v>
      </c>
      <c r="Q17" s="36">
        <v>1316.275780384045</v>
      </c>
      <c r="R17" s="35">
        <v>1195.7692597145463</v>
      </c>
      <c r="S17" s="36">
        <v>1397.0878335480265</v>
      </c>
      <c r="T17" s="35">
        <v>1265.820215337865</v>
      </c>
      <c r="U17" s="36">
        <v>1502.0219436623154</v>
      </c>
      <c r="V17" s="35">
        <v>1356.2451395840594</v>
      </c>
      <c r="W17" s="36">
        <v>1642.7731752538568</v>
      </c>
      <c r="X17" s="35">
        <v>1473.8322852861272</v>
      </c>
      <c r="Y17" s="36">
        <v>1837.4045865311605</v>
      </c>
      <c r="Z17" s="35">
        <v>1629.7075878255005</v>
      </c>
      <c r="AA17" s="36">
        <v>2116.1023752857063</v>
      </c>
      <c r="AB17" s="35">
        <v>1843.8774206388448</v>
      </c>
      <c r="AC17" s="36">
        <v>2534.593555001064</v>
      </c>
      <c r="AD17" s="35">
        <v>2156.2709832604892</v>
      </c>
      <c r="AE17" s="36">
        <v>3209.039384409195</v>
      </c>
      <c r="AF17" s="35">
        <v>2658.8858611814321</v>
      </c>
      <c r="AG17" s="36">
        <v>4424.4661120829978</v>
      </c>
      <c r="AH17" s="35">
        <v>3616.9160914131148</v>
      </c>
      <c r="AI17" s="36">
        <v>7076.633648095918</v>
      </c>
      <c r="AJ17" s="35">
        <v>6148.2011079346767</v>
      </c>
      <c r="AK17" s="36">
        <v>15452.722350073383</v>
      </c>
      <c r="AL17" s="35">
        <v>19417.335150632487</v>
      </c>
      <c r="AM17" s="36">
        <v>73381.210079102471</v>
      </c>
      <c r="AN17" s="35">
        <v>403230.68018414034</v>
      </c>
      <c r="AO17" s="36">
        <v>2780714.982590409</v>
      </c>
      <c r="AP17" s="35">
        <v>1360686.7109168677</v>
      </c>
      <c r="AQ17" s="36">
        <v>10908846.426358528</v>
      </c>
      <c r="AR17" s="35"/>
      <c r="AS17" s="36"/>
      <c r="AT17" s="35"/>
      <c r="AU17" s="36"/>
      <c r="AV17" s="35"/>
      <c r="AW17" s="36"/>
    </row>
    <row r="18" spans="1:49" x14ac:dyDescent="0.2">
      <c r="A18" t="s">
        <v>19</v>
      </c>
      <c r="B18" s="33">
        <v>27857.010133999996</v>
      </c>
      <c r="C18" s="34">
        <v>1236.7674480000003</v>
      </c>
      <c r="D18" s="33">
        <v>27238.177380139037</v>
      </c>
      <c r="E18" s="34">
        <v>1161.1158460595873</v>
      </c>
      <c r="F18" s="33">
        <v>26506.057706001935</v>
      </c>
      <c r="G18" s="34">
        <v>1085.9647270974092</v>
      </c>
      <c r="H18" s="33">
        <v>25655.533652642505</v>
      </c>
      <c r="I18" s="34">
        <v>1011.3253268903674</v>
      </c>
      <c r="J18" s="33">
        <v>24689.06078120428</v>
      </c>
      <c r="K18" s="34">
        <v>937.13125397245642</v>
      </c>
      <c r="L18" s="33">
        <v>23618.189490464243</v>
      </c>
      <c r="M18" s="34">
        <v>863.23231051777509</v>
      </c>
      <c r="N18" s="33">
        <v>22463.846436566582</v>
      </c>
      <c r="O18" s="34">
        <v>789.40804351661768</v>
      </c>
      <c r="P18" s="33">
        <v>21254.91273394828</v>
      </c>
      <c r="Q18" s="34">
        <v>715.40994820265712</v>
      </c>
      <c r="R18" s="33">
        <v>20024.952405225496</v>
      </c>
      <c r="S18" s="34">
        <v>641.0257078208424</v>
      </c>
      <c r="T18" s="33">
        <v>18807.223648189491</v>
      </c>
      <c r="U18" s="34">
        <v>566.15327041110095</v>
      </c>
      <c r="V18" s="33">
        <v>17629.109982844297</v>
      </c>
      <c r="W18" s="34">
        <v>490.85522039750174</v>
      </c>
      <c r="X18" s="33">
        <v>16507.721071558233</v>
      </c>
      <c r="Y18" s="34">
        <v>415.38032314977858</v>
      </c>
      <c r="Z18" s="33">
        <v>15448.166207236643</v>
      </c>
      <c r="AA18" s="34">
        <v>340.16044025532176</v>
      </c>
      <c r="AB18" s="33">
        <v>14444.118007110206</v>
      </c>
      <c r="AC18" s="34">
        <v>265.83689177711</v>
      </c>
      <c r="AD18" s="33">
        <v>13478.566062389209</v>
      </c>
      <c r="AE18" s="34">
        <v>193.4095896656346</v>
      </c>
      <c r="AF18" s="33">
        <v>12521.462783985291</v>
      </c>
      <c r="AG18" s="34">
        <v>124.68125206322529</v>
      </c>
      <c r="AH18" s="33">
        <v>11517.082433072293</v>
      </c>
      <c r="AI18" s="34">
        <v>63.440756292230937</v>
      </c>
      <c r="AJ18" s="33">
        <v>10335.86550487824</v>
      </c>
      <c r="AK18" s="34">
        <v>18.224881224394686</v>
      </c>
      <c r="AL18" s="33">
        <v>8628.6451257009285</v>
      </c>
      <c r="AM18" s="34">
        <v>0.98365349498698817</v>
      </c>
      <c r="AN18" s="33">
        <v>5749.530611734217</v>
      </c>
      <c r="AO18" s="34">
        <v>4.654849170590852E-4</v>
      </c>
      <c r="AP18" s="33">
        <v>4948.251216732373</v>
      </c>
      <c r="AQ18" s="34">
        <v>2.4987171612058833E-5</v>
      </c>
      <c r="AR18" s="33"/>
      <c r="AS18" s="34"/>
      <c r="AT18" s="33"/>
      <c r="AU18" s="34"/>
      <c r="AV18" s="33"/>
      <c r="AW18" s="34"/>
    </row>
    <row r="19" spans="1:49" x14ac:dyDescent="0.2">
      <c r="A19" t="s">
        <v>3</v>
      </c>
      <c r="B19" s="41">
        <v>1886.3937400000138</v>
      </c>
      <c r="C19" s="42">
        <v>262.7871129999973</v>
      </c>
      <c r="D19" s="41">
        <v>1857.9893748208619</v>
      </c>
      <c r="E19" s="42">
        <v>260.53343357722628</v>
      </c>
      <c r="F19" s="41">
        <v>1828.5428719652386</v>
      </c>
      <c r="G19" s="42">
        <v>258.34426964298206</v>
      </c>
      <c r="H19" s="41">
        <v>1798.6899914992343</v>
      </c>
      <c r="I19" s="42">
        <v>256.25039578045403</v>
      </c>
      <c r="J19" s="41">
        <v>1769.4801324675884</v>
      </c>
      <c r="K19" s="42">
        <v>254.36429233534102</v>
      </c>
      <c r="L19" s="41">
        <v>1742.4513677377722</v>
      </c>
      <c r="M19" s="42">
        <v>252.90855727654952</v>
      </c>
      <c r="N19" s="41">
        <v>1719.6755243876974</v>
      </c>
      <c r="O19" s="42">
        <v>252.23732423875688</v>
      </c>
      <c r="P19" s="41">
        <v>1703.7438479940326</v>
      </c>
      <c r="Q19" s="42">
        <v>252.83964022967754</v>
      </c>
      <c r="R19" s="41">
        <v>1697.7176309638025</v>
      </c>
      <c r="S19" s="42">
        <v>255.32948850425848</v>
      </c>
      <c r="T19" s="41">
        <v>1705.0853246464935</v>
      </c>
      <c r="U19" s="42">
        <v>260.43022912182602</v>
      </c>
      <c r="V19" s="41">
        <v>1729.8949758632928</v>
      </c>
      <c r="W19" s="42">
        <v>268.98669634273517</v>
      </c>
      <c r="X19" s="41">
        <v>1777.2983408199673</v>
      </c>
      <c r="Y19" s="42">
        <v>282.04499411931386</v>
      </c>
      <c r="Z19" s="41">
        <v>1854.9269295103163</v>
      </c>
      <c r="AA19" s="42">
        <v>301.05255385400534</v>
      </c>
      <c r="AB19" s="41">
        <v>1975.9224372004803</v>
      </c>
      <c r="AC19" s="42">
        <v>328.23659315081181</v>
      </c>
      <c r="AD19" s="41">
        <v>2166.0484884650332</v>
      </c>
      <c r="AE19" s="42">
        <v>367.25887307234501</v>
      </c>
      <c r="AF19" s="41">
        <v>2483.5967151122318</v>
      </c>
      <c r="AG19" s="42">
        <v>424.25730556587735</v>
      </c>
      <c r="AH19" s="41">
        <v>3091.1786292108523</v>
      </c>
      <c r="AI19" s="42">
        <v>508.45181666320434</v>
      </c>
      <c r="AJ19" s="41">
        <v>4631.0291018651833</v>
      </c>
      <c r="AK19" s="42">
        <v>620.36444820752206</v>
      </c>
      <c r="AL19" s="41">
        <v>11623.165090457771</v>
      </c>
      <c r="AM19" s="42">
        <v>647.44756637088722</v>
      </c>
      <c r="AN19" s="41">
        <v>142878.53146035312</v>
      </c>
      <c r="AO19" s="42">
        <v>375.77436636329082</v>
      </c>
      <c r="AP19" s="41">
        <v>398687.40871423058</v>
      </c>
      <c r="AQ19" s="42">
        <v>301.63617726307007</v>
      </c>
      <c r="AR19" s="41"/>
      <c r="AS19" s="42"/>
      <c r="AT19" s="41"/>
      <c r="AU19" s="42"/>
      <c r="AV19" s="41"/>
      <c r="AW19" s="42"/>
    </row>
    <row r="20" spans="1:49" x14ac:dyDescent="0.2">
      <c r="A20" t="s">
        <v>127</v>
      </c>
      <c r="B20" s="82">
        <v>26548.356269999993</v>
      </c>
      <c r="C20" s="83">
        <v>1408.5418709999938</v>
      </c>
      <c r="D20" s="82">
        <v>25990.067681807752</v>
      </c>
      <c r="E20" s="83">
        <v>1338.1147774499941</v>
      </c>
      <c r="F20" s="82">
        <v>25338.545602991668</v>
      </c>
      <c r="G20" s="83">
        <v>1267.6876838999945</v>
      </c>
      <c r="H20" s="82">
        <v>24590.178310074232</v>
      </c>
      <c r="I20" s="83">
        <v>1197.2605903499943</v>
      </c>
      <c r="J20" s="82">
        <v>23747.69132119701</v>
      </c>
      <c r="K20" s="83">
        <v>1126.8334967999951</v>
      </c>
      <c r="L20" s="82">
        <v>22821.365580273778</v>
      </c>
      <c r="M20" s="83">
        <v>1056.4064032499953</v>
      </c>
      <c r="N20" s="82">
        <v>21829.235355871213</v>
      </c>
      <c r="O20" s="83">
        <v>985.97930969999561</v>
      </c>
      <c r="P20" s="82">
        <v>20795.868728594829</v>
      </c>
      <c r="Q20" s="83">
        <v>915.55221614999596</v>
      </c>
      <c r="R20" s="82">
        <v>19749.63371496023</v>
      </c>
      <c r="S20" s="83">
        <v>845.12512259999642</v>
      </c>
      <c r="T20" s="82">
        <v>18718.555883740468</v>
      </c>
      <c r="U20" s="83">
        <v>774.69802904999653</v>
      </c>
      <c r="V20" s="82">
        <v>17725.751646624602</v>
      </c>
      <c r="W20" s="83">
        <v>704.27093549999688</v>
      </c>
      <c r="X20" s="82">
        <v>16785.897580030436</v>
      </c>
      <c r="Y20" s="83">
        <v>633.84384194999711</v>
      </c>
      <c r="Z20" s="82">
        <v>15904.030683173232</v>
      </c>
      <c r="AA20" s="83">
        <v>563.41674839999746</v>
      </c>
      <c r="AB20" s="82">
        <v>15076.416410825614</v>
      </c>
      <c r="AC20" s="83">
        <v>492.98965484999781</v>
      </c>
      <c r="AD20" s="82">
        <v>14291.935979568574</v>
      </c>
      <c r="AE20" s="83">
        <v>422.56256129999809</v>
      </c>
      <c r="AF20" s="82">
        <v>13531.891822992115</v>
      </c>
      <c r="AG20" s="83">
        <v>352.13546774999827</v>
      </c>
      <c r="AH20" s="82">
        <v>12764.364029337539</v>
      </c>
      <c r="AI20" s="83">
        <v>281.70837419999856</v>
      </c>
      <c r="AJ20" s="82">
        <v>11919.195121264816</v>
      </c>
      <c r="AK20" s="83">
        <v>211.28128064999879</v>
      </c>
      <c r="AL20" s="82">
        <v>10793.703412647425</v>
      </c>
      <c r="AM20" s="83">
        <v>140.85418709999905</v>
      </c>
      <c r="AN20" s="82">
        <v>8924.6128485440586</v>
      </c>
      <c r="AO20" s="83">
        <v>70.427093549999285</v>
      </c>
      <c r="AP20" s="82">
        <v>8392.9424497147647</v>
      </c>
      <c r="AQ20" s="83">
        <v>56.341674839999335</v>
      </c>
      <c r="AR20" s="82"/>
      <c r="AS20" s="83"/>
      <c r="AT20" s="82"/>
      <c r="AU20" s="83"/>
      <c r="AV20" s="82"/>
      <c r="AW20" s="83"/>
    </row>
    <row r="21" spans="1:49" x14ac:dyDescent="0.2">
      <c r="A21" t="s">
        <v>76</v>
      </c>
      <c r="B21" s="82">
        <v>24661.962530000252</v>
      </c>
      <c r="C21" s="83">
        <v>1145.7547579999964</v>
      </c>
      <c r="D21" s="82">
        <v>24132.11477292655</v>
      </c>
      <c r="E21" s="83">
        <v>1077.7241293104319</v>
      </c>
      <c r="F21" s="82">
        <v>23510.234169638443</v>
      </c>
      <c r="G21" s="83">
        <v>1009.9359637820746</v>
      </c>
      <c r="H21" s="82">
        <v>22792.279216120172</v>
      </c>
      <c r="I21" s="83">
        <v>942.39746713222212</v>
      </c>
      <c r="J21" s="82">
        <v>21980.270610474621</v>
      </c>
      <c r="K21" s="83">
        <v>875.05215489622844</v>
      </c>
      <c r="L21" s="82">
        <v>21083.48309632012</v>
      </c>
      <c r="M21" s="83">
        <v>807.77021645716945</v>
      </c>
      <c r="N21" s="82">
        <v>20118.651425556494</v>
      </c>
      <c r="O21" s="83">
        <v>740.35390573619839</v>
      </c>
      <c r="P21" s="82">
        <v>19108.821476073863</v>
      </c>
      <c r="Q21" s="83">
        <v>672.56839693998052</v>
      </c>
      <c r="R21" s="82">
        <v>18080.731507023418</v>
      </c>
      <c r="S21" s="83">
        <v>604.19378999243133</v>
      </c>
      <c r="T21" s="82">
        <v>17060.813377752525</v>
      </c>
      <c r="U21" s="83">
        <v>535.09152763598343</v>
      </c>
      <c r="V21" s="82">
        <v>16070.704877095683</v>
      </c>
      <c r="W21" s="83">
        <v>465.26204181788756</v>
      </c>
      <c r="X21" s="82">
        <v>15123.652128984158</v>
      </c>
      <c r="Y21" s="83">
        <v>394.87932428392259</v>
      </c>
      <c r="Z21" s="82">
        <v>14222.995999536031</v>
      </c>
      <c r="AA21" s="83">
        <v>324.30664478821302</v>
      </c>
      <c r="AB21" s="82">
        <v>13362.40643039842</v>
      </c>
      <c r="AC21" s="83">
        <v>254.13752313879459</v>
      </c>
      <c r="AD21" s="82">
        <v>12526.083842269429</v>
      </c>
      <c r="AE21" s="83">
        <v>185.34730671199407</v>
      </c>
      <c r="AF21" s="82">
        <v>11685.972319239201</v>
      </c>
      <c r="AG21" s="83">
        <v>119.72411272298575</v>
      </c>
      <c r="AH21" s="82">
        <v>10789.181899703171</v>
      </c>
      <c r="AI21" s="83">
        <v>61.007683689598309</v>
      </c>
      <c r="AJ21" s="82">
        <v>9711.4830866712382</v>
      </c>
      <c r="AK21" s="83">
        <v>17.540401811709629</v>
      </c>
      <c r="AL21" s="82">
        <v>8119.6573119257864</v>
      </c>
      <c r="AM21" s="83">
        <v>0.9469364056612678</v>
      </c>
      <c r="AN21" s="82">
        <v>5411.4084294180575</v>
      </c>
      <c r="AO21" s="83">
        <v>4.4811563042637469E-4</v>
      </c>
      <c r="AP21" s="82">
        <v>4657.253639226461</v>
      </c>
      <c r="AQ21" s="83">
        <v>2.4054778385758373E-5</v>
      </c>
      <c r="AR21" s="82"/>
      <c r="AS21" s="83"/>
      <c r="AT21" s="82"/>
      <c r="AU21" s="83"/>
      <c r="AV21" s="82"/>
      <c r="AW21" s="83"/>
    </row>
    <row r="22" spans="1:49" x14ac:dyDescent="0.2">
      <c r="A22" t="s">
        <v>28</v>
      </c>
      <c r="B22" s="41">
        <v>6533.6044688320826</v>
      </c>
      <c r="C22" s="42">
        <v>379.90788307663479</v>
      </c>
      <c r="D22" s="41">
        <v>6362.7975567857329</v>
      </c>
      <c r="E22" s="42">
        <v>358.61141752533752</v>
      </c>
      <c r="F22" s="41">
        <v>6167.2368392627641</v>
      </c>
      <c r="G22" s="42">
        <v>337.93559381672509</v>
      </c>
      <c r="H22" s="41">
        <v>5946.2851565879846</v>
      </c>
      <c r="I22" s="42">
        <v>317.90219341523397</v>
      </c>
      <c r="J22" s="41">
        <v>5700.9731901955383</v>
      </c>
      <c r="K22" s="42">
        <v>298.5030290376601</v>
      </c>
      <c r="L22" s="41">
        <v>5434.2764024710186</v>
      </c>
      <c r="M22" s="42">
        <v>279.69393184464087</v>
      </c>
      <c r="N22" s="41">
        <v>5151.1386383374038</v>
      </c>
      <c r="O22" s="42">
        <v>261.3911342621696</v>
      </c>
      <c r="P22" s="41">
        <v>4858.1228257194316</v>
      </c>
      <c r="Q22" s="42">
        <v>243.4712886233628</v>
      </c>
      <c r="R22" s="41">
        <v>4562.686848974281</v>
      </c>
      <c r="S22" s="42">
        <v>225.77735629722417</v>
      </c>
      <c r="T22" s="41">
        <v>4272.0945416555796</v>
      </c>
      <c r="U22" s="42">
        <v>208.13227834818977</v>
      </c>
      <c r="V22" s="41">
        <v>3992.2283415433312</v>
      </c>
      <c r="W22" s="42">
        <v>190.36122053849414</v>
      </c>
      <c r="X22" s="41">
        <v>3726.6665191549137</v>
      </c>
      <c r="Y22" s="42">
        <v>172.31517595572723</v>
      </c>
      <c r="Z22" s="41">
        <v>3476.3678877197276</v>
      </c>
      <c r="AA22" s="42">
        <v>153.88668611686262</v>
      </c>
      <c r="AB22" s="41">
        <v>3239.8760841831599</v>
      </c>
      <c r="AC22" s="42">
        <v>135.00935032881046</v>
      </c>
      <c r="AD22" s="41">
        <v>3013.6071208115818</v>
      </c>
      <c r="AE22" s="42">
        <v>115.63801659704498</v>
      </c>
      <c r="AF22" s="41">
        <v>2791.5982025308558</v>
      </c>
      <c r="AG22" s="42">
        <v>95.704550977116327</v>
      </c>
      <c r="AH22" s="41">
        <v>2563.4834115504736</v>
      </c>
      <c r="AI22" s="42">
        <v>75.033092794831418</v>
      </c>
      <c r="AJ22" s="41">
        <v>2306.4809106763119</v>
      </c>
      <c r="AK22" s="42">
        <v>53.258691427566163</v>
      </c>
      <c r="AL22" s="41">
        <v>1960.4295485311382</v>
      </c>
      <c r="AM22" s="42">
        <v>30.816255526437953</v>
      </c>
      <c r="AN22" s="41">
        <v>1409.9061467157208</v>
      </c>
      <c r="AO22" s="42">
        <v>11.860193115988467</v>
      </c>
      <c r="AP22" s="41">
        <v>1258.4585201674561</v>
      </c>
      <c r="AQ22" s="42">
        <v>8.8254564607145856</v>
      </c>
      <c r="AR22" s="41"/>
      <c r="AS22" s="42"/>
      <c r="AT22" s="41"/>
      <c r="AU22" s="42"/>
      <c r="AV22" s="41"/>
      <c r="AW22" s="42"/>
    </row>
    <row r="23" spans="1:49" x14ac:dyDescent="0.2">
      <c r="A23" t="s">
        <v>7</v>
      </c>
      <c r="B23" s="116">
        <v>3278.5018080150408</v>
      </c>
      <c r="C23" s="8">
        <v>0</v>
      </c>
      <c r="D23" s="116">
        <v>3207.1589909521072</v>
      </c>
      <c r="E23" s="8">
        <v>0</v>
      </c>
      <c r="F23" s="116">
        <v>3121.4056744110808</v>
      </c>
      <c r="G23" s="8">
        <v>0</v>
      </c>
      <c r="H23" s="116">
        <v>3020.6547200164559</v>
      </c>
      <c r="I23" s="8">
        <v>0</v>
      </c>
      <c r="J23" s="116">
        <v>2905.3418596632341</v>
      </c>
      <c r="K23" s="8">
        <v>0</v>
      </c>
      <c r="L23" s="116">
        <v>2777.1304582532243</v>
      </c>
      <c r="M23" s="8">
        <v>0</v>
      </c>
      <c r="N23" s="116">
        <v>2638.9477364870409</v>
      </c>
      <c r="O23" s="8">
        <v>0</v>
      </c>
      <c r="P23" s="116">
        <v>2494.7944997664081</v>
      </c>
      <c r="Q23" s="8">
        <v>0</v>
      </c>
      <c r="R23" s="116">
        <v>2349.3035006769237</v>
      </c>
      <c r="S23" s="8">
        <v>0</v>
      </c>
      <c r="T23" s="116">
        <v>2207.0780230378427</v>
      </c>
      <c r="U23" s="8">
        <v>0</v>
      </c>
      <c r="V23" s="116">
        <v>2071.9690992875217</v>
      </c>
      <c r="W23" s="8">
        <v>0</v>
      </c>
      <c r="X23" s="116">
        <v>1946.5475610356232</v>
      </c>
      <c r="Y23" s="8">
        <v>0</v>
      </c>
      <c r="Z23" s="116">
        <v>1831.9759438755659</v>
      </c>
      <c r="AA23" s="8">
        <v>0</v>
      </c>
      <c r="AB23" s="116">
        <v>1728.2614073862178</v>
      </c>
      <c r="AC23" s="8">
        <v>0</v>
      </c>
      <c r="AD23" s="116">
        <v>1634.7082042208542</v>
      </c>
      <c r="AE23" s="8">
        <v>0</v>
      </c>
      <c r="AF23" s="116">
        <v>1550.4282871418038</v>
      </c>
      <c r="AG23" s="8">
        <v>0</v>
      </c>
      <c r="AH23" s="116">
        <v>1474.9615412004373</v>
      </c>
      <c r="AI23" s="8">
        <v>0</v>
      </c>
      <c r="AJ23" s="116">
        <v>1408.9959969258675</v>
      </c>
      <c r="AK23" s="8">
        <v>0</v>
      </c>
      <c r="AL23" s="116">
        <v>1346.9438787055401</v>
      </c>
      <c r="AM23" s="8">
        <v>0</v>
      </c>
      <c r="AN23" s="116">
        <v>1238.5038982224414</v>
      </c>
      <c r="AO23" s="8">
        <v>0</v>
      </c>
      <c r="AP23" s="116">
        <v>1204.7965732941277</v>
      </c>
      <c r="AQ23" s="8">
        <v>0</v>
      </c>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c r="AS24" s="8"/>
      <c r="AT24" s="97"/>
      <c r="AU24" s="8"/>
      <c r="AV24" s="97"/>
      <c r="AW24" s="8"/>
    </row>
    <row r="25" spans="1:49" x14ac:dyDescent="0.2">
      <c r="A25" t="s">
        <v>0</v>
      </c>
      <c r="B25" s="41">
        <v>3195.0476040000053</v>
      </c>
      <c r="C25" s="42">
        <v>91.012690000004284</v>
      </c>
      <c r="D25" s="41">
        <v>3106.0036462639164</v>
      </c>
      <c r="E25" s="42">
        <v>83.364654000615261</v>
      </c>
      <c r="F25" s="41">
        <v>2995.4575929692901</v>
      </c>
      <c r="G25" s="42">
        <v>75.922562087272695</v>
      </c>
      <c r="H25" s="41">
        <v>2862.0262387643993</v>
      </c>
      <c r="I25" s="42">
        <v>68.693521542271</v>
      </c>
      <c r="J25" s="41">
        <v>2705.6698870291402</v>
      </c>
      <c r="K25" s="42">
        <v>61.670119896378452</v>
      </c>
      <c r="L25" s="41">
        <v>2528.0081586266519</v>
      </c>
      <c r="M25" s="42">
        <v>54.832830273060594</v>
      </c>
      <c r="N25" s="41">
        <v>2332.4139942652955</v>
      </c>
      <c r="O25" s="42">
        <v>48.157240206239607</v>
      </c>
      <c r="P25" s="41">
        <v>2123.8210680961197</v>
      </c>
      <c r="Q25" s="42">
        <v>41.627049889998212</v>
      </c>
      <c r="R25" s="41">
        <v>1908.1871759183196</v>
      </c>
      <c r="S25" s="42">
        <v>35.249531460778918</v>
      </c>
      <c r="T25" s="41">
        <v>1691.6393193945787</v>
      </c>
      <c r="U25" s="42">
        <v>29.068942068915831</v>
      </c>
      <c r="V25" s="41">
        <v>1479.4644417316822</v>
      </c>
      <c r="W25" s="42">
        <v>23.170743574534292</v>
      </c>
      <c r="X25" s="41">
        <v>1275.2855718284191</v>
      </c>
      <c r="Y25" s="42">
        <v>17.674094913938852</v>
      </c>
      <c r="Z25" s="41">
        <v>1080.7115356921352</v>
      </c>
      <c r="AA25" s="42">
        <v>12.715789816095642</v>
      </c>
      <c r="AB25" s="41">
        <v>895.4758509848516</v>
      </c>
      <c r="AC25" s="42">
        <v>8.4337999487853335</v>
      </c>
      <c r="AD25" s="41">
        <v>717.82217163750158</v>
      </c>
      <c r="AE25" s="42">
        <v>4.9553855811118597</v>
      </c>
      <c r="AF25" s="41">
        <v>544.88273104601478</v>
      </c>
      <c r="AG25" s="42">
        <v>2.3865996178358571</v>
      </c>
      <c r="AH25" s="41">
        <v>373.17053146975877</v>
      </c>
      <c r="AI25" s="42">
        <v>0.78961749871628473</v>
      </c>
      <c r="AJ25" s="41">
        <v>201.81247994946548</v>
      </c>
      <c r="AK25" s="42">
        <v>0.10941121153283812</v>
      </c>
      <c r="AL25" s="41">
        <v>56.208941511288373</v>
      </c>
      <c r="AM25" s="42">
        <v>1.3236515395816959E-3</v>
      </c>
      <c r="AN25" s="41">
        <v>2.0309912981613629</v>
      </c>
      <c r="AO25" s="42">
        <v>1.7261273123895366E-8</v>
      </c>
      <c r="AP25" s="41">
        <v>0.53911532091854519</v>
      </c>
      <c r="AQ25" s="42">
        <v>2.3639489034505215E-10</v>
      </c>
      <c r="AR25" s="41"/>
      <c r="AS25" s="42"/>
      <c r="AT25" s="41"/>
      <c r="AU25" s="42"/>
      <c r="AV25" s="41"/>
      <c r="AW25" s="42"/>
    </row>
    <row r="26" spans="1:49" x14ac:dyDescent="0.2">
      <c r="A26" t="s">
        <v>27</v>
      </c>
      <c r="B26" s="33">
        <v>5036.2953101960647</v>
      </c>
      <c r="C26" s="34">
        <v>74.905331803938267</v>
      </c>
      <c r="D26" s="33">
        <v>4929.6054453341731</v>
      </c>
      <c r="E26" s="34">
        <v>70.487981252969973</v>
      </c>
      <c r="F26" s="33">
        <v>4802.3135803974192</v>
      </c>
      <c r="G26" s="34">
        <v>66.072965863877258</v>
      </c>
      <c r="H26" s="33">
        <v>4653.3302415066801</v>
      </c>
      <c r="I26" s="34">
        <v>61.659051925178773</v>
      </c>
      <c r="J26" s="33">
        <v>4482.9320721849544</v>
      </c>
      <c r="K26" s="34">
        <v>57.242010137474225</v>
      </c>
      <c r="L26" s="33">
        <v>4293.055622488042</v>
      </c>
      <c r="M26" s="34">
        <v>52.814532594647247</v>
      </c>
      <c r="N26" s="33">
        <v>4087.3653903812306</v>
      </c>
      <c r="O26" s="34">
        <v>48.367047517213202</v>
      </c>
      <c r="P26" s="33">
        <v>3871.0081810003253</v>
      </c>
      <c r="Q26" s="34">
        <v>43.889881901953778</v>
      </c>
      <c r="R26" s="33">
        <v>3650.0261128004367</v>
      </c>
      <c r="S26" s="34">
        <v>39.376376687022834</v>
      </c>
      <c r="T26" s="33">
        <v>3430.4512492635517</v>
      </c>
      <c r="U26" s="34">
        <v>34.826255564294783</v>
      </c>
      <c r="V26" s="33">
        <v>3217.2866335981817</v>
      </c>
      <c r="W26" s="34">
        <v>30.247680790272874</v>
      </c>
      <c r="X26" s="33">
        <v>3013.6909971663617</v>
      </c>
      <c r="Y26" s="34">
        <v>25.657521630211896</v>
      </c>
      <c r="Z26" s="33">
        <v>2820.6420504124198</v>
      </c>
      <c r="AA26" s="34">
        <v>21.08059583025927</v>
      </c>
      <c r="AB26" s="33">
        <v>2637.0116357513962</v>
      </c>
      <c r="AC26" s="34">
        <v>16.551080170907003</v>
      </c>
      <c r="AD26" s="33">
        <v>2459.6680640217464</v>
      </c>
      <c r="AE26" s="34">
        <v>12.121489541892956</v>
      </c>
      <c r="AF26" s="33">
        <v>2282.9870124370332</v>
      </c>
      <c r="AG26" s="34">
        <v>7.8898566969169126</v>
      </c>
      <c r="AH26" s="33">
        <v>2096.4026964766581</v>
      </c>
      <c r="AI26" s="34">
        <v>4.0745157770322722</v>
      </c>
      <c r="AJ26" s="33">
        <v>1875.2267081694176</v>
      </c>
      <c r="AK26" s="34">
        <v>1.2000656531873199</v>
      </c>
      <c r="AL26" s="33">
        <v>1553.7375827881078</v>
      </c>
      <c r="AM26" s="34">
        <v>6.7820561444057043E-2</v>
      </c>
      <c r="AN26" s="33">
        <v>1017.208466551337</v>
      </c>
      <c r="AO26" s="34">
        <v>3.4828438566402859E-5</v>
      </c>
      <c r="AP26" s="33">
        <v>870.55888839344209</v>
      </c>
      <c r="AQ26" s="34">
        <v>1.9147148275445424E-6</v>
      </c>
      <c r="AR26" s="33"/>
      <c r="AS26" s="34"/>
      <c r="AT26" s="33"/>
      <c r="AU26" s="34"/>
      <c r="AV26" s="33"/>
      <c r="AW26" s="34"/>
    </row>
    <row r="27" spans="1:49" x14ac:dyDescent="0.2">
      <c r="A27" t="s">
        <v>2</v>
      </c>
      <c r="B27" s="35">
        <v>6425.1981590000069</v>
      </c>
      <c r="C27" s="36">
        <v>273.22915400000028</v>
      </c>
      <c r="D27" s="35">
        <v>6283.9961756716602</v>
      </c>
      <c r="E27" s="36">
        <v>257.01210562619298</v>
      </c>
      <c r="F27" s="35">
        <v>6116.5344920116795</v>
      </c>
      <c r="G27" s="36">
        <v>240.81187224935888</v>
      </c>
      <c r="H27" s="35">
        <v>5921.5831501292532</v>
      </c>
      <c r="I27" s="36">
        <v>224.62622303209091</v>
      </c>
      <c r="J27" s="35">
        <v>5699.6717341635622</v>
      </c>
      <c r="K27" s="36">
        <v>208.44205821939192</v>
      </c>
      <c r="L27" s="35">
        <v>5453.4493586922763</v>
      </c>
      <c r="M27" s="36">
        <v>192.2349996902098</v>
      </c>
      <c r="N27" s="35">
        <v>5187.755592739104</v>
      </c>
      <c r="O27" s="36">
        <v>175.97227022253995</v>
      </c>
      <c r="P27" s="35">
        <v>4909.2931755334384</v>
      </c>
      <c r="Q27" s="36">
        <v>159.62043517631753</v>
      </c>
      <c r="R27" s="35">
        <v>4625.8686986788443</v>
      </c>
      <c r="S27" s="36">
        <v>143.1564930398024</v>
      </c>
      <c r="T27" s="35">
        <v>4345.2328144585026</v>
      </c>
      <c r="U27" s="36">
        <v>126.57977684190791</v>
      </c>
      <c r="V27" s="35">
        <v>4073.78558627763</v>
      </c>
      <c r="W27" s="36">
        <v>109.91904070909969</v>
      </c>
      <c r="X27" s="35">
        <v>3815.5556895482723</v>
      </c>
      <c r="Y27" s="36">
        <v>93.233261778521936</v>
      </c>
      <c r="Z27" s="35">
        <v>3571.8044507710015</v>
      </c>
      <c r="AA27" s="36">
        <v>76.608926645926445</v>
      </c>
      <c r="AB27" s="35">
        <v>3341.1694356228845</v>
      </c>
      <c r="AC27" s="36">
        <v>60.165318468504367</v>
      </c>
      <c r="AD27" s="35">
        <v>3119.867984322821</v>
      </c>
      <c r="AE27" s="36">
        <v>44.087197363071972</v>
      </c>
      <c r="AF27" s="35">
        <v>2901.2186128907451</v>
      </c>
      <c r="AG27" s="36">
        <v>28.723294489518974</v>
      </c>
      <c r="AH27" s="35">
        <v>2672.8925934172739</v>
      </c>
      <c r="AI27" s="36">
        <v>14.857853335630494</v>
      </c>
      <c r="AJ27" s="35">
        <v>2406.3153775405535</v>
      </c>
      <c r="AK27" s="36">
        <v>4.3901667638345696</v>
      </c>
      <c r="AL27" s="35">
        <v>2024.0370176696199</v>
      </c>
      <c r="AM27" s="36">
        <v>0.24998181861750124</v>
      </c>
      <c r="AN27" s="35">
        <v>1379.6369944481633</v>
      </c>
      <c r="AO27" s="36">
        <v>1.3098997682925388E-4</v>
      </c>
      <c r="AP27" s="35">
        <v>1199.5114121638092</v>
      </c>
      <c r="AQ27" s="36">
        <v>7.2582824682504405E-6</v>
      </c>
      <c r="AR27" s="35"/>
      <c r="AS27" s="36"/>
      <c r="AT27" s="35"/>
      <c r="AU27" s="36"/>
      <c r="AV27" s="35"/>
      <c r="AW27" s="36"/>
    </row>
    <row r="28" spans="1:49" x14ac:dyDescent="0.2">
      <c r="A28" t="s">
        <v>35</v>
      </c>
      <c r="B28" s="41">
        <v>13763.097676000001</v>
      </c>
      <c r="C28" s="42">
        <v>382.36647900000003</v>
      </c>
      <c r="D28" s="41">
        <v>13466.440871104136</v>
      </c>
      <c r="E28" s="42">
        <v>359.71325565276248</v>
      </c>
      <c r="F28" s="41">
        <v>13113.491883613086</v>
      </c>
      <c r="G28" s="42">
        <v>337.08009494099008</v>
      </c>
      <c r="H28" s="41">
        <v>12701.433458713775</v>
      </c>
      <c r="I28" s="42">
        <v>314.46298679824537</v>
      </c>
      <c r="J28" s="41">
        <v>12231.200005281178</v>
      </c>
      <c r="K28" s="42">
        <v>291.84270223037316</v>
      </c>
      <c r="L28" s="41">
        <v>11708.265818407623</v>
      </c>
      <c r="M28" s="42">
        <v>269.18426298740002</v>
      </c>
      <c r="N28" s="41">
        <v>11142.815056401554</v>
      </c>
      <c r="O28" s="42">
        <v>246.44100627726058</v>
      </c>
      <c r="P28" s="41">
        <v>10549.056182930231</v>
      </c>
      <c r="Q28" s="42">
        <v>223.56547342146712</v>
      </c>
      <c r="R28" s="41">
        <v>9943.6067141248623</v>
      </c>
      <c r="S28" s="42">
        <v>200.52503141913581</v>
      </c>
      <c r="T28" s="41">
        <v>9343.0133429375765</v>
      </c>
      <c r="U28" s="42">
        <v>177.3186705737568</v>
      </c>
      <c r="V28" s="41">
        <v>8760.9716208287246</v>
      </c>
      <c r="W28" s="42">
        <v>153.98707139471381</v>
      </c>
      <c r="X28" s="41">
        <v>8206.1165159271495</v>
      </c>
      <c r="Y28" s="42">
        <v>130.61378591739046</v>
      </c>
      <c r="Z28" s="41">
        <v>7681.1355832674399</v>
      </c>
      <c r="AA28" s="42">
        <v>107.32141427137113</v>
      </c>
      <c r="AB28" s="41">
        <v>7183.0219622766372</v>
      </c>
      <c r="AC28" s="42">
        <v>84.278949661405406</v>
      </c>
      <c r="AD28" s="41">
        <v>6703.4260659281854</v>
      </c>
      <c r="AE28" s="42">
        <v>61.747548210954278</v>
      </c>
      <c r="AF28" s="41">
        <v>6227.4594674387217</v>
      </c>
      <c r="AG28" s="42">
        <v>40.21863431256206</v>
      </c>
      <c r="AH28" s="41">
        <v>5727.356685738956</v>
      </c>
      <c r="AI28" s="42">
        <v>20.7944340784301</v>
      </c>
      <c r="AJ28" s="41">
        <v>5138.3832763122336</v>
      </c>
      <c r="AK28" s="42">
        <v>6.138595752683468</v>
      </c>
      <c r="AL28" s="41">
        <v>4286.2922970581922</v>
      </c>
      <c r="AM28" s="42">
        <v>0.34874409220313612</v>
      </c>
      <c r="AN28" s="41">
        <v>2852.9263215656501</v>
      </c>
      <c r="AO28" s="42">
        <v>1.8149310617463873E-4</v>
      </c>
      <c r="AP28" s="41">
        <v>2455.9894091470378</v>
      </c>
      <c r="AQ28" s="42">
        <v>1.0026648413161853E-5</v>
      </c>
      <c r="AR28" s="41"/>
      <c r="AS28" s="42"/>
      <c r="AT28" s="41"/>
      <c r="AU28" s="42"/>
      <c r="AV28" s="41"/>
      <c r="AW28" s="42"/>
    </row>
    <row r="29" spans="1:49" x14ac:dyDescent="0.2">
      <c r="A29" t="s">
        <v>53</v>
      </c>
      <c r="B29" s="35">
        <v>14362.768558000003</v>
      </c>
      <c r="C29" s="36">
        <v>817.26651000000004</v>
      </c>
      <c r="D29" s="35">
        <v>14044.978785445222</v>
      </c>
      <c r="E29" s="36">
        <v>766.08481782984893</v>
      </c>
      <c r="F29" s="35">
        <v>13669.31636252617</v>
      </c>
      <c r="G29" s="36">
        <v>715.4946405262873</v>
      </c>
      <c r="H29" s="35">
        <v>13233.111838705941</v>
      </c>
      <c r="I29" s="36">
        <v>665.49876584083654</v>
      </c>
      <c r="J29" s="35">
        <v>12737.515867546928</v>
      </c>
      <c r="K29" s="36">
        <v>616.03517342654357</v>
      </c>
      <c r="L29" s="35">
        <v>12188.266933457779</v>
      </c>
      <c r="M29" s="36">
        <v>566.972651193464</v>
      </c>
      <c r="N29" s="35">
        <v>11595.833546436928</v>
      </c>
      <c r="O29" s="36">
        <v>518.1212000389296</v>
      </c>
      <c r="P29" s="35">
        <v>10974.698281057494</v>
      </c>
      <c r="Q29" s="36">
        <v>469.2637646519986</v>
      </c>
      <c r="R29" s="35">
        <v>10341.708750800086</v>
      </c>
      <c r="S29" s="36">
        <v>420.20527827106844</v>
      </c>
      <c r="T29" s="35">
        <v>9713.556035939353</v>
      </c>
      <c r="U29" s="36">
        <v>370.83118086609073</v>
      </c>
      <c r="V29" s="35">
        <v>9103.9440471797807</v>
      </c>
      <c r="W29" s="36">
        <v>321.15424286828198</v>
      </c>
      <c r="X29" s="35">
        <v>8521.3245042036961</v>
      </c>
      <c r="Y29" s="36">
        <v>271.33758137791966</v>
      </c>
      <c r="Z29" s="35">
        <v>7967.9509005806549</v>
      </c>
      <c r="AA29" s="36">
        <v>221.69600846120511</v>
      </c>
      <c r="AB29" s="35">
        <v>7440.045518261315</v>
      </c>
      <c r="AC29" s="36">
        <v>172.71093444492121</v>
      </c>
      <c r="AD29" s="35">
        <v>6927.9702375362785</v>
      </c>
      <c r="AE29" s="36">
        <v>125.12140580533107</v>
      </c>
      <c r="AF29" s="35">
        <v>6414.5838428256629</v>
      </c>
      <c r="AG29" s="36">
        <v>80.201785435582778</v>
      </c>
      <c r="AH29" s="35">
        <v>5867.6955554989545</v>
      </c>
      <c r="AI29" s="36">
        <v>40.499165525655748</v>
      </c>
      <c r="AJ29" s="35">
        <v>5212.5906288810766</v>
      </c>
      <c r="AK29" s="36">
        <v>11.514671534042693</v>
      </c>
      <c r="AL29" s="35">
        <v>4256.4858789859099</v>
      </c>
      <c r="AM29" s="36">
        <v>0.61313862768600658</v>
      </c>
      <c r="AN29" s="35">
        <v>2693.4114586154878</v>
      </c>
      <c r="AO29" s="36">
        <v>2.8617277420151557E-4</v>
      </c>
      <c r="AP29" s="35">
        <v>2276.5448071827227</v>
      </c>
      <c r="AQ29" s="36">
        <v>1.5323080252075112E-5</v>
      </c>
      <c r="AR29" s="35"/>
      <c r="AS29" s="36"/>
      <c r="AT29" s="35"/>
      <c r="AU29" s="36"/>
      <c r="AV29" s="35"/>
      <c r="AW29" s="36"/>
    </row>
    <row r="30" spans="1:49" x14ac:dyDescent="0.2">
      <c r="A30" t="s">
        <v>48</v>
      </c>
      <c r="B30" s="119">
        <v>2924829.9599999995</v>
      </c>
      <c r="D30" s="119">
        <v>2917148.8263038583</v>
      </c>
      <c r="F30" s="119">
        <v>2900388.6453698105</v>
      </c>
      <c r="H30" s="119">
        <v>2874878.2696982711</v>
      </c>
      <c r="J30" s="119">
        <v>2842173.3874605647</v>
      </c>
      <c r="L30" s="119">
        <v>2805380.1388129327</v>
      </c>
      <c r="N30" s="119">
        <v>2769379.8335577915</v>
      </c>
      <c r="P30" s="119">
        <v>2740872.3908166904</v>
      </c>
      <c r="R30" s="119">
        <v>2728278.0780082354</v>
      </c>
      <c r="T30" s="119">
        <v>2741583.8726098984</v>
      </c>
      <c r="V30" s="119">
        <v>2792529.2827937366</v>
      </c>
      <c r="X30" s="119">
        <v>2895787.3462293805</v>
      </c>
      <c r="Z30" s="119">
        <v>3072350.1372607523</v>
      </c>
      <c r="AB30" s="119">
        <v>3357528.811641918</v>
      </c>
      <c r="AD30" s="119">
        <v>3820587.4546645908</v>
      </c>
      <c r="AF30" s="119">
        <v>4621744.4683307465</v>
      </c>
      <c r="AH30" s="119">
        <v>6226741.2135925172</v>
      </c>
      <c r="AJ30" s="119">
        <v>10598687.902305229</v>
      </c>
      <c r="AL30" s="119">
        <v>33096665.209296204</v>
      </c>
      <c r="AN30" s="119">
        <v>567350158.49861336</v>
      </c>
      <c r="AP30" s="119">
        <v>1730566488.778821</v>
      </c>
      <c r="AR30" s="119"/>
      <c r="AT30" s="119"/>
      <c r="AV30" s="119"/>
    </row>
    <row r="31" spans="1:49" x14ac:dyDescent="0.2">
      <c r="A31" t="s">
        <v>47</v>
      </c>
      <c r="B31" s="80">
        <v>1.0000000000000013</v>
      </c>
      <c r="D31" s="80">
        <v>0.97218839469782525</v>
      </c>
      <c r="F31" s="80">
        <v>0.94082277018003868</v>
      </c>
      <c r="H31" s="80">
        <v>0.90584493084174522</v>
      </c>
      <c r="J31" s="80">
        <v>0.86743005031216813</v>
      </c>
      <c r="L31" s="80">
        <v>0.82602117580257839</v>
      </c>
      <c r="N31" s="80">
        <v>0.78232895642627376</v>
      </c>
      <c r="P31" s="80">
        <v>0.73728040739948775</v>
      </c>
      <c r="R31" s="80">
        <v>0.69191648879904832</v>
      </c>
      <c r="T31" s="80">
        <v>0.64723885235900769</v>
      </c>
      <c r="V31" s="80">
        <v>0.60404231960048405</v>
      </c>
      <c r="X31" s="80">
        <v>0.56278281205438319</v>
      </c>
      <c r="Z31" s="80">
        <v>0.52352813976659829</v>
      </c>
      <c r="AB31" s="80">
        <v>0.48597694300063737</v>
      </c>
      <c r="AD31" s="80">
        <v>0.44947858689503706</v>
      </c>
      <c r="AF31" s="80">
        <v>0.4129505048342928</v>
      </c>
      <c r="AH31" s="80">
        <v>0.37447182361472253</v>
      </c>
      <c r="AJ31" s="80">
        <v>0.32983834477939744</v>
      </c>
      <c r="AL31" s="80">
        <v>0.2689207748427706</v>
      </c>
      <c r="AN31" s="80">
        <v>0.17657064475293521</v>
      </c>
      <c r="AP31" s="80">
        <v>0.1524799911077801</v>
      </c>
      <c r="AR31" s="80"/>
      <c r="AT31" s="80"/>
      <c r="AV31" s="80"/>
    </row>
    <row r="32" spans="1:49" x14ac:dyDescent="0.2">
      <c r="A32" t="s">
        <v>64</v>
      </c>
      <c r="B32" s="86">
        <v>14734457.915000005</v>
      </c>
      <c r="D32" s="86">
        <v>14500874.033525299</v>
      </c>
      <c r="F32" s="86">
        <v>14245283.073628942</v>
      </c>
      <c r="H32" s="86">
        <v>13971241.470993042</v>
      </c>
      <c r="J32" s="86">
        <v>13686150.204533335</v>
      </c>
      <c r="L32" s="86">
        <v>13402017.819366008</v>
      </c>
      <c r="N32" s="86">
        <v>13135877.932019338</v>
      </c>
      <c r="P32" s="86">
        <v>12909631.029827878</v>
      </c>
      <c r="R32" s="86">
        <v>12749425.71620629</v>
      </c>
      <c r="T32" s="86">
        <v>12684909.411838738</v>
      </c>
      <c r="V32" s="86">
        <v>12749636.820779646</v>
      </c>
      <c r="X32" s="86">
        <v>12984634.928600369</v>
      </c>
      <c r="Z32" s="86">
        <v>13448456.637519378</v>
      </c>
      <c r="AB32" s="86">
        <v>14240091.283902759</v>
      </c>
      <c r="AD32" s="86">
        <v>15553356.479898738</v>
      </c>
      <c r="AF32" s="86">
        <v>17830264.793224514</v>
      </c>
      <c r="AH32" s="86">
        <v>22320147.761346605</v>
      </c>
      <c r="AJ32" s="86">
        <v>34048584.315570384</v>
      </c>
      <c r="AL32" s="86">
        <v>89305611.228518173</v>
      </c>
      <c r="AN32" s="86">
        <v>1188622961.106708</v>
      </c>
      <c r="AP32" s="86">
        <v>3394098983.9701166</v>
      </c>
      <c r="AR32" s="86"/>
      <c r="AT32" s="86"/>
      <c r="AV32" s="86"/>
    </row>
    <row r="33" spans="1:49 16319:16321" x14ac:dyDescent="0.2">
      <c r="A33" t="s">
        <v>54</v>
      </c>
      <c r="B33" s="117">
        <v>7019665.6910000062</v>
      </c>
      <c r="D33" s="117">
        <v>6885305.3621795718</v>
      </c>
      <c r="F33" s="117">
        <v>6743256.2155983867</v>
      </c>
      <c r="H33" s="117">
        <v>6595441.2524767416</v>
      </c>
      <c r="J33" s="117">
        <v>6445338.2088729562</v>
      </c>
      <c r="L33" s="117">
        <v>6298236.394787496</v>
      </c>
      <c r="N33" s="117">
        <v>6161366.895374734</v>
      </c>
      <c r="P33" s="117">
        <v>6043766.856585063</v>
      </c>
      <c r="R33" s="117">
        <v>5955978.3438006295</v>
      </c>
      <c r="T33" s="117">
        <v>5909685.2524293615</v>
      </c>
      <c r="V33" s="117">
        <v>5917862.6239939444</v>
      </c>
      <c r="X33" s="117">
        <v>5996180.3711406132</v>
      </c>
      <c r="Z33" s="117">
        <v>6166970.0315281842</v>
      </c>
      <c r="AB33" s="117">
        <v>6468097.0305243144</v>
      </c>
      <c r="AD33" s="117">
        <v>6973624.5713423975</v>
      </c>
      <c r="AF33" s="117">
        <v>7851125.5112542361</v>
      </c>
      <c r="AH33" s="117">
        <v>9566595.6734060906</v>
      </c>
      <c r="AJ33" s="117">
        <v>13941449.859057177</v>
      </c>
      <c r="AL33" s="117">
        <v>33427305.586765885</v>
      </c>
      <c r="AN33" s="117">
        <v>369760944.23426187</v>
      </c>
      <c r="AP33" s="117">
        <v>990383384.06602097</v>
      </c>
      <c r="AR33" s="117"/>
      <c r="AT33" s="117"/>
      <c r="AV33" s="117"/>
    </row>
    <row r="34" spans="1:49 16319:16321" x14ac:dyDescent="0.2">
      <c r="A34" t="s">
        <v>75</v>
      </c>
      <c r="B34" s="117">
        <v>1136879.4409999985</v>
      </c>
      <c r="D34" s="117">
        <v>1070845.4918664435</v>
      </c>
      <c r="F34" s="117">
        <v>984493.01344834198</v>
      </c>
      <c r="H34" s="117">
        <v>875779.37302698195</v>
      </c>
      <c r="J34" s="117">
        <v>743495.58212258923</v>
      </c>
      <c r="L34" s="117">
        <v>587481.06388539076</v>
      </c>
      <c r="N34" s="117">
        <v>408658.38584508083</v>
      </c>
      <c r="P34" s="117">
        <v>208864.62976240803</v>
      </c>
      <c r="R34" s="117">
        <v>-9610.4120889626211</v>
      </c>
      <c r="T34" s="117">
        <v>-244807.29230482489</v>
      </c>
      <c r="V34" s="117">
        <v>-496246.48689981143</v>
      </c>
      <c r="X34" s="117">
        <v>-766383.6681969231</v>
      </c>
      <c r="Z34" s="117">
        <v>-1062552.1578560909</v>
      </c>
      <c r="AB34" s="117">
        <v>-1400249.3794176553</v>
      </c>
      <c r="AD34" s="117">
        <v>-1810529.8043187645</v>
      </c>
      <c r="AF34" s="117">
        <v>-2360584.690014258</v>
      </c>
      <c r="AH34" s="117">
        <v>-3225670.2969055814</v>
      </c>
      <c r="AJ34" s="117">
        <v>-5049471.6589117078</v>
      </c>
      <c r="AL34" s="117">
        <v>-12214402.391665831</v>
      </c>
      <c r="AN34" s="117">
        <v>-143252274.83540097</v>
      </c>
      <c r="AP34" s="117">
        <v>-398988505.77617252</v>
      </c>
      <c r="AR34" s="117"/>
      <c r="AT34" s="117"/>
      <c r="AV34" s="117"/>
    </row>
    <row r="35" spans="1:49 16319:16321" x14ac:dyDescent="0.2">
      <c r="A35" t="s">
        <v>78</v>
      </c>
      <c r="B35" s="233">
        <v>1</v>
      </c>
      <c r="D35" s="233">
        <v>1.0089196250056847</v>
      </c>
      <c r="F35" s="233">
        <v>1.0210499292855082</v>
      </c>
      <c r="H35" s="233">
        <v>1.0372370869297072</v>
      </c>
      <c r="J35" s="233">
        <v>1.0585309295213632</v>
      </c>
      <c r="L35" s="233">
        <v>1.0862384641044192</v>
      </c>
      <c r="N35" s="233">
        <v>1.1219940117475868</v>
      </c>
      <c r="P35" s="233">
        <v>1.1678411144068528</v>
      </c>
      <c r="R35" s="233">
        <v>1.2263524899701732</v>
      </c>
      <c r="T35" s="233">
        <v>1.3008467096719496</v>
      </c>
      <c r="V35" s="233">
        <v>1.3958597214915254</v>
      </c>
      <c r="X35" s="233">
        <v>1.5181396762993487</v>
      </c>
      <c r="Z35" s="233">
        <v>1.6787120786057208</v>
      </c>
      <c r="AB35" s="233">
        <v>1.8973277244031608</v>
      </c>
      <c r="AD35" s="233">
        <v>2.2132195548391027</v>
      </c>
      <c r="AF35" s="233">
        <v>2.7162441118856644</v>
      </c>
      <c r="AH35" s="233">
        <v>3.6633720071154432</v>
      </c>
      <c r="AJ35" s="233">
        <v>6.1244594800110219</v>
      </c>
      <c r="AL35" s="233">
        <v>18.65378516262917</v>
      </c>
      <c r="AN35" s="233">
        <v>355.44292618294884</v>
      </c>
      <c r="AP35" s="233">
        <v>1160.8472683972766</v>
      </c>
      <c r="AR35" s="233"/>
      <c r="AT35" s="233"/>
      <c r="AV35" s="233"/>
    </row>
    <row r="36" spans="1:49 16319:16321" x14ac:dyDescent="0.2">
      <c r="A36" t="s">
        <v>21</v>
      </c>
      <c r="B36" s="37">
        <v>0.4719576767198812</v>
      </c>
      <c r="C36" s="38">
        <v>0.31738834428178975</v>
      </c>
      <c r="D36" s="37">
        <v>0.47191166351226366</v>
      </c>
      <c r="E36" s="38">
        <v>0.3184114077716112</v>
      </c>
      <c r="F36" s="37">
        <v>0.47184322327377065</v>
      </c>
      <c r="G36" s="38">
        <v>0.31936095460288338</v>
      </c>
      <c r="H36" s="37">
        <v>0.47175072827697617</v>
      </c>
      <c r="I36" s="38">
        <v>0.32021053461326682</v>
      </c>
      <c r="J36" s="37">
        <v>0.47163505638024916</v>
      </c>
      <c r="K36" s="38">
        <v>0.32094222125252259</v>
      </c>
      <c r="L36" s="37">
        <v>0.47150096068147312</v>
      </c>
      <c r="M36" s="38">
        <v>0.32155314398728363</v>
      </c>
      <c r="N36" s="37">
        <v>0.47135854513948006</v>
      </c>
      <c r="O36" s="38">
        <v>0.32206207655941937</v>
      </c>
      <c r="P36" s="37">
        <v>0.47122454656783286</v>
      </c>
      <c r="Q36" s="38">
        <v>0.322514698901187</v>
      </c>
      <c r="R36" s="37">
        <v>0.4711230171545075</v>
      </c>
      <c r="S36" s="38">
        <v>0.32298643988346459</v>
      </c>
      <c r="T36" s="37">
        <v>0.47108506168408038</v>
      </c>
      <c r="U36" s="38">
        <v>0.32358171561435145</v>
      </c>
      <c r="V36" s="37">
        <v>0.47114807793345448</v>
      </c>
      <c r="W36" s="38">
        <v>0.32443065358297368</v>
      </c>
      <c r="X36" s="37">
        <v>0.47135606922535911</v>
      </c>
      <c r="Y36" s="38">
        <v>0.32568791050942053</v>
      </c>
      <c r="Z36" s="37">
        <v>0.47176380778821453</v>
      </c>
      <c r="AA36" s="38">
        <v>0.32754189975749104</v>
      </c>
      <c r="AB36" s="37">
        <v>0.47244859650435811</v>
      </c>
      <c r="AC36" s="38">
        <v>0.33024484831505396</v>
      </c>
      <c r="AD36" s="37">
        <v>0.47353717908952025</v>
      </c>
      <c r="AE36" s="38">
        <v>0.33418169770691414</v>
      </c>
      <c r="AF36" s="37">
        <v>0.47527079224361612</v>
      </c>
      <c r="AG36" s="38">
        <v>0.34002868899485994</v>
      </c>
      <c r="AH36" s="37">
        <v>0.47819251243281913</v>
      </c>
      <c r="AI36" s="38">
        <v>0.34917458770887899</v>
      </c>
      <c r="AJ36" s="37">
        <v>0.48381829750639893</v>
      </c>
      <c r="AK36" s="38">
        <v>0.36503557449421964</v>
      </c>
      <c r="AL36" s="37">
        <v>0.49712965879744553</v>
      </c>
      <c r="AM36" s="38">
        <v>0.39642119631062933</v>
      </c>
      <c r="AN36" s="37">
        <v>0.53566424095625964</v>
      </c>
      <c r="AO36" s="38">
        <v>0.4627058607596955</v>
      </c>
      <c r="AP36" s="37">
        <v>0.55237751421375525</v>
      </c>
      <c r="AQ36" s="38">
        <v>0.48557238567212968</v>
      </c>
      <c r="AR36" s="37"/>
      <c r="AS36" s="38"/>
      <c r="AT36" s="37"/>
      <c r="AU36" s="38"/>
      <c r="AV36" s="37"/>
      <c r="AW36" s="38"/>
    </row>
    <row r="37" spans="1:49 16319:16321" x14ac:dyDescent="0.2">
      <c r="B37" s="39">
        <v>2.1403217525954435E-2</v>
      </c>
      <c r="C37" s="40">
        <v>0.3496246130199252</v>
      </c>
      <c r="D37" s="39">
        <v>2.1125863278350358E-2</v>
      </c>
      <c r="E37" s="40">
        <v>0.34800448447477161</v>
      </c>
      <c r="F37" s="39">
        <v>2.0878017719531645E-2</v>
      </c>
      <c r="G37" s="40">
        <v>0.34656572360679044</v>
      </c>
      <c r="H37" s="39">
        <v>2.0663059658736868E-2</v>
      </c>
      <c r="I37" s="40">
        <v>0.34532566773348516</v>
      </c>
      <c r="J37" s="39">
        <v>2.0482213623745034E-2</v>
      </c>
      <c r="K37" s="40">
        <v>0.34428883523931408</v>
      </c>
      <c r="L37" s="39">
        <v>2.0333583012713652E-2</v>
      </c>
      <c r="M37" s="40">
        <v>0.34344178292279037</v>
      </c>
      <c r="N37" s="39">
        <v>2.0211156077552143E-2</v>
      </c>
      <c r="O37" s="40">
        <v>0.3427477947211745</v>
      </c>
      <c r="P37" s="39">
        <v>2.0103998887667732E-2</v>
      </c>
      <c r="Q37" s="40">
        <v>0.34214254666970123</v>
      </c>
      <c r="R37" s="39">
        <v>1.9995893301492807E-2</v>
      </c>
      <c r="S37" s="40">
        <v>0.34153226377922352</v>
      </c>
      <c r="T37" s="39">
        <v>1.986589037989488E-2</v>
      </c>
      <c r="U37" s="40">
        <v>0.34079728894331934</v>
      </c>
      <c r="V37" s="39">
        <v>1.9689931842612248E-2</v>
      </c>
      <c r="W37" s="40">
        <v>0.33980230863120164</v>
      </c>
      <c r="X37" s="39">
        <v>1.9442997080515927E-2</v>
      </c>
      <c r="Y37" s="40">
        <v>0.33841053513174807</v>
      </c>
      <c r="Z37" s="39">
        <v>1.9100504062572198E-2</v>
      </c>
      <c r="AA37" s="40">
        <v>0.33649501748688748</v>
      </c>
      <c r="AB37" s="39">
        <v>1.8637786064186236E-2</v>
      </c>
      <c r="AC37" s="40">
        <v>0.33394130242276532</v>
      </c>
      <c r="AD37" s="39">
        <v>1.8026821735181574E-2</v>
      </c>
      <c r="AE37" s="40">
        <v>0.33063942408449143</v>
      </c>
      <c r="AF37" s="39">
        <v>1.7228580386587634E-2</v>
      </c>
      <c r="AG37" s="40">
        <v>0.3264635550915036</v>
      </c>
      <c r="AH37" s="39">
        <v>1.6175624820892655E-2</v>
      </c>
      <c r="AI37" s="40">
        <v>0.32123316851643241</v>
      </c>
      <c r="AJ37" s="39">
        <v>1.4733905054142422E-2</v>
      </c>
      <c r="AK37" s="40">
        <v>0.31467566043770295</v>
      </c>
      <c r="AL37" s="39">
        <v>1.2717646729388549E-2</v>
      </c>
      <c r="AM37" s="40">
        <v>0.30688712367297777</v>
      </c>
      <c r="AN37" s="39">
        <v>1.0186355155780202E-2</v>
      </c>
      <c r="AO37" s="40">
        <v>0.29968220392639511</v>
      </c>
      <c r="AP37" s="39">
        <v>9.6026270362095153E-3</v>
      </c>
      <c r="AQ37" s="40">
        <v>0.29843723038301267</v>
      </c>
      <c r="AR37" s="39"/>
      <c r="AS37" s="40"/>
      <c r="AT37" s="39"/>
      <c r="AU37" s="40"/>
      <c r="AV37" s="39"/>
      <c r="AW37" s="40"/>
    </row>
    <row r="38" spans="1:49 16319:16321" x14ac:dyDescent="0.2">
      <c r="A38" t="s">
        <v>22</v>
      </c>
      <c r="B38" s="37">
        <v>0.18079094942242827</v>
      </c>
      <c r="C38" s="38">
        <v>6.0565413429233668E-2</v>
      </c>
      <c r="D38" s="37">
        <v>0.18098147231130962</v>
      </c>
      <c r="E38" s="38">
        <v>6.0707104714986901E-2</v>
      </c>
      <c r="F38" s="37">
        <v>0.18117796443603157</v>
      </c>
      <c r="G38" s="38">
        <v>6.0842644530894253E-2</v>
      </c>
      <c r="H38" s="37">
        <v>0.18137725390979695</v>
      </c>
      <c r="I38" s="38">
        <v>6.0968563018953162E-2</v>
      </c>
      <c r="J38" s="37">
        <v>0.18157564242370045</v>
      </c>
      <c r="K38" s="38">
        <v>6.1082169541169358E-2</v>
      </c>
      <c r="L38" s="37">
        <v>0.18176903967263652</v>
      </c>
      <c r="M38" s="38">
        <v>6.1182293516062414E-2</v>
      </c>
      <c r="N38" s="37">
        <v>0.1819530507352396</v>
      </c>
      <c r="O38" s="38">
        <v>6.1270021143628027E-2</v>
      </c>
      <c r="P38" s="37">
        <v>0.18212298631636173</v>
      </c>
      <c r="Q38" s="38">
        <v>6.1349275352152233E-2</v>
      </c>
      <c r="R38" s="37">
        <v>0.18227389703298197</v>
      </c>
      <c r="S38" s="38">
        <v>6.1427141231015919E-2</v>
      </c>
      <c r="T38" s="37">
        <v>0.18240072609514535</v>
      </c>
      <c r="U38" s="38">
        <v>6.1513829177399948E-2</v>
      </c>
      <c r="V38" s="37">
        <v>0.1824985286681558</v>
      </c>
      <c r="W38" s="38">
        <v>6.162240826486038E-2</v>
      </c>
      <c r="X38" s="37">
        <v>0.18256251024005743</v>
      </c>
      <c r="Y38" s="38">
        <v>6.1768745894495013E-2</v>
      </c>
      <c r="Z38" s="37">
        <v>0.18258750019734377</v>
      </c>
      <c r="AA38" s="38">
        <v>6.1972508662195815E-2</v>
      </c>
      <c r="AB38" s="37">
        <v>0.18256646992591108</v>
      </c>
      <c r="AC38" s="38">
        <v>6.2260283214506579E-2</v>
      </c>
      <c r="AD38" s="37">
        <v>0.18248736940090687</v>
      </c>
      <c r="AE38" s="38">
        <v>6.2672639773697456E-2</v>
      </c>
      <c r="AF38" s="37">
        <v>0.18232590327680639</v>
      </c>
      <c r="AG38" s="38">
        <v>6.3280217084409798E-2</v>
      </c>
      <c r="AH38" s="37">
        <v>0.1820255006994356</v>
      </c>
      <c r="AI38" s="38">
        <v>6.4225523388523109E-2</v>
      </c>
      <c r="AJ38" s="37">
        <v>0.18142909341112876</v>
      </c>
      <c r="AK38" s="38">
        <v>6.5847652909857488E-2</v>
      </c>
      <c r="AL38" s="37">
        <v>0.18006738719155441</v>
      </c>
      <c r="AM38" s="38">
        <v>6.8947613961310814E-2</v>
      </c>
      <c r="AN38" s="37">
        <v>0.17692026275593981</v>
      </c>
      <c r="AO38" s="38">
        <v>7.4821841245571438E-2</v>
      </c>
      <c r="AP38" s="37">
        <v>0.1759326376659438</v>
      </c>
      <c r="AQ38" s="38">
        <v>7.6627913605896047E-2</v>
      </c>
      <c r="AR38" s="37"/>
      <c r="AS38" s="38"/>
      <c r="AT38" s="37"/>
      <c r="AU38" s="38"/>
      <c r="AV38" s="37"/>
      <c r="AW38" s="38"/>
    </row>
    <row r="39" spans="1:49 16319:16321" x14ac:dyDescent="0.2">
      <c r="A39" t="s">
        <v>23</v>
      </c>
      <c r="B39" s="39">
        <v>0.23064923795098646</v>
      </c>
      <c r="C39" s="40">
        <v>0.22092201281804777</v>
      </c>
      <c r="D39" s="39">
        <v>0.23070545756316621</v>
      </c>
      <c r="E39" s="40">
        <v>0.22134923616657229</v>
      </c>
      <c r="F39" s="39">
        <v>0.23075987232257</v>
      </c>
      <c r="G39" s="40">
        <v>0.22174925781706212</v>
      </c>
      <c r="H39" s="39">
        <v>0.23081114703374464</v>
      </c>
      <c r="I39" s="40">
        <v>0.22211074622522678</v>
      </c>
      <c r="J39" s="39">
        <v>0.23085818390073015</v>
      </c>
      <c r="K39" s="40">
        <v>0.2224256819264277</v>
      </c>
      <c r="L39" s="39">
        <v>0.23090039822460084</v>
      </c>
      <c r="M39" s="40">
        <v>0.22269208108638264</v>
      </c>
      <c r="N39" s="39">
        <v>0.23093799218171698</v>
      </c>
      <c r="O39" s="40">
        <v>0.22291674333419126</v>
      </c>
      <c r="P39" s="39">
        <v>0.23097216332920203</v>
      </c>
      <c r="Q39" s="40">
        <v>0.22311743857816915</v>
      </c>
      <c r="R39" s="39">
        <v>0.23100522813086574</v>
      </c>
      <c r="S39" s="40">
        <v>0.22332410587160509</v>
      </c>
      <c r="T39" s="39">
        <v>0.2310406307566191</v>
      </c>
      <c r="U39" s="40">
        <v>0.22357863754808752</v>
      </c>
      <c r="V39" s="39">
        <v>0.2310828845155552</v>
      </c>
      <c r="W39" s="40">
        <v>0.22393373064278638</v>
      </c>
      <c r="X39" s="39">
        <v>0.23113763995699171</v>
      </c>
      <c r="Y39" s="40">
        <v>0.22445276432823161</v>
      </c>
      <c r="Z39" s="39">
        <v>0.23121219715371791</v>
      </c>
      <c r="AA39" s="40">
        <v>0.22521409776052848</v>
      </c>
      <c r="AB39" s="39">
        <v>0.23131695780788922</v>
      </c>
      <c r="AC39" s="40">
        <v>0.226324187234892</v>
      </c>
      <c r="AD39" s="39">
        <v>0.231468835029013</v>
      </c>
      <c r="AE39" s="40">
        <v>0.22794731863755913</v>
      </c>
      <c r="AF39" s="39">
        <v>0.23169965545889318</v>
      </c>
      <c r="AG39" s="40">
        <v>0.23037380531720619</v>
      </c>
      <c r="AH39" s="39">
        <v>0.23208070350715149</v>
      </c>
      <c r="AI39" s="40">
        <v>0.23420044469819809</v>
      </c>
      <c r="AJ39" s="39">
        <v>0.23281217972552368</v>
      </c>
      <c r="AK39" s="40">
        <v>0.24088863514557049</v>
      </c>
      <c r="AL39" s="39">
        <v>0.23457182305955615</v>
      </c>
      <c r="AM39" s="40">
        <v>0.25413605491312569</v>
      </c>
      <c r="AN39" s="39">
        <v>0.23995645690318826</v>
      </c>
      <c r="AO39" s="40">
        <v>0.28140541622023596</v>
      </c>
      <c r="AP39" s="39">
        <v>0.24241117914702773</v>
      </c>
      <c r="AQ39" s="40">
        <v>0.29048035451709897</v>
      </c>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0.12739028480585943</v>
      </c>
      <c r="E42" s="135"/>
      <c r="F42" s="177">
        <f>10.8%+(1-10.8%)*(1-SUM(F26:G26)/SUM($B$26:$C$26))</f>
        <v>0.15037559598407296</v>
      </c>
      <c r="G42" s="135"/>
      <c r="H42" s="177">
        <f>10.8%+(1-10.8%)*(1-SUM(H26:I26)/SUM($B$26:$C$26))</f>
        <v>0.17714628238591168</v>
      </c>
      <c r="I42" s="135"/>
      <c r="J42" s="177">
        <f>10.8%+(1-10.8%)*(1-SUM(J26:K26)/SUM($B$26:$C$26))</f>
        <v>0.20765480264008698</v>
      </c>
      <c r="K42" s="135"/>
      <c r="L42" s="177">
        <f>10.8%+(1-10.8%)*(1-SUM(L26:M26)/SUM($B$26:$C$26))</f>
        <v>0.24156446794918135</v>
      </c>
      <c r="M42" s="135"/>
      <c r="N42" s="177">
        <f>10.8%+(1-10.8%)*(1-SUM(N26:O26)/SUM($B$26:$C$26))</f>
        <v>0.27823742541206825</v>
      </c>
      <c r="O42" s="135"/>
      <c r="P42" s="177">
        <f>10.8%+(1-10.8%)*(1-SUM(P26:Q26)/SUM($B$26:$C$26))</f>
        <v>0.31677714949918601</v>
      </c>
      <c r="Q42" s="135"/>
      <c r="R42" s="177">
        <f>10.8%+(1-10.8%)*(1-SUM(R26:S26)/SUM($B$26:$C$26))</f>
        <v>0.35613033979134257</v>
      </c>
      <c r="S42" s="135"/>
      <c r="T42" s="177">
        <f>10.8%+(1-10.8%)*(1-SUM(T26:U26)/SUM($B$26:$C$26))</f>
        <v>0.39524433674023696</v>
      </c>
      <c r="U42" s="135"/>
      <c r="V42" s="177">
        <f>10.8%+(1-10.8%)*(1-SUM(V26:W26)/SUM($B$26:$C$26))</f>
        <v>0.43324459137237303</v>
      </c>
      <c r="W42" s="135"/>
      <c r="X42" s="177">
        <f>10.8%+(1-10.8%)*(1-SUM(X26:Y26)/SUM($B$26:$C$26))</f>
        <v>0.46957690205139446</v>
      </c>
      <c r="Y42" s="162"/>
      <c r="Z42" s="177">
        <f>10.8%+(1-10.8%)*(1-SUM(Z26:AA26)/SUM($B$26:$C$26))</f>
        <v>0.50406630887872939</v>
      </c>
      <c r="AA42" s="135"/>
      <c r="AB42" s="177">
        <f>10.8%+(1-10.8%)*(1-SUM(AB26:AC26)/SUM($B$26:$C$26))</f>
        <v>0.53690373194261853</v>
      </c>
      <c r="AC42" s="135"/>
      <c r="AD42" s="177">
        <f>10.8%+(1-10.8%)*(1-SUM(AD26:AE26)/SUM($B$26:$C$26))</f>
        <v>0.56862654467893914</v>
      </c>
      <c r="AE42" s="135"/>
      <c r="AF42" s="177">
        <f>10.8%+(1-10.8%)*(1-SUM(AF26:AG26)/SUM($B$26:$C$26))</f>
        <v>0.60019918794111737</v>
      </c>
      <c r="AG42" s="135"/>
      <c r="AH42" s="177">
        <f>10.8%+(1-10.8%)*(1-SUM(AH26:AI26)/SUM($B$26:$C$26))</f>
        <v>0.63342748513250591</v>
      </c>
      <c r="AI42" s="135"/>
      <c r="AJ42" s="177">
        <f>10.8%+(1-10.8%)*(1-SUM(AJ26:AK26)/SUM($B$26:$C$26))</f>
        <v>0.67252847237184188</v>
      </c>
      <c r="AK42" s="135"/>
      <c r="AL42" s="177">
        <f>10.8%+(1-10.8%)*(1-SUM(AL26:AM26)/SUM($B$26:$C$26))</f>
        <v>0.7288319287646936</v>
      </c>
      <c r="AM42" s="135"/>
      <c r="AN42" s="177">
        <f>10.8%+(1-10.8%)*(1-SUM(AN26:AO26)/SUM($B$26:$C$26))</f>
        <v>0.82247811291639783</v>
      </c>
      <c r="AO42" s="135"/>
      <c r="AP42" s="177">
        <f>10.8%+(1-10.8%)*(1-SUM(AP26:AQ26)/SUM($B$26:$C$26))</f>
        <v>0.84807120977136641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0.56808244850039702</v>
      </c>
      <c r="E43" s="135"/>
      <c r="F43" s="162">
        <f t="array" ref="F43">SUM(F15:G15*F27:G27)/SUM(F15:G15*F27:G27,F13:G13*F26:G26)</f>
        <v>0.56903312149697405</v>
      </c>
      <c r="G43" s="135"/>
      <c r="H43" s="162">
        <f t="array" ref="H43">SUM(H15:I15*H27:I27)/SUM(H15:I15*H27:I27,H13:I13*H26:I26)</f>
        <v>0.57003543540800738</v>
      </c>
      <c r="I43" s="135"/>
      <c r="J43" s="162">
        <f t="array" ref="J43">SUM(J15:K15*J27:K27)/SUM(J15:K15*J27:K27,J13:K13*J26:K26)</f>
        <v>0.57106499362878038</v>
      </c>
      <c r="K43" s="135"/>
      <c r="L43" s="162">
        <f t="array" ref="L43">SUM(L15:M15*L27:M27)/SUM(L15:M15*L27:M27,L13:M13*L26:M26)</f>
        <v>0.57208909423310461</v>
      </c>
      <c r="M43" s="135"/>
      <c r="N43" s="162">
        <f t="array" ref="N43">SUM(N15:O15*N27:O27)/SUM(N15:O15*N27:O27,N13:O13*N26:O26)</f>
        <v>0.57306545556919386</v>
      </c>
      <c r="O43" s="135"/>
      <c r="P43" s="162">
        <f t="array" ref="P43">SUM(P15:Q15*P27:Q27)/SUM(P15:Q15*P27:Q27,P13:Q13*P26:Q26)</f>
        <v>0.57394099392195208</v>
      </c>
      <c r="Q43" s="135"/>
      <c r="R43" s="162">
        <f t="array" ref="R43">SUM(R15:S15*R27:S27)/SUM(R15:S15*R27:S27,R13:S13*R26:S26)</f>
        <v>0.57465186591852768</v>
      </c>
      <c r="S43" s="135"/>
      <c r="T43" s="162">
        <f t="array" ref="T43">SUM(T15:U15*T27:U27)/SUM(T15:U15*T27:U27,T13:U13*T26:U26)</f>
        <v>0.5751258039744408</v>
      </c>
      <c r="U43" s="135"/>
      <c r="V43" s="162">
        <f t="array" ref="V43">SUM(V15:W15*V27:W27)/SUM(V15:W15*V27:W27,V13:W13*V26:W26)</f>
        <v>0.57528573923299575</v>
      </c>
      <c r="W43" s="135"/>
      <c r="X43" s="162">
        <f t="array" ref="X43">SUM(X15:Y15*X27:Y27)/SUM(X15:Y15*X27:Y27,X13:Y13*X26:Y26)</f>
        <v>0.57505132183034091</v>
      </c>
      <c r="Y43" s="135"/>
      <c r="Z43" s="162">
        <f t="array" ref="Z43">SUM(Z15:AA15*Z27:AA27)/SUM(Z15:AA15*Z27:AA27,Z13:AA13*Z26:AA26)</f>
        <v>0.57433270966928585</v>
      </c>
      <c r="AA43" s="135"/>
      <c r="AB43" s="162">
        <f t="array" ref="AB43">SUM(AB15:AC15*AB27:AC27)/SUM(AB15:AC15*AB27:AC27,AB13:AC13*AB26:AC26)</f>
        <v>0.57301079072542627</v>
      </c>
      <c r="AC43" s="135"/>
      <c r="AD43" s="162">
        <f t="array" ref="AD43">SUM(AD15:AE15*AD27:AE27)/SUM(AD15:AE15*AD27:AE27,AD13:AE13*AD26:AE26)</f>
        <v>0.570893297639405</v>
      </c>
      <c r="AE43" s="135"/>
      <c r="AF43" s="162">
        <f t="array" ref="AF43">SUM(AF15:AG15*AF27:AG27)/SUM(AF15:AG15*AF27:AG27,AF13:AG13*AF26:AG26)</f>
        <v>0.56761283819254171</v>
      </c>
      <c r="AG43" s="135"/>
      <c r="AH43" s="162">
        <f t="array" ref="AH43">SUM(AH15:AI15*AH27:AI27)/SUM(AH15:AI15*AH27:AI27,AH13:AI13*AH26:AI26)</f>
        <v>0.56233949896350066</v>
      </c>
      <c r="AI43" s="135"/>
      <c r="AJ43" s="162">
        <f t="array" ref="AJ43">SUM(AJ15:AK15*AJ27:AK27)/SUM(AJ15:AK15*AJ27:AK27,AJ13:AK13*AJ26:AK26)</f>
        <v>0.5527564258965092</v>
      </c>
      <c r="AK43" s="135"/>
      <c r="AL43" s="162">
        <f t="array" ref="AL43">SUM(AL15:AM15*AL27:AM27)/SUM(AL15:AM15*AL27:AM27,AL13:AM13*AL26:AM26)</f>
        <v>0.53129674248312952</v>
      </c>
      <c r="AM43" s="135"/>
      <c r="AN43" s="162">
        <f t="array" ref="AN43">SUM(AN15:AO15*AN27:AO27)/SUM(AN15:AO15*AN27:AO27,AN13:AO13*AN26:AO26)</f>
        <v>0.47420980597047752</v>
      </c>
      <c r="AO43" s="135"/>
      <c r="AP43" s="162">
        <f t="array" ref="AP43">SUM(AP15:AQ15*AP27:AQ27)/SUM(AP15:AQ15*AP27:AQ27,AP13:AQ13*AP26:AQ26)</f>
        <v>0.45198616638940381</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0.29754226190682342</v>
      </c>
      <c r="D44" s="193">
        <f>(SUM(D11:E11*D24:E24)+D34)/D32</f>
        <v>0.29913377105214223</v>
      </c>
      <c r="F44" s="193">
        <f>(SUM(F11:G11*F24:G24)+F34)/F32</f>
        <v>0.30058614238545134</v>
      </c>
      <c r="H44" s="193">
        <f>(SUM(H11:I11*H24:I24)+H34)/H32</f>
        <v>0.30188112629088004</v>
      </c>
      <c r="J44" s="193">
        <f>(SUM(J11:K11*J24:K24)+J34)/J32</f>
        <v>0.30301506448857496</v>
      </c>
      <c r="L44" s="193">
        <f>(SUM(L11:M11*L24:M24)+L34)/L32</f>
        <v>0.30400692029513909</v>
      </c>
      <c r="N44" s="193">
        <f>(SUM(N11:O11*N24:O24)+N34)/N32</f>
        <v>0.30490506285287478</v>
      </c>
      <c r="P44" s="193">
        <f>(SUM(P11:Q11*P24:Q24)+P34)/P32</f>
        <v>0.30579426069590226</v>
      </c>
      <c r="R44" s="193">
        <f>(SUM(R11:S11*R24:S24)+R34)/R32</f>
        <v>0.3067971974540869</v>
      </c>
      <c r="T44" s="193">
        <f>(SUM(T11:U11*T24:U24)+T34)/T32</f>
        <v>0.30807066922941617</v>
      </c>
      <c r="V44" s="193">
        <f>(SUM(V11:W11*V24:W24)+V34)/V32</f>
        <v>0.30979448586615449</v>
      </c>
      <c r="X44" s="193">
        <f>(SUM(X11:Y11*X24:Y24)+X34)/X32</f>
        <v>0.31216334817908464</v>
      </c>
      <c r="Z44" s="193">
        <f>(SUM(Z11:AA11*Z24:AA24)+Z34)/Z32</f>
        <v>0.31539039312492112</v>
      </c>
      <c r="AB44" s="193">
        <f>(SUM(AB11:AC11*AB24:AC24)+AB34)/AB32</f>
        <v>0.31973641005715686</v>
      </c>
      <c r="AD44" s="193">
        <f>(SUM(AD11:AE11*AD24:AE24)+AD34)/AD32</f>
        <v>0.32558597332880646</v>
      </c>
      <c r="AF44" s="193">
        <f>(SUM(AF11:AG11*AF24:AG24)+AF34)/AF32</f>
        <v>0.33362800093376516</v>
      </c>
      <c r="AH44" s="193">
        <f>(SUM(AH11:AI11*AH24:AI24)+AH34)/AH32</f>
        <v>0.34534571561034894</v>
      </c>
      <c r="AJ44" s="193">
        <f>(SUM(AJ11:AK11*AJ24:AK24)+AJ34)/AJ32</f>
        <v>0.36449624707337303</v>
      </c>
      <c r="AL44" s="193">
        <f>(SUM(AL11:AM11*AL24:AM24)+AL34)/AL32</f>
        <v>0.3996513845687934</v>
      </c>
      <c r="AN44" s="193">
        <f>(SUM(AN11:AO11*AN24:AO24)+AN34)/AN32</f>
        <v>0.46287033471394873</v>
      </c>
      <c r="AP44" s="193">
        <f>(SUM(AP11:AQ11*AP24:AQ24)+AP34)/AP32</f>
        <v>0.48215812632177751</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0.22528680918000255</v>
      </c>
      <c r="F45" s="193">
        <f>SUM(F11:G11*F24:G24)/F32</f>
        <v>0.23147603707130363</v>
      </c>
      <c r="H45" s="193">
        <f>SUM(H11:I11*H24:I24)/H32</f>
        <v>0.23919669163664645</v>
      </c>
      <c r="J45" s="193">
        <f>SUM(J11:K11*J24:K24)/J32</f>
        <v>0.24869039531489326</v>
      </c>
      <c r="L45" s="193">
        <f>SUM(L11:M11*L24:M24)/L32</f>
        <v>0.26017165072577048</v>
      </c>
      <c r="N45" s="193">
        <f>SUM(N11:O11*N24:O24)/N32</f>
        <v>0.27379496972016099</v>
      </c>
      <c r="P45" s="193">
        <f>SUM(P11:Q11*P24:Q24)/P32</f>
        <v>0.28961528321158658</v>
      </c>
      <c r="R45" s="193">
        <f>SUM(R11:S11*R24:S24)/R32</f>
        <v>0.30755098921717366</v>
      </c>
      <c r="T45" s="193">
        <f>SUM(T11:U11*T24:U24)/T32</f>
        <v>0.32736976584545885</v>
      </c>
      <c r="V45" s="193">
        <f>SUM(V11:W11*V24:W24)/V32</f>
        <v>0.34871688764712272</v>
      </c>
      <c r="X45" s="193">
        <f>SUM(X11:Y11*X24:Y24)/X32</f>
        <v>0.37118569824214742</v>
      </c>
      <c r="Z45" s="193">
        <f>SUM(Z11:AA11*Z24:AA24)/Z32</f>
        <v>0.39439961972209914</v>
      </c>
      <c r="AB45" s="193">
        <f>SUM(AB11:AC11*AB24:AC24)/AB32</f>
        <v>0.41806789905544167</v>
      </c>
      <c r="AD45" s="193">
        <f>SUM(AD11:AE11*AD24:AE24)/AD32</f>
        <v>0.44199363148662629</v>
      </c>
      <c r="AF45" s="193">
        <f>SUM(AF11:AG11*AF24:AG24)/AF32</f>
        <v>0.4660200162733959</v>
      </c>
      <c r="AH45" s="193">
        <f>SUM(AH11:AI11*AH24:AI24)/AH32</f>
        <v>0.48986403741517609</v>
      </c>
      <c r="AJ45" s="193">
        <f>SUM(AJ11:AK11*AJ24:AK24)/AJ32</f>
        <v>0.51279820324611736</v>
      </c>
      <c r="AL45" s="193">
        <f>SUM(AL11:AM11*AL24:AM24)/AL32</f>
        <v>0.53642221255642353</v>
      </c>
      <c r="AN45" s="193">
        <f>SUM(AN11:AO11*AN24:AO24)/AN32</f>
        <v>0.58338985984748726</v>
      </c>
      <c r="AP45" s="193">
        <f>SUM(AP11:AQ11*AP24:AQ24)/AP32</f>
        <v>0.59971171201876006</v>
      </c>
      <c r="AR45" s="193" t="e">
        <f>SUM(AR11:AS11*AR24:AS24)/AR32</f>
        <v>#DIV/0!</v>
      </c>
      <c r="AT45" s="193" t="e">
        <f>SUM(AT11:AU11*AT24:AU24)/AT32</f>
        <v>#DIV/0!</v>
      </c>
      <c r="AV45" s="193" t="e">
        <f>SUM(AV11:AW11*AV24:AW24)/AV32</f>
        <v>#DIV/0!</v>
      </c>
      <c r="XCQ45" s="193"/>
    </row>
    <row r="46" spans="1:49 16319:16321" x14ac:dyDescent="0.2">
      <c r="A46" t="s">
        <v>139</v>
      </c>
      <c r="B46" s="193">
        <f>B34/B32</f>
        <v>7.7157873574882588E-2</v>
      </c>
      <c r="D46" s="193">
        <f>D34/D32</f>
        <v>7.384696187213971E-2</v>
      </c>
      <c r="F46" s="193">
        <f>F34/F32</f>
        <v>6.9110105314147713E-2</v>
      </c>
      <c r="H46" s="193">
        <f>H34/H32</f>
        <v>6.2684434654233609E-2</v>
      </c>
      <c r="J46" s="193">
        <f>J34/J32</f>
        <v>5.4324669173681679E-2</v>
      </c>
      <c r="L46" s="193">
        <f>L34/L32</f>
        <v>4.3835269569368618E-2</v>
      </c>
      <c r="N46" s="193">
        <f>N34/N32</f>
        <v>3.1110093132713745E-2</v>
      </c>
      <c r="P46" s="193">
        <f>P34/P32</f>
        <v>1.6178977484315661E-2</v>
      </c>
      <c r="R46" s="193">
        <f>R34/R32</f>
        <v>-7.5379176308674458E-4</v>
      </c>
      <c r="T46" s="193">
        <f>T34/T32</f>
        <v>-1.9299096616042677E-2</v>
      </c>
      <c r="V46" s="193">
        <f>V34/V32</f>
        <v>-3.8922401780968202E-2</v>
      </c>
      <c r="X46" s="193">
        <f>X34/X32</f>
        <v>-5.9022350063062771E-2</v>
      </c>
      <c r="Z46" s="193">
        <f>Z34/Z32</f>
        <v>-7.9009226597177989E-2</v>
      </c>
      <c r="AB46" s="193">
        <f>AB34/AB32</f>
        <v>-9.8331488998284797E-2</v>
      </c>
      <c r="AD46" s="193">
        <f>AD34/AD32</f>
        <v>-0.11640765815781985</v>
      </c>
      <c r="AF46" s="193">
        <f>AF34/AF32</f>
        <v>-0.13239201533963077</v>
      </c>
      <c r="AH46" s="193">
        <f>AH34/AH32</f>
        <v>-0.14451832180482718</v>
      </c>
      <c r="AJ46" s="193">
        <f>AJ34/AJ32</f>
        <v>-0.1483019561727443</v>
      </c>
      <c r="AL46" s="193">
        <f>AL34/AL32</f>
        <v>-0.13677082798763016</v>
      </c>
      <c r="AN46" s="193">
        <f>AN34/AN32</f>
        <v>-0.1205195251335386</v>
      </c>
      <c r="AP46" s="193">
        <f>AP34/AP32</f>
        <v>-0.11755358569698256</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0</v>
      </c>
      <c r="AS48" s="191"/>
      <c r="AT48" s="191">
        <f>AT24/$B$24</f>
        <v>0</v>
      </c>
      <c r="AU48" s="191"/>
      <c r="AV48" s="191">
        <f>AV24/$B$24</f>
        <v>0</v>
      </c>
    </row>
    <row r="49" spans="1:48 16321:16384" x14ac:dyDescent="0.2">
      <c r="A49" t="s">
        <v>160</v>
      </c>
      <c r="B49" s="191">
        <f>B13/B35/$B$13*$B$35</f>
        <v>1</v>
      </c>
      <c r="C49" s="191"/>
      <c r="D49" s="191">
        <f>D13/D35/$B$13*$B$35</f>
        <v>0.99177794358813509</v>
      </c>
      <c r="E49" s="191"/>
      <c r="F49" s="191">
        <f>F13/F35/$B$13*$B$35</f>
        <v>0.98358596173205093</v>
      </c>
      <c r="G49" s="191"/>
      <c r="H49" s="191">
        <f>H13/H35/$B$13*$B$35</f>
        <v>0.97556136363560719</v>
      </c>
      <c r="I49" s="191"/>
      <c r="J49" s="191">
        <f>J13/J35/$B$13*$B$35</f>
        <v>0.96784112545744361</v>
      </c>
      <c r="K49" s="191"/>
      <c r="L49" s="191">
        <f>L13/L35/$B$13*$B$35</f>
        <v>0.96054901404402016</v>
      </c>
      <c r="M49" s="191"/>
      <c r="N49" s="191">
        <f>N13/N35/$B$13*$B$35</f>
        <v>0.95378482354438088</v>
      </c>
      <c r="O49" s="191"/>
      <c r="P49" s="191">
        <f>P13/P35/$B$13*$B$35</f>
        <v>0.94761841525354762</v>
      </c>
      <c r="Q49" s="191"/>
      <c r="R49" s="191">
        <f>R13/R35/$B$13*$B$35</f>
        <v>0.94208640260310428</v>
      </c>
      <c r="S49" s="191"/>
      <c r="T49" s="191">
        <f>T13/T35/$B$13*$B$35</f>
        <v>0.93719055557177511</v>
      </c>
      <c r="U49" s="191"/>
      <c r="V49" s="191">
        <f>V13/V35/$B$13*$B$35</f>
        <v>0.93289879253358776</v>
      </c>
      <c r="W49" s="191"/>
      <c r="X49" s="191">
        <f>X13/X35/$B$13*$B$35</f>
        <v>0.92915004871212459</v>
      </c>
      <c r="Y49" s="191"/>
      <c r="Z49" s="191">
        <f>Z13/Z35/$B$13*$B$35</f>
        <v>0.92586317074059687</v>
      </c>
      <c r="AA49" s="191"/>
      <c r="AB49" s="191">
        <f>AB13/AB35/$B$13*$B$35</f>
        <v>0.9229461715295274</v>
      </c>
      <c r="AC49" s="191"/>
      <c r="AD49" s="191">
        <f>AD13/AD35/$B$13*$B$35</f>
        <v>0.92030087302535191</v>
      </c>
      <c r="AE49" s="191"/>
      <c r="AF49" s="191">
        <f>AF13/AF35/$B$13*$B$35</f>
        <v>0.91781768095598648</v>
      </c>
      <c r="AG49" s="191"/>
      <c r="AH49" s="191">
        <f>AH13/AH35/$B$13*$B$35</f>
        <v>0.91534822391290316</v>
      </c>
      <c r="AI49" s="191"/>
      <c r="AJ49" s="191">
        <f>AJ13/AJ35/$B$13*$B$35</f>
        <v>0.91261090587102789</v>
      </c>
      <c r="AK49" s="191"/>
      <c r="AL49" s="191">
        <f>AL13/AL35/$B$13*$B$35</f>
        <v>0.90894963135962181</v>
      </c>
      <c r="AM49" s="191"/>
      <c r="AN49" s="191">
        <f>AN13/AN35/$B$13*$B$35</f>
        <v>0.90347256691712396</v>
      </c>
      <c r="AO49" s="191"/>
      <c r="AP49" s="191">
        <f>AP13/AP35/$B$13*$B$35</f>
        <v>0.90208938355098145</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-360718.71184135787</v>
      </c>
      <c r="F51" s="29">
        <f>F30-F10*F23</f>
        <v>-319703.52636985574</v>
      </c>
      <c r="H51" s="29">
        <f>H30-H10*H23</f>
        <v>-283267.83787279809</v>
      </c>
      <c r="J51" s="29">
        <f>J30-J10*J23</f>
        <v>-251528.92137282249</v>
      </c>
      <c r="L51" s="29">
        <f>L30-L10*L23</f>
        <v>-224095.12275954289</v>
      </c>
      <c r="N51" s="29">
        <f>N30-N10*N23</f>
        <v>-199935.51659676572</v>
      </c>
      <c r="P51" s="29">
        <f>P30-P10*P23</f>
        <v>-177300.70580302877</v>
      </c>
      <c r="R51" s="29">
        <f>R30-R10*R23</f>
        <v>-153681.21551627014</v>
      </c>
      <c r="T51" s="29">
        <f>T30-T10*T23</f>
        <v>-125791.7551797987</v>
      </c>
      <c r="V51" s="29">
        <f>V30-V10*V23</f>
        <v>-89477.73011834221</v>
      </c>
      <c r="X51" s="29">
        <f>X30-X10*X23</f>
        <v>-39340.097035394516</v>
      </c>
      <c r="Z51" s="29">
        <f>Z30-Z10*Z23</f>
        <v>32377.55710024992</v>
      </c>
      <c r="AB51" s="29">
        <f>AB30-AB10*AB23</f>
        <v>138610.22426475165</v>
      </c>
      <c r="AD51" s="29">
        <f>AD30-AD10*AD23</f>
        <v>304810.25414597802</v>
      </c>
      <c r="AF51" s="29">
        <f>AF30-AF10*AF23</f>
        <v>591280.78544365615</v>
      </c>
      <c r="AH51" s="29">
        <f>AH30-AH10*AH23</f>
        <v>1181356.526822973</v>
      </c>
      <c r="AJ51" s="29">
        <f>AJ30-AJ10*AJ23</f>
        <v>2902134.6469787387</v>
      </c>
      <c r="AL51" s="29">
        <f>AL30-AL10*AL23</f>
        <v>12909470.744783588</v>
      </c>
      <c r="AN51" s="29">
        <f>AN30-AN10*AN23</f>
        <v>298666449.48231405</v>
      </c>
      <c r="AP51" s="29">
        <f>AP30-AP10*AP23</f>
        <v>963343295.53640532</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2005952.6927476751</v>
      </c>
      <c r="F52" s="29">
        <f t="array" ref="F52">Calibration!sL*SUM(F13:G13*F26:G26)</f>
        <v>1960270.0598789176</v>
      </c>
      <c r="H52" s="29">
        <f t="array" ref="H52">Calibration!sL*SUM(H13:I13*H26:I26)</f>
        <v>1912867.5144730366</v>
      </c>
      <c r="J52" s="29">
        <f t="array" ref="J52">Calibration!sL*SUM(J13:K13*J26:K26)</f>
        <v>1864883.3936069608</v>
      </c>
      <c r="L52" s="29">
        <f t="array" ref="L52">Calibration!sL*SUM(L13:M13*L26:M26)</f>
        <v>1817996.3469768853</v>
      </c>
      <c r="N52" s="29">
        <f t="array" ref="N52">Calibration!sL*SUM(N13:O13*N26:O26)</f>
        <v>1774454.7663557986</v>
      </c>
      <c r="P52" s="29">
        <f t="array" ref="P52">Calibration!sL*SUM(P13:Q13*P26:Q26)</f>
        <v>1737037.7741675568</v>
      </c>
      <c r="R52" s="29">
        <f t="array" ref="R52">Calibration!sL*SUM(R13:S13*R26:S26)</f>
        <v>1708966.8606940273</v>
      </c>
      <c r="T52" s="29">
        <f t="array" ref="T52">Calibration!sL*SUM(T13:U13*T26:U26)</f>
        <v>1693805.7291743413</v>
      </c>
      <c r="V52" s="29">
        <f t="array" ref="V52">Calibration!sL*SUM(V13:W13*V26:W26)</f>
        <v>1695514.8863375559</v>
      </c>
      <c r="X52" s="29">
        <f t="array" ref="X52">Calibration!sL*SUM(X13:Y13*X26:Y26)</f>
        <v>1718896.1530612619</v>
      </c>
      <c r="Z52" s="29">
        <f t="array" ref="Z52">Calibration!sL*SUM(Z13:AA13*Z26:AA26)</f>
        <v>1770827.5275031026</v>
      </c>
      <c r="AB52" s="29">
        <f t="array" ref="AB52">Calibration!sL*SUM(AB13:AC13*AB26:AC26)</f>
        <v>1863029.0803572291</v>
      </c>
      <c r="AD52" s="29">
        <f t="array" ref="AD52">Calibration!sL*SUM(AD13:AE13*AD26:AE26)</f>
        <v>2018540.0802944873</v>
      </c>
      <c r="AF52" s="29">
        <f t="array" ref="AF52">Calibration!sL*SUM(AF13:AG13*AF26:AG26)</f>
        <v>2289805.0921011735</v>
      </c>
      <c r="AH52" s="29">
        <f t="array" ref="AH52">Calibration!sL*SUM(AH13:AI13*AH26:AI26)</f>
        <v>2823949.2785848025</v>
      </c>
      <c r="AJ52" s="29">
        <f t="array" ref="AJ52">Calibration!sL*SUM(AJ13:AK13*AJ26:AK26)</f>
        <v>4204908.9183013327</v>
      </c>
      <c r="AL52" s="29">
        <f t="array" ref="AL52">Calibration!sL*SUM(AL13:AM13*AL26:AM26)</f>
        <v>10562700.550704565</v>
      </c>
      <c r="AN52" s="29">
        <f t="array" ref="AN52">Calibration!sL*SUM(AN13:AO13*AN26:AO26)</f>
        <v>130968356.86936496</v>
      </c>
      <c r="AP52" s="29">
        <f t="array" ref="AP52">Calibration!sL*SUM(AP13:AQ13*AP26:AQ26)</f>
        <v>365505875.38471955</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2692468.265851412</v>
      </c>
      <c r="F53" s="29">
        <f t="array" ref="F53">Calibration!sK*SUM(F15:G15*F27:G27)</f>
        <v>2641368.2071890198</v>
      </c>
      <c r="H53" s="29">
        <f t="array" ref="H53">Calibration!sK*SUM(H15:I15*H27:I27)</f>
        <v>2588054.8026454826</v>
      </c>
      <c r="J53" s="29">
        <f t="array" ref="J53">Calibration!sK*SUM(J15:K15*J27:K27)</f>
        <v>2533757.9041903918</v>
      </c>
      <c r="L53" s="29">
        <f t="array" ref="L53">Calibration!sK*SUM(L15:M15*L27:M27)</f>
        <v>2480405.625473151</v>
      </c>
      <c r="N53" s="29">
        <f t="array" ref="N53">Calibration!sK*SUM(N15:O15*N27:O27)</f>
        <v>2430677.0158470296</v>
      </c>
      <c r="P53" s="29">
        <f t="array" ref="P53">Calibration!sK*SUM(P15:Q15*P27:Q27)</f>
        <v>2387955.0419278545</v>
      </c>
      <c r="R53" s="29">
        <f t="array" ref="R53">Calibration!sK*SUM(R15:S15*R27:S27)</f>
        <v>2356206.3282591566</v>
      </c>
      <c r="T53" s="29">
        <f t="array" ref="T53">Calibration!sK*SUM(T15:U15*T27:U27)</f>
        <v>2339836.3454002747</v>
      </c>
      <c r="V53" s="29">
        <f t="array" ref="V53">Calibration!sK*SUM(V15:W15*V27:W27)</f>
        <v>2343730.9739005989</v>
      </c>
      <c r="X53" s="29">
        <f t="array" ref="X53">Calibration!sK*SUM(X15:Y15*X27:Y27)</f>
        <v>2373772.808184186</v>
      </c>
      <c r="Z53" s="29">
        <f t="array" ref="Z53">Calibration!sK*SUM(Z15:AA15*Z27:AA27)</f>
        <v>2438310.0257395855</v>
      </c>
      <c r="AB53" s="29">
        <f t="array" ref="AB53">Calibration!sK*SUM(AB15:AC15*AB27:AC27)</f>
        <v>2551437.4291030644</v>
      </c>
      <c r="AD53" s="29">
        <f t="array" ref="AD53">Calibration!sK*SUM(AD15:AE15*AD27:AE27)</f>
        <v>2740604.7823659694</v>
      </c>
      <c r="AF53" s="29">
        <f t="array" ref="AF53">Calibration!sK*SUM(AF15:AG15*AF27:AG27)</f>
        <v>3067590.0718435077</v>
      </c>
      <c r="AH53" s="29">
        <f t="array" ref="AH53">Calibration!sK*SUM(AH15:AI15*AH27:AI27)</f>
        <v>3702861.9078530492</v>
      </c>
      <c r="AJ53" s="29">
        <f t="array" ref="AJ53">Calibration!sK*SUM(AJ15:AK15*AJ27:AK27)</f>
        <v>5303537.8335054396</v>
      </c>
      <c r="AL53" s="29">
        <f t="array" ref="AL53">Calibration!sK*SUM(AL15:AM15*AL27:AM27)</f>
        <v>12218940.125945613</v>
      </c>
      <c r="AN53" s="29">
        <f t="array" ref="AN53">Calibration!sK*SUM(AN15:AO15*AN27:AO27)</f>
        <v>120543504.83989444</v>
      </c>
      <c r="AP53" s="29">
        <f t="array" ref="AP53">Calibration!sK*SUM(AP15:AQ15*AP27:AQ27)</f>
        <v>307643236.35010147</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0.2011705514825903</v>
      </c>
      <c r="F55" s="193">
        <f>F30/F32</f>
        <v>0.20360344054791363</v>
      </c>
      <c r="H55" s="193">
        <f>H30/H32</f>
        <v>0.2057711389261338</v>
      </c>
      <c r="J55" s="193">
        <f>J30/J32</f>
        <v>0.20766784997866944</v>
      </c>
      <c r="L55" s="193">
        <f>L30/L32</f>
        <v>0.20932520584767011</v>
      </c>
      <c r="N55" s="193">
        <f>N30/N32</f>
        <v>0.21082563707502902</v>
      </c>
      <c r="P55" s="193">
        <f>P30/P32</f>
        <v>0.21231221748196114</v>
      </c>
      <c r="R55" s="193">
        <f>R30/R32</f>
        <v>0.21399223296310635</v>
      </c>
      <c r="T55" s="193">
        <f>T30/T32</f>
        <v>0.2161295586432172</v>
      </c>
      <c r="V55" s="193">
        <f>V30/V32</f>
        <v>0.21902814347169555</v>
      </c>
      <c r="X55" s="193">
        <f>X30/X32</f>
        <v>0.22301646231508807</v>
      </c>
      <c r="Z55" s="193">
        <f>Z30/Z32</f>
        <v>0.22845373413996892</v>
      </c>
      <c r="AB55" s="193">
        <f>AB30/AB32</f>
        <v>0.23578000623053066</v>
      </c>
      <c r="AD55" s="193">
        <f>AD30/AD32</f>
        <v>0.24564391998616786</v>
      </c>
      <c r="AF55" s="193">
        <f>AF30/AF32</f>
        <v>0.2592078425042238</v>
      </c>
      <c r="AH55" s="193">
        <f>AH30/AH32</f>
        <v>0.27897401397923582</v>
      </c>
      <c r="AJ55" s="193">
        <f>AJ30/AJ32</f>
        <v>0.3112813092043436</v>
      </c>
      <c r="AL55" s="193">
        <f>AL30/AL32</f>
        <v>0.37060006369148918</v>
      </c>
      <c r="AN55" s="193">
        <f>AN30/AN32</f>
        <v>0.47731717883891678</v>
      </c>
      <c r="AP55" s="193">
        <f>AP30/AP32</f>
        <v>0.50987507935156251</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3.2777195334668913E-2</v>
      </c>
      <c r="F56" s="193">
        <f>(Model!$C$52*F5*F20+F2*G5*G20)/F32</f>
        <v>3.6072517784970719E-2</v>
      </c>
      <c r="H56" s="193">
        <f>(Model!$C$52*H5*H20+H2*I5*I20)/H32</f>
        <v>3.9065187252638453E-2</v>
      </c>
      <c r="J56" s="193">
        <f>(Model!$C$52*J5*J20+J2*K5*K20)/J32</f>
        <v>4.1740455320363468E-2</v>
      </c>
      <c r="L56" s="193">
        <f>(Model!$C$52*L5*L20+L2*M5*M20)/L32</f>
        <v>4.4126031176924006E-2</v>
      </c>
      <c r="N56" s="193">
        <f>(Model!$C$52*N5*N20+N2*O5*O20)/N32</f>
        <v>4.6307482675374205E-2</v>
      </c>
      <c r="P56" s="193">
        <f>(Model!$C$52*P5*P20+P2*Q5*Q20)/P32</f>
        <v>4.8439674838564387E-2</v>
      </c>
      <c r="R56" s="193">
        <f>(Model!$C$52*R5*R20+R2*S5*S20)/R32</f>
        <v>5.0750857764345347E-2</v>
      </c>
      <c r="T56" s="193">
        <f>(Model!$C$52*T5*T20+T2*U5*U20)/T32</f>
        <v>5.3534425185335237E-2</v>
      </c>
      <c r="V56" s="193">
        <f>(Model!$C$52*V5*V20+V2*W5*W20)/V32</f>
        <v>5.7130286581241356E-2</v>
      </c>
      <c r="X56" s="193">
        <f>(Model!$C$52*X5*X20+X2*Y5*Y20)/X32</f>
        <v>6.1907460171266374E-2</v>
      </c>
      <c r="Z56" s="193">
        <f>(Model!$C$52*Z5*Z20+Z2*AA5*AA20)/Z32</f>
        <v>6.827031964211798E-2</v>
      </c>
      <c r="AB56" s="193">
        <f>(Model!$C$52*AB5*AB20+AB2*AC5*AC20)/AB32</f>
        <v>7.6713456502842337E-2</v>
      </c>
      <c r="AD56" s="193">
        <f>(Model!$C$52*AD5*AD20+AD2*AE5*AE20)/AD32</f>
        <v>8.7963408154208916E-2</v>
      </c>
      <c r="AF56" s="193">
        <f>(Model!$C$52*AF5*AF20+AF2*AG5*AG20)/AF32</f>
        <v>0.10331808210136367</v>
      </c>
      <c r="AH56" s="193">
        <f>(Model!$C$52*AH5*AH20+AH2*AI5*AI20)/AH32</f>
        <v>0.1255659210898433</v>
      </c>
      <c r="AJ56" s="193">
        <f>(Model!$C$52*AJ5*AJ20+AJ2*AK5*AK20)/AJ32</f>
        <v>0.16174346346406202</v>
      </c>
      <c r="AL56" s="193">
        <f>(Model!$C$52*AL5*AL20+AL2*AM5*AM20)/AL32</f>
        <v>0.22759906768169014</v>
      </c>
      <c r="AN56" s="193">
        <f>(Model!$C$52*AN5*AN20+AN2*AO5*AO20)/AN32</f>
        <v>0.34439053194830094</v>
      </c>
      <c r="AP56" s="193">
        <f>(Model!$C$52*AP5*AP20+AP2*AQ5*AQ20)/AP32</f>
        <v>0.38004398637138104</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0.15767920069771574</v>
      </c>
      <c r="F57" s="193">
        <f t="array" ref="F57">SUM(Model!tauL*F13:G13*F26:G26)/F32</f>
        <v>0.15685296266023513</v>
      </c>
      <c r="H57" s="193">
        <f t="array" ref="H57">SUM(Model!tauL*H13:I13*H26:I26)/H32</f>
        <v>0.15606222556250837</v>
      </c>
      <c r="J57" s="193">
        <f t="array" ref="J57">SUM(Model!tauL*J13:K13*J26:K26)/J32</f>
        <v>0.15531674581793567</v>
      </c>
      <c r="L57" s="193">
        <f t="array" ref="L57">SUM(Model!tauL*L13:M13*L26:M26)/L32</f>
        <v>0.15462179768934933</v>
      </c>
      <c r="N57" s="193">
        <f t="array" ref="N57">SUM(Model!tauL*N13:O13*N26:O26)/N32</f>
        <v>0.15397624771604734</v>
      </c>
      <c r="P57" s="193">
        <f t="array" ref="P57">SUM(Model!tauL*P13:Q13*P26:Q26)/P32</f>
        <v>0.15337103064515045</v>
      </c>
      <c r="R57" s="193">
        <f t="array" ref="R57">SUM(Model!tauL*R13:S13*R26:S26)/R32</f>
        <v>0.15278858940274753</v>
      </c>
      <c r="T57" s="193">
        <f t="array" ref="T57">SUM(Model!tauL*T13:U13*T26:U26)/T32</f>
        <v>0.15220332163919184</v>
      </c>
      <c r="V57" s="193">
        <f t="array" ref="V57">SUM(Model!tauL*V13:W13*V26:W26)/V32</f>
        <v>0.15158341825953467</v>
      </c>
      <c r="X57" s="193">
        <f t="array" ref="X57">SUM(Model!tauL*X13:Y13*X26:Y26)/X32</f>
        <v>0.15089255036827129</v>
      </c>
      <c r="Y57" s="193"/>
      <c r="Z57" s="193">
        <f t="array" ref="Z57">SUM(Model!tauL*Z13:AA13*Z26:AA26)/Z32</f>
        <v>0.15008998718052427</v>
      </c>
      <c r="AB57" s="193">
        <f t="array" ref="AB57">SUM(Model!tauL*AB13:AC13*AB26:AC26)/AB32</f>
        <v>0.14912647891629768</v>
      </c>
      <c r="AD57" s="193">
        <f t="array" ref="AD57">SUM(Model!tauL*AD13:AE13*AD26:AE26)/AD32</f>
        <v>0.14793166801541363</v>
      </c>
      <c r="AF57" s="193">
        <f t="array" ref="AF57">SUM(Model!tauL*AF13:AG13*AF26:AG26)/AF32</f>
        <v>0.14638232035833018</v>
      </c>
      <c r="AH57" s="193">
        <f t="array" ref="AH57">SUM(Model!tauL*AH13:AI13*AH26:AI26)/AH32</f>
        <v>0.14421410189851527</v>
      </c>
      <c r="AJ57" s="193">
        <f t="array" ref="AJ57">SUM(Model!tauL*AJ13:AK13*AJ26:AK26)/AJ32</f>
        <v>0.14076848504303816</v>
      </c>
      <c r="AL57" s="193">
        <f t="array" ref="AL57">SUM(Model!tauL*AL13:AM13*AL26:AM26)/AL32</f>
        <v>0.134816833870682</v>
      </c>
      <c r="AN57" s="193">
        <f t="array" ref="AN57">SUM(Model!tauL*AN13:AO13*AN26:AO26)/AN32</f>
        <v>0.12559436846626124</v>
      </c>
      <c r="AP57" s="193">
        <f t="array" ref="AP57">SUM(Model!tauL*AP13:AQ13*AP26:AQ26)/AP32</f>
        <v>0.12274894320460322</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1.0714155450205667E-2</v>
      </c>
      <c r="F58" s="193">
        <f t="array" ref="F58">SUM(Model!tauY/(1+Model!tauY)*F3:G3*F18:G18)/F32</f>
        <v>1.0677960102707761E-2</v>
      </c>
      <c r="H58" s="193">
        <f t="array" ref="H58">SUM(Model!tauY/(1+Model!tauY)*H3:I3*H18:I18)/H32</f>
        <v>1.064372611098699E-2</v>
      </c>
      <c r="J58" s="193">
        <f t="array" ref="J58">SUM(Model!tauY/(1+Model!tauY)*J3:K3*J18:K18)/J32</f>
        <v>1.0610648840370289E-2</v>
      </c>
      <c r="L58" s="193">
        <f t="array" ref="L58">SUM(Model!tauY/(1+Model!tauY)*L3:M3*L18:M18)/L32</f>
        <v>1.057737698139676E-2</v>
      </c>
      <c r="N58" s="193">
        <f t="array" ref="N58">SUM(Model!tauY/(1+Model!tauY)*N3:O3*N18:O18)/N32</f>
        <v>1.0541906683607447E-2</v>
      </c>
      <c r="P58" s="193">
        <f t="array" ref="P58">SUM(Model!tauY/(1+Model!tauY)*P3:Q3*P18:Q18)/P32</f>
        <v>1.0501511998246294E-2</v>
      </c>
      <c r="R58" s="193">
        <f t="array" ref="R58">SUM(Model!tauY/(1+Model!tauY)*R3:S3*R18:S18)/R32</f>
        <v>1.0452785796013457E-2</v>
      </c>
      <c r="T58" s="193">
        <f t="array" ref="T58">SUM(Model!tauY/(1+Model!tauY)*T3:U3*T18:U18)/T32</f>
        <v>1.0391811818690096E-2</v>
      </c>
      <c r="V58" s="193">
        <f t="array" ref="V58">SUM(Model!tauY/(1+Model!tauY)*V3:W3*V18:W18)/V32</f>
        <v>1.0314438630919546E-2</v>
      </c>
      <c r="X58" s="193">
        <f t="array" ref="X58">SUM(Model!tauY/(1+Model!tauY)*X3:Y3*X18:Y18)/X32</f>
        <v>1.0216451775550403E-2</v>
      </c>
      <c r="Y58" s="193"/>
      <c r="Z58" s="193">
        <f t="array" ref="Z58">SUM(Model!tauY/(1+Model!tauY)*Z3:AA3*Z18:AA18)/Z32</f>
        <v>1.0093427317326674E-2</v>
      </c>
      <c r="AB58" s="193">
        <f t="array" ref="AB58">SUM(Model!tauY/(1+Model!tauY)*AB3:AC3*AB18:AC18)/AB32</f>
        <v>9.9400708113906965E-3</v>
      </c>
      <c r="AD58" s="193">
        <f t="array" ref="AD58">SUM(Model!tauY/(1+Model!tauY)*AD3:AE3*AD18:AE18)/AD32</f>
        <v>9.7488438165453072E-3</v>
      </c>
      <c r="AF58" s="193">
        <f t="array" ref="AF58">SUM(Model!tauY/(1+Model!tauY)*AF3:AG3*AF18:AG18)/AF32</f>
        <v>9.5074400445299551E-3</v>
      </c>
      <c r="AH58" s="193">
        <f t="array" ref="AH58">SUM(Model!tauY/(1+Model!tauY)*AH3:AI3*AH18:AI18)/AH32</f>
        <v>9.1939909908772301E-3</v>
      </c>
      <c r="AJ58" s="193">
        <f t="array" ref="AJ58">SUM(Model!tauY/(1+Model!tauY)*AJ3:AK3*AJ18:AK18)/AJ32</f>
        <v>8.76936069724343E-3</v>
      </c>
      <c r="AL58" s="193">
        <f t="array" ref="AL58">SUM(Model!tauY/(1+Model!tauY)*AL3:AM3*AL18:AM18)/AL32</f>
        <v>8.184162139117046E-3</v>
      </c>
      <c r="AN58" s="193">
        <f t="array" ref="AN58">SUM(Model!tauY/(1+Model!tauY)*AN3:AO3*AN18:AO18)/AN32</f>
        <v>7.3322784243545448E-3</v>
      </c>
      <c r="AP58" s="193">
        <f t="array" ref="AP58">SUM(Model!tauY/(1+Model!tauY)*AP3:AQ3*AP18:AQ18)/AP32</f>
        <v>7.0821497755782893E-3</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4.0862874750132025E-3</v>
      </c>
      <c r="F59" s="193">
        <f>(F2*G5*G20)/F32</f>
        <v>7.3323805101052821E-3</v>
      </c>
      <c r="H59" s="193">
        <f>(H2*I5*I20)/H32</f>
        <v>1.0243595464948553E-2</v>
      </c>
      <c r="J59" s="193">
        <f>(J2*K5*K20)/J32</f>
        <v>1.2801588297308434E-2</v>
      </c>
      <c r="L59" s="193">
        <f>(L2*M5*M20)/L32</f>
        <v>1.5032079254929404E-2</v>
      </c>
      <c r="N59" s="193">
        <f>(N2*O5*O20)/N32</f>
        <v>1.7021142378028296E-2</v>
      </c>
      <c r="P59" s="193">
        <f>(P2*Q5*Q20)/P32</f>
        <v>1.8927605690469529E-2</v>
      </c>
      <c r="R59" s="193">
        <f>(R2*S5*S20)/R32</f>
        <v>2.0987817632081681E-2</v>
      </c>
      <c r="T59" s="193">
        <f>(T2*U5*U20)/T32</f>
        <v>2.3507419624568541E-2</v>
      </c>
      <c r="V59" s="193">
        <f>(V2*W5*W20)/V32</f>
        <v>2.6841717512217301E-2</v>
      </c>
      <c r="X59" s="193">
        <f>(X2*Y5*Y20)/X32</f>
        <v>3.1376749068886385E-2</v>
      </c>
      <c r="Z59" s="193">
        <f>(Z2*AA5*AA20)/Z32</f>
        <v>3.7534499317048123E-2</v>
      </c>
      <c r="AB59" s="193">
        <f>(AB2*AC5*AC20)/AB32</f>
        <v>4.5828566253840297E-2</v>
      </c>
      <c r="AD59" s="193">
        <f>(AD2*AE5*AE20)/AD32</f>
        <v>5.7010020253802286E-2</v>
      </c>
      <c r="AF59" s="193">
        <f>(AF2*AG5*AG20)/AF32</f>
        <v>7.2417674776751706E-2</v>
      </c>
      <c r="AH59" s="193">
        <f>(AH2*AI5*AI20)/AH32</f>
        <v>9.4926831586211291E-2</v>
      </c>
      <c r="AJ59" s="193">
        <f>(AJ2*AK5*AK20)/AJ32</f>
        <v>0.13179362112817991</v>
      </c>
      <c r="AL59" s="193">
        <f>(AL2*AM5*AM20)/AL32</f>
        <v>0.19922782557435795</v>
      </c>
      <c r="AN59" s="193">
        <f>(AN2*AO5*AO20)/AN32</f>
        <v>0.31887824576857399</v>
      </c>
      <c r="AP59" s="193">
        <f>(AP2*AQ5*AQ20)/AP32</f>
        <v>0.35538030552457628</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2.8690907859655713E-2</v>
      </c>
      <c r="F60" s="193">
        <f>Model!$C$52*F5*F20/F32</f>
        <v>2.8740137274865442E-2</v>
      </c>
      <c r="H60" s="193">
        <f>Model!$C$52*H5*H20/H32</f>
        <v>2.8821591787689903E-2</v>
      </c>
      <c r="J60" s="193">
        <f>Model!$C$52*J5*J20/J32</f>
        <v>2.8938867023055037E-2</v>
      </c>
      <c r="L60" s="193">
        <f>Model!$C$52*L5*L20/L32</f>
        <v>2.9093951921994602E-2</v>
      </c>
      <c r="N60" s="193">
        <f>Model!$C$52*N5*N20/N32</f>
        <v>2.9286340297345909E-2</v>
      </c>
      <c r="P60" s="193">
        <f>Model!$C$52*P5*P20/P32</f>
        <v>2.9512069148094854E-2</v>
      </c>
      <c r="R60" s="193">
        <f>Model!$C$52*R5*R20/R32</f>
        <v>2.976304013226367E-2</v>
      </c>
      <c r="T60" s="193">
        <f>Model!$C$52*T5*T20/T32</f>
        <v>3.0027005560766692E-2</v>
      </c>
      <c r="V60" s="193">
        <f>Model!$C$52*V5*V20/V32</f>
        <v>3.0288569069024055E-2</v>
      </c>
      <c r="X60" s="193">
        <f>Model!$C$52*X5*X20/X32</f>
        <v>3.0530711102379988E-2</v>
      </c>
      <c r="Z60" s="193">
        <f>Model!$C$52*Z5*Z20/Z32</f>
        <v>3.0735820325069853E-2</v>
      </c>
      <c r="AB60" s="193">
        <f>Model!$C$52*AB5*AB20/AB32</f>
        <v>3.0884890249002029E-2</v>
      </c>
      <c r="AD60" s="193">
        <f>Model!$C$52*AD5*AD20/AD32</f>
        <v>3.095338790040664E-2</v>
      </c>
      <c r="AF60" s="193">
        <f>Model!$C$52*AF5*AF20/AF32</f>
        <v>3.0900407324611971E-2</v>
      </c>
      <c r="AH60" s="193">
        <f>Model!$C$52*AH5*AH20/AH32</f>
        <v>3.0639089503632012E-2</v>
      </c>
      <c r="AJ60" s="193">
        <f>Model!$C$52*AJ5*AJ20/AJ32</f>
        <v>2.9949842335882097E-2</v>
      </c>
      <c r="AL60" s="193">
        <f>Model!$C$52*AL5*AL20/AL32</f>
        <v>2.8371242107332179E-2</v>
      </c>
      <c r="AN60" s="193">
        <f>Model!$C$52*AN5*AN20/AN32</f>
        <v>2.5512286179726926E-2</v>
      </c>
      <c r="AP60" s="193">
        <f>Model!$C$52*AP5*AP20/AP32</f>
        <v>2.4663680846804738E-2</v>
      </c>
      <c r="AR60" s="193" t="e">
        <f>Model!$C$52*AR5*AR20/AR32</f>
        <v>#DIV/0!</v>
      </c>
      <c r="AT60" s="193" t="e">
        <f>Model!$C$52*AT5*AT20/AT32</f>
        <v>#DIV/0!</v>
      </c>
      <c r="AV60" s="193" t="e">
        <f>Model!$C$52*AV5*AV20/AV32</f>
        <v>#DIV/0!</v>
      </c>
      <c r="XFD60" s="193"/>
    </row>
    <row r="62" spans="1:48 16321:16384" x14ac:dyDescent="0.2">
      <c r="A62" t="s">
        <v>175</v>
      </c>
      <c r="B62">
        <f>B13/B15</f>
        <v>1</v>
      </c>
      <c r="D62">
        <f>D13/D15</f>
        <v>0.99461741876560772</v>
      </c>
      <c r="F62">
        <f>F13/F15</f>
        <v>0.98900199627207108</v>
      </c>
      <c r="H62">
        <f>H13/H15</f>
        <v>0.98323527409568068</v>
      </c>
      <c r="J62">
        <f>J13/J15</f>
        <v>0.97742242539980895</v>
      </c>
      <c r="L62">
        <f>L13/L15</f>
        <v>0.97169402791306525</v>
      </c>
      <c r="N62">
        <f>N13/N15</f>
        <v>0.96620964213291605</v>
      </c>
      <c r="P62">
        <f>P13/P15</f>
        <v>0.96116275986591548</v>
      </c>
      <c r="R62">
        <f>R13/R15</f>
        <v>0.95678264884967212</v>
      </c>
      <c r="T62">
        <f>T13/T15</f>
        <v>0.95332959973994558</v>
      </c>
      <c r="V62">
        <f>V13/V15</f>
        <v>0.95108756164729102</v>
      </c>
      <c r="X62">
        <f>X13/X15</f>
        <v>0.95036754255506184</v>
      </c>
      <c r="Z62">
        <f>Z13/Z15</f>
        <v>0.95154444645364133</v>
      </c>
      <c r="AB62">
        <f>AB13/AB15</f>
        <v>0.95515558505025389</v>
      </c>
      <c r="AD62">
        <f>AD13/AD15</f>
        <v>0.96211987042156422</v>
      </c>
      <c r="AF62">
        <f>AF13/AF15</f>
        <v>0.97426666524468686</v>
      </c>
      <c r="AH62">
        <f>AH13/AH15</f>
        <v>0.99588624039070639</v>
      </c>
      <c r="AJ62">
        <f>AJ13/AJ15</f>
        <v>1.0394960779200446</v>
      </c>
      <c r="AL62">
        <f>AL13/AL15</f>
        <v>1.1493075967926407</v>
      </c>
      <c r="AN62">
        <f>AN13/AN15</f>
        <v>1.5038234173505511</v>
      </c>
      <c r="AP62">
        <f>AP13/AP15</f>
        <v>1.6706005135605546</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1.0055021754121474</v>
      </c>
      <c r="E65" s="191"/>
      <c r="F65" s="191">
        <f t="array" ref="F65">SQRT((F9:G9*$B$22:$C$22+F10:G10*$B$23:$C$23+F11:G11*$B$24:$C$24+F4:G4*($B$25:$C$25-$B$19:$C$19))/($B$9:$C$9*$B$22:$C$22+$B$10:$C$10*$B$23:$C$23+$B$11:$C$11*$B$24:$C$24+$B$4:$C$4*($B$25:$C$25-$B$19:$C$19))*(F9:G9*F22:G22+F10:G10*F23:G23+F11:G11*F24:G24+F4:G4*(F25:G25-F19:G19))/($B$9:$C$9*F22:G22+$B$10:$C$10*F23:G23+$B$11:$C$11*F24:G24+$B$4:$C$4*(F25:G25-F19:G19)))</f>
        <v>1.0141107888369059</v>
      </c>
      <c r="G65" s="191"/>
      <c r="H65" s="191">
        <f t="array" ref="H65">SQRT((H9:I9*$B$22:$C$22+H10:I10*$B$23:$C$23+H11:I11*$B$24:$C$24+H4:I4*($B$25:$C$25-$B$19:$C$19))/($B$9:$C$9*$B$22:$C$22+$B$10:$C$10*$B$23:$C$23+$B$11:$C$11*$B$24:$C$24+$B$4:$C$4*($B$25:$C$25-$B$19:$C$19))*(H9:I9*H22:I22+H10:I10*H23:I23+H11:I11*H24:I24+H4:I4*(H25:I25-H19:I19))/($B$9:$C$9*H22:I22+$B$10:$C$10*H23:I23+$B$11:$C$11*H24:I24+$B$4:$C$4*(H25:I25-H19:I19)))</f>
        <v>1.0266743227095876</v>
      </c>
      <c r="I65" s="191"/>
      <c r="J65" s="191">
        <f t="array" ref="J65">SQRT((J9:K9*$B$22:$C$22+J10:K10*$B$23:$C$23+J11:K11*$B$24:$C$24+J4:K4*($B$25:$C$25-$B$19:$C$19))/($B$9:$C$9*$B$22:$C$22+$B$10:$C$10*$B$23:$C$23+$B$11:$C$11*$B$24:$C$24+$B$4:$C$4*($B$25:$C$25-$B$19:$C$19))*(J9:K9*J22:K22+J10:K10*J23:K23+J11:K11*J24:K24+J4:K4*(J25:K25-J19:K19))/($B$9:$C$9*J22:K22+$B$10:$C$10*J23:K23+$B$11:$C$11*J24:K24+$B$4:$C$4*(J25:K25-J19:K19)))</f>
        <v>1.044241306580179</v>
      </c>
      <c r="K65" s="191"/>
      <c r="L65" s="191">
        <f t="array" ref="L65">SQRT((L9:M9*$B$22:$C$22+L10:M10*$B$23:$C$23+L11:M11*$B$24:$C$24+L4:M4*($B$25:$C$25-$B$19:$C$19))/($B$9:$C$9*$B$22:$C$22+$B$10:$C$10*$B$23:$C$23+$B$11:$C$11*$B$24:$C$24+$B$4:$C$4*($B$25:$C$25-$B$19:$C$19))*(L9:M9*L22:M22+L10:M10*L23:M23+L11:M11*L24:M24+L4:M4*(L25:M25-L19:M19))/($B$9:$C$9*L22:M22+$B$10:$C$10*L23:M23+$B$11:$C$11*L24:M24+$B$4:$C$4*(L25:M25-L19:M19)))</f>
        <v>1.0681135949218667</v>
      </c>
      <c r="M65" s="191"/>
      <c r="N65" s="191">
        <f t="array" ref="N65">SQRT((N9:O9*$B$22:$C$22+N10:O10*$B$23:$C$23+N11:O11*$B$24:$C$24+N4:O4*($B$25:$C$25-$B$19:$C$19))/($B$9:$C$9*$B$22:$C$22+$B$10:$C$10*$B$23:$C$23+$B$11:$C$11*$B$24:$C$24+$B$4:$C$4*($B$25:$C$25-$B$19:$C$19))*(N9:O9*N22:O22+N10:O10*N23:O23+N11:O11*N24:O24+N4:O4*(N25:O25-N19:O19))/($B$9:$C$9*N22:O22+$B$10:$C$10*N23:O23+$B$11:$C$11*N24:O24+$B$4:$C$4*(N25:O25-N19:O19)))</f>
        <v>1.0999191016993854</v>
      </c>
      <c r="O65" s="191"/>
      <c r="P65" s="191">
        <f t="array" ref="P65">SQRT((P9:Q9*$B$22:$C$22+P10:Q10*$B$23:$C$23+P11:Q11*$B$24:$C$24+P4:Q4*($B$25:$C$25-$B$19:$C$19))/($B$9:$C$9*$B$22:$C$22+$B$10:$C$10*$B$23:$C$23+$B$11:$C$11*$B$24:$C$24+$B$4:$C$4*($B$25:$C$25-$B$19:$C$19))*(P9:Q9*P22:Q22+P10:Q10*P23:Q23+P11:Q11*P24:Q24+P4:Q4*(P25:Q25-P19:Q19))/($B$9:$C$9*P22:Q22+$B$10:$C$10*P23:Q23+$B$11:$C$11*P24:Q24+$B$4:$C$4*(P25:Q25-P19:Q19)))</f>
        <v>1.1417024551947468</v>
      </c>
      <c r="Q65" s="191"/>
      <c r="R65" s="191">
        <f t="array" ref="R65">SQRT((R9:S9*$B$22:$C$22+R10:S10*$B$23:$C$23+R11:S11*$B$24:$C$24+R4:S4*($B$25:$C$25-$B$19:$C$19))/($B$9:$C$9*$B$22:$C$22+$B$10:$C$10*$B$23:$C$23+$B$11:$C$11*$B$24:$C$24+$B$4:$C$4*($B$25:$C$25-$B$19:$C$19))*(R9:S9*R22:S22+R10:S10*R23:S23+R11:S11*R24:S24+R4:S4*(R25:S25-R19:S19))/($B$9:$C$9*R22:S22+$B$10:$C$10*R23:S23+$B$11:$C$11*R24:S24+$B$4:$C$4*(R25:S25-R19:S19)))</f>
        <v>1.1960609505177633</v>
      </c>
      <c r="S65" s="191"/>
      <c r="T65" s="191">
        <f t="array" ref="T65">SQRT((T9:U9*$B$22:$C$22+T10:U10*$B$23:$C$23+T11:U11*$B$24:$C$24+T4:U4*($B$25:$C$25-$B$19:$C$19))/($B$9:$C$9*$B$22:$C$22+$B$10:$C$10*$B$23:$C$23+$B$11:$C$11*$B$24:$C$24+$B$4:$C$4*($B$25:$C$25-$B$19:$C$19))*(T9:U9*T22:U22+T10:U10*T23:U23+T11:U11*T24:U24+T4:U4*(T25:U25-T19:U19))/($B$9:$C$9*T22:U22+$B$10:$C$10*T23:U23+$B$11:$C$11*T24:U24+$B$4:$C$4*(T25:U25-T19:U19)))</f>
        <v>1.26638993546649</v>
      </c>
      <c r="U65" s="191"/>
      <c r="V65" s="191">
        <f t="array" ref="V65">SQRT((V9:W9*$B$22:$C$22+V10:W10*$B$23:$C$23+V11:W11*$B$24:$C$24+V4:W4*($B$25:$C$25-$B$19:$C$19))/($B$9:$C$9*$B$22:$C$22+$B$10:$C$10*$B$23:$C$23+$B$11:$C$11*$B$24:$C$24+$B$4:$C$4*($B$25:$C$25-$B$19:$C$19))*(V9:W9*V22:W22+V10:W10*V23:W23+V11:W11*V24:W24+V4:W4*(V25:W25-V19:W19))/($B$9:$C$9*V22:W22+$B$10:$C$10*V23:W23+$B$11:$C$11*V24:W24+$B$4:$C$4*(V25:W25-V19:W19)))</f>
        <v>1.3574084666072876</v>
      </c>
      <c r="W65" s="191"/>
      <c r="X65" s="191">
        <f t="array" ref="X65">SQRT((X9:Y9*$B$22:$C$22+X10:Y10*$B$23:$C$23+X11:Y11*$B$24:$C$24+X4:Y4*($B$25:$C$25-$B$19:$C$19))/($B$9:$C$9*$B$22:$C$22+$B$10:$C$10*$B$23:$C$23+$B$11:$C$11*$B$24:$C$24+$B$4:$C$4*($B$25:$C$25-$B$19:$C$19))*(X9:Y9*X22:Y22+X10:Y10*X23:Y23+X11:Y11*X24:Y24+X4:Y4*(X25:Y25-X19:Y19))/($B$9:$C$9*X22:Y22+$B$10:$C$10*X23:Y23+$B$11:$C$11*X24:Y24+$B$4:$C$4*(X25:Y25-X19:Y19)))</f>
        <v>1.4762744379494079</v>
      </c>
      <c r="Y65" s="191"/>
      <c r="Z65" s="191">
        <f t="array" ref="Z65">SQRT((Z9:AA9*$B$22:$C$22+Z10:AA10*$B$23:$C$23+Z11:AA11*$B$24:$C$24+Z4:AA4*($B$25:$C$25-$B$19:$C$19))/($B$9:$C$9*$B$22:$C$22+$B$10:$C$10*$B$23:$C$23+$B$11:$C$11*$B$24:$C$24+$B$4:$C$4*($B$25:$C$25-$B$19:$C$19))*(Z9:AA9*Z22:AA22+Z10:AA10*Z23:AA23+Z11:AA11*Z24:AA24+Z4:AA4*(Z25:AA25-Z19:AA19))/($B$9:$C$9*Z22:AA22+$B$10:$C$10*Z23:AA23+$B$11:$C$11*Z24:AA24+$B$4:$C$4*(Z25:AA25-Z19:AA19)))</f>
        <v>1.6349520753133722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1.8555192685584894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2.183780740099841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2.7324417821133649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3.8729859392280757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8.0029256240309223</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#NUM!</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#NUM!</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1.0060393192949482</v>
      </c>
      <c r="E66" s="191"/>
      <c r="F66" s="191">
        <f t="array" ref="F66">SQRT((F9:G9*$B$22:$C$22)/($B$9:$C$9*$B$22:$C$22)*(F9:G9*F22:G22)/($B$9:$C$9*F22:G22))</f>
        <v>1.0154583918518727</v>
      </c>
      <c r="G66" s="191"/>
      <c r="H66" s="191">
        <f t="array" ref="H66">SQRT((H9:I9*$B$22:$C$22)/($B$9:$C$9*$B$22:$C$22)*(H9:I9*H22:I22)/($B$9:$C$9*H22:I22))</f>
        <v>1.0291417055487992</v>
      </c>
      <c r="I66" s="191"/>
      <c r="J66" s="191">
        <f t="array" ref="J66">SQRT((J9:K9*$B$22:$C$22)/($B$9:$C$9*$B$22:$C$22)*(J9:K9*J22:K22)/($B$9:$C$9*J22:K22))</f>
        <v>1.0481545537901982</v>
      </c>
      <c r="K66" s="191"/>
      <c r="L66" s="191">
        <f t="array" ref="L66">SQRT((L9:M9*$B$22:$C$22)/($B$9:$C$9*$B$22:$C$22)*(L9:M9*L22:M22)/($B$9:$C$9*L22:M22))</f>
        <v>1.0737796628771081</v>
      </c>
      <c r="M66" s="191"/>
      <c r="N66" s="191">
        <f t="array" ref="N66">SQRT((N9:O9*$B$22:$C$22)/($B$9:$C$9*$B$22:$C$22)*(N9:O9*N22:O22)/($B$9:$C$9*N22:O22))</f>
        <v>1.1075659089368834</v>
      </c>
      <c r="O66" s="191"/>
      <c r="P66" s="191">
        <f t="array" ref="P66">SQRT((P9:Q9*$B$22:$C$22)/($B$9:$C$9*$B$22:$C$22)*(P9:Q9*P22:Q22)/($B$9:$C$9*P22:Q22))</f>
        <v>1.1513843360478735</v>
      </c>
      <c r="Q66" s="191"/>
      <c r="R66" s="191">
        <f t="array" ref="R66">SQRT((R9:S9*$B$22:$C$22)/($B$9:$C$9*$B$22:$C$22)*(R9:S9*R22:S22)/($B$9:$C$9*R22:S22))</f>
        <v>1.2075156327180459</v>
      </c>
      <c r="S66" s="191"/>
      <c r="T66" s="191">
        <f t="array" ref="T66">SQRT((T9:U9*$B$22:$C$22)/($B$9:$C$9*$B$22:$C$22)*(T9:U9*T22:U22)/($B$9:$C$9*T22:U22))</f>
        <v>1.2788245019180502</v>
      </c>
      <c r="U66" s="191"/>
      <c r="V66" s="191">
        <f t="array" ref="V66">SQRT((V9:W9*$B$22:$C$22)/($B$9:$C$9*$B$22:$C$22)*(V9:W9*V22:W22)/($B$9:$C$9*V22:W22))</f>
        <v>1.3691650498197041</v>
      </c>
      <c r="W66" s="191"/>
      <c r="X66" s="191">
        <f t="array" ref="X66">SQRT((X9:Y9*$B$22:$C$22)/($B$9:$C$9*$B$22:$C$22)*(X9:Y9*X22:Y22)/($B$9:$C$9*X22:Y22))</f>
        <v>1.4842463478845325</v>
      </c>
      <c r="Y66" s="191"/>
      <c r="Z66" s="191">
        <f t="array" ref="Z66">SQRT((Z9:AA9*$B$22:$C$22)/($B$9:$C$9*$B$22:$C$22)*(Z9:AA9*Z22:AA22)/($B$9:$C$9*Z22:AA22))</f>
        <v>1.6334052430772641</v>
      </c>
      <c r="AA66" s="191"/>
      <c r="AB66" s="191">
        <f t="array" ref="AB66">SQRT((AB9:AC9*$B$22:$C$22)/($B$9:$C$9*$B$22:$C$22)*(AB9:AC9*AB22:AC22)/($B$9:$C$9*AB22:AC22))</f>
        <v>1.8333467204535003</v>
      </c>
      <c r="AC66" s="191"/>
      <c r="AD66" s="191">
        <f t="array" ref="AD66">SQRT((AD9:AE9*$B$22:$C$22)/($B$9:$C$9*$B$22:$C$22)*(AD9:AE9*AD22:AE22)/($B$9:$C$9*AD22:AE22))</f>
        <v>2.1170209150994324</v>
      </c>
      <c r="AE66" s="191"/>
      <c r="AF66" s="191">
        <f t="array" ref="AF66">SQRT((AF9:AG9*$B$22:$C$22)/($B$9:$C$9*$B$22:$C$22)*(AF9:AG9*AF22:AG22)/($B$9:$C$9*AF22:AG22))</f>
        <v>2.5588650013547705</v>
      </c>
      <c r="AG66" s="191"/>
      <c r="AH66" s="191">
        <f t="array" ref="AH66">SQRT((AH9:AI9*$B$22:$C$22)/($B$9:$C$9*$B$22:$C$22)*(AH9:AI9*AH22:AI22)/($B$9:$C$9*AH22:AI22))</f>
        <v>3.3671125518611595</v>
      </c>
      <c r="AI66" s="191"/>
      <c r="AJ66" s="191">
        <f t="array" ref="AJ66">SQRT((AJ9:AK9*$B$22:$C$22)/($B$9:$C$9*$B$22:$C$22)*(AJ9:AK9*AJ22:AK22)/($B$9:$C$9*AJ22:AK22))</f>
        <v>5.3768827345716765</v>
      </c>
      <c r="AK66" s="191"/>
      <c r="AL66" s="191">
        <f t="array" ref="AL66">SQRT((AL9:AM9*$B$22:$C$22)/($B$9:$C$9*$B$22:$C$22)*(AL9:AM9*AL22:AM22)/($B$9:$C$9*AL22:AM22))</f>
        <v>14.752666035054903</v>
      </c>
      <c r="AM66" s="191"/>
      <c r="AN66" s="191">
        <f t="array" ref="AN66">SQRT((AN9:AO9*$B$22:$C$22)/($B$9:$C$9*$B$22:$C$22)*(AN9:AO9*AN22:AO22)/($B$9:$C$9*AN22:AO22))</f>
        <v>213.54430926259766</v>
      </c>
      <c r="AO66" s="191"/>
      <c r="AP66" s="191">
        <f t="array" ref="AP66">SQRT((AP9:AQ9*$B$22:$C$22)/($B$9:$C$9*$B$22:$C$22)*(AP9:AQ9*AP22:AQ22)/($B$9:$C$9*AP22:AQ22))</f>
        <v>626.83327836016633</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1.0060393192949482</v>
      </c>
      <c r="E68" s="191"/>
      <c r="F68" s="191">
        <f>F66/F67</f>
        <v>1.0154583918518727</v>
      </c>
      <c r="G68" s="191"/>
      <c r="H68" s="191">
        <f>H66/H67</f>
        <v>1.0291417055487992</v>
      </c>
      <c r="I68" s="191"/>
      <c r="J68" s="191">
        <f>J66/J67</f>
        <v>1.0481545537901982</v>
      </c>
      <c r="K68" s="191"/>
      <c r="L68" s="191">
        <f>L66/L67</f>
        <v>1.0737796628771081</v>
      </c>
      <c r="M68" s="191"/>
      <c r="N68" s="191">
        <f>N66/N67</f>
        <v>1.1075659089368834</v>
      </c>
      <c r="O68" s="191"/>
      <c r="P68" s="191">
        <f>P66/P67</f>
        <v>1.1513843360478735</v>
      </c>
      <c r="Q68" s="191"/>
      <c r="R68" s="191">
        <f>R66/R67</f>
        <v>1.2075156327180459</v>
      </c>
      <c r="S68" s="191"/>
      <c r="T68" s="191">
        <f>T66/T67</f>
        <v>1.2788245019180502</v>
      </c>
      <c r="U68" s="191"/>
      <c r="V68" s="191">
        <f>V66/V67</f>
        <v>1.3691650498197041</v>
      </c>
      <c r="W68" s="191"/>
      <c r="X68" s="191">
        <f>X66/X67</f>
        <v>1.4842463478845325</v>
      </c>
      <c r="Y68" s="191"/>
      <c r="Z68" s="191">
        <f>Z66/Z67</f>
        <v>1.6334052430772641</v>
      </c>
      <c r="AA68" s="191"/>
      <c r="AB68" s="191">
        <f>AB66/AB67</f>
        <v>1.8333467204535003</v>
      </c>
      <c r="AC68" s="191"/>
      <c r="AD68" s="191">
        <f>AD66/AD67</f>
        <v>2.1170209150994324</v>
      </c>
      <c r="AE68" s="191"/>
      <c r="AF68" s="191">
        <f>AF66/AF67</f>
        <v>2.5588650013547705</v>
      </c>
      <c r="AG68" s="191"/>
      <c r="AH68" s="191">
        <f>AH66/AH67</f>
        <v>3.3671125518611595</v>
      </c>
      <c r="AI68" s="191"/>
      <c r="AJ68" s="191">
        <f>AJ66/AJ67</f>
        <v>5.3768827345716765</v>
      </c>
      <c r="AK68" s="191"/>
      <c r="AL68" s="191">
        <f>AL66/AL67</f>
        <v>14.752666035054903</v>
      </c>
      <c r="AM68" s="191"/>
      <c r="AN68" s="191">
        <f>AN66/AN67</f>
        <v>213.54430926259766</v>
      </c>
      <c r="AO68" s="191"/>
      <c r="AP68" s="191">
        <f>AP66/AP67</f>
        <v>626.83327836016633</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0.97876178142664783</v>
      </c>
      <c r="E69" s="191"/>
      <c r="F69" s="191">
        <f>F32/F65/($B$32)</f>
        <v>0.95334812765016064</v>
      </c>
      <c r="G69" s="191"/>
      <c r="H69" s="191">
        <f>H32/H65/($B$32)</f>
        <v>0.92356642378033404</v>
      </c>
      <c r="I69" s="191"/>
      <c r="J69" s="191">
        <f>J32/J65/($B$32)</f>
        <v>0.88950065244641996</v>
      </c>
      <c r="K69" s="191"/>
      <c r="L69" s="191">
        <f>L32/L65/($B$32)</f>
        <v>0.85156653394814619</v>
      </c>
      <c r="M69" s="191"/>
      <c r="N69" s="191">
        <f>N32/N65/($B$32)</f>
        <v>0.81052086098118192</v>
      </c>
      <c r="O69" s="191"/>
      <c r="P69" s="191">
        <f>P32/P65/($B$32)</f>
        <v>0.76740872438234198</v>
      </c>
      <c r="Q69" s="191"/>
      <c r="R69" s="191">
        <f>R32/R65/($B$32)</f>
        <v>0.72344105079550836</v>
      </c>
      <c r="S69" s="191"/>
      <c r="T69" s="191">
        <f>T32/T65/($B$32)</f>
        <v>0.67980719545899881</v>
      </c>
      <c r="U69" s="191"/>
      <c r="V69" s="191">
        <f>V32/V65/($B$32)</f>
        <v>0.6374602335374292</v>
      </c>
      <c r="W69" s="191"/>
      <c r="X69" s="191">
        <f>X32/X65/($B$32)</f>
        <v>0.59693697589580641</v>
      </c>
      <c r="Y69" s="191"/>
      <c r="Z69" s="191">
        <f>Z32/Z65/($B$32)</f>
        <v>0.558255817456492</v>
      </c>
      <c r="AA69" s="191"/>
      <c r="AB69" s="191">
        <f>AB32/AB65/($B$32)</f>
        <v>0.52085056788190676</v>
      </c>
      <c r="AC69" s="191"/>
      <c r="AD69" s="191">
        <f>AD32/AD65/($B$32)</f>
        <v>0.48337137929027885</v>
      </c>
      <c r="AE69" s="191"/>
      <c r="AF69" s="191">
        <f>AF32/AF65/($B$32)</f>
        <v>0.44286638034629205</v>
      </c>
      <c r="AG69" s="191"/>
      <c r="AH69" s="191">
        <f>AH32/AH65/($B$32)</f>
        <v>0.39112626645515625</v>
      </c>
      <c r="AI69" s="191"/>
      <c r="AJ69" s="191">
        <f>AJ32/AJ65/($B$32)</f>
        <v>0.28874609261420114</v>
      </c>
      <c r="AK69" s="191"/>
      <c r="AL69" s="191" t="e">
        <f>AL32/AL65/($B$32)</f>
        <v>#NUM!</v>
      </c>
      <c r="AM69" s="191"/>
      <c r="AN69" s="191" t="e">
        <f>AN32/AN65/($B$32)</f>
        <v>#NUM!</v>
      </c>
      <c r="AO69" s="191"/>
      <c r="AP69" s="191" t="e">
        <f>AP32/AP65/($B$32)</f>
        <v>#NUM!</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0.9777853850472753</v>
      </c>
      <c r="E70" s="138"/>
      <c r="F70" s="138">
        <f>F18/$B$18</f>
        <v>0.95150404076031125</v>
      </c>
      <c r="G70" s="138"/>
      <c r="H70" s="138">
        <f>H18/$B$18</f>
        <v>0.92097226260938359</v>
      </c>
      <c r="I70" s="138"/>
      <c r="J70" s="138">
        <f>J18/$B$18</f>
        <v>0.8862781993632125</v>
      </c>
      <c r="K70" s="138"/>
      <c r="L70" s="138">
        <f>L18/$B$18</f>
        <v>0.84783648269696421</v>
      </c>
      <c r="M70" s="138"/>
      <c r="N70" s="138">
        <f>N18/$B$18</f>
        <v>0.80639832948723533</v>
      </c>
      <c r="O70" s="138"/>
      <c r="P70" s="138">
        <f>P18/$B$18</f>
        <v>0.76300050262774843</v>
      </c>
      <c r="Q70" s="138"/>
      <c r="R70" s="138">
        <f>R18/$B$18</f>
        <v>0.71884787020932561</v>
      </c>
      <c r="S70" s="138"/>
      <c r="T70" s="138">
        <f>T18/$B$18</f>
        <v>0.67513432194343526</v>
      </c>
      <c r="U70" s="138"/>
      <c r="V70" s="138">
        <f>V18/$B$18</f>
        <v>0.63284286066750728</v>
      </c>
      <c r="W70" s="138"/>
      <c r="X70" s="138">
        <f>X18/$B$18</f>
        <v>0.59258768231592285</v>
      </c>
      <c r="Y70" s="138"/>
      <c r="Z70" s="138">
        <f>Z18/$B$18</f>
        <v>0.5545521982770818</v>
      </c>
      <c r="AA70" s="138"/>
      <c r="AB70" s="138">
        <f>AB18/$B$18</f>
        <v>0.51850927065144337</v>
      </c>
      <c r="AC70" s="138"/>
      <c r="AD70" s="138">
        <f>AD18/$B$18</f>
        <v>0.48384826647057755</v>
      </c>
      <c r="AE70" s="138"/>
      <c r="AF70" s="138">
        <f>AF18/$B$18</f>
        <v>0.44949054919223419</v>
      </c>
      <c r="AG70" s="138"/>
      <c r="AH70" s="138">
        <f>AH18/$B$18</f>
        <v>0.41343569814821873</v>
      </c>
      <c r="AI70" s="138"/>
      <c r="AJ70" s="138">
        <f>AJ18/$B$18</f>
        <v>0.37103283716234592</v>
      </c>
      <c r="AK70" s="138"/>
      <c r="AL70" s="138">
        <f>AL18/$B$18</f>
        <v>0.30974771104992016</v>
      </c>
      <c r="AM70" s="138"/>
      <c r="AN70" s="138">
        <f>AN18/$B$18</f>
        <v>0.20639438992473957</v>
      </c>
      <c r="AO70" s="138"/>
      <c r="AP70" s="138">
        <f>AP18/$B$18</f>
        <v>0.17763037716287222</v>
      </c>
      <c r="AQ70" s="138"/>
      <c r="AR70" s="138">
        <f>AR18/$B$18</f>
        <v>0</v>
      </c>
      <c r="AS70" s="138"/>
      <c r="AT70" s="138">
        <f>AT18/$B$18</f>
        <v>0</v>
      </c>
      <c r="AU70" s="138"/>
      <c r="AV70" s="138">
        <f>AV18/$B$18</f>
        <v>0</v>
      </c>
    </row>
    <row r="71" spans="1:48 16384:16384" x14ac:dyDescent="0.2">
      <c r="A71" t="s">
        <v>179</v>
      </c>
      <c r="B71" s="138">
        <f>C18/$C$18</f>
        <v>1</v>
      </c>
      <c r="D71" s="138">
        <f>E18/$C$18</f>
        <v>0.93883118280421218</v>
      </c>
      <c r="E71" s="138"/>
      <c r="F71" s="138">
        <f>G18/$C$18</f>
        <v>0.87806703584699208</v>
      </c>
      <c r="G71" s="138"/>
      <c r="H71" s="138">
        <f>I18/$C$18</f>
        <v>0.81771664392186294</v>
      </c>
      <c r="I71" s="138"/>
      <c r="J71" s="138">
        <f>K18/$C$18</f>
        <v>0.75772632558199104</v>
      </c>
      <c r="K71" s="138"/>
      <c r="L71" s="138">
        <f>M18/$C$18</f>
        <v>0.69797463695678941</v>
      </c>
      <c r="M71" s="138"/>
      <c r="N71" s="138">
        <f>O18/$C$18</f>
        <v>0.63828332868332216</v>
      </c>
      <c r="O71" s="138"/>
      <c r="P71" s="138">
        <f>Q18/$C$18</f>
        <v>0.578451469885919</v>
      </c>
      <c r="Q71" s="138"/>
      <c r="R71" s="138">
        <f>S18/$C$18</f>
        <v>0.5183073898471835</v>
      </c>
      <c r="S71" s="138"/>
      <c r="T71" s="138">
        <f>U18/$C$18</f>
        <v>0.45776857349102934</v>
      </c>
      <c r="U71" s="138"/>
      <c r="V71" s="138">
        <f>W18/$C$18</f>
        <v>0.39688562404457917</v>
      </c>
      <c r="W71" s="138"/>
      <c r="X71" s="138">
        <f>Y18/$C$18</f>
        <v>0.33585968309684883</v>
      </c>
      <c r="Y71" s="138"/>
      <c r="Z71" s="138">
        <f>AA18/$C$18</f>
        <v>0.27503993641278446</v>
      </c>
      <c r="AA71" s="138"/>
      <c r="AB71" s="138">
        <f>AC18/$C$18</f>
        <v>0.21494492938587589</v>
      </c>
      <c r="AC71" s="138"/>
      <c r="AD71" s="138">
        <f>AE18/$C$18</f>
        <v>0.15638315026677074</v>
      </c>
      <c r="AE71" s="138"/>
      <c r="AF71" s="138">
        <f>AG18/$C$18</f>
        <v>0.10081220383415626</v>
      </c>
      <c r="AG71" s="138"/>
      <c r="AH71" s="138">
        <f>AI18/$C$18</f>
        <v>5.1295622628831451E-2</v>
      </c>
      <c r="AI71" s="138"/>
      <c r="AJ71" s="138">
        <f>AK18/$C$18</f>
        <v>1.4735899828109546E-2</v>
      </c>
      <c r="AK71" s="138"/>
      <c r="AL71" s="138">
        <f>AM18/$C$18</f>
        <v>7.9534232290611514E-4</v>
      </c>
      <c r="AM71" s="138"/>
      <c r="AN71" s="138">
        <f>AO18/$C$18</f>
        <v>3.7637222568545892E-7</v>
      </c>
      <c r="AO71" s="138"/>
      <c r="AP71" s="138">
        <f>AQ18/$C$18</f>
        <v>2.020361358351245E-8</v>
      </c>
      <c r="AQ71" s="138"/>
      <c r="AR71" s="138">
        <f>AS18/$C$18</f>
        <v>0</v>
      </c>
      <c r="AS71" s="138"/>
      <c r="AT71" s="138">
        <f>AU18/$C$18</f>
        <v>0</v>
      </c>
      <c r="AU71" s="138"/>
      <c r="AV71" s="138">
        <f>AW18/$C$18</f>
        <v>0</v>
      </c>
      <c r="XFD71" s="138"/>
    </row>
    <row r="72" spans="1:48 16384:16384" x14ac:dyDescent="0.2">
      <c r="A72" t="s">
        <v>180</v>
      </c>
      <c r="B72" s="138">
        <f>C19/$C$19</f>
        <v>1</v>
      </c>
      <c r="D72" s="138">
        <f>E19/$C$19</f>
        <v>0.99142393476969681</v>
      </c>
      <c r="E72" s="138"/>
      <c r="F72" s="138">
        <f>G19/$C$19</f>
        <v>0.98309337430479216</v>
      </c>
      <c r="G72" s="138"/>
      <c r="H72" s="138">
        <f>I19/$C$19</f>
        <v>0.97512542702372418</v>
      </c>
      <c r="I72" s="138"/>
      <c r="J72" s="138">
        <f>K19/$C$19</f>
        <v>0.96794812131957031</v>
      </c>
      <c r="K72" s="138"/>
      <c r="L72" s="138">
        <f>M19/$C$19</f>
        <v>0.96240852296494506</v>
      </c>
      <c r="M72" s="138"/>
      <c r="N72" s="138">
        <f>O19/$C$19</f>
        <v>0.95985423850963147</v>
      </c>
      <c r="O72" s="138"/>
      <c r="P72" s="138">
        <f>Q19/$C$19</f>
        <v>0.96214626867825193</v>
      </c>
      <c r="Q72" s="138"/>
      <c r="R72" s="138">
        <f>S19/$C$19</f>
        <v>0.97162104179842756</v>
      </c>
      <c r="S72" s="138"/>
      <c r="T72" s="138">
        <f>U19/$C$19</f>
        <v>0.99103120449376336</v>
      </c>
      <c r="U72" s="138"/>
      <c r="V72" s="138">
        <f>W19/$C$19</f>
        <v>1.0235916566530336</v>
      </c>
      <c r="W72" s="138"/>
      <c r="X72" s="138">
        <f>Y19/$C$19</f>
        <v>1.0732832021306797</v>
      </c>
      <c r="Y72" s="138"/>
      <c r="Z72" s="138">
        <f>AA19/$C$19</f>
        <v>1.1456138408659653</v>
      </c>
      <c r="AA72" s="138"/>
      <c r="AB72" s="138">
        <f>AC19/$C$19</f>
        <v>1.2490589412990551</v>
      </c>
      <c r="AC72" s="138"/>
      <c r="AD72" s="138">
        <f>AE19/$C$19</f>
        <v>1.39755282852226</v>
      </c>
      <c r="AE72" s="138"/>
      <c r="AF72" s="138">
        <f>AG19/$C$19</f>
        <v>1.6144524772258588</v>
      </c>
      <c r="AG72" s="138"/>
      <c r="AH72" s="138">
        <f>AI19/$C$19</f>
        <v>1.9348430402795649</v>
      </c>
      <c r="AI72" s="138"/>
      <c r="AJ72" s="138">
        <f>AK19/$C$19</f>
        <v>2.3607110756893488</v>
      </c>
      <c r="AK72" s="138"/>
      <c r="AL72" s="138">
        <f>AM19/$C$19</f>
        <v>2.4637721347123054</v>
      </c>
      <c r="AM72" s="138"/>
      <c r="AN72" s="138">
        <f>AO19/$C$19</f>
        <v>1.4299573600600981</v>
      </c>
      <c r="AO72" s="138"/>
      <c r="AP72" s="138">
        <f>AQ19/$C$19</f>
        <v>1.1478347390005885</v>
      </c>
      <c r="AQ72" s="138"/>
      <c r="AR72" s="138">
        <f>AS19/$C$19</f>
        <v>0</v>
      </c>
      <c r="AS72" s="138"/>
      <c r="AT72" s="138">
        <f>AU19/$C$19</f>
        <v>0</v>
      </c>
      <c r="AU72" s="138"/>
      <c r="AV72" s="138">
        <f>AW19/$C$19</f>
        <v>0</v>
      </c>
      <c r="XFD72" s="138"/>
    </row>
    <row r="73" spans="1:48 16384:16384" x14ac:dyDescent="0.2">
      <c r="A73" t="s">
        <v>184</v>
      </c>
      <c r="B73" s="193">
        <f t="array" ref="B73">SUM(B9:C9*B22:C22)/B32</f>
        <v>0.47641153352875198</v>
      </c>
      <c r="D73" s="193">
        <f t="array" ref="D73">SUM(D9:E9*D22:E22)/D32</f>
        <v>0.4748200243834329</v>
      </c>
      <c r="E73" s="138"/>
      <c r="F73" s="193">
        <f t="array" ref="F73">SUM(F9:G9*F22:G22)/F32</f>
        <v>0.47336765305012413</v>
      </c>
      <c r="G73" s="138"/>
      <c r="H73" s="193">
        <f t="array" ref="H73">SUM(H9:I9*H22:I22)/H32</f>
        <v>0.47207266914469515</v>
      </c>
      <c r="I73" s="138"/>
      <c r="J73" s="193">
        <f t="array" ref="J73">SUM(J9:K9*J22:K22)/J32</f>
        <v>0.47093873094700028</v>
      </c>
      <c r="K73" s="138"/>
      <c r="L73" s="193">
        <f t="array" ref="L73">SUM(L9:M9*L22:M22)/L32</f>
        <v>0.46994687514043604</v>
      </c>
      <c r="M73" s="138"/>
      <c r="N73" s="193">
        <f t="array" ref="N73">SUM(N9:O9*N22:O22)/N32</f>
        <v>0.46904873258270047</v>
      </c>
      <c r="O73" s="138"/>
      <c r="P73" s="193">
        <f t="array" ref="P73">SUM(P9:Q9*P22:Q22)/P32</f>
        <v>0.46815953473967298</v>
      </c>
      <c r="Q73" s="138"/>
      <c r="R73" s="193">
        <f t="array" ref="R73">SUM(R9:S9*R22:S22)/R32</f>
        <v>0.4671565979814884</v>
      </c>
      <c r="S73" s="138"/>
      <c r="T73" s="193">
        <f t="array" ref="T73">SUM(T9:U9*T22:U22)/T32</f>
        <v>0.46588312620615913</v>
      </c>
      <c r="U73" s="138"/>
      <c r="V73" s="193">
        <f t="array" ref="V73">SUM(V9:W9*V22:W22)/V32</f>
        <v>0.46415930956942109</v>
      </c>
      <c r="W73" s="138"/>
      <c r="X73" s="193">
        <f t="array" ref="X73">SUM(X9:Y9*X22:Y22)/X32</f>
        <v>0.46179044725649065</v>
      </c>
      <c r="Y73" s="138"/>
      <c r="Z73" s="193">
        <f t="array" ref="Z73">SUM(Z9:AA9*Z22:AA22)/Z32</f>
        <v>0.45856340231065412</v>
      </c>
      <c r="AA73" s="138"/>
      <c r="AB73" s="193">
        <f t="array" ref="AB73">SUM(AB9:AC9*AB22:AC22)/AB32</f>
        <v>0.45421738537841816</v>
      </c>
      <c r="AC73" s="138"/>
      <c r="AD73" s="193">
        <f t="array" ref="AD73">SUM(AD9:AE9*AD22:AE22)/AD32</f>
        <v>0.44836782210676901</v>
      </c>
      <c r="AE73" s="138"/>
      <c r="AF73" s="193">
        <f t="array" ref="AF73">SUM(AF9:AG9*AF22:AG22)/AF32</f>
        <v>0.4403257945018102</v>
      </c>
      <c r="AG73" s="138"/>
      <c r="AH73" s="193">
        <f t="array" ref="AH73">SUM(AH9:AI9*AH22:AI22)/AH32</f>
        <v>0.42860807982522636</v>
      </c>
      <c r="AI73" s="138"/>
      <c r="AJ73" s="193">
        <f t="array" ref="AJ73">SUM(AJ9:AK9*AJ22:AK22)/AJ32</f>
        <v>0.40945754836220222</v>
      </c>
      <c r="AK73" s="138"/>
      <c r="AL73" s="193">
        <f t="array" ref="AL73">SUM(AL9:AM9*AL22:AM22)/AL32</f>
        <v>0.37430241086678168</v>
      </c>
      <c r="AM73" s="138"/>
      <c r="AN73" s="193">
        <f t="array" ref="AN73">SUM(AN9:AO9*AN22:AO22)/AN32</f>
        <v>0.3110834607216264</v>
      </c>
      <c r="AO73" s="138"/>
      <c r="AP73" s="193">
        <f t="array" ref="AP73">SUM(AP9:AQ9*AP22:AQ22)/AP32</f>
        <v>0.29179566911379751</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0.2260462045644249</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0.22528680918000255</v>
      </c>
      <c r="E75" s="138"/>
      <c r="F75" s="193">
        <f t="array" ref="F75">SUM(F11:G11*F24:G24)/F32</f>
        <v>0.23147603707130363</v>
      </c>
      <c r="G75" s="138"/>
      <c r="H75" s="193">
        <f t="array" ref="H75">SUM(H11:I11*H24:I24)/H32</f>
        <v>0.23919669163664645</v>
      </c>
      <c r="I75" s="138"/>
      <c r="J75" s="193">
        <f t="array" ref="J75">SUM(J11:K11*J24:K24)/J32</f>
        <v>0.24869039531489326</v>
      </c>
      <c r="K75" s="138"/>
      <c r="L75" s="193">
        <f t="array" ref="L75">SUM(L11:M11*L24:M24)/L32</f>
        <v>0.26017165072577048</v>
      </c>
      <c r="M75" s="138"/>
      <c r="N75" s="193">
        <f t="array" ref="N75">SUM(N11:O11*N24:O24)/N32</f>
        <v>0.27379496972016099</v>
      </c>
      <c r="O75" s="138"/>
      <c r="P75" s="193">
        <f t="array" ref="P75">SUM(P11:Q11*P24:Q24)/P32</f>
        <v>0.28961528321158658</v>
      </c>
      <c r="Q75" s="138"/>
      <c r="R75" s="193">
        <f t="array" ref="R75">SUM(R11:S11*R24:S24)/R32</f>
        <v>0.30755098921717366</v>
      </c>
      <c r="S75" s="138"/>
      <c r="T75" s="193">
        <f t="array" ref="T75">SUM(T11:U11*T24:U24)/T32</f>
        <v>0.32736976584545885</v>
      </c>
      <c r="U75" s="138"/>
      <c r="V75" s="193">
        <f t="array" ref="V75">SUM(V11:W11*V24:W24)/V32</f>
        <v>0.34871688764712272</v>
      </c>
      <c r="W75" s="138"/>
      <c r="X75" s="193">
        <f t="array" ref="X75">SUM(X11:Y11*X24:Y24)/X32</f>
        <v>0.37118569824214742</v>
      </c>
      <c r="Y75" s="138"/>
      <c r="Z75" s="193">
        <f t="array" ref="Z75">SUM(Z11:AA11*Z24:AA24)/Z32</f>
        <v>0.39439961972209914</v>
      </c>
      <c r="AA75" s="138"/>
      <c r="AB75" s="193">
        <f t="array" ref="AB75">SUM(AB11:AC11*AB24:AC24)/AB32</f>
        <v>0.41806789905544167</v>
      </c>
      <c r="AC75" s="138"/>
      <c r="AD75" s="193">
        <f t="array" ref="AD75">SUM(AD11:AE11*AD24:AE24)/AD32</f>
        <v>0.44199363148662629</v>
      </c>
      <c r="AE75" s="138"/>
      <c r="AF75" s="193">
        <f t="array" ref="AF75">SUM(AF11:AG11*AF24:AG24)/AF32</f>
        <v>0.4660200162733959</v>
      </c>
      <c r="AG75" s="138"/>
      <c r="AH75" s="193">
        <f t="array" ref="AH75">SUM(AH11:AI11*AH24:AI24)/AH32</f>
        <v>0.48986403741517609</v>
      </c>
      <c r="AI75" s="138"/>
      <c r="AJ75" s="193">
        <f t="array" ref="AJ75">SUM(AJ11:AK11*AJ24:AK24)/AJ32</f>
        <v>0.51279820324611736</v>
      </c>
      <c r="AK75" s="138"/>
      <c r="AL75" s="193">
        <f t="array" ref="AL75">SUM(AL11:AM11*AL24:AM24)/AL32</f>
        <v>0.53642221255642353</v>
      </c>
      <c r="AM75" s="138"/>
      <c r="AN75" s="193">
        <f t="array" ref="AN75">SUM(AN11:AO11*AN24:AO24)/AN32</f>
        <v>0.58338985984748726</v>
      </c>
      <c r="AO75" s="138"/>
      <c r="AP75" s="193">
        <f t="array" ref="AP75">SUM(AP11:AQ11*AP24:AQ24)/AP32</f>
        <v>0.59971171201876006</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0.22301874374724892</v>
      </c>
      <c r="D76" s="193">
        <f t="array" ref="D76">SUM(D12:E12*D25:E25)/D32</f>
        <v>0.2199431767278904</v>
      </c>
      <c r="E76" s="138"/>
      <c r="F76" s="193">
        <f t="array" ref="F76">SUM(F12:G12*F25:G25)/F32</f>
        <v>0.21560681800296005</v>
      </c>
      <c r="G76" s="138"/>
      <c r="H76" s="193">
        <f t="array" ref="H76">SUM(H12:I12*H25:I25)/H32</f>
        <v>0.20976802715717158</v>
      </c>
      <c r="I76" s="138"/>
      <c r="J76" s="193">
        <f t="array" ref="J76">SUM(J12:K12*J25:K25)/J32</f>
        <v>0.20220003182552229</v>
      </c>
      <c r="K76" s="138"/>
      <c r="L76" s="193">
        <f t="array" ref="L76">SUM(L12:M12*L25:M25)/L32</f>
        <v>0.19272030702477425</v>
      </c>
      <c r="M76" s="138"/>
      <c r="N76" s="193">
        <f t="array" ref="N76">SUM(N12:O12*N25:O25)/N32</f>
        <v>0.18122665624569925</v>
      </c>
      <c r="O76" s="138"/>
      <c r="P76" s="193">
        <f t="array" ref="P76">SUM(P12:Q12*P25:Q25)/P32</f>
        <v>0.16773896271572911</v>
      </c>
      <c r="Q76" s="138"/>
      <c r="R76" s="193">
        <f t="array" ref="R76">SUM(R12:S12*R25:S25)/R32</f>
        <v>0.15243327430103151</v>
      </c>
      <c r="S76" s="138"/>
      <c r="T76" s="193">
        <f t="array" ref="T76">SUM(T12:U12*T25:U25)/T32</f>
        <v>0.13565002363024914</v>
      </c>
      <c r="U76" s="138"/>
      <c r="V76" s="193">
        <f t="array" ref="V76">SUM(V12:W12*V25:W25)/V32</f>
        <v>0.11785709714155841</v>
      </c>
      <c r="W76" s="138"/>
      <c r="X76" s="193">
        <f t="array" ref="X76">SUM(X12:Y12*X25:Y25)/X32</f>
        <v>9.9576127773484333E-2</v>
      </c>
      <c r="Y76" s="138"/>
      <c r="Z76" s="193">
        <f t="array" ref="Z76">SUM(Z12:AA12*Z25:AA25)/Z32</f>
        <v>8.1305041535971956E-2</v>
      </c>
      <c r="AA76" s="138"/>
      <c r="AB76" s="193">
        <f t="array" ref="AB76">SUM(AB12:AC12*AB25:AC25)/AB32</f>
        <v>6.3476394421391927E-2</v>
      </c>
      <c r="AC76" s="138"/>
      <c r="AD76" s="193">
        <f t="array" ref="AD76">SUM(AD12:AE12*AD25:AE25)/AD32</f>
        <v>4.6470841078755959E-2</v>
      </c>
      <c r="AE76" s="138"/>
      <c r="AF76" s="193">
        <f t="array" ref="AF76">SUM(AF12:AG12*AF25:AG25)/AF32</f>
        <v>3.0693281171674611E-2</v>
      </c>
      <c r="AG76" s="138"/>
      <c r="AH76" s="193">
        <f t="array" ref="AH76">SUM(AH12:AI12*AH25:AI25)/AH32</f>
        <v>1.6754376044771917E-2</v>
      </c>
      <c r="AI76" s="138"/>
      <c r="AJ76" s="193">
        <f t="array" ref="AJ76">SUM(AJ12:AK12*AJ25:AK25)/AJ32</f>
        <v>5.9304048970006554E-3</v>
      </c>
      <c r="AK76" s="138"/>
      <c r="AL76" s="193">
        <f t="array" ref="AL76">SUM(AL12:AM12*AL25:AM25)/AL32</f>
        <v>6.2941470742521716E-4</v>
      </c>
      <c r="AM76" s="138"/>
      <c r="AN76" s="193">
        <f t="array" ref="AN76">SUM(AN12:AO12*AN25:AO25)/AN32</f>
        <v>1.7086926484506174E-6</v>
      </c>
      <c r="AO76" s="138"/>
      <c r="AP76" s="193">
        <f t="array" ref="AP76">SUM(AP12:AQ12*AP25:AQ25)/AP32</f>
        <v>1.5883900961672328E-7</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0.14609621485575069</v>
      </c>
      <c r="E77" s="138"/>
      <c r="F77" s="193">
        <f t="array" ref="F77">SUM(F4:G4*F19:G19)/F32</f>
        <v>0.14649671268881234</v>
      </c>
      <c r="G77" s="138"/>
      <c r="H77" s="193">
        <f t="array" ref="H77">SUM(H4:I4*H19:I19)/H32</f>
        <v>0.14708359250293798</v>
      </c>
      <c r="I77" s="138"/>
      <c r="J77" s="193">
        <f t="array" ref="J77">SUM(J4:K4*J19:K19)/J32</f>
        <v>0.14787536265184062</v>
      </c>
      <c r="K77" s="138"/>
      <c r="L77" s="193">
        <f t="array" ref="L77">SUM(L4:M4*L19:M19)/L32</f>
        <v>0.14888503745540563</v>
      </c>
      <c r="M77" s="138"/>
      <c r="N77" s="193">
        <f t="array" ref="N77">SUM(N4:O4*N19:O19)/N32</f>
        <v>0.15011656311298549</v>
      </c>
      <c r="O77" s="138"/>
      <c r="P77" s="193">
        <f t="array" ref="P77">SUM(P4:Q4*P19:Q19)/P32</f>
        <v>0.15155998523141345</v>
      </c>
      <c r="Q77" s="138"/>
      <c r="R77" s="193">
        <f t="array" ref="R77">SUM(R4:S4*R19:S19)/R32</f>
        <v>0.15318706606411825</v>
      </c>
      <c r="S77" s="138"/>
      <c r="T77" s="193">
        <f t="array" ref="T77">SUM(T4:U4*T19:U19)/T32</f>
        <v>0.15494912024629182</v>
      </c>
      <c r="U77" s="138"/>
      <c r="V77" s="193">
        <f t="array" ref="V77">SUM(V4:W4*V19:W19)/V32</f>
        <v>0.1567794989225266</v>
      </c>
      <c r="W77" s="138"/>
      <c r="X77" s="193">
        <f t="array" ref="X77">SUM(X4:Y4*X19:Y19)/X32</f>
        <v>0.1585984778365471</v>
      </c>
      <c r="Y77" s="138"/>
      <c r="Z77" s="193">
        <f t="array" ref="Z77">SUM(Z4:AA4*Z19:AA19)/Z32</f>
        <v>0.16031426813314995</v>
      </c>
      <c r="AA77" s="138"/>
      <c r="AB77" s="193">
        <f t="array" ref="AB77">SUM(AB4:AC4*AB19:AC19)/AB32</f>
        <v>0.16180788341967672</v>
      </c>
      <c r="AC77" s="138"/>
      <c r="AD77" s="193">
        <f t="array" ref="AD77">SUM(AD4:AE4*AD19:AE19)/AD32</f>
        <v>0.1628784992365758</v>
      </c>
      <c r="AE77" s="138"/>
      <c r="AF77" s="193">
        <f t="array" ref="AF77">SUM(AF4:AG4*AF19:AG19)/AF32</f>
        <v>0.16308529651130538</v>
      </c>
      <c r="AG77" s="138"/>
      <c r="AH77" s="193">
        <f t="array" ref="AH77">SUM(AH4:AI4*AH19:AI19)/AH32</f>
        <v>0.16127269784959908</v>
      </c>
      <c r="AI77" s="138"/>
      <c r="AJ77" s="193">
        <f t="array" ref="AJ77">SUM(AJ4:AK4*AJ19:AK19)/AJ32</f>
        <v>0.15423236106974492</v>
      </c>
      <c r="AK77" s="138"/>
      <c r="AL77" s="193">
        <f t="array" ref="AL77">SUM(AL4:AM4*AL19:AM19)/AL32</f>
        <v>0.13740024269505538</v>
      </c>
      <c r="AM77" s="138"/>
      <c r="AN77" s="193">
        <f t="array" ref="AN77">SUM(AN4:AO4*AN19:AO19)/AN32</f>
        <v>0.12052123382618704</v>
      </c>
      <c r="AO77" s="138"/>
      <c r="AP77" s="193">
        <f t="array" ref="AP77">SUM(AP4:AQ4*AP19:AQ19)/AP32</f>
        <v>0.11755374453599217</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0.34502848780073375</v>
      </c>
      <c r="E78" s="138"/>
      <c r="F78" s="193">
        <f t="array" ref="F78">SUM(F13:G13*F26:G26)/F32</f>
        <v>0.34322054065631685</v>
      </c>
      <c r="G78" s="138"/>
      <c r="H78" s="193">
        <f t="array" ref="H78">SUM(H13:I13*H26:I26)/H32</f>
        <v>0.34149027551120331</v>
      </c>
      <c r="I78" s="138"/>
      <c r="J78" s="193">
        <f t="array" ref="J78">SUM(J13:K13*J26:K26)/J32</f>
        <v>0.33985904103120956</v>
      </c>
      <c r="K78" s="138"/>
      <c r="L78" s="193">
        <f t="array" ref="L78">SUM(L13:M13*L26:M26)/L32</f>
        <v>0.33833837818636309</v>
      </c>
      <c r="M78" s="138"/>
      <c r="N78" s="193">
        <f t="array" ref="N78">SUM(N13:O13*N26:O26)/N32</f>
        <v>0.33692580677489842</v>
      </c>
      <c r="O78" s="138"/>
      <c r="P78" s="193">
        <f t="array" ref="P78">SUM(P13:Q13*P26:Q26)/P32</f>
        <v>0.3356014905059248</v>
      </c>
      <c r="Q78" s="138"/>
      <c r="R78" s="193">
        <f t="array" ref="R78">SUM(R13:S13*R26:S26)/R32</f>
        <v>0.33432701156253952</v>
      </c>
      <c r="S78" s="138"/>
      <c r="T78" s="193">
        <f t="array" ref="T78">SUM(T13:U13*T26:U26)/T32</f>
        <v>0.33304634771769126</v>
      </c>
      <c r="U78" s="138"/>
      <c r="V78" s="193">
        <f t="array" ref="V78">SUM(V13:W13*V26:W26)/V32</f>
        <v>0.33168989534655258</v>
      </c>
      <c r="W78" s="138"/>
      <c r="X78" s="193">
        <f t="array" ref="X78">SUM(X13:Y13*X26:Y26)/X32</f>
        <v>0.33017816074403089</v>
      </c>
      <c r="Y78" s="138"/>
      <c r="Z78" s="193">
        <f t="array" ref="Z78">SUM(Z13:AA13*Z26:AA26)/Z32</f>
        <v>0.32842201813417737</v>
      </c>
      <c r="AA78" s="138"/>
      <c r="AB78" s="193">
        <f t="array" ref="AB78">SUM(AB13:AC13*AB26:AC26)/AB32</f>
        <v>0.32631370075358068</v>
      </c>
      <c r="AC78" s="138"/>
      <c r="AD78" s="193">
        <f t="array" ref="AD78">SUM(AD13:AE13*AD26:AE26)/AD32</f>
        <v>0.32369925448219089</v>
      </c>
      <c r="AE78" s="138"/>
      <c r="AF78" s="193">
        <f t="array" ref="AF78">SUM(AF13:AG13*AF26:AG26)/AF32</f>
        <v>0.32030902243613985</v>
      </c>
      <c r="AG78" s="138"/>
      <c r="AH78" s="193">
        <f t="array" ref="AH78">SUM(AH13:AI13*AH26:AI26)/AH32</f>
        <v>0.31556459747012461</v>
      </c>
      <c r="AI78" s="138"/>
      <c r="AJ78" s="193">
        <f t="array" ref="AJ78">SUM(AJ13:AK13*AJ26:AK26)/AJ32</f>
        <v>0.30802501096838236</v>
      </c>
      <c r="AK78" s="138"/>
      <c r="AL78" s="193">
        <f t="array" ref="AL78">SUM(AL13:AM13*AL26:AM26)/AL32</f>
        <v>0.29500180185247477</v>
      </c>
      <c r="AM78" s="138"/>
      <c r="AN78" s="193">
        <f t="array" ref="AN78">SUM(AN13:AO13*AN26:AO26)/AN32</f>
        <v>0.27482150363811453</v>
      </c>
      <c r="AO78" s="138"/>
      <c r="AP78" s="193">
        <f t="array" ref="AP78">SUM(AP13:AQ13*AP26:AQ26)/AP32</f>
        <v>0.26859523682019742</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cm="1">
        <f t="array" ref="B79">SUM(B15:C15*B27:C27)/B32</f>
        <v>0.45460968782440642</v>
      </c>
      <c r="D79" s="193">
        <f t="array" ref="D79">SUM(D15:E15*D27:E27)/D32</f>
        <v>0.45380102631094482</v>
      </c>
      <c r="F79" s="193">
        <f t="array" ref="F79">SUM(F15:G15*F27:G27)/F32</f>
        <v>0.45317602199485918</v>
      </c>
      <c r="H79" s="193">
        <f t="array" ref="H79">SUM(H15:I15*H27:I27)/H32</f>
        <v>0.45273860666483023</v>
      </c>
      <c r="J79" s="193">
        <f t="array" ref="J79">SUM(J15:K15*J27:K27)/J32</f>
        <v>0.45247321439930266</v>
      </c>
      <c r="L79" s="193">
        <f t="array" ref="L79">SUM(L15:M15*L27:M27)/L32</f>
        <v>0.45233644133009265</v>
      </c>
      <c r="N79" s="193">
        <f t="array" ref="N79">SUM(N15:O15*N27:O27)/N32</f>
        <v>0.45224857878364577</v>
      </c>
      <c r="P79" s="193">
        <f t="array" ref="P79">SUM(P15:Q15*P27:Q27)/P32</f>
        <v>0.45208633141151022</v>
      </c>
      <c r="R79" s="193">
        <f t="array" ref="R79">SUM(R15:S15*R27:S27)/R32</f>
        <v>0.45168093057763148</v>
      </c>
      <c r="T79" s="193">
        <f t="array" ref="T79">SUM(T15:U15*T27:U27)/T32</f>
        <v>0.45082415049834124</v>
      </c>
      <c r="V79" s="193">
        <f t="array" ref="V79">SUM(V15:W15*V27:W27)/V32</f>
        <v>0.44928198618985693</v>
      </c>
      <c r="X79" s="193">
        <f t="array" ref="X79">SUM(X15:Y15*X27:Y27)/X32</f>
        <v>0.44680545564507218</v>
      </c>
      <c r="Z79" s="193">
        <f t="array" ref="Z79">SUM(Z15:AA15*Z27:AA27)/Z32</f>
        <v>0.44312427070332311</v>
      </c>
      <c r="AB79" s="193">
        <f t="array" ref="AB79">SUM(AB15:AC15*AB27:AC27)/AB32</f>
        <v>0.43790631620648701</v>
      </c>
      <c r="AD79" s="193">
        <f t="array" ref="AD79">SUM(AD15:AE15*AD27:AE27)/AD32</f>
        <v>0.43065683620914924</v>
      </c>
      <c r="AF79" s="193">
        <f t="array" ref="AF79">SUM(AF15:AG15*AF27:AG27)/AF32</f>
        <v>0.4204831442350187</v>
      </c>
      <c r="AH79" s="193">
        <f t="array" ref="AH79">SUM(AH15:AI15*AH27:AI27)/AH32</f>
        <v>0.40546139578899215</v>
      </c>
      <c r="AJ79" s="193">
        <f t="array" ref="AJ79">SUM(AJ15:AK15*AJ27:AK27)/AJ32</f>
        <v>0.38069368462344361</v>
      </c>
      <c r="AL79" s="193">
        <f t="array" ref="AL79">SUM(AL15:AM15*AL27:AM27)/AL32</f>
        <v>0.33439813749370428</v>
      </c>
      <c r="AN79" s="193">
        <f t="array" ref="AN79">SUM(AN15:AO15*AN27:AO27)/AN32</f>
        <v>0.24786132072563472</v>
      </c>
      <c r="AP79" s="193">
        <f t="array" ref="AP79">SUM(AP15:AQ15*AP27:AQ27)/AP32</f>
        <v>0.22152968402450879</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0.2011705514825903</v>
      </c>
      <c r="F80" s="236">
        <f>F55</f>
        <v>0.20360344054791363</v>
      </c>
      <c r="H80" s="236">
        <f>H55</f>
        <v>0.2057711389261338</v>
      </c>
      <c r="J80" s="236">
        <f>J55</f>
        <v>0.20766784997866944</v>
      </c>
      <c r="L80" s="236">
        <f>L55</f>
        <v>0.20932520584767011</v>
      </c>
      <c r="N80" s="236">
        <f>N55</f>
        <v>0.21082563707502902</v>
      </c>
      <c r="P80" s="236">
        <f>P55</f>
        <v>0.21231221748196114</v>
      </c>
      <c r="R80" s="236">
        <f>R55</f>
        <v>0.21399223296310635</v>
      </c>
      <c r="T80" s="236">
        <f>T55</f>
        <v>0.2161295586432172</v>
      </c>
      <c r="V80" s="236">
        <f>V55</f>
        <v>0.21902814347169555</v>
      </c>
      <c r="X80" s="236">
        <f>X55</f>
        <v>0.22301646231508807</v>
      </c>
      <c r="Z80" s="236">
        <f>Z55</f>
        <v>0.22845373413996892</v>
      </c>
      <c r="AB80" s="236">
        <f>AB55</f>
        <v>0.23578000623053066</v>
      </c>
      <c r="AD80" s="236">
        <f>AD55</f>
        <v>0.24564391998616786</v>
      </c>
      <c r="AF80" s="236">
        <f>AF55</f>
        <v>0.2592078425042238</v>
      </c>
      <c r="AH80" s="236">
        <f>AH55</f>
        <v>0.27897401397923582</v>
      </c>
      <c r="AJ80" s="236">
        <f>AJ55</f>
        <v>0.3112813092043436</v>
      </c>
      <c r="AL80" s="236">
        <f>AL55</f>
        <v>0.37060006369148918</v>
      </c>
      <c r="AN80" s="236">
        <f>AN55</f>
        <v>0.47731717883891678</v>
      </c>
      <c r="AP80" s="236">
        <f>AP55</f>
        <v>0.50987507935156251</v>
      </c>
      <c r="AR80" s="236" t="e">
        <f>AR55</f>
        <v>#DIV/0!</v>
      </c>
      <c r="AT80" s="236" t="e">
        <f>AT55</f>
        <v>#DIV/0!</v>
      </c>
      <c r="AV80" s="236" t="e">
        <f>AV55</f>
        <v>#DIV/0!</v>
      </c>
      <c r="XFD80" s="236"/>
    </row>
    <row r="81" spans="1:48 16384:16384" x14ac:dyDescent="0.2">
      <c r="A81" t="s">
        <v>191</v>
      </c>
      <c r="B81" s="236">
        <f>B51/B$32</f>
        <v>-2.7543485504603994E-2</v>
      </c>
      <c r="D81" s="236">
        <f>D51/D$32</f>
        <v>-2.4875653081834526E-2</v>
      </c>
      <c r="F81" s="236">
        <f>F51/F$32</f>
        <v>-2.2442764016511206E-2</v>
      </c>
      <c r="H81" s="236">
        <f>H51/H$32</f>
        <v>-2.0275065638291061E-2</v>
      </c>
      <c r="J81" s="236">
        <f>J51/J$32</f>
        <v>-1.8378354585755406E-2</v>
      </c>
      <c r="L81" s="236">
        <f>L51/L$32</f>
        <v>-1.6720998716754719E-2</v>
      </c>
      <c r="N81" s="236">
        <f>N51/N$32</f>
        <v>-1.5220567489395835E-2</v>
      </c>
      <c r="P81" s="236">
        <f>P51/P$32</f>
        <v>-1.3733987082463711E-2</v>
      </c>
      <c r="R81" s="236">
        <f>R51/R$32</f>
        <v>-1.205397160131848E-2</v>
      </c>
      <c r="T81" s="236">
        <f>T51/T$32</f>
        <v>-9.9166459212076136E-3</v>
      </c>
      <c r="V81" s="236">
        <f>V51/V$32</f>
        <v>-7.0180610927292756E-3</v>
      </c>
      <c r="X81" s="236">
        <f>X51/X$32</f>
        <v>-3.0297422493367732E-3</v>
      </c>
      <c r="Z81" s="236">
        <f>Z51/Z$32</f>
        <v>2.4075295755440745E-3</v>
      </c>
      <c r="AB81" s="236">
        <f>AB51/AB$32</f>
        <v>9.7338016661058218E-3</v>
      </c>
      <c r="AD81" s="236">
        <f>AD51/AD$32</f>
        <v>1.9597715421743007E-2</v>
      </c>
      <c r="AF81" s="236">
        <f>AF51/AF$32</f>
        <v>3.3161637939798982E-2</v>
      </c>
      <c r="AH81" s="236">
        <f>AH51/AH$32</f>
        <v>5.2927809414810983E-2</v>
      </c>
      <c r="AJ81" s="236">
        <f>AJ51/AJ$32</f>
        <v>8.5235104639918777E-2</v>
      </c>
      <c r="AL81" s="236">
        <f>AL51/AL$32</f>
        <v>0.14455385912706431</v>
      </c>
      <c r="AN81" s="236">
        <f>AN51/AN$32</f>
        <v>0.25127097427449191</v>
      </c>
      <c r="AP81" s="236">
        <f>AP51/AP$32</f>
        <v>0.28382887478713764</v>
      </c>
      <c r="AR81" s="236" t="e">
        <f>AR51/AR$32</f>
        <v>#DIV/0!</v>
      </c>
      <c r="AT81" s="236" t="e">
        <f>AT51/AT$32</f>
        <v>#DIV/0!</v>
      </c>
      <c r="AV81" s="236" t="e">
        <f>AV51/AV$32</f>
        <v>#DIV/0!</v>
      </c>
      <c r="XFD81" s="236"/>
    </row>
    <row r="82" spans="1:48 16384:16384" x14ac:dyDescent="0.2">
      <c r="A82" t="s">
        <v>192</v>
      </c>
      <c r="B82" s="236">
        <f>B52/B$32</f>
        <v>0.13907860278212886</v>
      </c>
      <c r="D82" s="236">
        <f>D52/D$32</f>
        <v>0.13833322654275959</v>
      </c>
      <c r="F82" s="236">
        <f>F52/F$32</f>
        <v>0.13760836129032744</v>
      </c>
      <c r="H82" s="236">
        <f>H52/H$32</f>
        <v>0.136914641296875</v>
      </c>
      <c r="J82" s="236">
        <f>J52/J$32</f>
        <v>0.13626062594207433</v>
      </c>
      <c r="L82" s="236">
        <f>L52/L$32</f>
        <v>0.13565094237898029</v>
      </c>
      <c r="N82" s="236">
        <f>N52/N$32</f>
        <v>0.1350845962134346</v>
      </c>
      <c r="P82" s="236">
        <f>P52/P$32</f>
        <v>0.13455363442642995</v>
      </c>
      <c r="R82" s="236">
        <f>R52/R$32</f>
        <v>0.13404265405630728</v>
      </c>
      <c r="T82" s="236">
        <f>T52/T$32</f>
        <v>0.13352919395652318</v>
      </c>
      <c r="V82" s="236">
        <f>V52/V$32</f>
        <v>0.132985347753135</v>
      </c>
      <c r="X82" s="236">
        <f>X52/X$32</f>
        <v>0.13237924381494676</v>
      </c>
      <c r="Z82" s="236">
        <f>Z52/Z$32</f>
        <v>0.13167514869793556</v>
      </c>
      <c r="AB82" s="236">
        <f>AB52/AB$32</f>
        <v>0.13082985517538281</v>
      </c>
      <c r="AD82" s="236">
        <f>AD52/AD$32</f>
        <v>0.12978163799584108</v>
      </c>
      <c r="AF82" s="236">
        <f>AF52/AF$32</f>
        <v>0.1284223828785368</v>
      </c>
      <c r="AH82" s="236">
        <f>AH52/AH$32</f>
        <v>0.12652018744585722</v>
      </c>
      <c r="AJ82" s="236">
        <f>AJ52/AJ$32</f>
        <v>0.12349732016254292</v>
      </c>
      <c r="AL82" s="236">
        <f>AL52/AL$32</f>
        <v>0.11827588888761284</v>
      </c>
      <c r="AN82" s="236">
        <f>AN52/AN$32</f>
        <v>0.1101849460719002</v>
      </c>
      <c r="AP82" s="236">
        <f>AP52/AP$32</f>
        <v>0.10768863168427195</v>
      </c>
      <c r="AR82" s="236" t="e">
        <f>AR52/AR$32</f>
        <v>#DIV/0!</v>
      </c>
      <c r="AT82" s="236" t="e">
        <f>AT52/AT$32</f>
        <v>#DIV/0!</v>
      </c>
      <c r="AV82" s="236" t="e">
        <f>AV52/AV$32</f>
        <v>#DIV/0!</v>
      </c>
    </row>
    <row r="83" spans="1:48 16384:16384" x14ac:dyDescent="0.2">
      <c r="A83" t="s">
        <v>193</v>
      </c>
      <c r="B83" s="236">
        <f>B53/B$32</f>
        <v>0.18600714462929935</v>
      </c>
      <c r="D83" s="236">
        <f>D53/D$32</f>
        <v>0.18567627438363779</v>
      </c>
      <c r="F83" s="236">
        <f>F53/F$32</f>
        <v>0.18542054893094795</v>
      </c>
      <c r="H83" s="236">
        <f>H53/H$32</f>
        <v>0.1852415769936249</v>
      </c>
      <c r="J83" s="236">
        <f>J53/J$32</f>
        <v>0.18513298965191263</v>
      </c>
      <c r="L83" s="236">
        <f>L53/L$32</f>
        <v>0.1850770278703068</v>
      </c>
      <c r="N83" s="236">
        <f>N53/N$32</f>
        <v>0.18504107821542226</v>
      </c>
      <c r="P83" s="236">
        <f>P53/P$32</f>
        <v>0.18497469342155884</v>
      </c>
      <c r="R83" s="236">
        <f>R53/R$32</f>
        <v>0.18480882046821068</v>
      </c>
      <c r="T83" s="236">
        <f>T53/T$32</f>
        <v>0.18445826213126296</v>
      </c>
      <c r="V83" s="236">
        <f>V53/V$32</f>
        <v>0.18382727342325025</v>
      </c>
      <c r="X83" s="236">
        <f>X53/X$32</f>
        <v>0.18281398138931412</v>
      </c>
      <c r="Z83" s="236">
        <f>Z53/Z$32</f>
        <v>0.18130779549357581</v>
      </c>
      <c r="AB83" s="236">
        <f>AB53/AB$32</f>
        <v>0.1791728281957892</v>
      </c>
      <c r="AD83" s="236">
        <f>AD53/AD$32</f>
        <v>0.17620664619292598</v>
      </c>
      <c r="AF83" s="236">
        <f>AF53/AF$32</f>
        <v>0.17204399976208931</v>
      </c>
      <c r="AH83" s="236">
        <f>AH53/AH$32</f>
        <v>0.1658977327321085</v>
      </c>
      <c r="AJ83" s="236">
        <f>AJ53/AJ$32</f>
        <v>0.15576382807434777</v>
      </c>
      <c r="AL83" s="236">
        <f>AL53/AL$32</f>
        <v>0.13682163928848079</v>
      </c>
      <c r="AN83" s="236">
        <f>AN53/AN$32</f>
        <v>0.10141441717368331</v>
      </c>
      <c r="AP83" s="236">
        <f>AP53/AP$32</f>
        <v>9.0640620029957888E-2</v>
      </c>
      <c r="AR83" s="236" t="e">
        <f>AR53/AR$32</f>
        <v>#DIV/0!</v>
      </c>
      <c r="AT83" s="236" t="e">
        <f>AT53/AT$32</f>
        <v>#DIV/0!</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1"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zoomScale="85" workbookViewId="0">
      <selection activeCell="J8" sqref="J8"/>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1.0000000000000013</v>
      </c>
      <c r="C3" s="80">
        <f>NeoClassical!D$31</f>
        <v>0.98919286403358853</v>
      </c>
      <c r="D3" s="80">
        <f>NeoClassical!F$31</f>
        <v>0.97734941373723538</v>
      </c>
      <c r="E3" s="80">
        <f>NeoClassical!H$31</f>
        <v>0.96429178746957189</v>
      </c>
      <c r="F3" s="80">
        <f>NeoClassical!J$31</f>
        <v>0.94980039074182132</v>
      </c>
      <c r="G3" s="80">
        <f>NeoClassical!L$31</f>
        <v>0.93360106126487385</v>
      </c>
      <c r="H3" s="80">
        <f>NeoClassical!N$31</f>
        <v>0.91534741856385893</v>
      </c>
      <c r="I3" s="80">
        <f>NeoClassical!P$31</f>
        <v>0.89459574932925701</v>
      </c>
      <c r="J3" s="80">
        <f>NeoClassical!R$31</f>
        <v>0.87076911483518726</v>
      </c>
      <c r="K3" s="80">
        <f>NeoClassical!T$31</f>
        <v>0.84310299392935606</v>
      </c>
      <c r="L3" s="80">
        <f>NeoClassical!V$31</f>
        <v>0.81056383268256338</v>
      </c>
      <c r="M3" s="80">
        <f>NeoClassical!X$31</f>
        <v>0.77172068273337679</v>
      </c>
      <c r="N3" s="80">
        <f>NeoClassical!Z$31</f>
        <v>0.72454183837004904</v>
      </c>
      <c r="O3" s="80">
        <f>NeoClassical!AB$31</f>
        <v>0.66607453338840139</v>
      </c>
      <c r="P3" s="80">
        <f>NeoClassical!AD$31</f>
        <v>0.59198272830443799</v>
      </c>
      <c r="Q3" s="80">
        <f>NeoClassical!AF$31</f>
        <v>0.49613389017956699</v>
      </c>
      <c r="R3" s="80">
        <f>NeoClassical!AH$31</f>
        <v>0.37163142719847547</v>
      </c>
      <c r="S3" s="80">
        <f>NeoClassical!AJ$31</f>
        <v>0.21935799834085129</v>
      </c>
      <c r="T3" s="80">
        <f>NeoClassical!AL$31</f>
        <v>7.4667393921473771E-2</v>
      </c>
      <c r="U3" s="80">
        <f>NeoClassical!AN$31</f>
        <v>6.3143372801611718E-3</v>
      </c>
      <c r="V3" s="80">
        <f>NeoClassical!AP$31</f>
        <v>2.6515095955367478E-3</v>
      </c>
      <c r="W3" s="80">
        <f>NeoClassical!AR$31</f>
        <v>8.5195107496813575E-4</v>
      </c>
      <c r="X3" s="80">
        <f>NeoClassical!AT$31</f>
        <v>1.6962778913232266E-4</v>
      </c>
      <c r="Y3" s="80">
        <f>NeoClassical!AV$31</f>
        <v>1.0632028678916424E-5</v>
      </c>
    </row>
    <row r="4" spans="1:27" x14ac:dyDescent="0.2">
      <c r="A4" t="s">
        <v>163</v>
      </c>
      <c r="B4" s="80">
        <f>Kaldorian!B$31</f>
        <v>1.0000000000000013</v>
      </c>
      <c r="C4" s="80">
        <f>Kaldorian!D$31</f>
        <v>0.99678956878842817</v>
      </c>
      <c r="D4" s="80">
        <f>Kaldorian!F$31</f>
        <v>0.99288156068627331</v>
      </c>
      <c r="E4" s="80">
        <f>Kaldorian!H$31</f>
        <v>0.98815943137863127</v>
      </c>
      <c r="F4" s="80">
        <f>Kaldorian!J$31</f>
        <v>0.98247920910041198</v>
      </c>
      <c r="G4" s="80">
        <f>Kaldorian!L$31</f>
        <v>0.9756609572818139</v>
      </c>
      <c r="H4" s="80">
        <f>Kaldorian!N$31</f>
        <v>0.96747677567927037</v>
      </c>
      <c r="I4" s="80">
        <f>Kaldorian!P$31</f>
        <v>0.9576338686332958</v>
      </c>
      <c r="J4" s="80">
        <f>Kaldorian!R$31</f>
        <v>0.94574959084229204</v>
      </c>
      <c r="K4" s="80">
        <f>Kaldorian!T$31</f>
        <v>0.9313143102111564</v>
      </c>
      <c r="L4" s="80">
        <f>Kaldorian!V$31</f>
        <v>0.91363332056245761</v>
      </c>
      <c r="M4" s="80">
        <f>Kaldorian!X$31</f>
        <v>0.89173480508155878</v>
      </c>
      <c r="N4" s="80">
        <f>Kaldorian!Z$31</f>
        <v>0.86421823316760449</v>
      </c>
      <c r="O4" s="80">
        <f>Kaldorian!AB$31</f>
        <v>0.8289996817388634</v>
      </c>
      <c r="P4" s="80">
        <f>Kaldorian!AD$31</f>
        <v>0.7828852572545848</v>
      </c>
      <c r="Q4" s="80">
        <f>Kaldorian!AF$31</f>
        <v>0</v>
      </c>
      <c r="R4" s="80">
        <f>Kaldorian!AH$31</f>
        <v>0</v>
      </c>
      <c r="S4" s="80">
        <f>Kaldorian!AJ$31</f>
        <v>0</v>
      </c>
      <c r="T4" s="80">
        <f>Kaldorian!AL$31</f>
        <v>0</v>
      </c>
      <c r="U4" s="80">
        <f>Kaldorian!AN$31</f>
        <v>0</v>
      </c>
      <c r="V4" s="80">
        <f>Kaldorian!AP$31</f>
        <v>0</v>
      </c>
      <c r="W4" s="80">
        <f>Kaldorian!AL$31</f>
        <v>0</v>
      </c>
      <c r="X4" s="80">
        <f>Kaldorian!AN$31</f>
        <v>0</v>
      </c>
      <c r="Y4" s="80">
        <f>Kaldorian!AV$31</f>
        <v>0</v>
      </c>
    </row>
    <row r="5" spans="1:27" x14ac:dyDescent="0.2">
      <c r="A5" t="s">
        <v>90</v>
      </c>
      <c r="B5" s="80">
        <f>Johansen!B$31</f>
        <v>1.0000000000000013</v>
      </c>
      <c r="C5" s="80">
        <f>Johansen!D$31</f>
        <v>0.99681571962465543</v>
      </c>
      <c r="D5" s="80">
        <f>Johansen!F$31</f>
        <v>0.99293483827626861</v>
      </c>
      <c r="E5" s="80">
        <f>Johansen!H$31</f>
        <v>0.98824098263734561</v>
      </c>
      <c r="F5" s="80">
        <f>Johansen!J$31</f>
        <v>0.9825903432946993</v>
      </c>
      <c r="G5" s="80">
        <f>Johansen!L$31</f>
        <v>0.97580316130964351</v>
      </c>
      <c r="H5" s="80">
        <f>Johansen!N$31</f>
        <v>0.96765167973738031</v>
      </c>
      <c r="I5" s="80">
        <f>Johansen!P$31</f>
        <v>0.95784323144723205</v>
      </c>
      <c r="J5" s="80">
        <f>Johansen!R$31</f>
        <v>0.94599518687526796</v>
      </c>
      <c r="K5" s="80">
        <f>Johansen!T$31</f>
        <v>0.93159740399197788</v>
      </c>
      <c r="L5" s="80">
        <f>Johansen!V$31</f>
        <v>0.9139542248171445</v>
      </c>
      <c r="M5" s="80">
        <f>Johansen!X$31</f>
        <v>0.89209177309842602</v>
      </c>
      <c r="N5" s="80">
        <f>Johansen!Z$31</f>
        <v>0.86460575968212949</v>
      </c>
      <c r="O5" s="80">
        <f>Johansen!AB$31</f>
        <v>0.82940606043189269</v>
      </c>
      <c r="P5" s="80">
        <f>Johansen!AD$31</f>
        <v>0.78329014378477457</v>
      </c>
      <c r="Q5" s="80">
        <f>Johansen!AF$31</f>
        <v>0.72129041630413504</v>
      </c>
      <c r="R5" s="80">
        <f>Johansen!AH$31</f>
        <v>0.63603996796458306</v>
      </c>
      <c r="S5" s="80">
        <f>Johansen!AJ$31</f>
        <v>0.51879980000162085</v>
      </c>
      <c r="T5" s="80">
        <f>Johansen!AL$31</f>
        <v>0.36592539631425702</v>
      </c>
      <c r="U5" s="80">
        <f>Johansen!AN$31</f>
        <v>0.18739103396881041</v>
      </c>
      <c r="V5" s="80">
        <f>Johansen!AP$31</f>
        <v>0.15017300431364247</v>
      </c>
      <c r="W5" s="80">
        <f>Johansen!AR$31</f>
        <v>0.11274873692666064</v>
      </c>
      <c r="X5" s="80">
        <f>Johansen!AT$31</f>
        <v>7.5206678411812E-2</v>
      </c>
      <c r="Y5" s="80">
        <f>Johansen!AV$31</f>
        <v>3.7610874875399575E-2</v>
      </c>
    </row>
    <row r="6" spans="1:27" x14ac:dyDescent="0.2">
      <c r="A6" t="s">
        <v>146</v>
      </c>
      <c r="B6" s="80">
        <f>'Keynes-K'!B$31</f>
        <v>1.0000000000000013</v>
      </c>
      <c r="C6" s="80">
        <f>'Keynes-K'!D$31</f>
        <v>1.0045152573584284</v>
      </c>
      <c r="D6" s="80">
        <f>'Keynes-K'!F$31</f>
        <v>1.0072727008852038</v>
      </c>
      <c r="E6" s="80">
        <f>'Keynes-K'!H$31</f>
        <v>1.0082509249602765</v>
      </c>
      <c r="F6" s="80">
        <f>'Keynes-K'!J$31</f>
        <v>1.0073531670117302</v>
      </c>
      <c r="G6" s="80">
        <f>'Keynes-K'!L$31</f>
        <v>1.0044053815843976</v>
      </c>
      <c r="H6" s="80">
        <f>'Keynes-K'!N$31</f>
        <v>0.99914690525422278</v>
      </c>
      <c r="I6" s="80">
        <f>'Keynes-K'!P$31</f>
        <v>0.99120942212829644</v>
      </c>
      <c r="J6" s="80">
        <f>'Keynes-K'!R$31</f>
        <v>0.9800851733439998</v>
      </c>
      <c r="K6" s="80">
        <f>'Keynes-K'!T$31</f>
        <v>0.96507675696208428</v>
      </c>
      <c r="L6" s="80">
        <f>'Keynes-K'!V$31</f>
        <v>0.9452191256220891</v>
      </c>
      <c r="M6" s="80">
        <f>'Keynes-K'!X$31</f>
        <v>0.91915869364697445</v>
      </c>
      <c r="N6" s="80">
        <f>'Keynes-K'!Z$31</f>
        <v>0.88496515992549052</v>
      </c>
      <c r="O6" s="80">
        <f>'Keynes-K'!AB$31</f>
        <v>0.8398463607559592</v>
      </c>
      <c r="P6" s="80">
        <f>'Keynes-K'!AD$31</f>
        <v>0.7797646984006994</v>
      </c>
      <c r="Q6" s="80">
        <f>'Keynes-K'!AF$31</f>
        <v>0</v>
      </c>
      <c r="R6" s="80">
        <f>'Keynes-K'!AH$31</f>
        <v>0</v>
      </c>
      <c r="S6" s="80">
        <f>'Keynes-K'!AJ$31</f>
        <v>0</v>
      </c>
      <c r="T6" s="80">
        <f>'Keynes-K'!AL$31</f>
        <v>0</v>
      </c>
      <c r="U6" s="80">
        <f>'Keynes-K'!AN$31</f>
        <v>0</v>
      </c>
      <c r="V6" s="80">
        <f>'Keynes-K'!AP$31</f>
        <v>0</v>
      </c>
      <c r="W6" s="80">
        <f>'Keynes-K'!AR$31</f>
        <v>0</v>
      </c>
      <c r="X6" s="80">
        <f>'Keynes-K'!AT$31</f>
        <v>0</v>
      </c>
      <c r="Y6" s="80">
        <f>'Keynes-K'!AV$31</f>
        <v>0</v>
      </c>
    </row>
    <row r="7" spans="1:27" x14ac:dyDescent="0.2">
      <c r="A7" t="s">
        <v>144</v>
      </c>
      <c r="B7" s="80">
        <f>'Keynes-M'!B$31</f>
        <v>1.0000000000000013</v>
      </c>
      <c r="C7" s="80">
        <f>'Keynes-M'!D$31</f>
        <v>1.0052197694747844</v>
      </c>
      <c r="D7" s="80">
        <f>'Keynes-M'!F$31</f>
        <v>1.0099380218966836</v>
      </c>
      <c r="E7" s="80">
        <f>'Keynes-M'!H$31</f>
        <v>1.0140773656668653</v>
      </c>
      <c r="F7" s="80">
        <f>'Keynes-M'!J$31</f>
        <v>1.0175361208923994</v>
      </c>
      <c r="G7" s="80">
        <f>'Keynes-M'!L$31</f>
        <v>1.0201788026762575</v>
      </c>
      <c r="H7" s="80">
        <f>'Keynes-M'!N$31</f>
        <v>1.0218225381459374</v>
      </c>
      <c r="I7" s="80">
        <f>'Keynes-M'!P$31</f>
        <v>1.0222155797930879</v>
      </c>
      <c r="J7" s="80">
        <f>'Keynes-M'!R$31</f>
        <v>1.0210034708544975</v>
      </c>
      <c r="K7" s="80">
        <f>'Keynes-M'!T$31</f>
        <v>1.0176732709979048</v>
      </c>
      <c r="L7" s="80">
        <f>'Keynes-M'!V$31</f>
        <v>1.0114543952710853</v>
      </c>
      <c r="M7" s="80">
        <f>'Keynes-M'!X$31</f>
        <v>0</v>
      </c>
      <c r="N7" s="80">
        <f>'Keynes-M'!Z$31</f>
        <v>0</v>
      </c>
      <c r="O7" s="80">
        <f>'Keynes-M'!AB$31</f>
        <v>0</v>
      </c>
      <c r="P7" s="80">
        <f>'Keynes-M'!AD$31</f>
        <v>0</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1.0000000000000013</v>
      </c>
      <c r="C8" s="80">
        <f>Keynesian!D$31</f>
        <v>0.97045746070851324</v>
      </c>
      <c r="D8" s="80">
        <f>Keynesian!F$31</f>
        <v>0.93588646389055141</v>
      </c>
      <c r="E8" s="80">
        <f>Keynesian!H$31</f>
        <v>0.89648501124606117</v>
      </c>
      <c r="F8" s="80">
        <f>Keynesian!J$31</f>
        <v>0.85282446536191903</v>
      </c>
      <c r="G8" s="80">
        <f>Keynesian!L$31</f>
        <v>0.80582220691359208</v>
      </c>
      <c r="H8" s="80">
        <f>Keynesian!N$31</f>
        <v>0.75681746463460409</v>
      </c>
      <c r="I8" s="80">
        <f>Keynesian!P$31</f>
        <v>0.70849453836529663</v>
      </c>
      <c r="J8" s="80">
        <f>Keynesian!R$31</f>
        <v>0</v>
      </c>
      <c r="K8" s="80">
        <f>Keynesian!T$31</f>
        <v>0</v>
      </c>
      <c r="L8" s="80">
        <f>Keynesian!V$31</f>
        <v>0</v>
      </c>
      <c r="M8" s="80">
        <f>Keynesian!X$31</f>
        <v>0</v>
      </c>
      <c r="N8" s="80">
        <f>Keynesian!Z$31</f>
        <v>0</v>
      </c>
      <c r="O8" s="80">
        <f>Keynesian!AB$31</f>
        <v>0</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1.0000000000000013</v>
      </c>
      <c r="C9" s="80">
        <f>'Neo-K2'!D$31</f>
        <v>0.97218839469782525</v>
      </c>
      <c r="D9" s="80">
        <f>'Neo-K2'!F$31</f>
        <v>0.94082277018003868</v>
      </c>
      <c r="E9" s="80">
        <f>'Neo-K2'!H$31</f>
        <v>0.90584493084174522</v>
      </c>
      <c r="F9" s="80">
        <f>'Neo-K2'!J$31</f>
        <v>0.86743005031216813</v>
      </c>
      <c r="G9" s="80">
        <f>'Neo-K2'!L$31</f>
        <v>0.82602117580257839</v>
      </c>
      <c r="H9" s="80">
        <f>'Neo-K2'!N$31</f>
        <v>0.78232895642627376</v>
      </c>
      <c r="I9" s="80">
        <f>'Neo-K2'!P$31</f>
        <v>0.73728040739948775</v>
      </c>
      <c r="J9" s="80">
        <f>'Neo-K2'!R$31</f>
        <v>0.69191648879904832</v>
      </c>
      <c r="K9" s="80">
        <f>'Neo-K2'!T$31</f>
        <v>0.64723885235900769</v>
      </c>
      <c r="L9" s="80">
        <f>'Neo-K2'!V$31</f>
        <v>0.60404231960048405</v>
      </c>
      <c r="M9" s="80">
        <f>'Neo-K2'!X$31</f>
        <v>0.56278281205438319</v>
      </c>
      <c r="N9" s="80">
        <f>'Neo-K2'!Z$31</f>
        <v>0.52352813976659829</v>
      </c>
      <c r="O9" s="80">
        <f>'Neo-K2'!AB$31</f>
        <v>0.48597694300063737</v>
      </c>
      <c r="P9" s="80">
        <f>'Neo-K2'!AD$31</f>
        <v>0.44947858689503706</v>
      </c>
      <c r="Q9" s="80">
        <f>'Neo-K2'!AF$31</f>
        <v>0.4129505048342928</v>
      </c>
      <c r="R9" s="80">
        <f>'Neo-K2'!AH$31</f>
        <v>0.37447182361472253</v>
      </c>
      <c r="S9" s="80">
        <f>'Neo-K2'!AJ$31</f>
        <v>0.32983834477939744</v>
      </c>
      <c r="T9" s="80">
        <f>'Neo-K2'!AL$31</f>
        <v>0.2689207748427706</v>
      </c>
      <c r="U9" s="80">
        <f>'Neo-K2'!AN$31</f>
        <v>0.17657064475293521</v>
      </c>
      <c r="V9" s="80">
        <f>'Neo-K2'!AP$31</f>
        <v>0.1524799911077801</v>
      </c>
      <c r="W9" s="80">
        <f>'Neo-K2'!AR$31</f>
        <v>0</v>
      </c>
      <c r="X9" s="80">
        <f>'Neo-K2'!AT$31</f>
        <v>0</v>
      </c>
      <c r="Y9" s="80">
        <f>'Neo-K2'!AV$31</f>
        <v>0</v>
      </c>
    </row>
    <row r="10" spans="1:27" x14ac:dyDescent="0.2">
      <c r="A10" t="s">
        <v>158</v>
      </c>
      <c r="B10" s="80">
        <f>'Neo-K1'!B$31</f>
        <v>1.0000000000000013</v>
      </c>
      <c r="C10" s="80">
        <f>'Neo-K1'!D$31</f>
        <v>0.97688955908214481</v>
      </c>
      <c r="D10" s="80">
        <f>'Neo-K1'!F$31</f>
        <v>0.95126752914313961</v>
      </c>
      <c r="E10" s="80">
        <f>'Neo-K1'!H$31</f>
        <v>0.92289922165572558</v>
      </c>
      <c r="F10" s="80">
        <f>'Neo-K1'!J$31</f>
        <v>0.8915738874354604</v>
      </c>
      <c r="G10" s="80">
        <f>'Neo-K1'!L$31</f>
        <v>0.85711903098205799</v>
      </c>
      <c r="H10" s="80">
        <f>'Neo-K1'!N$31</f>
        <v>0.81941425115386968</v>
      </c>
      <c r="I10" s="80">
        <f>'Neo-K1'!P$31</f>
        <v>0.77840149953168258</v>
      </c>
      <c r="J10" s="80">
        <f>'Neo-K1'!R$31</f>
        <v>0.73408775218028155</v>
      </c>
      <c r="K10" s="80">
        <f>'Neo-K1'!T$31</f>
        <v>0.68654260585672944</v>
      </c>
      <c r="L10" s="80">
        <f>'Neo-K1'!V$31</f>
        <v>0.63588934143402642</v>
      </c>
      <c r="M10" s="80">
        <f>'Neo-K1'!X$31</f>
        <v>0.58229252433607759</v>
      </c>
      <c r="N10" s="80">
        <f>'Neo-K1'!Z$31</f>
        <v>0.52594405541639222</v>
      </c>
      <c r="O10" s="80">
        <f>'Neo-K1'!AB$31</f>
        <v>0.46705001675430063</v>
      </c>
      <c r="P10" s="80">
        <f>'Neo-K1'!AD$31</f>
        <v>0.40582080632892548</v>
      </c>
      <c r="Q10" s="80">
        <f>'Neo-K1'!AF$31</f>
        <v>0.34246062754084022</v>
      </c>
      <c r="R10" s="80">
        <f>'Neo-K1'!AH$31</f>
        <v>0.27716438703973661</v>
      </c>
      <c r="S10" s="80">
        <f>'Neo-K1'!AJ$31</f>
        <v>0.21011259914170588</v>
      </c>
      <c r="T10" s="80">
        <f>'Neo-K1'!AL$31</f>
        <v>0.14147073926515435</v>
      </c>
      <c r="U10" s="80">
        <f>'Neo-K1'!AN$31</f>
        <v>7.1388421859796547E-2</v>
      </c>
      <c r="V10" s="80">
        <f>'Neo-K1'!AP$31</f>
        <v>5.7211166604077296E-2</v>
      </c>
      <c r="W10" s="80">
        <f>'Neo-K1'!AR$31</f>
        <v>4.2982749638457933E-2</v>
      </c>
      <c r="X10" s="80">
        <f>'Neo-K1'!AT$31</f>
        <v>2.8704107620616537E-2</v>
      </c>
      <c r="Y10" s="80">
        <f>'Neo-K1'!AV$31</f>
        <v>1.4376210460456951E-2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100.00000000000013</v>
      </c>
      <c r="C18" s="80">
        <f t="shared" ref="C18:Y18" si="1">IF(C3&gt;0,100*C3,"")</f>
        <v>98.919286403358853</v>
      </c>
      <c r="D18" s="80">
        <f t="shared" si="1"/>
        <v>97.734941373723544</v>
      </c>
      <c r="E18" s="80">
        <f t="shared" si="1"/>
        <v>96.429178746957191</v>
      </c>
      <c r="F18" s="80">
        <f t="shared" si="1"/>
        <v>94.98003907418213</v>
      </c>
      <c r="G18" s="80">
        <f t="shared" si="1"/>
        <v>93.360106126487381</v>
      </c>
      <c r="H18" s="80">
        <f t="shared" si="1"/>
        <v>91.534741856385892</v>
      </c>
      <c r="I18" s="80">
        <f t="shared" si="1"/>
        <v>89.459574932925705</v>
      </c>
      <c r="J18" s="80">
        <f t="shared" si="1"/>
        <v>87.076911483518728</v>
      </c>
      <c r="K18" s="80">
        <f t="shared" si="1"/>
        <v>84.310299392935605</v>
      </c>
      <c r="L18" s="80">
        <f t="shared" si="1"/>
        <v>81.05638326825634</v>
      </c>
      <c r="M18" s="80">
        <f t="shared" si="1"/>
        <v>77.172068273337686</v>
      </c>
      <c r="N18" s="80">
        <f t="shared" si="1"/>
        <v>72.454183837004905</v>
      </c>
      <c r="O18" s="80">
        <f t="shared" si="1"/>
        <v>66.607453338840145</v>
      </c>
      <c r="P18" s="80">
        <f t="shared" si="1"/>
        <v>59.198272830443798</v>
      </c>
      <c r="Q18" s="80">
        <f t="shared" si="1"/>
        <v>49.613389017956699</v>
      </c>
      <c r="R18" s="80">
        <f t="shared" si="1"/>
        <v>37.163142719847549</v>
      </c>
      <c r="S18" s="80">
        <f t="shared" si="1"/>
        <v>21.935799834085127</v>
      </c>
      <c r="T18" s="80">
        <f t="shared" si="1"/>
        <v>7.4667393921473773</v>
      </c>
      <c r="U18" s="80">
        <f t="shared" si="1"/>
        <v>0.63143372801611719</v>
      </c>
      <c r="V18" s="80">
        <f t="shared" si="1"/>
        <v>0.26515095955367479</v>
      </c>
      <c r="W18" s="80">
        <f t="shared" si="1"/>
        <v>8.5195107496813569E-2</v>
      </c>
      <c r="X18" s="80">
        <f t="shared" si="1"/>
        <v>1.6962778913232265E-2</v>
      </c>
      <c r="Y18" s="80">
        <f t="shared" si="1"/>
        <v>1.0632028678916423E-3</v>
      </c>
      <c r="Z18" s="138"/>
      <c r="AA18" t="s">
        <v>89</v>
      </c>
      <c r="AB18" s="138">
        <f t="shared" ref="AB18:AB23" si="2">1-B18</f>
        <v>-99.000000000000128</v>
      </c>
      <c r="AC18" s="138">
        <f t="shared" ref="AC18:AC23" si="3">1-C18</f>
        <v>-97.919286403358853</v>
      </c>
      <c r="AD18" s="138">
        <f t="shared" ref="AD18:AD23" si="4">1-D18</f>
        <v>-96.734941373723544</v>
      </c>
      <c r="AE18" s="138">
        <f t="shared" ref="AE18:AE23" si="5">1-E18</f>
        <v>-95.429178746957191</v>
      </c>
      <c r="AF18" s="138">
        <f t="shared" ref="AF18:AF23" si="6">1-F18</f>
        <v>-93.98003907418213</v>
      </c>
      <c r="AG18" s="138">
        <f t="shared" ref="AG18:AG23" si="7">1-G18</f>
        <v>-92.360106126487381</v>
      </c>
      <c r="AH18" s="138">
        <f t="shared" ref="AH18:AH23" si="8">1-H18</f>
        <v>-90.534741856385892</v>
      </c>
      <c r="AI18" s="138">
        <f t="shared" ref="AI18:AI23" si="9">1-I18</f>
        <v>-88.459574932925705</v>
      </c>
      <c r="AJ18" s="138">
        <f t="shared" ref="AJ18:AJ23" si="10">1-J18</f>
        <v>-86.076911483518728</v>
      </c>
      <c r="AK18" s="138">
        <f t="shared" ref="AK18:AK23" si="11">1-K18</f>
        <v>-83.310299392935605</v>
      </c>
      <c r="AL18" s="138">
        <f t="shared" ref="AL18:AL23" si="12">1-L18</f>
        <v>-80.05638326825634</v>
      </c>
      <c r="AM18" s="138">
        <f t="shared" ref="AM18:AM23" si="13">1-M18</f>
        <v>-76.172068273337686</v>
      </c>
      <c r="AN18" s="138">
        <f t="shared" ref="AN18:AN23" si="14">1-N18</f>
        <v>-71.454183837004905</v>
      </c>
      <c r="AO18" s="138">
        <f t="shared" ref="AO18:AO23" si="15">1-O18</f>
        <v>-65.607453338840145</v>
      </c>
      <c r="AP18" s="138">
        <f t="shared" ref="AP18:AP23" si="16">1-P18</f>
        <v>-58.198272830443798</v>
      </c>
      <c r="AQ18" s="138">
        <f t="shared" ref="AQ18:AQ23" si="17">1-Q18</f>
        <v>-48.613389017956699</v>
      </c>
      <c r="AR18" s="138">
        <f t="shared" ref="AR18:AR23" si="18">1-R18</f>
        <v>-36.163142719847549</v>
      </c>
      <c r="AS18" s="138">
        <f t="shared" ref="AS18:AS23" si="19">1-S18</f>
        <v>-20.935799834085127</v>
      </c>
      <c r="AT18" s="138">
        <f t="shared" ref="AT18:AT23" si="20">1-T18</f>
        <v>-6.4667393921473773</v>
      </c>
      <c r="AU18" s="138">
        <f t="shared" ref="AU18:AU23" si="21">1-U18</f>
        <v>0.36856627198388281</v>
      </c>
      <c r="AV18" s="138">
        <f t="shared" ref="AV18:AV23" si="22">1-V18</f>
        <v>0.73484904044632526</v>
      </c>
      <c r="AW18" s="138">
        <f t="shared" ref="AW18:AW23" si="23">1-W18</f>
        <v>0.91480489250318642</v>
      </c>
      <c r="AX18" s="138">
        <f t="shared" ref="AX18:AX23" si="24">1-X18</f>
        <v>0.98303722108676772</v>
      </c>
      <c r="AY18" s="138">
        <f t="shared" ref="AY18:AY23" si="25">1-Y18</f>
        <v>0.99893679713210837</v>
      </c>
    </row>
    <row r="19" spans="1:51" x14ac:dyDescent="0.2">
      <c r="A19" t="str">
        <f t="shared" si="0"/>
        <v>Kaldorian</v>
      </c>
      <c r="B19" s="80">
        <f t="shared" ref="B19:Y19" si="26">IF(B4&gt;0,100*B4,"")</f>
        <v>100.00000000000013</v>
      </c>
      <c r="C19" s="80">
        <f t="shared" si="26"/>
        <v>99.678956878842811</v>
      </c>
      <c r="D19" s="80">
        <f t="shared" si="26"/>
        <v>99.28815606862733</v>
      </c>
      <c r="E19" s="80">
        <f t="shared" si="26"/>
        <v>98.81594313786313</v>
      </c>
      <c r="F19" s="80">
        <f t="shared" si="26"/>
        <v>98.247920910041202</v>
      </c>
      <c r="G19" s="80">
        <f t="shared" si="26"/>
        <v>97.566095728181395</v>
      </c>
      <c r="H19" s="80">
        <f t="shared" si="26"/>
        <v>96.747677567927042</v>
      </c>
      <c r="I19" s="80">
        <f t="shared" si="26"/>
        <v>95.763386863329586</v>
      </c>
      <c r="J19" s="80">
        <f t="shared" si="26"/>
        <v>94.574959084229206</v>
      </c>
      <c r="K19" s="80">
        <f t="shared" si="26"/>
        <v>93.131431021115645</v>
      </c>
      <c r="L19" s="80">
        <f t="shared" si="26"/>
        <v>91.363332056245767</v>
      </c>
      <c r="M19" s="80">
        <f t="shared" si="26"/>
        <v>89.173480508155876</v>
      </c>
      <c r="N19" s="80">
        <f t="shared" si="26"/>
        <v>86.421823316760452</v>
      </c>
      <c r="O19" s="80">
        <f t="shared" si="26"/>
        <v>82.899968173886336</v>
      </c>
      <c r="P19" s="80">
        <f t="shared" si="26"/>
        <v>78.288525725458484</v>
      </c>
      <c r="Q19" s="80" t="str">
        <f t="shared" si="26"/>
        <v/>
      </c>
      <c r="R19" s="80" t="str">
        <f t="shared" si="26"/>
        <v/>
      </c>
      <c r="S19" s="80" t="str">
        <f t="shared" si="26"/>
        <v/>
      </c>
      <c r="T19" s="80" t="str">
        <f t="shared" si="26"/>
        <v/>
      </c>
      <c r="U19" s="80" t="str">
        <f t="shared" si="26"/>
        <v/>
      </c>
      <c r="V19" s="80" t="str">
        <f t="shared" si="26"/>
        <v/>
      </c>
      <c r="W19" s="80" t="str">
        <f t="shared" si="26"/>
        <v/>
      </c>
      <c r="X19" s="80" t="str">
        <f t="shared" si="26"/>
        <v/>
      </c>
      <c r="Y19" s="80" t="str">
        <f t="shared" si="26"/>
        <v/>
      </c>
      <c r="Z19" s="138"/>
      <c r="AA19" t="s">
        <v>90</v>
      </c>
      <c r="AB19" s="138">
        <f t="shared" si="2"/>
        <v>-99.000000000000128</v>
      </c>
      <c r="AC19" s="138">
        <f t="shared" si="3"/>
        <v>-98.678956878842811</v>
      </c>
      <c r="AD19" s="138">
        <f t="shared" si="4"/>
        <v>-98.28815606862733</v>
      </c>
      <c r="AE19" s="138">
        <f t="shared" si="5"/>
        <v>-97.81594313786313</v>
      </c>
      <c r="AF19" s="138">
        <f t="shared" si="6"/>
        <v>-97.247920910041202</v>
      </c>
      <c r="AG19" s="138">
        <f t="shared" si="7"/>
        <v>-96.566095728181395</v>
      </c>
      <c r="AH19" s="138">
        <f t="shared" si="8"/>
        <v>-95.747677567927042</v>
      </c>
      <c r="AI19" s="138">
        <f t="shared" si="9"/>
        <v>-94.763386863329586</v>
      </c>
      <c r="AJ19" s="138">
        <f t="shared" si="10"/>
        <v>-93.574959084229206</v>
      </c>
      <c r="AK19" s="138">
        <f t="shared" si="11"/>
        <v>-92.131431021115645</v>
      </c>
      <c r="AL19" s="138">
        <f t="shared" si="12"/>
        <v>-90.363332056245767</v>
      </c>
      <c r="AM19" s="138">
        <f t="shared" si="13"/>
        <v>-88.173480508155876</v>
      </c>
      <c r="AN19" s="138">
        <f t="shared" si="14"/>
        <v>-85.421823316760452</v>
      </c>
      <c r="AO19" s="138">
        <f t="shared" si="15"/>
        <v>-81.899968173886336</v>
      </c>
      <c r="AP19" s="138">
        <f t="shared" si="16"/>
        <v>-77.288525725458484</v>
      </c>
      <c r="AQ19" s="138" t="e">
        <f t="shared" si="17"/>
        <v>#VALUE!</v>
      </c>
      <c r="AR19" s="138" t="e">
        <f t="shared" si="18"/>
        <v>#VALUE!</v>
      </c>
      <c r="AS19" s="138" t="e">
        <f t="shared" si="19"/>
        <v>#VALUE!</v>
      </c>
      <c r="AT19" s="138" t="e">
        <f t="shared" si="20"/>
        <v>#VALUE!</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100.00000000000013</v>
      </c>
      <c r="C20" s="80">
        <f t="shared" si="27"/>
        <v>99.68157196246554</v>
      </c>
      <c r="D20" s="80">
        <f t="shared" si="27"/>
        <v>99.293483827626858</v>
      </c>
      <c r="E20" s="80">
        <f t="shared" si="27"/>
        <v>98.824098263734555</v>
      </c>
      <c r="F20" s="80">
        <f t="shared" si="27"/>
        <v>98.259034329469927</v>
      </c>
      <c r="G20" s="80">
        <f t="shared" si="27"/>
        <v>97.580316130964349</v>
      </c>
      <c r="H20" s="80">
        <f t="shared" si="27"/>
        <v>96.765167973738031</v>
      </c>
      <c r="I20" s="80">
        <f t="shared" si="27"/>
        <v>95.784323144723203</v>
      </c>
      <c r="J20" s="80">
        <f t="shared" si="27"/>
        <v>94.599518687526796</v>
      </c>
      <c r="K20" s="80">
        <f t="shared" si="27"/>
        <v>93.159740399197787</v>
      </c>
      <c r="L20" s="80">
        <f t="shared" si="27"/>
        <v>91.395422481714448</v>
      </c>
      <c r="M20" s="80">
        <f t="shared" si="27"/>
        <v>89.209177309842602</v>
      </c>
      <c r="N20" s="80">
        <f t="shared" si="27"/>
        <v>86.46057596821295</v>
      </c>
      <c r="O20" s="80">
        <f t="shared" si="27"/>
        <v>82.940606043189263</v>
      </c>
      <c r="P20" s="80">
        <f t="shared" si="27"/>
        <v>78.329014378477453</v>
      </c>
      <c r="Q20" s="80">
        <f t="shared" si="27"/>
        <v>72.129041630413511</v>
      </c>
      <c r="R20" s="80">
        <f t="shared" si="27"/>
        <v>63.603996796458304</v>
      </c>
      <c r="S20" s="80">
        <f t="shared" si="27"/>
        <v>51.879980000162085</v>
      </c>
      <c r="T20" s="80">
        <f t="shared" si="27"/>
        <v>36.592539631425701</v>
      </c>
      <c r="U20" s="80">
        <f t="shared" si="27"/>
        <v>18.739103396881042</v>
      </c>
      <c r="V20" s="80">
        <f t="shared" si="27"/>
        <v>15.017300431364248</v>
      </c>
      <c r="W20" s="80">
        <f t="shared" si="27"/>
        <v>11.274873692666064</v>
      </c>
      <c r="X20" s="80">
        <f t="shared" si="27"/>
        <v>7.5206678411811998</v>
      </c>
      <c r="Y20" s="80">
        <f t="shared" si="27"/>
        <v>3.7610874875399576</v>
      </c>
      <c r="Z20" s="138"/>
      <c r="AA20" t="s">
        <v>93</v>
      </c>
      <c r="AB20" s="138">
        <f t="shared" si="2"/>
        <v>-99.000000000000128</v>
      </c>
      <c r="AC20" s="138">
        <f t="shared" si="3"/>
        <v>-98.68157196246554</v>
      </c>
      <c r="AD20" s="138">
        <f t="shared" si="4"/>
        <v>-98.293483827626858</v>
      </c>
      <c r="AE20" s="138">
        <f t="shared" si="5"/>
        <v>-97.824098263734555</v>
      </c>
      <c r="AF20" s="138">
        <f t="shared" si="6"/>
        <v>-97.259034329469927</v>
      </c>
      <c r="AG20" s="138">
        <f t="shared" si="7"/>
        <v>-96.580316130964349</v>
      </c>
      <c r="AH20" s="138">
        <f t="shared" si="8"/>
        <v>-95.765167973738031</v>
      </c>
      <c r="AI20" s="138">
        <f t="shared" si="9"/>
        <v>-94.784323144723203</v>
      </c>
      <c r="AJ20" s="138">
        <f t="shared" si="10"/>
        <v>-93.599518687526796</v>
      </c>
      <c r="AK20" s="138">
        <f t="shared" si="11"/>
        <v>-92.159740399197787</v>
      </c>
      <c r="AL20" s="138">
        <f t="shared" si="12"/>
        <v>-90.395422481714448</v>
      </c>
      <c r="AM20" s="138">
        <f t="shared" si="13"/>
        <v>-88.209177309842602</v>
      </c>
      <c r="AN20" s="138">
        <f t="shared" si="14"/>
        <v>-85.46057596821295</v>
      </c>
      <c r="AO20" s="138">
        <f t="shared" si="15"/>
        <v>-81.940606043189263</v>
      </c>
      <c r="AP20" s="138">
        <f t="shared" si="16"/>
        <v>-77.329014378477453</v>
      </c>
      <c r="AQ20" s="138">
        <f t="shared" si="17"/>
        <v>-71.129041630413511</v>
      </c>
      <c r="AR20" s="138">
        <f t="shared" si="18"/>
        <v>-62.603996796458304</v>
      </c>
      <c r="AS20" s="138">
        <f t="shared" si="19"/>
        <v>-50.879980000162085</v>
      </c>
      <c r="AT20" s="138">
        <f t="shared" si="20"/>
        <v>-35.592539631425701</v>
      </c>
      <c r="AU20" s="138"/>
      <c r="AV20" s="138"/>
      <c r="AW20" s="138"/>
      <c r="AX20" s="138"/>
      <c r="AY20" s="138"/>
    </row>
    <row r="21" spans="1:51" x14ac:dyDescent="0.2">
      <c r="A21" t="str">
        <f t="shared" si="0"/>
        <v>Keynes-Kaldor</v>
      </c>
      <c r="B21" s="80">
        <f t="shared" ref="B21:Y21" si="28">IF(B6&gt;0,100*B6,"")</f>
        <v>100.00000000000013</v>
      </c>
      <c r="C21" s="80">
        <f t="shared" si="28"/>
        <v>100.45152573584284</v>
      </c>
      <c r="D21" s="80">
        <f t="shared" si="28"/>
        <v>100.72727008852038</v>
      </c>
      <c r="E21" s="80">
        <f t="shared" si="28"/>
        <v>100.82509249602765</v>
      </c>
      <c r="F21" s="80">
        <f t="shared" si="28"/>
        <v>100.73531670117302</v>
      </c>
      <c r="G21" s="80">
        <f t="shared" si="28"/>
        <v>100.44053815843976</v>
      </c>
      <c r="H21" s="80">
        <f t="shared" si="28"/>
        <v>99.914690525422273</v>
      </c>
      <c r="I21" s="80">
        <f t="shared" si="28"/>
        <v>99.120942212829647</v>
      </c>
      <c r="J21" s="80">
        <f t="shared" si="28"/>
        <v>98.008517334399983</v>
      </c>
      <c r="K21" s="80">
        <f t="shared" si="28"/>
        <v>96.507675696208423</v>
      </c>
      <c r="L21" s="80">
        <f t="shared" si="28"/>
        <v>94.521912562208911</v>
      </c>
      <c r="M21" s="80">
        <f t="shared" si="28"/>
        <v>91.915869364697443</v>
      </c>
      <c r="N21" s="80">
        <f t="shared" si="28"/>
        <v>88.49651599254905</v>
      </c>
      <c r="O21" s="80">
        <f t="shared" si="28"/>
        <v>83.984636075595915</v>
      </c>
      <c r="P21" s="80">
        <f t="shared" si="28"/>
        <v>77.976469840069939</v>
      </c>
      <c r="Q21" s="80" t="str">
        <f t="shared" si="28"/>
        <v/>
      </c>
      <c r="R21" s="80" t="str">
        <f t="shared" si="28"/>
        <v/>
      </c>
      <c r="S21" s="80" t="str">
        <f t="shared" si="28"/>
        <v/>
      </c>
      <c r="T21" s="80" t="str">
        <f t="shared" si="28"/>
        <v/>
      </c>
      <c r="U21" s="80" t="str">
        <f t="shared" si="28"/>
        <v/>
      </c>
      <c r="V21" s="80" t="str">
        <f t="shared" si="28"/>
        <v/>
      </c>
      <c r="W21" s="80" t="str">
        <f t="shared" si="28"/>
        <v/>
      </c>
      <c r="X21" s="80" t="str">
        <f t="shared" si="28"/>
        <v/>
      </c>
      <c r="Y21" s="80" t="str">
        <f t="shared" si="28"/>
        <v/>
      </c>
      <c r="Z21" s="138"/>
      <c r="AA21" t="s">
        <v>95</v>
      </c>
      <c r="AB21" s="138">
        <f t="shared" si="2"/>
        <v>-99.000000000000128</v>
      </c>
      <c r="AC21" s="138">
        <f t="shared" si="3"/>
        <v>-99.451525735842836</v>
      </c>
      <c r="AD21" s="138">
        <f t="shared" si="4"/>
        <v>-99.727270088520385</v>
      </c>
      <c r="AE21" s="138">
        <f t="shared" si="5"/>
        <v>-99.825092496027651</v>
      </c>
      <c r="AF21" s="138">
        <f t="shared" si="6"/>
        <v>-99.735316701173019</v>
      </c>
      <c r="AG21" s="138">
        <f t="shared" si="7"/>
        <v>-99.440538158439765</v>
      </c>
      <c r="AH21" s="138">
        <f t="shared" si="8"/>
        <v>-98.914690525422273</v>
      </c>
      <c r="AI21" s="138">
        <f t="shared" si="9"/>
        <v>-98.120942212829647</v>
      </c>
      <c r="AJ21" s="138">
        <f t="shared" si="10"/>
        <v>-97.008517334399983</v>
      </c>
      <c r="AK21" s="138">
        <f t="shared" si="11"/>
        <v>-95.507675696208423</v>
      </c>
      <c r="AL21" s="138">
        <f t="shared" si="12"/>
        <v>-93.521912562208911</v>
      </c>
      <c r="AM21" s="138">
        <f t="shared" si="13"/>
        <v>-90.915869364697443</v>
      </c>
      <c r="AN21" s="138">
        <f t="shared" si="14"/>
        <v>-87.49651599254905</v>
      </c>
      <c r="AO21" s="138">
        <f t="shared" si="15"/>
        <v>-82.984636075595915</v>
      </c>
      <c r="AP21" s="138">
        <f t="shared" si="16"/>
        <v>-76.976469840069939</v>
      </c>
      <c r="AQ21" s="138"/>
      <c r="AR21" s="138"/>
      <c r="AS21" s="138"/>
      <c r="AT21" s="138"/>
      <c r="AU21" s="138"/>
      <c r="AV21" s="138"/>
      <c r="AW21" s="138"/>
      <c r="AX21" s="138"/>
      <c r="AY21" s="138"/>
    </row>
    <row r="22" spans="1:51" x14ac:dyDescent="0.2">
      <c r="A22" t="str">
        <f t="shared" si="0"/>
        <v>Keynes-Marshall</v>
      </c>
      <c r="B22" s="80">
        <f t="shared" ref="B22:Y22" si="29">IF(B7&gt;0,100*B7,"")</f>
        <v>100.00000000000013</v>
      </c>
      <c r="C22" s="80">
        <f t="shared" si="29"/>
        <v>100.52197694747844</v>
      </c>
      <c r="D22" s="80">
        <f t="shared" si="29"/>
        <v>100.99380218966836</v>
      </c>
      <c r="E22" s="80">
        <f t="shared" si="29"/>
        <v>101.40773656668654</v>
      </c>
      <c r="F22" s="80">
        <f t="shared" si="29"/>
        <v>101.75361208923994</v>
      </c>
      <c r="G22" s="80">
        <f t="shared" si="29"/>
        <v>102.01788026762574</v>
      </c>
      <c r="H22" s="80">
        <f t="shared" si="29"/>
        <v>102.18225381459374</v>
      </c>
      <c r="I22" s="80">
        <f t="shared" si="29"/>
        <v>102.22155797930878</v>
      </c>
      <c r="J22" s="80">
        <f t="shared" si="29"/>
        <v>102.10034708544976</v>
      </c>
      <c r="K22" s="80">
        <f t="shared" si="29"/>
        <v>101.76732709979048</v>
      </c>
      <c r="L22" s="80">
        <f t="shared" si="29"/>
        <v>101.14543952710852</v>
      </c>
      <c r="M22" s="80" t="str">
        <f t="shared" si="29"/>
        <v/>
      </c>
      <c r="N22" s="80" t="str">
        <f t="shared" si="29"/>
        <v/>
      </c>
      <c r="O22" s="80" t="str">
        <f t="shared" si="29"/>
        <v/>
      </c>
      <c r="P22" s="80" t="str">
        <f t="shared" si="29"/>
        <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-99.000000000000128</v>
      </c>
      <c r="AC22" s="138">
        <f t="shared" si="3"/>
        <v>-99.521976947478436</v>
      </c>
      <c r="AD22" s="138">
        <f t="shared" si="4"/>
        <v>-99.993802189668358</v>
      </c>
      <c r="AE22" s="138">
        <f t="shared" si="5"/>
        <v>-100.40773656668654</v>
      </c>
      <c r="AF22" s="138">
        <f t="shared" si="6"/>
        <v>-100.75361208923994</v>
      </c>
      <c r="AG22" s="138">
        <f t="shared" si="7"/>
        <v>-101.01788026762574</v>
      </c>
      <c r="AH22" s="138">
        <f t="shared" si="8"/>
        <v>-101.18225381459374</v>
      </c>
      <c r="AI22" s="138">
        <f t="shared" si="9"/>
        <v>-101.22155797930878</v>
      </c>
      <c r="AJ22" s="138">
        <f t="shared" si="10"/>
        <v>-101.10034708544976</v>
      </c>
      <c r="AK22" s="138">
        <f t="shared" si="11"/>
        <v>-100.76732709979048</v>
      </c>
      <c r="AL22" s="138">
        <f t="shared" si="12"/>
        <v>-100.14543952710852</v>
      </c>
      <c r="AM22" s="138" t="e">
        <f t="shared" si="13"/>
        <v>#VALUE!</v>
      </c>
      <c r="AN22" s="138" t="e">
        <f t="shared" si="14"/>
        <v>#VALUE!</v>
      </c>
      <c r="AO22" s="138" t="e">
        <f t="shared" si="15"/>
        <v>#VALUE!</v>
      </c>
      <c r="AP22" s="138" t="e">
        <f t="shared" si="16"/>
        <v>#VALUE!</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100.00000000000013</v>
      </c>
      <c r="C23" s="80">
        <f>IF(C8&gt;0,100*C8,"")</f>
        <v>97.045746070851322</v>
      </c>
      <c r="D23" s="80">
        <f t="shared" si="30"/>
        <v>93.588646389055143</v>
      </c>
      <c r="E23" s="80">
        <f t="shared" si="30"/>
        <v>89.648501124606113</v>
      </c>
      <c r="F23" s="80">
        <f t="shared" si="30"/>
        <v>85.282446536191898</v>
      </c>
      <c r="G23" s="80">
        <f t="shared" si="30"/>
        <v>80.582220691359211</v>
      </c>
      <c r="H23" s="80">
        <f t="shared" si="30"/>
        <v>75.681746463460414</v>
      </c>
      <c r="I23" s="80">
        <f t="shared" si="30"/>
        <v>70.849453836529662</v>
      </c>
      <c r="J23" s="80" t="str">
        <f t="shared" si="30"/>
        <v/>
      </c>
      <c r="K23" s="80" t="str">
        <f t="shared" si="30"/>
        <v/>
      </c>
      <c r="L23" s="80" t="str">
        <f t="shared" si="30"/>
        <v/>
      </c>
      <c r="M23" s="80" t="str">
        <f t="shared" si="30"/>
        <v/>
      </c>
      <c r="N23" s="80" t="str">
        <f t="shared" si="30"/>
        <v/>
      </c>
      <c r="O23" s="80" t="str">
        <f t="shared" si="30"/>
        <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-99.000000000000128</v>
      </c>
      <c r="AC23" s="138">
        <f t="shared" si="3"/>
        <v>-96.045746070851322</v>
      </c>
      <c r="AD23" s="138">
        <f t="shared" si="4"/>
        <v>-92.588646389055143</v>
      </c>
      <c r="AE23" s="138">
        <f t="shared" si="5"/>
        <v>-88.648501124606113</v>
      </c>
      <c r="AF23" s="138">
        <f t="shared" si="6"/>
        <v>-84.282446536191898</v>
      </c>
      <c r="AG23" s="138">
        <f t="shared" si="7"/>
        <v>-79.582220691359211</v>
      </c>
      <c r="AH23" s="138">
        <f t="shared" si="8"/>
        <v>-74.681746463460414</v>
      </c>
      <c r="AI23" s="138">
        <f t="shared" si="9"/>
        <v>-69.849453836529662</v>
      </c>
      <c r="AJ23" s="138" t="e">
        <f t="shared" si="10"/>
        <v>#VALUE!</v>
      </c>
      <c r="AK23" s="138" t="e">
        <f t="shared" si="11"/>
        <v>#VALUE!</v>
      </c>
      <c r="AL23" s="138" t="e">
        <f t="shared" si="12"/>
        <v>#VALUE!</v>
      </c>
      <c r="AM23" s="138" t="e">
        <f t="shared" si="13"/>
        <v>#VALUE!</v>
      </c>
      <c r="AN23" s="138" t="e">
        <f t="shared" si="14"/>
        <v>#VALUE!</v>
      </c>
      <c r="AO23" s="138" t="e">
        <f t="shared" si="15"/>
        <v>#VALUE!</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100.00000000000013</v>
      </c>
      <c r="C24" s="80">
        <f t="shared" si="31"/>
        <v>97.218839469782523</v>
      </c>
      <c r="D24" s="80">
        <f t="shared" si="31"/>
        <v>94.082277018003865</v>
      </c>
      <c r="E24" s="80">
        <f t="shared" si="31"/>
        <v>90.584493084174525</v>
      </c>
      <c r="F24" s="80">
        <f t="shared" si="31"/>
        <v>86.743005031216811</v>
      </c>
      <c r="G24" s="80">
        <f t="shared" si="31"/>
        <v>82.60211758025784</v>
      </c>
      <c r="H24" s="80">
        <f t="shared" si="31"/>
        <v>78.232895642627369</v>
      </c>
      <c r="I24" s="80">
        <f t="shared" si="31"/>
        <v>73.728040739948781</v>
      </c>
      <c r="J24" s="80">
        <f t="shared" si="31"/>
        <v>69.191648879904832</v>
      </c>
      <c r="K24" s="80">
        <f t="shared" si="31"/>
        <v>64.723885235900767</v>
      </c>
      <c r="L24" s="80">
        <f t="shared" si="31"/>
        <v>60.404231960048406</v>
      </c>
      <c r="M24" s="80">
        <f t="shared" si="31"/>
        <v>56.278281205438319</v>
      </c>
      <c r="N24" s="80">
        <f t="shared" si="31"/>
        <v>52.352813976659831</v>
      </c>
      <c r="O24" s="80">
        <f t="shared" si="31"/>
        <v>48.597694300063736</v>
      </c>
      <c r="P24" s="80">
        <f t="shared" si="31"/>
        <v>44.947858689503704</v>
      </c>
      <c r="Q24" s="80">
        <f t="shared" si="31"/>
        <v>41.295050483429279</v>
      </c>
      <c r="R24" s="80">
        <f t="shared" si="31"/>
        <v>37.447182361472251</v>
      </c>
      <c r="S24" s="80">
        <f t="shared" si="31"/>
        <v>32.983834477939745</v>
      </c>
      <c r="T24" s="80">
        <f t="shared" si="31"/>
        <v>26.89207748427706</v>
      </c>
      <c r="U24" s="80">
        <f t="shared" si="31"/>
        <v>17.65706447529352</v>
      </c>
      <c r="V24" s="80">
        <f t="shared" si="31"/>
        <v>15.247999110778011</v>
      </c>
      <c r="W24" s="80" t="str">
        <f t="shared" si="31"/>
        <v/>
      </c>
      <c r="X24" s="80" t="str">
        <f t="shared" si="31"/>
        <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100.00000000000013</v>
      </c>
      <c r="C25" s="80">
        <f t="shared" si="32"/>
        <v>97.688955908214481</v>
      </c>
      <c r="D25" s="80">
        <f t="shared" si="32"/>
        <v>95.126752914313954</v>
      </c>
      <c r="E25" s="80">
        <f t="shared" si="32"/>
        <v>92.289922165572563</v>
      </c>
      <c r="F25" s="80">
        <f t="shared" si="32"/>
        <v>89.157388743546036</v>
      </c>
      <c r="G25" s="80">
        <f t="shared" si="32"/>
        <v>85.711903098205795</v>
      </c>
      <c r="H25" s="80">
        <f t="shared" si="32"/>
        <v>81.941425115386963</v>
      </c>
      <c r="I25" s="80">
        <f t="shared" si="32"/>
        <v>77.840149953168265</v>
      </c>
      <c r="J25" s="80">
        <f t="shared" si="32"/>
        <v>73.408775218028154</v>
      </c>
      <c r="K25" s="80">
        <f t="shared" si="32"/>
        <v>68.654260585672944</v>
      </c>
      <c r="L25" s="80">
        <f t="shared" si="32"/>
        <v>63.588934143402639</v>
      </c>
      <c r="M25" s="80">
        <f t="shared" si="32"/>
        <v>58.229252433607762</v>
      </c>
      <c r="N25" s="80">
        <f t="shared" si="32"/>
        <v>52.594405541639219</v>
      </c>
      <c r="O25" s="80">
        <f t="shared" si="32"/>
        <v>46.705001675430061</v>
      </c>
      <c r="P25" s="80">
        <f t="shared" si="32"/>
        <v>40.582080632892549</v>
      </c>
      <c r="Q25" s="80">
        <f t="shared" si="32"/>
        <v>34.246062754084022</v>
      </c>
      <c r="R25" s="80">
        <f t="shared" si="32"/>
        <v>27.716438703973662</v>
      </c>
      <c r="S25" s="80">
        <f t="shared" si="32"/>
        <v>21.011259914170587</v>
      </c>
      <c r="T25" s="80">
        <f t="shared" si="32"/>
        <v>14.147073926515436</v>
      </c>
      <c r="U25" s="80">
        <f t="shared" si="32"/>
        <v>7.1388421859796551</v>
      </c>
      <c r="V25" s="80">
        <f t="shared" si="32"/>
        <v>5.7211166604077297</v>
      </c>
      <c r="W25" s="80">
        <f t="shared" si="32"/>
        <v>4.2982749638457936</v>
      </c>
      <c r="X25" s="80">
        <f t="shared" si="32"/>
        <v>2.8704107620616535</v>
      </c>
      <c r="Y25" s="80">
        <f t="shared" si="32"/>
        <v>1.4376210460456951</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7.7456999506801946E-2</v>
      </c>
      <c r="D34" s="80">
        <f>NeoClassical!F2</f>
        <v>0.15701486355382602</v>
      </c>
      <c r="E34" s="80">
        <f>NeoClassical!H2</f>
        <v>0.24565160259167956</v>
      </c>
      <c r="F34" s="80">
        <f>NeoClassical!J2</f>
        <v>0.34483352092445985</v>
      </c>
      <c r="G34" s="80">
        <f>NeoClassical!L2</f>
        <v>0.45637135858521649</v>
      </c>
      <c r="H34" s="80">
        <f>NeoClassical!N2</f>
        <v>0.58254476447318948</v>
      </c>
      <c r="I34" s="80">
        <f>NeoClassical!P2</f>
        <v>0.7262949077138241</v>
      </c>
      <c r="J34" s="80">
        <f>NeoClassical!R2</f>
        <v>0.89153212132553439</v>
      </c>
      <c r="K34" s="80">
        <f>NeoClassical!T2</f>
        <v>1.083651388374655</v>
      </c>
      <c r="L34" s="80">
        <f>NeoClassical!V2</f>
        <v>1.3104238433767894</v>
      </c>
      <c r="M34" s="80">
        <f>NeoClassical!X2</f>
        <v>1.5836180929744104</v>
      </c>
      <c r="N34" s="80">
        <f>NeoClassical!Z2</f>
        <v>1.9220754484441471</v>
      </c>
      <c r="O34" s="80">
        <f>NeoClassical!AB2</f>
        <v>2.3578329180669262</v>
      </c>
      <c r="P34" s="80">
        <f>NeoClassical!AD2</f>
        <v>2.9488710844057611</v>
      </c>
      <c r="Q34" s="80">
        <f>NeoClassical!AF2</f>
        <v>3.8061317405656325</v>
      </c>
      <c r="R34" s="80">
        <f>NeoClassical!AH2</f>
        <v>5.1452305527836799</v>
      </c>
      <c r="S34" s="80">
        <f>NeoClassical!AJ2</f>
        <v>7.3229752147538365</v>
      </c>
      <c r="T34" s="80">
        <f>NeoClassical!AL2</f>
        <v>10.448881323215055</v>
      </c>
      <c r="U34" s="80">
        <f>NeoClassical!AN2</f>
        <v>13.021152217325033</v>
      </c>
      <c r="V34" s="80">
        <f>NeoClassical!AP2</f>
        <v>13.269513589708462</v>
      </c>
      <c r="W34" s="80">
        <f>NeoClassical!AR2</f>
        <v>13.426427188719124</v>
      </c>
      <c r="X34" s="80">
        <f>NeoClassical!AT2</f>
        <v>13.508925664065851</v>
      </c>
      <c r="Y34" s="80">
        <f>NeoClassical!AV2</f>
        <v>13.539648588010913</v>
      </c>
      <c r="Z34" s="138"/>
    </row>
    <row r="35" spans="1:26" x14ac:dyDescent="0.2">
      <c r="A35" t="str">
        <f t="shared" ref="A35:A42" si="34">A4</f>
        <v>Kaldorian</v>
      </c>
      <c r="B35" s="80">
        <f>Kaldorian!B2</f>
        <v>5.7716594496607888E-3</v>
      </c>
      <c r="C35" s="80">
        <f>Kaldorian!D2</f>
        <v>8.4163688595046235E-2</v>
      </c>
      <c r="D35" s="80">
        <f>Kaldorian!F2</f>
        <v>0.17133023591262547</v>
      </c>
      <c r="E35" s="80">
        <f>Kaldorian!H2</f>
        <v>0.26860600590109218</v>
      </c>
      <c r="F35" s="80">
        <f>Kaldorian!J2</f>
        <v>0.37760752664307495</v>
      </c>
      <c r="G35" s="80">
        <f>Kaldorian!L2</f>
        <v>0.5003264951236438</v>
      </c>
      <c r="H35" s="80">
        <f>Kaldorian!N2</f>
        <v>0.63926903924058043</v>
      </c>
      <c r="I35" s="80">
        <f>Kaldorian!P2</f>
        <v>0.79767074079111611</v>
      </c>
      <c r="J35" s="80">
        <f>Kaldorian!R2</f>
        <v>0.97984912373067801</v>
      </c>
      <c r="K35" s="80">
        <f>Kaldorian!T2</f>
        <v>1.191800705201413</v>
      </c>
      <c r="L35" s="80">
        <f>Kaldorian!V2</f>
        <v>1.4422478248964674</v>
      </c>
      <c r="M35" s="80">
        <f>Kaldorian!X2</f>
        <v>1.7445611838056605</v>
      </c>
      <c r="N35" s="80">
        <f>Kaldorian!Z2</f>
        <v>2.1204236599043731</v>
      </c>
      <c r="O35" s="80">
        <f>Kaldorian!AB2</f>
        <v>2.6071111616085711</v>
      </c>
      <c r="P35" s="80">
        <f>Kaldorian!AD2</f>
        <v>3.2723577481742501</v>
      </c>
      <c r="Q35" s="80">
        <f>Kaldorian!AF2</f>
        <v>0</v>
      </c>
      <c r="R35" s="80">
        <f>Kaldorian!AH2</f>
        <v>0</v>
      </c>
      <c r="S35" s="80">
        <f>Kaldorian!AJ2</f>
        <v>0</v>
      </c>
      <c r="T35" s="80">
        <f>Kaldorian!AL2</f>
        <v>0</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8.1904686662904153E-2</v>
      </c>
      <c r="D36" s="80">
        <f>Johansen!F2</f>
        <v>0.16646224574715474</v>
      </c>
      <c r="E36" s="80">
        <f>Johansen!H2</f>
        <v>0.26073310133801625</v>
      </c>
      <c r="F36" s="80">
        <f>Johansen!J2</f>
        <v>0.36628556123308209</v>
      </c>
      <c r="G36" s="80">
        <f>Johansen!L2</f>
        <v>0.48506195085474318</v>
      </c>
      <c r="H36" s="80">
        <f>Johansen!N2</f>
        <v>0.61951864553686842</v>
      </c>
      <c r="I36" s="80">
        <f>Johansen!P2</f>
        <v>0.77284717843049755</v>
      </c>
      <c r="J36" s="80">
        <f>Johansen!R2</f>
        <v>0.94932939667664495</v>
      </c>
      <c r="K36" s="80">
        <f>Johansen!T2</f>
        <v>1.1549440011012087</v>
      </c>
      <c r="L36" s="80">
        <f>Johansen!V2</f>
        <v>1.3984213695796845</v>
      </c>
      <c r="M36" s="80">
        <f>Johansen!X2</f>
        <v>1.6931786644963025</v>
      </c>
      <c r="N36" s="80">
        <f>Johansen!Z2</f>
        <v>2.0610032359315995</v>
      </c>
      <c r="O36" s="80">
        <f>Johansen!AB2</f>
        <v>2.5393655196966551</v>
      </c>
      <c r="P36" s="80">
        <f>Johansen!AD2</f>
        <v>3.1963589582455687</v>
      </c>
      <c r="Q36" s="80">
        <f>Johansen!AF2</f>
        <v>4.1602823248980201</v>
      </c>
      <c r="R36" s="80">
        <f>Johansen!AH2</f>
        <v>5.662806046774107</v>
      </c>
      <c r="S36" s="80">
        <f>Johansen!AJ2</f>
        <v>7.9899152464399377</v>
      </c>
      <c r="T36" s="80">
        <f>Johansen!AL2</f>
        <v>10.892795123167994</v>
      </c>
      <c r="U36" s="80">
        <f>Johansen!AN2</f>
        <v>12.857819227616822</v>
      </c>
      <c r="V36" s="80">
        <f>Johansen!AP2</f>
        <v>13.028496343992938</v>
      </c>
      <c r="W36" s="80">
        <f>Johansen!AR2</f>
        <v>13.134690464746724</v>
      </c>
      <c r="X36" s="80">
        <f>Johansen!AT2</f>
        <v>13.190018479221951</v>
      </c>
      <c r="Y36" s="80">
        <f>Johansen!AV2</f>
        <v>13.210534512664175</v>
      </c>
      <c r="Z36" s="138"/>
    </row>
    <row r="37" spans="1:26" x14ac:dyDescent="0.2">
      <c r="A37" t="str">
        <f t="shared" si="34"/>
        <v>Keynes-Kaldor</v>
      </c>
      <c r="B37" s="80">
        <f>'Keynes-K'!B2</f>
        <v>5.7716594496607888E-3</v>
      </c>
      <c r="C37" s="80">
        <f>'Keynes-K'!D2</f>
        <v>9.5789084715243486E-2</v>
      </c>
      <c r="D37" s="80">
        <f>'Keynes-K'!F2</f>
        <v>0.19469904448168196</v>
      </c>
      <c r="E37" s="80">
        <f>'Keynes-K'!H2</f>
        <v>0.30391861833573797</v>
      </c>
      <c r="F37" s="80">
        <f>'Keynes-K'!J2</f>
        <v>0.42510164543286805</v>
      </c>
      <c r="G37" s="80">
        <f>'Keynes-K'!L2</f>
        <v>0.56022480645674988</v>
      </c>
      <c r="H37" s="80">
        <f>'Keynes-K'!N2</f>
        <v>0.71171900884881101</v>
      </c>
      <c r="I37" s="80">
        <f>'Keynes-K'!P2</f>
        <v>0.8826504821801896</v>
      </c>
      <c r="J37" s="80">
        <f>'Keynes-K'!R2</f>
        <v>1.0770129999184945</v>
      </c>
      <c r="K37" s="80">
        <f>'Keynes-K'!T2</f>
        <v>1.3001813177667549</v>
      </c>
      <c r="L37" s="80">
        <f>'Keynes-K'!V2</f>
        <v>1.5596165819632959</v>
      </c>
      <c r="M37" s="80">
        <f>'Keynes-K'!X2</f>
        <v>1.8659214727085738</v>
      </c>
      <c r="N37" s="80">
        <f>'Keynes-K'!Z2</f>
        <v>2.2342183008288981</v>
      </c>
      <c r="O37" s="80">
        <f>'Keynes-K'!AB2</f>
        <v>2.6850514877017511</v>
      </c>
      <c r="P37" s="80">
        <f>'Keynes-K'!AD2</f>
        <v>3.2406998599125321</v>
      </c>
      <c r="Q37" s="80">
        <f>'Keynes-K'!AF2</f>
        <v>0</v>
      </c>
      <c r="R37" s="80">
        <f>'Keynes-K'!AH2</f>
        <v>0</v>
      </c>
      <c r="S37" s="80">
        <f>'Keynes-K'!AJ2</f>
        <v>0</v>
      </c>
      <c r="T37" s="80">
        <f>'Keynes-K'!AL2</f>
        <v>0</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8.5548224814154666E-2</v>
      </c>
      <c r="D38" s="80">
        <f>'Keynes-M'!F2</f>
        <v>0.17488472567352645</v>
      </c>
      <c r="E38" s="80">
        <f>'Keynes-M'!H2</f>
        <v>0.27545982506051692</v>
      </c>
      <c r="F38" s="80">
        <f>'Keynes-M'!J2</f>
        <v>0.3893917378851261</v>
      </c>
      <c r="G38" s="80">
        <f>'Keynes-M'!L2</f>
        <v>0.51941738358932632</v>
      </c>
      <c r="H38" s="80">
        <f>'Keynes-M'!N2</f>
        <v>0.66918066311881097</v>
      </c>
      <c r="I38" s="80">
        <f>'Keynes-M'!P2</f>
        <v>0.84370969862639955</v>
      </c>
      <c r="J38" s="80">
        <f>'Keynes-M'!R2</f>
        <v>1.0502463106606832</v>
      </c>
      <c r="K38" s="80">
        <f>'Keynes-M'!T2</f>
        <v>1.299745869038712</v>
      </c>
      <c r="L38" s="80">
        <f>'Keynes-M'!V2</f>
        <v>1.6096584608951114</v>
      </c>
      <c r="M38" s="80">
        <f>'Keynes-M'!X2</f>
        <v>0</v>
      </c>
      <c r="N38" s="80">
        <f>'Keynes-M'!Z2</f>
        <v>0</v>
      </c>
      <c r="O38" s="80">
        <f>'Keynes-M'!AB2</f>
        <v>0</v>
      </c>
      <c r="P38" s="80">
        <f>'Keynes-M'!AD2</f>
        <v>0</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3.9902160681032556E-2</v>
      </c>
      <c r="D39" s="80">
        <f>Keynesian!F2</f>
        <v>7.0436499753707332E-2</v>
      </c>
      <c r="E39" s="80">
        <f>Keynesian!H2</f>
        <v>9.6660977317731434E-2</v>
      </c>
      <c r="F39" s="80">
        <f>Keynesian!J2</f>
        <v>0.11824301775949479</v>
      </c>
      <c r="G39" s="80">
        <f>Keynesian!L2</f>
        <v>0.13520539627668021</v>
      </c>
      <c r="H39" s="80">
        <f>Keynesian!N2</f>
        <v>0.14772196806945284</v>
      </c>
      <c r="I39" s="80">
        <f>Keynesian!P2</f>
        <v>0.15539427325787961</v>
      </c>
      <c r="J39" s="80">
        <f>Keynesian!R2</f>
        <v>0</v>
      </c>
      <c r="K39" s="80">
        <f>Keynesian!T2</f>
        <v>0</v>
      </c>
      <c r="L39" s="80">
        <f>Keynesian!V2</f>
        <v>0</v>
      </c>
      <c r="M39" s="80">
        <f>Keynesian!X2</f>
        <v>0</v>
      </c>
      <c r="N39" s="80">
        <f>Keynesian!Z2</f>
        <v>0</v>
      </c>
      <c r="O39" s="80">
        <f>Keynesian!AB2</f>
        <v>0</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4.3347278632492416E-2</v>
      </c>
      <c r="D40" s="80">
        <f>'Neo-K2'!F2</f>
        <v>7.8836562175367705E-2</v>
      </c>
      <c r="E40" s="80">
        <f>'Neo-K2'!H2</f>
        <v>0.11160353632484372</v>
      </c>
      <c r="F40" s="80">
        <f>'Neo-K2'!J2</f>
        <v>0.14135279255606051</v>
      </c>
      <c r="G40" s="80">
        <f>'Neo-K2'!L2</f>
        <v>0.16834845456716971</v>
      </c>
      <c r="H40" s="80">
        <f>'Neo-K2'!N2</f>
        <v>0.1936539649578233</v>
      </c>
      <c r="I40" s="80">
        <f>'Neo-K2'!P2</f>
        <v>0.21936257717732499</v>
      </c>
      <c r="J40" s="80">
        <f>'Neo-K2'!R2</f>
        <v>0.24880787635849169</v>
      </c>
      <c r="K40" s="80">
        <f>'Neo-K2'!T2</f>
        <v>0.28674616213537124</v>
      </c>
      <c r="L40" s="80">
        <f>'Neo-K2'!V2</f>
        <v>0.339617470548218</v>
      </c>
      <c r="M40" s="80">
        <f>'Neo-K2'!X2</f>
        <v>0.41620239104829926</v>
      </c>
      <c r="N40" s="80">
        <f>'Neo-K2'!Z2</f>
        <v>0.52940040618123629</v>
      </c>
      <c r="O40" s="80">
        <f>'Neo-K2'!AB2</f>
        <v>0.70073512878194311</v>
      </c>
      <c r="P40" s="80">
        <f>'Neo-K2'!AD2</f>
        <v>0.9722117381763663</v>
      </c>
      <c r="Q40" s="80">
        <f>'Neo-K2'!AF2</f>
        <v>1.4429458083909219</v>
      </c>
      <c r="R40" s="80">
        <f>'Neo-K2'!AH2</f>
        <v>2.4181233104441771</v>
      </c>
      <c r="S40" s="80">
        <f>'Neo-K2'!AJ2</f>
        <v>5.3537323627629849</v>
      </c>
      <c r="T40" s="80">
        <f>'Neo-K2'!AL2</f>
        <v>25.448296046134697</v>
      </c>
      <c r="U40" s="80">
        <f>'Neo-K2'!AN2</f>
        <v>1006.3584564894011</v>
      </c>
      <c r="V40" s="80">
        <f>'Neo-K2'!AP2</f>
        <v>3996.4871475383779</v>
      </c>
      <c r="W40" s="80">
        <f>'Neo-K2'!AR2</f>
        <v>0</v>
      </c>
      <c r="X40" s="80">
        <f>'Neo-K2'!AT2</f>
        <v>0</v>
      </c>
      <c r="Y40" s="80">
        <f>'Neo-K2'!AV2</f>
        <v>0</v>
      </c>
    </row>
    <row r="41" spans="1:26" x14ac:dyDescent="0.2">
      <c r="A41" t="str">
        <f t="shared" si="34"/>
        <v>Neo-K1</v>
      </c>
      <c r="B41" s="80">
        <f>'Neo-K1'!B2</f>
        <v>5.7716594496607888E-3</v>
      </c>
      <c r="C41" s="80">
        <f>'Neo-K1'!D2</f>
        <v>5.3529323205677298E-2</v>
      </c>
      <c r="D41" s="80">
        <f>'Neo-K1'!F2</f>
        <v>0.1027202462731281</v>
      </c>
      <c r="E41" s="80">
        <f>'Neo-K1'!H2</f>
        <v>0.15300482499341639</v>
      </c>
      <c r="F41" s="80">
        <f>'Neo-K1'!J2</f>
        <v>0.20398321246897699</v>
      </c>
      <c r="G41" s="80">
        <f>'Neo-K1'!L2</f>
        <v>0.25520666661394764</v>
      </c>
      <c r="H41" s="80">
        <f>'Neo-K1'!N2</f>
        <v>0.30621056241061811</v>
      </c>
      <c r="I41" s="80">
        <f>'Neo-K1'!P2</f>
        <v>0.3565355051045756</v>
      </c>
      <c r="J41" s="80">
        <f>'Neo-K1'!R2</f>
        <v>0.40576532515271035</v>
      </c>
      <c r="K41" s="80">
        <f>'Neo-K1'!T2</f>
        <v>0.45354620162225967</v>
      </c>
      <c r="L41" s="80">
        <f>'Neo-K1'!V2</f>
        <v>0.49960233693927764</v>
      </c>
      <c r="M41" s="80">
        <f>'Neo-K1'!X2</f>
        <v>0.54373977893459624</v>
      </c>
      <c r="N41" s="80">
        <f>'Neo-K1'!Z2</f>
        <v>0.58584369372127687</v>
      </c>
      <c r="O41" s="80">
        <f>'Neo-K1'!AB2</f>
        <v>0.62586681728579774</v>
      </c>
      <c r="P41" s="80">
        <f>'Neo-K1'!AD2</f>
        <v>0.66381704147953513</v>
      </c>
      <c r="Q41" s="80">
        <f>'Neo-K1'!AF2</f>
        <v>0.69974341689044217</v>
      </c>
      <c r="R41" s="80">
        <f>'Neo-K1'!AH2</f>
        <v>0.73372370534632803</v>
      </c>
      <c r="S41" s="80">
        <f>'Neo-K1'!AJ2</f>
        <v>0.7658543745548293</v>
      </c>
      <c r="T41" s="80">
        <f>'Neo-K1'!AL2</f>
        <v>0.79624169690128699</v>
      </c>
      <c r="U41" s="80">
        <f>'Neo-K1'!AN2</f>
        <v>0.82499607295179267</v>
      </c>
      <c r="V41" s="80">
        <f>'Neo-K1'!AP2</f>
        <v>0.8305607326658172</v>
      </c>
      <c r="W41" s="80">
        <f>'Neo-K1'!AR2</f>
        <v>0.83606534052001746</v>
      </c>
      <c r="X41" s="80">
        <f>'Neo-K1'!AT2</f>
        <v>0.84151078259670964</v>
      </c>
      <c r="Y41" s="80">
        <f>'Neo-K1'!AV2</f>
        <v>0.84689790971568779</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0.56058995943839085</v>
      </c>
      <c r="C49" s="195">
        <f>NeoClassical!D$43</f>
        <v>0.56448403763661104</v>
      </c>
      <c r="D49" s="195">
        <f>NeoClassical!F$43</f>
        <v>0.5617616816694353</v>
      </c>
      <c r="E49" s="195">
        <f>NeoClassical!H$43</f>
        <v>0.55903372794973993</v>
      </c>
      <c r="F49" s="195">
        <f>NeoClassical!J$43</f>
        <v>0.55630047463522736</v>
      </c>
      <c r="G49" s="195">
        <f>NeoClassical!L$43</f>
        <v>0.5535623084973138</v>
      </c>
      <c r="H49" s="195">
        <f>NeoClassical!N$43</f>
        <v>0.55081985049006976</v>
      </c>
      <c r="I49" s="195">
        <f>NeoClassical!P$43</f>
        <v>0.54807416433650158</v>
      </c>
      <c r="J49" s="195">
        <f>NeoClassical!R$43</f>
        <v>0.54532715895045847</v>
      </c>
      <c r="K49" s="195">
        <f>NeoClassical!T$43</f>
        <v>0.54258234836523933</v>
      </c>
      <c r="L49" s="195">
        <f>NeoClassical!V$43</f>
        <v>0.53984619727021621</v>
      </c>
      <c r="M49" s="195">
        <f>NeoClassical!X$43</f>
        <v>0.53713037810406561</v>
      </c>
      <c r="N49" s="195">
        <f>NeoClassical!Z$43</f>
        <v>0.53445563802369822</v>
      </c>
      <c r="O49" s="195">
        <f>NeoClassical!AB$43</f>
        <v>0.53185816863592117</v>
      </c>
      <c r="P49" s="195">
        <f>NeoClassical!AD$43</f>
        <v>0.52939944347528956</v>
      </c>
      <c r="Q49" s="195">
        <f>NeoClassical!AF$43</f>
        <v>0.52717920309263488</v>
      </c>
      <c r="R49" s="195">
        <f>NeoClassical!AH$43</f>
        <v>0.52534299445108079</v>
      </c>
      <c r="S49" s="195">
        <f>NeoClassical!AJ$43</f>
        <v>0.52404971356876129</v>
      </c>
      <c r="T49" s="195">
        <f>NeoClassical!AL$43</f>
        <v>0.52334718437723526</v>
      </c>
      <c r="U49" s="195">
        <f>NeoClassical!AN$43</f>
        <v>0.52305503787689578</v>
      </c>
      <c r="V49" s="195">
        <f>NeoClassical!AP$43</f>
        <v>0.52301919080834924</v>
      </c>
      <c r="W49" s="195">
        <f>NeoClassical!AR$43</f>
        <v>0.5229843023720766</v>
      </c>
      <c r="X49" s="195">
        <f>NeoClassical!AT$43</f>
        <v>0.52294699545535106</v>
      </c>
      <c r="Y49" s="195">
        <f>NeoClassical!AV$43</f>
        <v>0.52290080507642078</v>
      </c>
      <c r="Z49" s="138"/>
    </row>
    <row r="50" spans="1:26" x14ac:dyDescent="0.2">
      <c r="A50" t="str">
        <f t="shared" si="35"/>
        <v>Kaldorian</v>
      </c>
      <c r="B50" s="195">
        <f>Kaldorian!B$43</f>
        <v>0.56058995943839085</v>
      </c>
      <c r="C50" s="195">
        <f>Kaldorian!D$43</f>
        <v>0.55801240965962196</v>
      </c>
      <c r="D50" s="195">
        <f>Kaldorian!F$43</f>
        <v>0.54798952978394289</v>
      </c>
      <c r="E50" s="195">
        <f>Kaldorian!H$43</f>
        <v>0.53693921184863047</v>
      </c>
      <c r="F50" s="195">
        <f>Kaldorian!J$43</f>
        <v>0.52460743048148106</v>
      </c>
      <c r="G50" s="195">
        <f>Kaldorian!L$43</f>
        <v>0.51065215247636431</v>
      </c>
      <c r="H50" s="195">
        <f>Kaldorian!N$43</f>
        <v>0.49460185102140974</v>
      </c>
      <c r="I50" s="195">
        <f>Kaldorian!P$43</f>
        <v>0.47578955311913584</v>
      </c>
      <c r="J50" s="195">
        <f>Kaldorian!R$43</f>
        <v>0.45324024651568923</v>
      </c>
      <c r="K50" s="195">
        <f>Kaldorian!T$43</f>
        <v>0.42547113329057484</v>
      </c>
      <c r="L50" s="195">
        <f>Kaldorian!V$43</f>
        <v>0.39011345005273762</v>
      </c>
      <c r="M50" s="195">
        <f>Kaldorian!X$43</f>
        <v>0.34313894794893718</v>
      </c>
      <c r="N50" s="195">
        <f>Kaldorian!Z$43</f>
        <v>0.27712179060639025</v>
      </c>
      <c r="O50" s="195">
        <f>Kaldorian!AB$43</f>
        <v>0.17681209851505822</v>
      </c>
      <c r="P50" s="195">
        <f>Kaldorian!AD$43</f>
        <v>5.7553559907766007E-3</v>
      </c>
      <c r="Q50" s="195" t="e">
        <f>Kaldorian!AF$43</f>
        <v>#DIV/0!</v>
      </c>
      <c r="R50" s="195" t="e">
        <f>Kaldorian!AH$43</f>
        <v>#DIV/0!</v>
      </c>
      <c r="S50" s="195" t="e">
        <f>Kaldorian!AJ$43</f>
        <v>#DIV/0!</v>
      </c>
      <c r="T50" s="195" t="e">
        <f>Kaldorian!AL$43</f>
        <v>#DIV/0!</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0.56058995943839085</v>
      </c>
      <c r="C51" s="195">
        <f>Johansen!D$43</f>
        <v>0.56445432904115878</v>
      </c>
      <c r="D51" s="195">
        <f>Johansen!F$43</f>
        <v>0.56170134625276147</v>
      </c>
      <c r="E51" s="195">
        <f>Johansen!H$43</f>
        <v>0.55894176892916581</v>
      </c>
      <c r="F51" s="195">
        <f>Johansen!J$43</f>
        <v>0.55617579392982763</v>
      </c>
      <c r="G51" s="195">
        <f>Johansen!L$43</f>
        <v>0.55340369899187658</v>
      </c>
      <c r="H51" s="195">
        <f>Johansen!N$43</f>
        <v>0.55062603194889059</v>
      </c>
      <c r="I51" s="195">
        <f>Johansen!P$43</f>
        <v>0.54784380451159187</v>
      </c>
      <c r="J51" s="195">
        <f>Johansen!R$43</f>
        <v>0.54505912797836331</v>
      </c>
      <c r="K51" s="195">
        <f>Johansen!T$43</f>
        <v>0.54227600955021071</v>
      </c>
      <c r="L51" s="195">
        <f>Johansen!V$43</f>
        <v>0.53950208149305612</v>
      </c>
      <c r="M51" s="195">
        <f>Johansen!X$43</f>
        <v>0.53675130876640942</v>
      </c>
      <c r="N51" s="195">
        <f>Johansen!Z$43</f>
        <v>0.53404859259757043</v>
      </c>
      <c r="O51" s="195">
        <f>Johansen!AB$43</f>
        <v>0.53143719658050403</v>
      </c>
      <c r="P51" s="195">
        <f>Johansen!AD$43</f>
        <v>0.52898975524523961</v>
      </c>
      <c r="Q51" s="195">
        <f>Johansen!AF$43</f>
        <v>0.5268210743570455</v>
      </c>
      <c r="R51" s="195">
        <f>Johansen!AH$43</f>
        <v>0.52508825881270249</v>
      </c>
      <c r="S51" s="195">
        <f>Johansen!AJ$43</f>
        <v>0.52393265378798648</v>
      </c>
      <c r="T51" s="195">
        <f>Johansen!AL$43</f>
        <v>0.52333705469242797</v>
      </c>
      <c r="U51" s="195">
        <f>Johansen!AN$43</f>
        <v>0.52307783128462226</v>
      </c>
      <c r="V51" s="195">
        <f>Johansen!AP$43</f>
        <v>0.52304154287889992</v>
      </c>
      <c r="W51" s="195">
        <f>Johansen!AR$43</f>
        <v>0.52300470773160379</v>
      </c>
      <c r="X51" s="195">
        <f>Johansen!AT$43</f>
        <v>0.52296407145775547</v>
      </c>
      <c r="Y51" s="195">
        <f>Johansen!AV$43</f>
        <v>0.52291300346897762</v>
      </c>
      <c r="Z51" s="138"/>
    </row>
    <row r="52" spans="1:26" x14ac:dyDescent="0.2">
      <c r="A52" t="str">
        <f t="shared" si="35"/>
        <v>Keynes-Kaldor</v>
      </c>
      <c r="B52" s="195">
        <f>'Keynes-K'!B$43</f>
        <v>0.56058995943839085</v>
      </c>
      <c r="C52" s="195">
        <f>'Keynes-K'!D$43</f>
        <v>0.55666030425497492</v>
      </c>
      <c r="D52" s="195">
        <f>'Keynes-K'!F$43</f>
        <v>0.54530261045316231</v>
      </c>
      <c r="E52" s="195">
        <f>'Keynes-K'!H$43</f>
        <v>0.53289279131231748</v>
      </c>
      <c r="F52" s="195">
        <f>'Keynes-K'!J$43</f>
        <v>0.51913492996285349</v>
      </c>
      <c r="G52" s="195">
        <f>'Keynes-K'!L$43</f>
        <v>0.50364337325667985</v>
      </c>
      <c r="H52" s="195">
        <f>'Keynes-K'!N$43</f>
        <v>0.48589883004422713</v>
      </c>
      <c r="I52" s="195">
        <f>'Keynes-K'!P$43</f>
        <v>0.46518317895343164</v>
      </c>
      <c r="J52" s="195">
        <f>'Keynes-K'!R$43</f>
        <v>0.44047088225727188</v>
      </c>
      <c r="K52" s="195">
        <f>'Keynes-K'!T$43</f>
        <v>0.41024682490867226</v>
      </c>
      <c r="L52" s="195">
        <f>'Keynes-K'!V$43</f>
        <v>0.37218402055530581</v>
      </c>
      <c r="M52" s="195">
        <f>'Keynes-K'!X$43</f>
        <v>0.32255245773296032</v>
      </c>
      <c r="N52" s="195">
        <f>'Keynes-K'!Z$43</f>
        <v>0.25509575727558986</v>
      </c>
      <c r="O52" s="195">
        <f>'Keynes-K'!AB$43</f>
        <v>0.15890756075857373</v>
      </c>
      <c r="P52" s="195">
        <f>'Keynes-K'!AD$43</f>
        <v>1.4955384453835428E-2</v>
      </c>
      <c r="Q52" s="195" t="e">
        <f>'Keynes-K'!AF$43</f>
        <v>#DIV/0!</v>
      </c>
      <c r="R52" s="195" t="e">
        <f>'Keynes-K'!AH$43</f>
        <v>#DIV/0!</v>
      </c>
      <c r="S52" s="195" t="e">
        <f>'Keynes-K'!AJ$43</f>
        <v>#DIV/0!</v>
      </c>
      <c r="T52" s="195" t="e">
        <f>'Keynes-K'!AL$43</f>
        <v>#DIV/0!</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0.56058995943839085</v>
      </c>
      <c r="C53" s="195">
        <f>'Keynes-M'!D$43</f>
        <v>0.58794434838116505</v>
      </c>
      <c r="D53" s="195">
        <f>'Keynes-M'!F$43</f>
        <v>0.61043596589907523</v>
      </c>
      <c r="E53" s="195">
        <f>'Keynes-M'!H$43</f>
        <v>0.63508523045338994</v>
      </c>
      <c r="F53" s="195">
        <f>'Keynes-M'!J$43</f>
        <v>0.66242625421563628</v>
      </c>
      <c r="G53" s="195">
        <f>'Keynes-M'!L$43</f>
        <v>0.6931682488371359</v>
      </c>
      <c r="H53" s="195">
        <f>'Keynes-M'!N$43</f>
        <v>0.72827478177537996</v>
      </c>
      <c r="I53" s="195">
        <f>'Keynes-M'!P$43</f>
        <v>0.76908936262369709</v>
      </c>
      <c r="J53" s="195">
        <f>'Keynes-M'!R$43</f>
        <v>0.81754517501923774</v>
      </c>
      <c r="K53" s="195">
        <f>'Keynes-M'!T$43</f>
        <v>0.87652950806433017</v>
      </c>
      <c r="L53" s="195">
        <f>'Keynes-M'!V$43</f>
        <v>0.95053952103680517</v>
      </c>
      <c r="M53" s="195" t="e">
        <f>'Keynes-M'!X$43</f>
        <v>#DIV/0!</v>
      </c>
      <c r="N53" s="195" t="e">
        <f>'Keynes-M'!Z$43</f>
        <v>#DIV/0!</v>
      </c>
      <c r="O53" s="195" t="e">
        <f>'Keynes-M'!AB$43</f>
        <v>#DIV/0!</v>
      </c>
      <c r="P53" s="195" t="e">
        <f>'Keynes-M'!AD$43</f>
        <v>#DIV/0!</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0.56058995943839085</v>
      </c>
      <c r="C54" s="195">
        <f>Keynesian!D$43</f>
        <v>0.57615000830040608</v>
      </c>
      <c r="D54" s="195">
        <f>Keynesian!F$43</f>
        <v>0.58399989027557619</v>
      </c>
      <c r="E54" s="195">
        <f>Keynesian!H$43</f>
        <v>0.59062160480582204</v>
      </c>
      <c r="F54" s="195">
        <f>Keynesian!J$43</f>
        <v>0.59598259084201499</v>
      </c>
      <c r="G54" s="195">
        <f>Keynesian!L$43</f>
        <v>0.60013757236051468</v>
      </c>
      <c r="H54" s="195">
        <f>Keynesian!N$43</f>
        <v>0.6031879666766814</v>
      </c>
      <c r="I54" s="195">
        <f>Keynesian!P$43</f>
        <v>0.60515634380431527</v>
      </c>
      <c r="J54" s="195" t="e">
        <f>Keynesian!R$43</f>
        <v>#DIV/0!</v>
      </c>
      <c r="K54" s="195" t="e">
        <f>Keynesian!T$43</f>
        <v>#DIV/0!</v>
      </c>
      <c r="L54" s="195" t="e">
        <f>Keynesian!V$43</f>
        <v>#DIV/0!</v>
      </c>
      <c r="M54" s="195" t="e">
        <f>Keynesian!X$43</f>
        <v>#DIV/0!</v>
      </c>
      <c r="N54" s="195" t="e">
        <f>Keynesian!Z$43</f>
        <v>#DIV/0!</v>
      </c>
      <c r="O54" s="195" t="e">
        <f>Keynesian!AB$43</f>
        <v>#DIV/0!</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0.56058995943839085</v>
      </c>
      <c r="C55" s="195">
        <f>'Neo-K1'!D$43</f>
        <v>0.56676241217920698</v>
      </c>
      <c r="D55" s="195">
        <f>'Neo-K1'!F$43</f>
        <v>0.56630011484243348</v>
      </c>
      <c r="E55" s="195">
        <f>'Neo-K1'!H$43</f>
        <v>0.56581172432679183</v>
      </c>
      <c r="F55" s="195">
        <f>'Neo-K1'!J$43</f>
        <v>0.56529677138306977</v>
      </c>
      <c r="G55" s="195">
        <f>'Neo-K1'!L$43</f>
        <v>0.56475635761981657</v>
      </c>
      <c r="H55" s="195">
        <f>'Neo-K1'!N$43</f>
        <v>0.56419326654974522</v>
      </c>
      <c r="I55" s="195">
        <f>'Neo-K1'!P$43</f>
        <v>0.56361164024026289</v>
      </c>
      <c r="J55" s="195">
        <f>'Neo-K1'!R$43</f>
        <v>0.56301669439785307</v>
      </c>
      <c r="K55" s="195">
        <f>'Neo-K1'!T$43</f>
        <v>0.56241414535394574</v>
      </c>
      <c r="L55" s="195">
        <f>'Neo-K1'!V$43</f>
        <v>0.5618097095279484</v>
      </c>
      <c r="M55" s="195">
        <f>'Neo-K1'!X$43</f>
        <v>0.5612086873806772</v>
      </c>
      <c r="N55" s="195">
        <f>'Neo-K1'!Z$43</f>
        <v>0.56061564851320345</v>
      </c>
      <c r="O55" s="195">
        <f>'Neo-K1'!AB$43</f>
        <v>0.56003431322478514</v>
      </c>
      <c r="P55" s="195">
        <f>'Neo-K1'!AD$43</f>
        <v>0.55946748752395503</v>
      </c>
      <c r="Q55" s="195">
        <f>'Neo-K1'!AF$43</f>
        <v>0.55891719792137862</v>
      </c>
      <c r="R55" s="195">
        <f>'Neo-K1'!AH$43</f>
        <v>0.55838470731680967</v>
      </c>
      <c r="S55" s="195">
        <f>'Neo-K1'!AJ$43</f>
        <v>0.55787072447994623</v>
      </c>
      <c r="T55" s="195">
        <f>'Neo-K1'!AL$43</f>
        <v>0.55737547301593315</v>
      </c>
      <c r="U55" s="195">
        <f>'Neo-K1'!AN$43</f>
        <v>0.55689883658533934</v>
      </c>
      <c r="V55" s="195">
        <f>'Neo-K1'!AP$43</f>
        <v>0.55680572499943093</v>
      </c>
      <c r="W55" s="195">
        <f>'Neo-K1'!AR$43</f>
        <v>0.55671332198900492</v>
      </c>
      <c r="X55" s="195">
        <f>'Neo-K1'!AT$43</f>
        <v>0.5566216485241986</v>
      </c>
      <c r="Y55" s="195">
        <f>'Neo-K1'!AV$43</f>
        <v>0.55653069648219478</v>
      </c>
    </row>
    <row r="56" spans="1:26" x14ac:dyDescent="0.2">
      <c r="A56" t="s">
        <v>157</v>
      </c>
      <c r="B56" s="195">
        <f>'Neo-K2'!B$43</f>
        <v>0.56058995943839085</v>
      </c>
      <c r="C56" s="195">
        <f>'Neo-K2'!D$43</f>
        <v>0.56808244850039702</v>
      </c>
      <c r="D56" s="195">
        <f>'Neo-K2'!F$43</f>
        <v>0.56903312149697405</v>
      </c>
      <c r="E56" s="195">
        <f>'Neo-K2'!H$43</f>
        <v>0.57003543540800738</v>
      </c>
      <c r="F56" s="195">
        <f>'Neo-K2'!J$43</f>
        <v>0.57106499362878038</v>
      </c>
      <c r="G56" s="195">
        <f>'Neo-K2'!L$43</f>
        <v>0.57208909423310461</v>
      </c>
      <c r="H56" s="195">
        <f>'Neo-K2'!N$43</f>
        <v>0.57306545556919386</v>
      </c>
      <c r="I56" s="195">
        <f>'Neo-K2'!P$43</f>
        <v>0.57394099392195208</v>
      </c>
      <c r="J56" s="195">
        <f>'Neo-K2'!R$43</f>
        <v>0.57465186591852768</v>
      </c>
      <c r="K56" s="195">
        <f>'Neo-K2'!T$43</f>
        <v>0.5751258039744408</v>
      </c>
      <c r="L56" s="195">
        <f>'Neo-K2'!V$43</f>
        <v>0.57528573923299575</v>
      </c>
      <c r="M56" s="195">
        <f>'Neo-K2'!X$43</f>
        <v>0.57505132183034091</v>
      </c>
      <c r="N56" s="195">
        <f>'Neo-K2'!Z$43</f>
        <v>0.57433270966928585</v>
      </c>
      <c r="O56" s="195">
        <f>'Neo-K2'!AB$43</f>
        <v>0.57301079072542627</v>
      </c>
      <c r="P56" s="195">
        <f>'Neo-K2'!AD$43</f>
        <v>0.570893297639405</v>
      </c>
      <c r="Q56" s="195">
        <f>'Neo-K2'!AF$43</f>
        <v>0.56761283819254171</v>
      </c>
      <c r="R56" s="195">
        <f>'Neo-K2'!AH$43</f>
        <v>0.56233949896350066</v>
      </c>
      <c r="S56" s="195">
        <f>'Neo-K2'!AJ$43</f>
        <v>0.5527564258965092</v>
      </c>
      <c r="T56" s="195">
        <f>'Neo-K2'!AL$43</f>
        <v>0.53129674248312952</v>
      </c>
      <c r="U56" s="195">
        <f>'Neo-K2'!AN$43</f>
        <v>0.47420980597047752</v>
      </c>
      <c r="V56" s="195">
        <f>'Neo-K2'!AP$43</f>
        <v>0.45198616638940381</v>
      </c>
      <c r="W56" s="195" t="e">
        <f>'Neo-K2'!AR$43</f>
        <v>#DIV/0!</v>
      </c>
      <c r="X56" s="195" t="e">
        <f>'Neo-K2'!AT$43</f>
        <v>#DIV/0!</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0.56058995943839085</v>
      </c>
      <c r="C63" s="195">
        <f t="shared" si="36"/>
        <v>0.56448403763661104</v>
      </c>
      <c r="D63" s="195">
        <f t="shared" si="36"/>
        <v>0.5617616816694353</v>
      </c>
      <c r="E63" s="195">
        <f t="shared" si="36"/>
        <v>0.55903372794973993</v>
      </c>
      <c r="F63" s="195">
        <f t="shared" si="36"/>
        <v>0.55630047463522736</v>
      </c>
      <c r="G63" s="195">
        <f t="shared" si="36"/>
        <v>0.5535623084973138</v>
      </c>
      <c r="H63" s="195">
        <f t="shared" si="36"/>
        <v>0.55081985049006976</v>
      </c>
      <c r="I63" s="195">
        <f t="shared" si="36"/>
        <v>0.54807416433650158</v>
      </c>
      <c r="J63" s="195">
        <f t="shared" si="36"/>
        <v>0.54532715895045847</v>
      </c>
      <c r="K63" s="195">
        <f t="shared" si="36"/>
        <v>0.54258234836523933</v>
      </c>
      <c r="L63" s="195">
        <f t="shared" si="36"/>
        <v>0.53984619727021621</v>
      </c>
      <c r="M63" s="195">
        <f t="shared" si="36"/>
        <v>0.53713037810406561</v>
      </c>
      <c r="N63" s="195">
        <f t="shared" si="36"/>
        <v>0.53445563802369822</v>
      </c>
      <c r="O63" s="195">
        <f t="shared" si="36"/>
        <v>0.53185816863592117</v>
      </c>
      <c r="P63" s="195">
        <f t="shared" si="36"/>
        <v>0.52939944347528956</v>
      </c>
      <c r="Q63" s="195">
        <f t="shared" si="36"/>
        <v>0.52717920309263488</v>
      </c>
      <c r="R63" s="195">
        <f t="shared" si="36"/>
        <v>0.52534299445108079</v>
      </c>
      <c r="S63" s="195">
        <f t="shared" si="36"/>
        <v>0.52404971356876129</v>
      </c>
      <c r="T63" s="195">
        <f t="shared" si="36"/>
        <v>0.52334718437723526</v>
      </c>
      <c r="U63" s="195">
        <f t="shared" si="36"/>
        <v>0.52305503787689578</v>
      </c>
      <c r="V63" s="195">
        <f t="shared" si="36"/>
        <v>0.52301919080834924</v>
      </c>
      <c r="W63" s="195">
        <f t="shared" si="36"/>
        <v>0.5229843023720766</v>
      </c>
      <c r="X63" s="195">
        <f t="shared" si="36"/>
        <v>0.52294699545535106</v>
      </c>
      <c r="Y63" s="195">
        <f t="shared" si="36"/>
        <v>0.52290080507642078</v>
      </c>
      <c r="Z63" s="138"/>
    </row>
    <row r="64" spans="1:26" x14ac:dyDescent="0.2">
      <c r="A64" t="str">
        <f t="shared" ref="A64:Q64" si="37">A50</f>
        <v>Kaldorian</v>
      </c>
      <c r="B64" s="195">
        <f t="shared" si="37"/>
        <v>0.56058995943839085</v>
      </c>
      <c r="C64" s="195">
        <f t="shared" si="37"/>
        <v>0.55801240965962196</v>
      </c>
      <c r="D64" s="195">
        <f t="shared" si="37"/>
        <v>0.54798952978394289</v>
      </c>
      <c r="E64" s="195">
        <f t="shared" si="37"/>
        <v>0.53693921184863047</v>
      </c>
      <c r="F64" s="195">
        <f t="shared" si="37"/>
        <v>0.52460743048148106</v>
      </c>
      <c r="G64" s="195">
        <f t="shared" si="37"/>
        <v>0.51065215247636431</v>
      </c>
      <c r="H64" s="195">
        <f t="shared" si="37"/>
        <v>0.49460185102140974</v>
      </c>
      <c r="I64" s="195">
        <f t="shared" si="37"/>
        <v>0.47578955311913584</v>
      </c>
      <c r="J64" s="195">
        <f t="shared" si="37"/>
        <v>0.45324024651568923</v>
      </c>
      <c r="K64" s="195">
        <f t="shared" si="37"/>
        <v>0.42547113329057484</v>
      </c>
      <c r="L64" s="195">
        <f t="shared" si="37"/>
        <v>0.39011345005273762</v>
      </c>
      <c r="M64" s="195">
        <f t="shared" si="37"/>
        <v>0.34313894794893718</v>
      </c>
      <c r="N64" s="195">
        <f t="shared" si="37"/>
        <v>0.27712179060639025</v>
      </c>
      <c r="O64" s="195">
        <f t="shared" si="37"/>
        <v>0.17681209851505822</v>
      </c>
      <c r="P64" s="195">
        <f t="shared" si="37"/>
        <v>5.7553559907766007E-3</v>
      </c>
      <c r="Q64" s="195" t="e">
        <f t="shared" si="37"/>
        <v>#DIV/0!</v>
      </c>
      <c r="R64" s="195"/>
      <c r="S64" s="195"/>
      <c r="T64" s="195"/>
      <c r="U64" s="195"/>
      <c r="V64" s="195"/>
      <c r="W64" s="195"/>
      <c r="X64" s="195"/>
      <c r="Y64" s="195"/>
      <c r="Z64" s="138"/>
    </row>
    <row r="65" spans="1:26" x14ac:dyDescent="0.2">
      <c r="A65" t="str">
        <f t="shared" ref="A65:Y65" si="38">A51</f>
        <v>Johansen</v>
      </c>
      <c r="B65" s="195">
        <f t="shared" si="38"/>
        <v>0.56058995943839085</v>
      </c>
      <c r="C65" s="195">
        <f t="shared" si="38"/>
        <v>0.56445432904115878</v>
      </c>
      <c r="D65" s="195">
        <f t="shared" si="38"/>
        <v>0.56170134625276147</v>
      </c>
      <c r="E65" s="195">
        <f t="shared" si="38"/>
        <v>0.55894176892916581</v>
      </c>
      <c r="F65" s="195">
        <f t="shared" si="38"/>
        <v>0.55617579392982763</v>
      </c>
      <c r="G65" s="195">
        <f t="shared" si="38"/>
        <v>0.55340369899187658</v>
      </c>
      <c r="H65" s="195">
        <f t="shared" si="38"/>
        <v>0.55062603194889059</v>
      </c>
      <c r="I65" s="195">
        <f t="shared" si="38"/>
        <v>0.54784380451159187</v>
      </c>
      <c r="J65" s="195">
        <f t="shared" si="38"/>
        <v>0.54505912797836331</v>
      </c>
      <c r="K65" s="195">
        <f t="shared" si="38"/>
        <v>0.54227600955021071</v>
      </c>
      <c r="L65" s="195">
        <f t="shared" si="38"/>
        <v>0.53950208149305612</v>
      </c>
      <c r="M65" s="195">
        <f t="shared" si="38"/>
        <v>0.53675130876640942</v>
      </c>
      <c r="N65" s="195">
        <f t="shared" si="38"/>
        <v>0.53404859259757043</v>
      </c>
      <c r="O65" s="195">
        <f t="shared" si="38"/>
        <v>0.53143719658050403</v>
      </c>
      <c r="P65" s="195">
        <f t="shared" si="38"/>
        <v>0.52898975524523961</v>
      </c>
      <c r="Q65" s="195">
        <f t="shared" si="38"/>
        <v>0.5268210743570455</v>
      </c>
      <c r="R65" s="195">
        <f t="shared" si="38"/>
        <v>0.52508825881270249</v>
      </c>
      <c r="S65" s="195">
        <f t="shared" si="38"/>
        <v>0.52393265378798648</v>
      </c>
      <c r="T65" s="195">
        <f t="shared" si="38"/>
        <v>0.52333705469242797</v>
      </c>
      <c r="U65" s="195">
        <f t="shared" si="38"/>
        <v>0.52307783128462226</v>
      </c>
      <c r="V65" s="195">
        <f t="shared" si="38"/>
        <v>0.52304154287889992</v>
      </c>
      <c r="W65" s="195">
        <f t="shared" si="38"/>
        <v>0.52300470773160379</v>
      </c>
      <c r="X65" s="195">
        <f t="shared" si="38"/>
        <v>0.52296407145775547</v>
      </c>
      <c r="Y65" s="195">
        <f t="shared" si="38"/>
        <v>0.52291300346897762</v>
      </c>
      <c r="Z65" s="138"/>
    </row>
    <row r="66" spans="1:26" x14ac:dyDescent="0.2">
      <c r="A66" t="str">
        <f t="shared" ref="A66:R66" si="39">A52</f>
        <v>Keynes-Kaldor</v>
      </c>
      <c r="B66" s="195">
        <f t="shared" si="39"/>
        <v>0.56058995943839085</v>
      </c>
      <c r="C66" s="195">
        <f t="shared" si="39"/>
        <v>0.55666030425497492</v>
      </c>
      <c r="D66" s="195">
        <f t="shared" si="39"/>
        <v>0.54530261045316231</v>
      </c>
      <c r="E66" s="195">
        <f t="shared" si="39"/>
        <v>0.53289279131231748</v>
      </c>
      <c r="F66" s="195">
        <f t="shared" si="39"/>
        <v>0.51913492996285349</v>
      </c>
      <c r="G66" s="195">
        <f t="shared" si="39"/>
        <v>0.50364337325667985</v>
      </c>
      <c r="H66" s="195">
        <f t="shared" si="39"/>
        <v>0.48589883004422713</v>
      </c>
      <c r="I66" s="195">
        <f t="shared" si="39"/>
        <v>0.46518317895343164</v>
      </c>
      <c r="J66" s="195">
        <f t="shared" si="39"/>
        <v>0.44047088225727188</v>
      </c>
      <c r="K66" s="195">
        <f t="shared" si="39"/>
        <v>0.41024682490867226</v>
      </c>
      <c r="L66" s="195">
        <f t="shared" si="39"/>
        <v>0.37218402055530581</v>
      </c>
      <c r="M66" s="195">
        <f t="shared" si="39"/>
        <v>0.32255245773296032</v>
      </c>
      <c r="N66" s="195">
        <f t="shared" si="39"/>
        <v>0.25509575727558986</v>
      </c>
      <c r="O66" s="195">
        <f t="shared" si="39"/>
        <v>0.15890756075857373</v>
      </c>
      <c r="P66" s="195">
        <f t="shared" si="39"/>
        <v>1.4955384453835428E-2</v>
      </c>
      <c r="Q66" s="195" t="e">
        <f t="shared" si="39"/>
        <v>#DIV/0!</v>
      </c>
      <c r="R66" s="195" t="e">
        <f t="shared" si="39"/>
        <v>#DIV/0!</v>
      </c>
      <c r="S66" s="195"/>
      <c r="T66" s="195"/>
      <c r="U66" s="195"/>
      <c r="V66" s="195"/>
      <c r="W66" s="195"/>
      <c r="X66" s="195"/>
      <c r="Y66" s="195"/>
    </row>
    <row r="67" spans="1:26" x14ac:dyDescent="0.2">
      <c r="A67" t="str">
        <f t="shared" ref="A67:K67" si="40">A53</f>
        <v>Keynes-Marshall</v>
      </c>
      <c r="B67" s="195">
        <f t="shared" si="40"/>
        <v>0.56058995943839085</v>
      </c>
      <c r="C67" s="195">
        <f t="shared" si="40"/>
        <v>0.58794434838116505</v>
      </c>
      <c r="D67" s="195">
        <f t="shared" si="40"/>
        <v>0.61043596589907523</v>
      </c>
      <c r="E67" s="195">
        <f t="shared" si="40"/>
        <v>0.63508523045338994</v>
      </c>
      <c r="F67" s="195">
        <f t="shared" si="40"/>
        <v>0.66242625421563628</v>
      </c>
      <c r="G67" s="195">
        <f t="shared" si="40"/>
        <v>0.6931682488371359</v>
      </c>
      <c r="H67" s="195">
        <f t="shared" si="40"/>
        <v>0.72827478177537996</v>
      </c>
      <c r="I67" s="195">
        <f t="shared" si="40"/>
        <v>0.76908936262369709</v>
      </c>
      <c r="J67" s="195">
        <f t="shared" si="40"/>
        <v>0.81754517501923774</v>
      </c>
      <c r="K67" s="195">
        <f t="shared" si="40"/>
        <v>0.87652950806433017</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0.56058995943839085</v>
      </c>
      <c r="C68" s="195">
        <f t="shared" si="41"/>
        <v>0.57615000830040608</v>
      </c>
      <c r="D68" s="195">
        <f t="shared" si="41"/>
        <v>0.58399989027557619</v>
      </c>
      <c r="E68" s="195">
        <f t="shared" si="41"/>
        <v>0.59062160480582204</v>
      </c>
      <c r="F68" s="195">
        <f t="shared" si="41"/>
        <v>0.59598259084201499</v>
      </c>
      <c r="G68" s="195">
        <f t="shared" si="41"/>
        <v>0.60013757236051468</v>
      </c>
      <c r="H68" s="195">
        <f t="shared" si="41"/>
        <v>0.6031879666766814</v>
      </c>
      <c r="I68" s="195">
        <f t="shared" si="41"/>
        <v>0.60515634380431527</v>
      </c>
      <c r="J68" s="195" t="e">
        <f t="shared" si="41"/>
        <v>#DIV/0!</v>
      </c>
      <c r="K68" s="195" t="e">
        <f t="shared" si="41"/>
        <v>#DIV/0!</v>
      </c>
      <c r="L68" s="195" t="e">
        <f t="shared" si="41"/>
        <v>#DIV/0!</v>
      </c>
      <c r="M68" s="195" t="e">
        <f t="shared" si="41"/>
        <v>#DIV/0!</v>
      </c>
      <c r="N68" s="195" t="e">
        <f t="shared" si="41"/>
        <v>#DIV/0!</v>
      </c>
      <c r="O68" s="195"/>
      <c r="P68" s="195"/>
      <c r="Q68" s="195"/>
      <c r="R68" s="195"/>
      <c r="S68" s="195"/>
      <c r="T68" s="195"/>
      <c r="U68" s="195"/>
      <c r="V68" s="195"/>
      <c r="W68" s="195"/>
      <c r="X68" s="195"/>
      <c r="Y68" s="195"/>
    </row>
    <row r="69" spans="1:26" x14ac:dyDescent="0.2">
      <c r="A69" t="str">
        <f t="shared" ref="A69:Y69" si="42">A55</f>
        <v>Neo-K1</v>
      </c>
      <c r="B69" s="195">
        <f t="shared" si="42"/>
        <v>0.56058995943839085</v>
      </c>
      <c r="C69" s="195">
        <f t="shared" si="42"/>
        <v>0.56676241217920698</v>
      </c>
      <c r="D69" s="195">
        <f t="shared" si="42"/>
        <v>0.56630011484243348</v>
      </c>
      <c r="E69" s="195">
        <f t="shared" si="42"/>
        <v>0.56581172432679183</v>
      </c>
      <c r="F69" s="195">
        <f t="shared" si="42"/>
        <v>0.56529677138306977</v>
      </c>
      <c r="G69" s="195">
        <f t="shared" si="42"/>
        <v>0.56475635761981657</v>
      </c>
      <c r="H69" s="195">
        <f t="shared" si="42"/>
        <v>0.56419326654974522</v>
      </c>
      <c r="I69" s="195">
        <f t="shared" si="42"/>
        <v>0.56361164024026289</v>
      </c>
      <c r="J69" s="195">
        <f t="shared" si="42"/>
        <v>0.56301669439785307</v>
      </c>
      <c r="K69" s="195">
        <f t="shared" si="42"/>
        <v>0.56241414535394574</v>
      </c>
      <c r="L69" s="195">
        <f t="shared" si="42"/>
        <v>0.5618097095279484</v>
      </c>
      <c r="M69" s="195">
        <f t="shared" si="42"/>
        <v>0.5612086873806772</v>
      </c>
      <c r="N69" s="195">
        <f t="shared" si="42"/>
        <v>0.56061564851320345</v>
      </c>
      <c r="O69" s="195">
        <f t="shared" si="42"/>
        <v>0.56003431322478514</v>
      </c>
      <c r="P69" s="195">
        <f t="shared" si="42"/>
        <v>0.55946748752395503</v>
      </c>
      <c r="Q69" s="195">
        <f t="shared" si="42"/>
        <v>0.55891719792137862</v>
      </c>
      <c r="R69" s="195">
        <f t="shared" si="42"/>
        <v>0.55838470731680967</v>
      </c>
      <c r="S69" s="195">
        <f t="shared" si="42"/>
        <v>0.55787072447994623</v>
      </c>
      <c r="T69" s="195">
        <f t="shared" si="42"/>
        <v>0.55737547301593315</v>
      </c>
      <c r="U69" s="195">
        <f t="shared" si="42"/>
        <v>0.55689883658533934</v>
      </c>
      <c r="V69" s="195">
        <f t="shared" si="42"/>
        <v>0.55680572499943093</v>
      </c>
      <c r="W69" s="195">
        <f t="shared" si="42"/>
        <v>0.55671332198900492</v>
      </c>
      <c r="X69" s="195">
        <f t="shared" si="42"/>
        <v>0.5566216485241986</v>
      </c>
      <c r="Y69" s="195">
        <f t="shared" si="42"/>
        <v>0.55653069648219478</v>
      </c>
    </row>
    <row r="70" spans="1:26" x14ac:dyDescent="0.2">
      <c r="A70" t="str">
        <f t="shared" ref="A70:Y70" si="43">A56</f>
        <v>Neo-K2</v>
      </c>
      <c r="B70" s="195">
        <f t="shared" si="43"/>
        <v>0.56058995943839085</v>
      </c>
      <c r="C70" s="195">
        <f t="shared" si="43"/>
        <v>0.56808244850039702</v>
      </c>
      <c r="D70" s="195">
        <f t="shared" si="43"/>
        <v>0.56903312149697405</v>
      </c>
      <c r="E70" s="195">
        <f t="shared" si="43"/>
        <v>0.57003543540800738</v>
      </c>
      <c r="F70" s="195">
        <f t="shared" si="43"/>
        <v>0.57106499362878038</v>
      </c>
      <c r="G70" s="195">
        <f t="shared" si="43"/>
        <v>0.57208909423310461</v>
      </c>
      <c r="H70" s="195">
        <f t="shared" si="43"/>
        <v>0.57306545556919386</v>
      </c>
      <c r="I70" s="195">
        <f t="shared" si="43"/>
        <v>0.57394099392195208</v>
      </c>
      <c r="J70" s="195">
        <f t="shared" si="43"/>
        <v>0.57465186591852768</v>
      </c>
      <c r="K70" s="195">
        <f t="shared" si="43"/>
        <v>0.5751258039744408</v>
      </c>
      <c r="L70" s="195">
        <f t="shared" si="43"/>
        <v>0.57528573923299575</v>
      </c>
      <c r="M70" s="195">
        <f t="shared" si="43"/>
        <v>0.57505132183034091</v>
      </c>
      <c r="N70" s="195">
        <f t="shared" si="43"/>
        <v>0.57433270966928585</v>
      </c>
      <c r="O70" s="195">
        <f t="shared" si="43"/>
        <v>0.57301079072542627</v>
      </c>
      <c r="P70" s="195">
        <f t="shared" si="43"/>
        <v>0.570893297639405</v>
      </c>
      <c r="Q70" s="195">
        <f t="shared" si="43"/>
        <v>0.56761283819254171</v>
      </c>
      <c r="R70" s="195">
        <f t="shared" si="43"/>
        <v>0.56233949896350066</v>
      </c>
      <c r="S70" s="195">
        <f t="shared" si="43"/>
        <v>0.5527564258965092</v>
      </c>
      <c r="T70" s="195">
        <f t="shared" si="43"/>
        <v>0.53129674248312952</v>
      </c>
      <c r="U70" s="195">
        <f t="shared" si="43"/>
        <v>0.47420980597047752</v>
      </c>
      <c r="V70" s="195">
        <f t="shared" si="43"/>
        <v>0.45198616638940381</v>
      </c>
      <c r="W70" s="195" t="e">
        <f t="shared" si="43"/>
        <v>#DIV/0!</v>
      </c>
      <c r="X70" s="195" t="e">
        <f t="shared" si="43"/>
        <v>#DIV/0!</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3258.4053233806358</v>
      </c>
      <c r="D74" s="80">
        <f>NeoClassical!F$24</f>
        <v>3323.1246141860856</v>
      </c>
      <c r="E74" s="80">
        <f>NeoClassical!H$24</f>
        <v>3391.0398414281458</v>
      </c>
      <c r="F74" s="80">
        <f>NeoClassical!J$24</f>
        <v>3462.7681721076137</v>
      </c>
      <c r="G74" s="80">
        <f>NeoClassical!L$24</f>
        <v>3539.0843435249617</v>
      </c>
      <c r="H74" s="80">
        <f>NeoClassical!N$24</f>
        <v>3620.9711884166572</v>
      </c>
      <c r="I74" s="80">
        <f>NeoClassical!P$24</f>
        <v>3709.6929079764195</v>
      </c>
      <c r="J74" s="80">
        <f>NeoClassical!R$24</f>
        <v>3806.8991109839758</v>
      </c>
      <c r="K74" s="80">
        <f>NeoClassical!T$24</f>
        <v>3914.782877008513</v>
      </c>
      <c r="L74" s="80">
        <f>NeoClassical!V$24</f>
        <v>4036.3156422629822</v>
      </c>
      <c r="M74" s="80">
        <f>NeoClassical!X$24</f>
        <v>4175.6137765195863</v>
      </c>
      <c r="N74" s="80">
        <f>NeoClassical!Z$24</f>
        <v>4338.4906964696047</v>
      </c>
      <c r="O74" s="80">
        <f>NeoClassical!AB$24</f>
        <v>4533.199491972432</v>
      </c>
      <c r="P74" s="80">
        <f>NeoClassical!AD$24</f>
        <v>4770.9045881434549</v>
      </c>
      <c r="Q74" s="80">
        <f>NeoClassical!AF$24</f>
        <v>5062.8434936128933</v>
      </c>
      <c r="R74" s="80">
        <f>NeoClassical!AH$24</f>
        <v>5398.4842058216627</v>
      </c>
      <c r="S74" s="80">
        <f>NeoClassical!AJ$24</f>
        <v>5638.8301671838035</v>
      </c>
      <c r="T74" s="80">
        <f>NeoClassical!AL$24</f>
        <v>5203.8051291482225</v>
      </c>
      <c r="U74" s="80">
        <f>NeoClassical!AN$24</f>
        <v>3169.1725785086351</v>
      </c>
      <c r="V74" s="80">
        <f>NeoClassical!AP$24</f>
        <v>2578.3003865743017</v>
      </c>
      <c r="W74" s="80">
        <f>NeoClassical!AR$24</f>
        <v>1954.0327024688829</v>
      </c>
      <c r="X74" s="80">
        <f>NeoClassical!AT$24</f>
        <v>1309.7972197870035</v>
      </c>
      <c r="Y74" s="80">
        <f>NeoClassical!AV$24</f>
        <v>656.22180869290446</v>
      </c>
    </row>
    <row r="75" spans="1:26" x14ac:dyDescent="0.2">
      <c r="A75" t="s">
        <v>90</v>
      </c>
      <c r="B75" s="80">
        <f>Johansen!B$24</f>
        <v>3196.3846373657216</v>
      </c>
      <c r="C75" s="80">
        <f>Johansen!D$24</f>
        <v>3204.8426778127559</v>
      </c>
      <c r="D75" s="80">
        <f>Johansen!F$24</f>
        <v>3212.9014996488017</v>
      </c>
      <c r="E75" s="80">
        <f>Johansen!H$24</f>
        <v>3220.4545819781656</v>
      </c>
      <c r="F75" s="80">
        <f>Johansen!J$24</f>
        <v>3227.3596536303235</v>
      </c>
      <c r="G75" s="80">
        <f>Johansen!L$24</f>
        <v>3233.4238112819289</v>
      </c>
      <c r="H75" s="80">
        <f>Johansen!N$24</f>
        <v>3238.3812315357482</v>
      </c>
      <c r="I75" s="80">
        <f>Johansen!P$24</f>
        <v>3241.8591544342362</v>
      </c>
      <c r="J75" s="80">
        <f>Johansen!R$24</f>
        <v>3243.324266560368</v>
      </c>
      <c r="K75" s="80">
        <f>Johansen!T$24</f>
        <v>3241.9952649361812</v>
      </c>
      <c r="L75" s="80">
        <f>Johansen!V$24</f>
        <v>3236.6963203500122</v>
      </c>
      <c r="M75" s="80">
        <f>Johansen!X$24</f>
        <v>3225.5979602577863</v>
      </c>
      <c r="N75" s="80">
        <f>Johansen!Z$24</f>
        <v>3205.7351145600369</v>
      </c>
      <c r="O75" s="80">
        <f>Johansen!AB$24</f>
        <v>3172.0504869146143</v>
      </c>
      <c r="P75" s="80">
        <f>Johansen!AD$24</f>
        <v>3115.3558236055774</v>
      </c>
      <c r="Q75" s="80">
        <f>Johansen!AF$24</f>
        <v>3017.7022636216693</v>
      </c>
      <c r="R75" s="80">
        <f>Johansen!AH$24</f>
        <v>2841.7868645955682</v>
      </c>
      <c r="S75" s="80">
        <f>Johansen!AJ$24</f>
        <v>2511.791256159926</v>
      </c>
      <c r="T75" s="80">
        <f>Johansen!AL$24</f>
        <v>1915.3795760621558</v>
      </c>
      <c r="U75" s="80">
        <f>Johansen!AN$24</f>
        <v>1024.9719206284988</v>
      </c>
      <c r="V75" s="80">
        <f>Johansen!AP$24</f>
        <v>824.33592544566784</v>
      </c>
      <c r="W75" s="80">
        <f>Johansen!AR$24</f>
        <v>620.2691637093011</v>
      </c>
      <c r="X75" s="80">
        <f>Johansen!AT$24</f>
        <v>414.21024995224792</v>
      </c>
      <c r="Y75" s="80">
        <f>Johansen!AV$24</f>
        <v>207.23419873276919</v>
      </c>
    </row>
    <row r="76" spans="1:26" x14ac:dyDescent="0.2">
      <c r="A76" t="s">
        <v>143</v>
      </c>
      <c r="B76" s="80">
        <f>Kaldorian!B$24</f>
        <v>3196.3846373657216</v>
      </c>
      <c r="C76" s="80">
        <f>Kaldorian!D$24</f>
        <v>3204.8547610127498</v>
      </c>
      <c r="D76" s="80">
        <f>Kaldorian!F$24</f>
        <v>3212.9292177838875</v>
      </c>
      <c r="E76" s="80">
        <f>Kaldorian!H$24</f>
        <v>3220.5016819296325</v>
      </c>
      <c r="F76" s="80">
        <f>Kaldorian!J$24</f>
        <v>3227.4301281097196</v>
      </c>
      <c r="G76" s="80">
        <f>Kaldorian!L$24</f>
        <v>3233.5219607824456</v>
      </c>
      <c r="H76" s="80">
        <f>Kaldorian!N$24</f>
        <v>3238.5114908737664</v>
      </c>
      <c r="I76" s="80">
        <f>Kaldorian!P$24</f>
        <v>3242.0259864341115</v>
      </c>
      <c r="J76" s="80">
        <f>Kaldorian!R$24</f>
        <v>3243.531588263786</v>
      </c>
      <c r="K76" s="80">
        <f>Kaldorian!T$24</f>
        <v>3242.2459152346632</v>
      </c>
      <c r="L76" s="80">
        <f>Kaldorian!V$24</f>
        <v>3236.9902296812247</v>
      </c>
      <c r="M76" s="80">
        <f>Kaldorian!X$24</f>
        <v>3225.9292580908345</v>
      </c>
      <c r="N76" s="80">
        <f>Kaldorian!Z$24</f>
        <v>3206.0869931767784</v>
      </c>
      <c r="O76" s="80">
        <f>Kaldorian!AB$24</f>
        <v>3172.3858501142909</v>
      </c>
      <c r="P76" s="80">
        <f>Kaldorian!AD$24</f>
        <v>3115.599805587573</v>
      </c>
      <c r="Q76" s="80">
        <f>Kaldorian!AF$24</f>
        <v>0</v>
      </c>
      <c r="R76" s="80">
        <f>Kaldorian!AH$24</f>
        <v>0</v>
      </c>
      <c r="S76" s="80">
        <f>Kaldorian!AJ$24</f>
        <v>0</v>
      </c>
      <c r="T76" s="80">
        <f>Kaldorian!AL$24</f>
        <v>0</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3232.7613647482385</v>
      </c>
      <c r="D77" s="80">
        <f>'Keynes-K'!F$24</f>
        <v>3265.6254569121611</v>
      </c>
      <c r="E77" s="80">
        <f>'Keynes-K'!H$24</f>
        <v>3295.1840270903244</v>
      </c>
      <c r="F77" s="80">
        <f>'Keynes-K'!J$24</f>
        <v>3321.4433877847264</v>
      </c>
      <c r="G77" s="80">
        <f>'Keynes-K'!L$24</f>
        <v>3344.2068204300031</v>
      </c>
      <c r="H77" s="80">
        <f>'Keynes-K'!N$24</f>
        <v>3363.0485137555161</v>
      </c>
      <c r="I77" s="80">
        <f>'Keynes-K'!P$24</f>
        <v>3377.2424049767305</v>
      </c>
      <c r="J77" s="80">
        <f>'Keynes-K'!R$24</f>
        <v>3385.6474911978517</v>
      </c>
      <c r="K77" s="80">
        <f>'Keynes-K'!T$24</f>
        <v>3386.5083637703769</v>
      </c>
      <c r="L77" s="80">
        <f>'Keynes-K'!V$24</f>
        <v>3377.1144310048739</v>
      </c>
      <c r="M77" s="80">
        <f>'Keynes-K'!X$24</f>
        <v>3353.1987838900991</v>
      </c>
      <c r="N77" s="80">
        <f>'Keynes-K'!Z$24</f>
        <v>3307.8416733332729</v>
      </c>
      <c r="O77" s="80">
        <f>'Keynes-K'!AB$24</f>
        <v>3229.406159847093</v>
      </c>
      <c r="P77" s="80">
        <f>'Keynes-K'!AD$24</f>
        <v>3097.6695633543955</v>
      </c>
      <c r="Q77" s="80">
        <f>'Keynes-K'!AF$24</f>
        <v>0</v>
      </c>
      <c r="R77" s="80">
        <f>'Keynes-K'!AH$24</f>
        <v>0</v>
      </c>
      <c r="S77" s="80">
        <f>'Keynes-K'!AJ$24</f>
        <v>0</v>
      </c>
      <c r="T77" s="80">
        <f>'Keynes-K'!AL$24</f>
        <v>0</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3234.7810605276813</v>
      </c>
      <c r="D78" s="80">
        <f>'Keynes-M'!F$24</f>
        <v>3274.3031488014713</v>
      </c>
      <c r="E78" s="80">
        <f>'Keynes-M'!H$24</f>
        <v>3315.1826675738221</v>
      </c>
      <c r="F78" s="80">
        <f>'Keynes-M'!J$24</f>
        <v>3357.6930671481919</v>
      </c>
      <c r="G78" s="80">
        <f>'Keynes-M'!L$24</f>
        <v>3402.1578689289286</v>
      </c>
      <c r="H78" s="80">
        <f>'Keynes-M'!N$24</f>
        <v>3448.9643330260637</v>
      </c>
      <c r="I78" s="80">
        <f>'Keynes-M'!P$24</f>
        <v>3498.5774544385504</v>
      </c>
      <c r="J78" s="80">
        <f>'Keynes-M'!R$24</f>
        <v>3551.55842404963</v>
      </c>
      <c r="K78" s="80">
        <f>'Keynes-M'!T$24</f>
        <v>3608.5846816578305</v>
      </c>
      <c r="L78" s="80">
        <f>'Keynes-M'!V$24</f>
        <v>3670.445576973184</v>
      </c>
      <c r="M78" s="80">
        <f>'Keynes-M'!X$24</f>
        <v>0</v>
      </c>
      <c r="N78" s="80">
        <f>'Keynes-M'!Z$24</f>
        <v>0</v>
      </c>
      <c r="O78" s="80">
        <f>'Keynes-M'!AB$24</f>
        <v>0</v>
      </c>
      <c r="P78" s="80">
        <f>'Keynes-M'!AD$24</f>
        <v>0</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3109.9088448040102</v>
      </c>
      <c r="D79" s="80">
        <f>Keynesian!F$24</f>
        <v>3005.7356228229878</v>
      </c>
      <c r="E79" s="80">
        <f>Keynesian!H$24</f>
        <v>2884.3831451879191</v>
      </c>
      <c r="F79" s="80">
        <f>Keynesian!J$24</f>
        <v>2747.7530822555536</v>
      </c>
      <c r="G79" s="80">
        <f>Keynesian!L$24</f>
        <v>2599.043093054679</v>
      </c>
      <c r="H79" s="80">
        <f>Keynesian!N$24</f>
        <v>2443.0064345388737</v>
      </c>
      <c r="I79" s="80">
        <f>Keynesian!P$24</f>
        <v>2289.2197687306771</v>
      </c>
      <c r="J79" s="80">
        <f>Keynesian!R$24</f>
        <v>0</v>
      </c>
      <c r="K79" s="80">
        <f>Keynesian!T$24</f>
        <v>0</v>
      </c>
      <c r="L79" s="80">
        <f>Keynesian!V$24</f>
        <v>0</v>
      </c>
      <c r="M79" s="80">
        <f>Keynesian!X$24</f>
        <v>0</v>
      </c>
      <c r="N79" s="80">
        <f>Keynesian!Z$24</f>
        <v>0</v>
      </c>
      <c r="O79" s="80">
        <f>Keynesian!AB$24</f>
        <v>0</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3181.2930532819191</v>
      </c>
      <c r="D80" s="80">
        <f>'Neo-K1'!F$24</f>
        <v>3156.2973243162692</v>
      </c>
      <c r="E80" s="80">
        <f>'Neo-K1'!H$24</f>
        <v>3119.7908891726638</v>
      </c>
      <c r="F80" s="80">
        <f>'Neo-K1'!J$24</f>
        <v>3070.1444688583742</v>
      </c>
      <c r="G80" s="80">
        <f>'Neo-K1'!L$24</f>
        <v>3005.7862765048089</v>
      </c>
      <c r="H80" s="80">
        <f>'Neo-K1'!N$24</f>
        <v>2925.307014501263</v>
      </c>
      <c r="I80" s="80">
        <f>'Neo-K1'!P$24</f>
        <v>2827.5500100182985</v>
      </c>
      <c r="J80" s="80">
        <f>'Neo-K1'!R$24</f>
        <v>2711.6847123659923</v>
      </c>
      <c r="K80" s="80">
        <f>'Neo-K1'!T$24</f>
        <v>2577.2437284814823</v>
      </c>
      <c r="L80" s="80">
        <f>'Neo-K1'!V$24</f>
        <v>2424.1221392430698</v>
      </c>
      <c r="M80" s="80">
        <f>'Neo-K1'!X$24</f>
        <v>2252.5429213309967</v>
      </c>
      <c r="N80" s="80">
        <f>'Neo-K1'!Z$24</f>
        <v>2063.0005357304358</v>
      </c>
      <c r="O80" s="80">
        <f>'Neo-K1'!AB$24</f>
        <v>1856.1914838393686</v>
      </c>
      <c r="P80" s="80">
        <f>'Neo-K1'!AD$24</f>
        <v>1632.9540997535598</v>
      </c>
      <c r="Q80" s="80">
        <f>'Neo-K1'!AF$24</f>
        <v>1394.196665781704</v>
      </c>
      <c r="R80" s="80">
        <f>'Neo-K1'!AH$24</f>
        <v>1140.8645997539552</v>
      </c>
      <c r="S80" s="80">
        <f>'Neo-K1'!AJ$24</f>
        <v>873.89423442651389</v>
      </c>
      <c r="T80" s="80">
        <f>'Neo-K1'!AL$24</f>
        <v>594.194242234998</v>
      </c>
      <c r="U80" s="80">
        <f>'Neo-K1'!AN$24</f>
        <v>302.62686988915505</v>
      </c>
      <c r="V80" s="80">
        <f>'Neo-K1'!AP$24</f>
        <v>242.96126716976138</v>
      </c>
      <c r="W80" s="80">
        <f>'Neo-K1'!AR$24</f>
        <v>182.85991793299286</v>
      </c>
      <c r="X80" s="80">
        <f>'Neo-K1'!AT$24</f>
        <v>122.32855871182136</v>
      </c>
      <c r="Y80" s="80">
        <f>'Neo-K1'!AV$24</f>
        <v>61.37327306386193</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0</v>
      </c>
      <c r="X81" s="80">
        <f>'Neo-K2'!AT$24</f>
        <v>0</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7.7456999506801946E-2</v>
      </c>
      <c r="D85" s="240">
        <f t="shared" si="45"/>
        <v>0.15701486355382602</v>
      </c>
      <c r="E85" s="240">
        <f t="shared" si="45"/>
        <v>0.24565160259167956</v>
      </c>
      <c r="F85" s="240">
        <f t="shared" si="45"/>
        <v>0.34483352092445985</v>
      </c>
      <c r="G85" s="240">
        <f t="shared" si="45"/>
        <v>0.45637135858521649</v>
      </c>
      <c r="H85" s="240">
        <f t="shared" si="45"/>
        <v>0.58254476447318948</v>
      </c>
      <c r="I85" s="240">
        <f t="shared" si="45"/>
        <v>0.7262949077138241</v>
      </c>
      <c r="J85" s="240">
        <f t="shared" si="45"/>
        <v>0.89153212132553439</v>
      </c>
      <c r="K85" s="240">
        <f t="shared" si="45"/>
        <v>1.083651388374655</v>
      </c>
      <c r="L85" s="240">
        <f t="shared" si="45"/>
        <v>1.3104238433767894</v>
      </c>
      <c r="M85" s="240">
        <f t="shared" si="45"/>
        <v>1.5836180929744104</v>
      </c>
      <c r="N85" s="240">
        <f t="shared" si="45"/>
        <v>1.9220754484441471</v>
      </c>
      <c r="O85" s="240">
        <f t="shared" si="45"/>
        <v>2.3578329180669262</v>
      </c>
      <c r="P85" s="240">
        <f t="shared" si="45"/>
        <v>2.9488710844057611</v>
      </c>
      <c r="Q85" s="240">
        <f t="shared" si="45"/>
        <v>3.8061317405656325</v>
      </c>
      <c r="R85" s="240">
        <f t="shared" si="44"/>
        <v>5.1452305527836799</v>
      </c>
      <c r="S85" s="240">
        <f t="shared" si="44"/>
        <v>7.3229752147538365</v>
      </c>
      <c r="T85" s="240">
        <f t="shared" si="44"/>
        <v>10.448881323215055</v>
      </c>
      <c r="U85" s="240">
        <f t="shared" si="44"/>
        <v>13.021152217325033</v>
      </c>
      <c r="V85" s="240">
        <f t="shared" si="44"/>
        <v>13.269513589708462</v>
      </c>
      <c r="W85" s="240">
        <f t="shared" si="44"/>
        <v>13.426427188719124</v>
      </c>
      <c r="X85" s="240">
        <f t="shared" si="44"/>
        <v>13.508925664065851</v>
      </c>
      <c r="Y85" s="240">
        <f t="shared" si="44"/>
        <v>13.539648588010913</v>
      </c>
    </row>
    <row r="86" spans="1:25" x14ac:dyDescent="0.2">
      <c r="A86" t="str">
        <f t="shared" ref="A86:A93" si="46">A4</f>
        <v>Kaldorian</v>
      </c>
      <c r="B86" s="240">
        <f t="shared" si="45"/>
        <v>5.7716594496607888E-3</v>
      </c>
      <c r="C86" s="240">
        <f t="shared" si="44"/>
        <v>8.4163688595046235E-2</v>
      </c>
      <c r="D86" s="240">
        <f t="shared" si="44"/>
        <v>0.17133023591262547</v>
      </c>
      <c r="E86" s="240">
        <f t="shared" si="44"/>
        <v>0.26860600590109218</v>
      </c>
      <c r="F86" s="240">
        <f t="shared" si="44"/>
        <v>0.37760752664307495</v>
      </c>
      <c r="G86" s="240">
        <f t="shared" si="44"/>
        <v>0.5003264951236438</v>
      </c>
      <c r="H86" s="240">
        <f t="shared" si="44"/>
        <v>0.63926903924058043</v>
      </c>
      <c r="I86" s="240">
        <f t="shared" si="44"/>
        <v>0.79767074079111611</v>
      </c>
      <c r="J86" s="240">
        <f t="shared" si="44"/>
        <v>0.97984912373067801</v>
      </c>
      <c r="K86" s="240">
        <f t="shared" si="44"/>
        <v>1.191800705201413</v>
      </c>
      <c r="L86" s="240">
        <f t="shared" si="44"/>
        <v>1.4422478248964674</v>
      </c>
      <c r="M86" s="240">
        <f t="shared" si="44"/>
        <v>1.7445611838056605</v>
      </c>
      <c r="N86" s="240">
        <f t="shared" si="44"/>
        <v>2.1204236599043731</v>
      </c>
      <c r="O86" s="240">
        <f t="shared" si="44"/>
        <v>2.6071111616085711</v>
      </c>
      <c r="P86" s="240">
        <f t="shared" si="44"/>
        <v>3.2723577481742501</v>
      </c>
      <c r="Q86" s="240">
        <f t="shared" si="44"/>
        <v>0</v>
      </c>
      <c r="R86" s="240">
        <f t="shared" si="44"/>
        <v>0</v>
      </c>
      <c r="S86" s="240">
        <f t="shared" si="44"/>
        <v>0</v>
      </c>
      <c r="T86" s="240">
        <f t="shared" si="44"/>
        <v>0</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8.1904686662904153E-2</v>
      </c>
      <c r="D87" s="240">
        <f t="shared" si="44"/>
        <v>0.16646224574715474</v>
      </c>
      <c r="E87" s="240">
        <f t="shared" si="44"/>
        <v>0.26073310133801625</v>
      </c>
      <c r="F87" s="240">
        <f t="shared" si="44"/>
        <v>0.36628556123308209</v>
      </c>
      <c r="G87" s="240">
        <f t="shared" si="44"/>
        <v>0.48506195085474318</v>
      </c>
      <c r="H87" s="240">
        <f t="shared" si="44"/>
        <v>0.61951864553686842</v>
      </c>
      <c r="I87" s="240">
        <f t="shared" si="44"/>
        <v>0.77284717843049755</v>
      </c>
      <c r="J87" s="240">
        <f t="shared" si="44"/>
        <v>0.94932939667664495</v>
      </c>
      <c r="K87" s="240">
        <f t="shared" si="44"/>
        <v>1.1549440011012087</v>
      </c>
      <c r="L87" s="240">
        <f t="shared" si="44"/>
        <v>1.3984213695796845</v>
      </c>
      <c r="M87" s="240">
        <f t="shared" si="44"/>
        <v>1.6931786644963025</v>
      </c>
      <c r="N87" s="240">
        <f t="shared" si="44"/>
        <v>2.0610032359315995</v>
      </c>
      <c r="O87" s="240">
        <f t="shared" si="44"/>
        <v>2.5393655196966551</v>
      </c>
      <c r="P87" s="240">
        <f t="shared" si="44"/>
        <v>3.1963589582455687</v>
      </c>
      <c r="Q87" s="240">
        <f t="shared" si="44"/>
        <v>4.1602823248980201</v>
      </c>
      <c r="R87" s="240">
        <f t="shared" si="44"/>
        <v>5.662806046774107</v>
      </c>
      <c r="S87" s="240">
        <f t="shared" si="44"/>
        <v>7.9899152464399377</v>
      </c>
      <c r="T87" s="240">
        <f t="shared" si="44"/>
        <v>10.892795123167994</v>
      </c>
      <c r="U87" s="240">
        <f t="shared" si="44"/>
        <v>12.857819227616822</v>
      </c>
      <c r="V87" s="240">
        <f t="shared" si="44"/>
        <v>13.028496343992938</v>
      </c>
      <c r="W87" s="240">
        <f t="shared" si="44"/>
        <v>13.134690464746724</v>
      </c>
      <c r="X87" s="240">
        <f t="shared" si="44"/>
        <v>13.190018479221951</v>
      </c>
      <c r="Y87" s="240">
        <f t="shared" si="44"/>
        <v>13.210534512664175</v>
      </c>
    </row>
    <row r="88" spans="1:25" x14ac:dyDescent="0.2">
      <c r="A88" t="str">
        <f t="shared" si="46"/>
        <v>Keynes-Kaldor</v>
      </c>
      <c r="B88" s="240">
        <f t="shared" si="45"/>
        <v>5.7716594496607888E-3</v>
      </c>
      <c r="C88" s="240">
        <f t="shared" si="44"/>
        <v>9.5789084715243486E-2</v>
      </c>
      <c r="D88" s="240">
        <f t="shared" si="44"/>
        <v>0.19469904448168196</v>
      </c>
      <c r="E88" s="240">
        <f t="shared" si="44"/>
        <v>0.30391861833573797</v>
      </c>
      <c r="F88" s="240">
        <f t="shared" si="44"/>
        <v>0.42510164543286805</v>
      </c>
      <c r="G88" s="240">
        <f t="shared" si="44"/>
        <v>0.56022480645674988</v>
      </c>
      <c r="H88" s="240">
        <f t="shared" si="44"/>
        <v>0.71171900884881101</v>
      </c>
      <c r="I88" s="240">
        <f t="shared" si="44"/>
        <v>0.8826504821801896</v>
      </c>
      <c r="J88" s="240">
        <f t="shared" si="44"/>
        <v>1.0770129999184945</v>
      </c>
      <c r="K88" s="240">
        <f t="shared" si="44"/>
        <v>1.3001813177667549</v>
      </c>
      <c r="L88" s="240">
        <f t="shared" si="44"/>
        <v>1.5596165819632959</v>
      </c>
      <c r="M88" s="240">
        <f t="shared" si="44"/>
        <v>1.8659214727085738</v>
      </c>
      <c r="N88" s="240">
        <f t="shared" si="44"/>
        <v>2.2342183008288981</v>
      </c>
      <c r="O88" s="240">
        <f t="shared" si="44"/>
        <v>2.6850514877017511</v>
      </c>
      <c r="P88" s="240">
        <f t="shared" si="44"/>
        <v>3.2406998599125321</v>
      </c>
      <c r="Q88" s="240">
        <f t="shared" si="44"/>
        <v>0</v>
      </c>
      <c r="R88" s="240">
        <f t="shared" si="44"/>
        <v>0</v>
      </c>
      <c r="S88" s="240">
        <f t="shared" si="44"/>
        <v>0</v>
      </c>
      <c r="T88" s="240">
        <f t="shared" si="44"/>
        <v>0</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8.5548224814154666E-2</v>
      </c>
      <c r="D89" s="240">
        <f t="shared" si="44"/>
        <v>0.17488472567352645</v>
      </c>
      <c r="E89" s="240">
        <f t="shared" si="44"/>
        <v>0.27545982506051692</v>
      </c>
      <c r="F89" s="240">
        <f t="shared" si="44"/>
        <v>0.3893917378851261</v>
      </c>
      <c r="G89" s="240">
        <f t="shared" si="44"/>
        <v>0.51941738358932632</v>
      </c>
      <c r="H89" s="240">
        <f t="shared" si="44"/>
        <v>0.66918066311881097</v>
      </c>
      <c r="I89" s="240">
        <f t="shared" si="44"/>
        <v>0.84370969862639955</v>
      </c>
      <c r="J89" s="240">
        <f t="shared" si="44"/>
        <v>1.0502463106606832</v>
      </c>
      <c r="K89" s="240">
        <f t="shared" si="44"/>
        <v>1.299745869038712</v>
      </c>
      <c r="L89" s="240">
        <f t="shared" si="44"/>
        <v>1.6096584608951114</v>
      </c>
      <c r="M89" s="240">
        <f t="shared" si="44"/>
        <v>0</v>
      </c>
      <c r="N89" s="240">
        <f t="shared" si="44"/>
        <v>0</v>
      </c>
      <c r="O89" s="240">
        <f t="shared" si="44"/>
        <v>0</v>
      </c>
      <c r="P89" s="240">
        <f t="shared" si="44"/>
        <v>0</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3.9902160681032556E-2</v>
      </c>
      <c r="D90" s="240">
        <f t="shared" si="44"/>
        <v>7.0436499753707332E-2</v>
      </c>
      <c r="E90" s="240">
        <f t="shared" si="44"/>
        <v>9.6660977317731434E-2</v>
      </c>
      <c r="F90" s="240">
        <f t="shared" si="44"/>
        <v>0.11824301775949479</v>
      </c>
      <c r="G90" s="240">
        <f t="shared" si="44"/>
        <v>0.13520539627668021</v>
      </c>
      <c r="H90" s="240">
        <f t="shared" si="44"/>
        <v>0.14772196806945284</v>
      </c>
      <c r="I90" s="240">
        <f t="shared" si="44"/>
        <v>0.15539427325787961</v>
      </c>
      <c r="J90" s="240">
        <f t="shared" si="44"/>
        <v>0</v>
      </c>
      <c r="K90" s="240">
        <f t="shared" si="44"/>
        <v>0</v>
      </c>
      <c r="L90" s="240">
        <f t="shared" si="44"/>
        <v>0</v>
      </c>
      <c r="M90" s="240">
        <f t="shared" si="44"/>
        <v>0</v>
      </c>
      <c r="N90" s="240">
        <f t="shared" si="44"/>
        <v>0</v>
      </c>
      <c r="O90" s="240">
        <f t="shared" si="44"/>
        <v>0</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4.3347278632492416E-2</v>
      </c>
      <c r="D91" s="240">
        <f t="shared" si="44"/>
        <v>7.8836562175367705E-2</v>
      </c>
      <c r="E91" s="240">
        <f t="shared" si="44"/>
        <v>0.11160353632484372</v>
      </c>
      <c r="F91" s="240">
        <f t="shared" si="44"/>
        <v>0.14135279255606051</v>
      </c>
      <c r="G91" s="240">
        <f t="shared" si="44"/>
        <v>0.16834845456716971</v>
      </c>
      <c r="H91" s="240">
        <f t="shared" si="44"/>
        <v>0.1936539649578233</v>
      </c>
      <c r="I91" s="240">
        <f t="shared" si="44"/>
        <v>0.21936257717732499</v>
      </c>
      <c r="J91" s="240">
        <f t="shared" si="44"/>
        <v>0.24880787635849169</v>
      </c>
      <c r="K91" s="240">
        <f t="shared" si="44"/>
        <v>0.28674616213537124</v>
      </c>
      <c r="L91" s="240">
        <f t="shared" si="44"/>
        <v>0.339617470548218</v>
      </c>
      <c r="M91" s="240">
        <f t="shared" si="44"/>
        <v>0.41620239104829926</v>
      </c>
      <c r="N91" s="240">
        <f t="shared" si="44"/>
        <v>0.52940040618123629</v>
      </c>
      <c r="O91" s="240">
        <f t="shared" si="44"/>
        <v>0.70073512878194311</v>
      </c>
      <c r="P91" s="240">
        <f t="shared" si="44"/>
        <v>0.9722117381763663</v>
      </c>
      <c r="Q91" s="240">
        <f t="shared" si="44"/>
        <v>1.4429458083909219</v>
      </c>
      <c r="R91" s="240">
        <f t="shared" si="44"/>
        <v>2.4181233104441771</v>
      </c>
      <c r="S91" s="240">
        <f t="shared" si="44"/>
        <v>5.3537323627629849</v>
      </c>
      <c r="T91" s="240">
        <f t="shared" si="44"/>
        <v>25.448296046134697</v>
      </c>
      <c r="U91" s="240">
        <f t="shared" si="44"/>
        <v>1006.3584564894011</v>
      </c>
      <c r="V91" s="240">
        <f t="shared" si="44"/>
        <v>3996.4871475383779</v>
      </c>
      <c r="W91" s="240">
        <f t="shared" si="44"/>
        <v>0</v>
      </c>
      <c r="X91" s="240">
        <f t="shared" si="44"/>
        <v>0</v>
      </c>
      <c r="Y91" s="240">
        <f t="shared" si="44"/>
        <v>0</v>
      </c>
    </row>
    <row r="92" spans="1:25" x14ac:dyDescent="0.2">
      <c r="A92" t="str">
        <f t="shared" si="46"/>
        <v>Neo-K1</v>
      </c>
      <c r="B92" s="240">
        <f t="shared" si="45"/>
        <v>5.7716594496607888E-3</v>
      </c>
      <c r="C92" s="240">
        <f t="shared" si="44"/>
        <v>5.3529323205677298E-2</v>
      </c>
      <c r="D92" s="240">
        <f t="shared" si="44"/>
        <v>0.1027202462731281</v>
      </c>
      <c r="E92" s="240">
        <f t="shared" si="44"/>
        <v>0.15300482499341639</v>
      </c>
      <c r="F92" s="240">
        <f t="shared" si="44"/>
        <v>0.20398321246897699</v>
      </c>
      <c r="G92" s="240">
        <f t="shared" si="44"/>
        <v>0.25520666661394764</v>
      </c>
      <c r="H92" s="240">
        <f t="shared" si="44"/>
        <v>0.30621056241061811</v>
      </c>
      <c r="I92" s="240">
        <f t="shared" si="44"/>
        <v>0.3565355051045756</v>
      </c>
      <c r="J92" s="240">
        <f t="shared" si="44"/>
        <v>0.40576532515271035</v>
      </c>
      <c r="K92" s="240">
        <f t="shared" si="44"/>
        <v>0.45354620162225967</v>
      </c>
      <c r="L92" s="240">
        <f t="shared" si="44"/>
        <v>0.49960233693927764</v>
      </c>
      <c r="M92" s="240">
        <f t="shared" si="44"/>
        <v>0.54373977893459624</v>
      </c>
      <c r="N92" s="240">
        <f t="shared" si="44"/>
        <v>0.58584369372127687</v>
      </c>
      <c r="O92" s="240">
        <f t="shared" si="44"/>
        <v>0.62586681728579774</v>
      </c>
      <c r="P92" s="240">
        <f t="shared" si="44"/>
        <v>0.66381704147953513</v>
      </c>
      <c r="Q92" s="240">
        <f t="shared" si="44"/>
        <v>0.69974341689044217</v>
      </c>
      <c r="R92" s="240">
        <f t="shared" si="44"/>
        <v>0.73372370534632803</v>
      </c>
      <c r="S92" s="240">
        <f t="shared" si="44"/>
        <v>0.7658543745548293</v>
      </c>
      <c r="T92" s="240">
        <f t="shared" si="44"/>
        <v>0.79624169690128699</v>
      </c>
      <c r="U92" s="240">
        <f t="shared" si="44"/>
        <v>0.82499607295179267</v>
      </c>
      <c r="V92" s="240">
        <f t="shared" si="44"/>
        <v>0.8305607326658172</v>
      </c>
      <c r="W92" s="240">
        <f t="shared" si="44"/>
        <v>0.83606534052001746</v>
      </c>
      <c r="X92" s="240">
        <f t="shared" si="44"/>
        <v>0.84151078259670964</v>
      </c>
      <c r="Y92" s="240">
        <f t="shared" si="44"/>
        <v>0.84689790971568779</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9D51-4926-455C-AF36-A0AB2751867F}">
  <sheetPr codeName="Feuil12"/>
  <dimension ref="A1:Y9"/>
  <sheetViews>
    <sheetView workbookViewId="0">
      <selection activeCell="W8" sqref="W8:Y8"/>
    </sheetView>
  </sheetViews>
  <sheetFormatPr baseColWidth="10" defaultRowHeight="10" x14ac:dyDescent="0.2"/>
  <sheetData>
    <row r="1" spans="1:25" x14ac:dyDescent="0.2">
      <c r="A1" t="s">
        <v>198</v>
      </c>
      <c r="B1" s="94">
        <v>0</v>
      </c>
      <c r="C1" s="94">
        <v>0.05</v>
      </c>
      <c r="D1" s="94">
        <v>0.1</v>
      </c>
      <c r="E1" s="94">
        <v>0.15000000000000002</v>
      </c>
      <c r="F1" s="94">
        <v>0.2</v>
      </c>
      <c r="G1" s="94">
        <v>0.25</v>
      </c>
      <c r="H1" s="94">
        <v>0.3</v>
      </c>
      <c r="I1" s="94">
        <v>0.35</v>
      </c>
      <c r="J1" s="94">
        <v>0.39999999999999997</v>
      </c>
      <c r="K1" s="94">
        <v>0.44999999999999996</v>
      </c>
      <c r="L1" s="94">
        <v>0.49999999999999994</v>
      </c>
      <c r="M1" s="94">
        <v>0.54999999999999993</v>
      </c>
      <c r="N1" s="94">
        <v>0.6</v>
      </c>
      <c r="O1" s="94">
        <v>0.65</v>
      </c>
      <c r="P1" s="94">
        <v>0.70000000000000007</v>
      </c>
      <c r="Q1" s="94">
        <v>0.75000000000000011</v>
      </c>
      <c r="R1" s="94">
        <v>0.80000000000000016</v>
      </c>
      <c r="S1" s="94">
        <v>0.8500000000000002</v>
      </c>
      <c r="T1" s="94">
        <v>0.90000000000000024</v>
      </c>
      <c r="U1" s="94">
        <v>0.95000000000000029</v>
      </c>
      <c r="V1" s="94">
        <v>0.9600000000000003</v>
      </c>
      <c r="W1" s="94">
        <v>0.97000000000000031</v>
      </c>
      <c r="X1" s="94">
        <v>0.98000000000000032</v>
      </c>
      <c r="Y1" s="94">
        <v>0.99000000000000032</v>
      </c>
    </row>
    <row r="2" spans="1:25" x14ac:dyDescent="0.2">
      <c r="A2" t="s">
        <v>89</v>
      </c>
      <c r="B2">
        <f>'Diagnosis Indicators'!B34</f>
        <v>5.7716594496607888E-3</v>
      </c>
      <c r="C2">
        <f>'Diagnosis Indicators'!C34</f>
        <v>7.7456999506801946E-2</v>
      </c>
      <c r="D2">
        <f>'Diagnosis Indicators'!D34</f>
        <v>0.15701486355382602</v>
      </c>
      <c r="E2">
        <f>'Diagnosis Indicators'!E34</f>
        <v>0.24565160259167956</v>
      </c>
      <c r="F2">
        <f>'Diagnosis Indicators'!F34</f>
        <v>0.34483352092445985</v>
      </c>
      <c r="G2">
        <f>'Diagnosis Indicators'!G34</f>
        <v>0.45637135858521649</v>
      </c>
      <c r="H2">
        <f>'Diagnosis Indicators'!H34</f>
        <v>0.58254476447318948</v>
      </c>
      <c r="I2">
        <f>'Diagnosis Indicators'!I34</f>
        <v>0.7262949077138241</v>
      </c>
      <c r="J2">
        <f>'Diagnosis Indicators'!J34</f>
        <v>0.89153212132553439</v>
      </c>
      <c r="K2">
        <f>'Diagnosis Indicators'!K34</f>
        <v>1.083651388374655</v>
      </c>
      <c r="L2">
        <f>'Diagnosis Indicators'!L34</f>
        <v>1.3104238433767894</v>
      </c>
      <c r="M2">
        <f>'Diagnosis Indicators'!M34</f>
        <v>1.5836180929744104</v>
      </c>
      <c r="N2">
        <f>'Diagnosis Indicators'!N34</f>
        <v>1.9220754484441471</v>
      </c>
      <c r="O2">
        <f>'Diagnosis Indicators'!O34</f>
        <v>2.3578329180669262</v>
      </c>
      <c r="P2">
        <f>'Diagnosis Indicators'!P34</f>
        <v>2.9488710844057611</v>
      </c>
      <c r="Q2">
        <f>'Diagnosis Indicators'!Q34</f>
        <v>3.8061317405656325</v>
      </c>
      <c r="R2">
        <f>'Diagnosis Indicators'!R34</f>
        <v>5.1452305527836799</v>
      </c>
      <c r="S2">
        <f>'Diagnosis Indicators'!S34</f>
        <v>7.3229752147538365</v>
      </c>
      <c r="T2">
        <f>'Diagnosis Indicators'!T34</f>
        <v>10.448881323215055</v>
      </c>
      <c r="U2">
        <f>'Diagnosis Indicators'!U34</f>
        <v>13.021152217325033</v>
      </c>
      <c r="V2">
        <f>'Diagnosis Indicators'!V34</f>
        <v>13.269513589708462</v>
      </c>
      <c r="W2">
        <f>'Diagnosis Indicators'!W34</f>
        <v>13.426427188719124</v>
      </c>
      <c r="X2">
        <f>'Diagnosis Indicators'!X34</f>
        <v>13.508925664065851</v>
      </c>
      <c r="Y2">
        <f>'Diagnosis Indicators'!Y34</f>
        <v>13.539648588010913</v>
      </c>
    </row>
    <row r="3" spans="1:25" x14ac:dyDescent="0.2">
      <c r="A3" t="s">
        <v>163</v>
      </c>
      <c r="B3">
        <f>'Diagnosis Indicators'!B35</f>
        <v>5.7716594496607888E-3</v>
      </c>
      <c r="C3">
        <f>'Diagnosis Indicators'!C35</f>
        <v>8.4163688595046235E-2</v>
      </c>
      <c r="D3">
        <f>'Diagnosis Indicators'!D35</f>
        <v>0.17133023591262547</v>
      </c>
      <c r="E3">
        <f>'Diagnosis Indicators'!E35</f>
        <v>0.26860600590109218</v>
      </c>
      <c r="F3">
        <f>'Diagnosis Indicators'!F35</f>
        <v>0.37760752664307495</v>
      </c>
      <c r="G3">
        <f>'Diagnosis Indicators'!G35</f>
        <v>0.5003264951236438</v>
      </c>
      <c r="H3">
        <f>'Diagnosis Indicators'!H35</f>
        <v>0.63926903924058043</v>
      </c>
      <c r="I3">
        <f>'Diagnosis Indicators'!I35</f>
        <v>0.79767074079111611</v>
      </c>
      <c r="J3">
        <f>'Diagnosis Indicators'!J35</f>
        <v>0.97984912373067801</v>
      </c>
      <c r="K3">
        <f>'Diagnosis Indicators'!K35</f>
        <v>1.191800705201413</v>
      </c>
      <c r="L3">
        <f>'Diagnosis Indicators'!L35</f>
        <v>1.4422478248964674</v>
      </c>
      <c r="M3">
        <f>'Diagnosis Indicators'!M35</f>
        <v>1.7445611838056605</v>
      </c>
      <c r="N3">
        <f>'Diagnosis Indicators'!N35</f>
        <v>2.1204236599043731</v>
      </c>
      <c r="O3">
        <f>'Diagnosis Indicators'!O35</f>
        <v>2.6071111616085711</v>
      </c>
      <c r="P3">
        <f>'Diagnosis Indicators'!P35</f>
        <v>3.2723577481742501</v>
      </c>
    </row>
    <row r="4" spans="1:25" x14ac:dyDescent="0.2">
      <c r="A4" t="s">
        <v>90</v>
      </c>
      <c r="B4">
        <f>'Diagnosis Indicators'!B36</f>
        <v>5.7716594496607888E-3</v>
      </c>
      <c r="C4">
        <f>'Diagnosis Indicators'!C36</f>
        <v>8.1904686662904153E-2</v>
      </c>
      <c r="D4">
        <f>'Diagnosis Indicators'!D36</f>
        <v>0.16646224574715474</v>
      </c>
      <c r="E4">
        <f>'Diagnosis Indicators'!E36</f>
        <v>0.26073310133801625</v>
      </c>
      <c r="F4">
        <f>'Diagnosis Indicators'!F36</f>
        <v>0.36628556123308209</v>
      </c>
      <c r="G4">
        <f>'Diagnosis Indicators'!G36</f>
        <v>0.48506195085474318</v>
      </c>
      <c r="H4">
        <f>'Diagnosis Indicators'!H36</f>
        <v>0.61951864553686842</v>
      </c>
      <c r="I4">
        <f>'Diagnosis Indicators'!I36</f>
        <v>0.77284717843049755</v>
      </c>
      <c r="J4">
        <f>'Diagnosis Indicators'!J36</f>
        <v>0.94932939667664495</v>
      </c>
      <c r="K4">
        <f>'Diagnosis Indicators'!K36</f>
        <v>1.1549440011012087</v>
      </c>
      <c r="L4">
        <f>'Diagnosis Indicators'!L36</f>
        <v>1.3984213695796845</v>
      </c>
      <c r="M4">
        <f>'Diagnosis Indicators'!M36</f>
        <v>1.6931786644963025</v>
      </c>
      <c r="N4">
        <f>'Diagnosis Indicators'!N36</f>
        <v>2.0610032359315995</v>
      </c>
      <c r="O4">
        <f>'Diagnosis Indicators'!O36</f>
        <v>2.5393655196966551</v>
      </c>
      <c r="P4">
        <f>'Diagnosis Indicators'!P36</f>
        <v>3.1963589582455687</v>
      </c>
      <c r="Q4">
        <f>'Diagnosis Indicators'!Q36</f>
        <v>4.1602823248980201</v>
      </c>
      <c r="R4">
        <f>'Diagnosis Indicators'!R36</f>
        <v>5.662806046774107</v>
      </c>
      <c r="S4">
        <f>'Diagnosis Indicators'!S36</f>
        <v>7.9899152464399377</v>
      </c>
      <c r="T4">
        <f>'Diagnosis Indicators'!T36</f>
        <v>10.892795123167994</v>
      </c>
      <c r="U4">
        <f>'Diagnosis Indicators'!U36</f>
        <v>12.857819227616822</v>
      </c>
      <c r="V4">
        <f>'Diagnosis Indicators'!V36</f>
        <v>13.028496343992938</v>
      </c>
      <c r="W4">
        <f>'Diagnosis Indicators'!W36</f>
        <v>13.134690464746724</v>
      </c>
      <c r="X4">
        <f>'Diagnosis Indicators'!X36</f>
        <v>13.190018479221951</v>
      </c>
      <c r="Y4">
        <f>'Diagnosis Indicators'!Y36</f>
        <v>13.210534512664175</v>
      </c>
    </row>
    <row r="5" spans="1:25" x14ac:dyDescent="0.2">
      <c r="A5" t="s">
        <v>146</v>
      </c>
      <c r="B5">
        <f>'Diagnosis Indicators'!B37</f>
        <v>5.7716594496607888E-3</v>
      </c>
      <c r="C5">
        <f>'Diagnosis Indicators'!C37</f>
        <v>9.5789084715243486E-2</v>
      </c>
      <c r="D5">
        <f>'Diagnosis Indicators'!D37</f>
        <v>0.19469904448168196</v>
      </c>
      <c r="E5">
        <f>'Diagnosis Indicators'!E37</f>
        <v>0.30391861833573797</v>
      </c>
      <c r="F5">
        <f>'Diagnosis Indicators'!F37</f>
        <v>0.42510164543286805</v>
      </c>
      <c r="G5">
        <f>'Diagnosis Indicators'!G37</f>
        <v>0.56022480645674988</v>
      </c>
      <c r="H5">
        <f>'Diagnosis Indicators'!H37</f>
        <v>0.71171900884881101</v>
      </c>
      <c r="I5">
        <f>'Diagnosis Indicators'!I37</f>
        <v>0.8826504821801896</v>
      </c>
      <c r="J5">
        <f>'Diagnosis Indicators'!J37</f>
        <v>1.0770129999184945</v>
      </c>
      <c r="K5">
        <f>'Diagnosis Indicators'!K37</f>
        <v>1.3001813177667549</v>
      </c>
      <c r="L5">
        <f>'Diagnosis Indicators'!L37</f>
        <v>1.5596165819632959</v>
      </c>
      <c r="M5">
        <f>'Diagnosis Indicators'!M37</f>
        <v>1.8659214727085738</v>
      </c>
      <c r="N5">
        <f>'Diagnosis Indicators'!N37</f>
        <v>2.2342183008288981</v>
      </c>
      <c r="O5">
        <f>'Diagnosis Indicators'!O37</f>
        <v>2.6850514877017511</v>
      </c>
      <c r="P5">
        <f>'Diagnosis Indicators'!P37</f>
        <v>3.2406998599125321</v>
      </c>
    </row>
    <row r="6" spans="1:25" x14ac:dyDescent="0.2">
      <c r="A6" t="s">
        <v>144</v>
      </c>
      <c r="B6">
        <f>'Diagnosis Indicators'!B38</f>
        <v>5.7716594496607888E-3</v>
      </c>
      <c r="C6">
        <f>'Diagnosis Indicators'!C38</f>
        <v>8.5548224814154666E-2</v>
      </c>
      <c r="D6">
        <f>'Diagnosis Indicators'!D38</f>
        <v>0.17488472567352645</v>
      </c>
      <c r="E6">
        <f>'Diagnosis Indicators'!E38</f>
        <v>0.27545982506051692</v>
      </c>
      <c r="F6">
        <f>'Diagnosis Indicators'!F38</f>
        <v>0.3893917378851261</v>
      </c>
      <c r="G6">
        <f>'Diagnosis Indicators'!G38</f>
        <v>0.51941738358932632</v>
      </c>
      <c r="H6">
        <f>'Diagnosis Indicators'!H38</f>
        <v>0.66918066311881097</v>
      </c>
      <c r="I6">
        <f>'Diagnosis Indicators'!I38</f>
        <v>0.84370969862639955</v>
      </c>
      <c r="J6">
        <f>'Diagnosis Indicators'!J38</f>
        <v>1.0502463106606832</v>
      </c>
      <c r="K6">
        <f>'Diagnosis Indicators'!K38</f>
        <v>1.299745869038712</v>
      </c>
      <c r="L6">
        <f>'Diagnosis Indicators'!L38</f>
        <v>1.6096584608951114</v>
      </c>
    </row>
    <row r="7" spans="1:25" x14ac:dyDescent="0.2">
      <c r="A7" t="s">
        <v>162</v>
      </c>
      <c r="B7">
        <f>'Diagnosis Indicators'!B39</f>
        <v>5.7716594496607888E-3</v>
      </c>
      <c r="C7">
        <f>'Diagnosis Indicators'!C39</f>
        <v>3.9902160681032556E-2</v>
      </c>
      <c r="D7">
        <f>'Diagnosis Indicators'!D39</f>
        <v>7.0436499753707332E-2</v>
      </c>
      <c r="E7">
        <f>'Diagnosis Indicators'!E39</f>
        <v>9.6660977317731434E-2</v>
      </c>
      <c r="F7">
        <f>'Diagnosis Indicators'!F39</f>
        <v>0.11824301775949479</v>
      </c>
      <c r="G7">
        <f>'Diagnosis Indicators'!G39</f>
        <v>0.13520539627668021</v>
      </c>
      <c r="H7">
        <f>'Diagnosis Indicators'!H39</f>
        <v>0.14772196806945284</v>
      </c>
      <c r="I7">
        <f>'Diagnosis Indicators'!I39</f>
        <v>0.15539427325787961</v>
      </c>
    </row>
    <row r="8" spans="1:25" x14ac:dyDescent="0.2">
      <c r="A8" t="s">
        <v>157</v>
      </c>
      <c r="B8">
        <f>'Diagnosis Indicators'!B40</f>
        <v>5.7716594496607888E-3</v>
      </c>
      <c r="C8">
        <f>'Diagnosis Indicators'!C40</f>
        <v>4.3347278632492416E-2</v>
      </c>
      <c r="D8">
        <f>'Diagnosis Indicators'!D40</f>
        <v>7.8836562175367705E-2</v>
      </c>
      <c r="E8">
        <f>'Diagnosis Indicators'!E40</f>
        <v>0.11160353632484372</v>
      </c>
      <c r="F8">
        <f>'Diagnosis Indicators'!F40</f>
        <v>0.14135279255606051</v>
      </c>
      <c r="G8">
        <f>'Diagnosis Indicators'!G40</f>
        <v>0.16834845456716971</v>
      </c>
      <c r="H8">
        <f>'Diagnosis Indicators'!H40</f>
        <v>0.1936539649578233</v>
      </c>
      <c r="I8">
        <f>'Diagnosis Indicators'!I40</f>
        <v>0.21936257717732499</v>
      </c>
      <c r="J8">
        <f>'Diagnosis Indicators'!J40</f>
        <v>0.24880787635849169</v>
      </c>
      <c r="K8">
        <f>'Diagnosis Indicators'!K40</f>
        <v>0.28674616213537124</v>
      </c>
      <c r="L8">
        <f>'Diagnosis Indicators'!L40</f>
        <v>0.339617470548218</v>
      </c>
      <c r="M8">
        <f>'Diagnosis Indicators'!M40</f>
        <v>0.41620239104829926</v>
      </c>
      <c r="N8">
        <f>'Diagnosis Indicators'!N40</f>
        <v>0.52940040618123629</v>
      </c>
      <c r="O8">
        <f>'Diagnosis Indicators'!O40</f>
        <v>0.70073512878194311</v>
      </c>
      <c r="P8">
        <f>'Diagnosis Indicators'!P40</f>
        <v>0.9722117381763663</v>
      </c>
      <c r="Q8">
        <f>'Diagnosis Indicators'!Q40</f>
        <v>1.4429458083909219</v>
      </c>
      <c r="R8">
        <f>'Diagnosis Indicators'!R40</f>
        <v>2.4181233104441771</v>
      </c>
      <c r="S8">
        <f>'Diagnosis Indicators'!S40</f>
        <v>5.3537323627629849</v>
      </c>
      <c r="T8">
        <f>'Diagnosis Indicators'!T40</f>
        <v>25.448296046134697</v>
      </c>
      <c r="U8">
        <f>'Diagnosis Indicators'!U40</f>
        <v>1006.3584564894011</v>
      </c>
      <c r="V8">
        <f>'Diagnosis Indicators'!V40</f>
        <v>3996.4871475383779</v>
      </c>
    </row>
    <row r="9" spans="1:25" x14ac:dyDescent="0.2">
      <c r="A9" t="s">
        <v>158</v>
      </c>
      <c r="B9">
        <f>'Diagnosis Indicators'!B41</f>
        <v>5.7716594496607888E-3</v>
      </c>
      <c r="C9">
        <f>'Diagnosis Indicators'!C41</f>
        <v>5.3529323205677298E-2</v>
      </c>
      <c r="D9">
        <f>'Diagnosis Indicators'!D41</f>
        <v>0.1027202462731281</v>
      </c>
      <c r="E9">
        <f>'Diagnosis Indicators'!E41</f>
        <v>0.15300482499341639</v>
      </c>
      <c r="F9">
        <f>'Diagnosis Indicators'!F41</f>
        <v>0.20398321246897699</v>
      </c>
      <c r="G9">
        <f>'Diagnosis Indicators'!G41</f>
        <v>0.25520666661394764</v>
      </c>
      <c r="H9">
        <f>'Diagnosis Indicators'!H41</f>
        <v>0.30621056241061811</v>
      </c>
      <c r="I9">
        <f>'Diagnosis Indicators'!I41</f>
        <v>0.3565355051045756</v>
      </c>
      <c r="J9">
        <f>'Diagnosis Indicators'!J41</f>
        <v>0.40576532515271035</v>
      </c>
      <c r="K9">
        <f>'Diagnosis Indicators'!K41</f>
        <v>0.45354620162225967</v>
      </c>
      <c r="L9">
        <f>'Diagnosis Indicators'!L41</f>
        <v>0.49960233693927764</v>
      </c>
      <c r="M9">
        <f>'Diagnosis Indicators'!M41</f>
        <v>0.54373977893459624</v>
      </c>
      <c r="N9">
        <f>'Diagnosis Indicators'!N41</f>
        <v>0.58584369372127687</v>
      </c>
      <c r="O9">
        <f>'Diagnosis Indicators'!O41</f>
        <v>0.62586681728579774</v>
      </c>
      <c r="P9">
        <f>'Diagnosis Indicators'!P41</f>
        <v>0.66381704147953513</v>
      </c>
      <c r="Q9">
        <f>'Diagnosis Indicators'!Q41</f>
        <v>0.69974341689044217</v>
      </c>
      <c r="R9">
        <f>'Diagnosis Indicators'!R41</f>
        <v>0.73372370534632803</v>
      </c>
      <c r="S9">
        <f>'Diagnosis Indicators'!S41</f>
        <v>0.7658543745548293</v>
      </c>
      <c r="T9">
        <f>'Diagnosis Indicators'!T41</f>
        <v>0.79624169690128699</v>
      </c>
      <c r="U9">
        <f>'Diagnosis Indicators'!U41</f>
        <v>0.82499607295179267</v>
      </c>
      <c r="V9">
        <f>'Diagnosis Indicators'!V41</f>
        <v>0.8305607326658172</v>
      </c>
      <c r="W9">
        <f>'Diagnosis Indicators'!W41</f>
        <v>0.83606534052001746</v>
      </c>
      <c r="X9">
        <f>'Diagnosis Indicators'!X41</f>
        <v>0.84151078259670964</v>
      </c>
      <c r="Y9">
        <f>'Diagnosis Indicators'!Y41</f>
        <v>0.84689790971568779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081E2-46B9-4B44-BBD9-0A061316043E}">
  <sheetPr codeName="Feuil17"/>
  <dimension ref="A1:Y9"/>
  <sheetViews>
    <sheetView topLeftCell="D1" workbookViewId="0">
      <selection activeCell="Q3" sqref="Q3"/>
    </sheetView>
  </sheetViews>
  <sheetFormatPr baseColWidth="10" defaultRowHeight="10" x14ac:dyDescent="0.2"/>
  <sheetData>
    <row r="1" spans="1:25" x14ac:dyDescent="0.2">
      <c r="A1" t="s">
        <v>198</v>
      </c>
      <c r="B1">
        <f>'Diagnosis Indicators'!B62</f>
        <v>0</v>
      </c>
      <c r="C1">
        <f>'Diagnosis Indicators'!C62</f>
        <v>0.05</v>
      </c>
      <c r="D1">
        <f>'Diagnosis Indicators'!D62</f>
        <v>0.1</v>
      </c>
      <c r="E1">
        <f>'Diagnosis Indicators'!E62</f>
        <v>0.15000000000000002</v>
      </c>
      <c r="F1">
        <f>'Diagnosis Indicators'!F62</f>
        <v>0.2</v>
      </c>
      <c r="G1">
        <f>'Diagnosis Indicators'!G62</f>
        <v>0.25</v>
      </c>
      <c r="H1">
        <f>'Diagnosis Indicators'!H62</f>
        <v>0.3</v>
      </c>
      <c r="I1">
        <f>'Diagnosis Indicators'!I62</f>
        <v>0.35</v>
      </c>
      <c r="J1">
        <f>'Diagnosis Indicators'!J62</f>
        <v>0.39999999999999997</v>
      </c>
      <c r="K1">
        <f>'Diagnosis Indicators'!K62</f>
        <v>0.44999999999999996</v>
      </c>
      <c r="L1">
        <f>'Diagnosis Indicators'!L62</f>
        <v>0.49999999999999994</v>
      </c>
      <c r="M1">
        <f>'Diagnosis Indicators'!M62</f>
        <v>0.54999999999999993</v>
      </c>
      <c r="N1">
        <f>'Diagnosis Indicators'!N62</f>
        <v>0.6</v>
      </c>
      <c r="O1">
        <f>'Diagnosis Indicators'!O62</f>
        <v>0.65</v>
      </c>
      <c r="P1">
        <f>'Diagnosis Indicators'!P62</f>
        <v>0.70000000000000007</v>
      </c>
      <c r="Q1">
        <f>'Diagnosis Indicators'!Q62</f>
        <v>0.75000000000000011</v>
      </c>
      <c r="R1">
        <f>'Diagnosis Indicators'!R62</f>
        <v>0.80000000000000016</v>
      </c>
      <c r="S1">
        <f>'Diagnosis Indicators'!S62</f>
        <v>0.8500000000000002</v>
      </c>
      <c r="T1">
        <f>'Diagnosis Indicators'!T62</f>
        <v>0.90000000000000024</v>
      </c>
      <c r="U1">
        <f>'Diagnosis Indicators'!U62</f>
        <v>0.95000000000000029</v>
      </c>
      <c r="V1">
        <f>'Diagnosis Indicators'!V62</f>
        <v>0.9600000000000003</v>
      </c>
      <c r="W1">
        <f>'Diagnosis Indicators'!W62</f>
        <v>0.97000000000000031</v>
      </c>
      <c r="X1">
        <f>'Diagnosis Indicators'!X62</f>
        <v>0.98000000000000032</v>
      </c>
      <c r="Y1">
        <f>'Diagnosis Indicators'!Y62</f>
        <v>0.99000000000000032</v>
      </c>
    </row>
    <row r="2" spans="1:25" x14ac:dyDescent="0.2">
      <c r="A2" t="str">
        <f>'Diagnosis Indicators'!A63</f>
        <v>Neoclassical</v>
      </c>
      <c r="B2">
        <f>'Diagnosis Indicators'!B49</f>
        <v>0.56058995943839085</v>
      </c>
      <c r="C2">
        <f>'Diagnosis Indicators'!C49</f>
        <v>0.56448403763661104</v>
      </c>
      <c r="D2">
        <f>'Diagnosis Indicators'!D49</f>
        <v>0.5617616816694353</v>
      </c>
      <c r="E2">
        <f>'Diagnosis Indicators'!E49</f>
        <v>0.55903372794973993</v>
      </c>
      <c r="F2">
        <f>'Diagnosis Indicators'!F49</f>
        <v>0.55630047463522736</v>
      </c>
      <c r="G2">
        <f>'Diagnosis Indicators'!G49</f>
        <v>0.5535623084973138</v>
      </c>
      <c r="H2">
        <f>'Diagnosis Indicators'!H49</f>
        <v>0.55081985049006976</v>
      </c>
      <c r="I2">
        <f>'Diagnosis Indicators'!I49</f>
        <v>0.54807416433650158</v>
      </c>
      <c r="J2">
        <f>'Diagnosis Indicators'!J49</f>
        <v>0.54532715895045847</v>
      </c>
      <c r="K2">
        <f>'Diagnosis Indicators'!K49</f>
        <v>0.54258234836523933</v>
      </c>
      <c r="L2">
        <f>'Diagnosis Indicators'!L49</f>
        <v>0.53984619727021621</v>
      </c>
      <c r="M2">
        <f>'Diagnosis Indicators'!M49</f>
        <v>0.53713037810406561</v>
      </c>
      <c r="N2">
        <f>'Diagnosis Indicators'!N49</f>
        <v>0.53445563802369822</v>
      </c>
      <c r="O2">
        <f>'Diagnosis Indicators'!O49</f>
        <v>0.53185816863592117</v>
      </c>
      <c r="P2">
        <f>'Diagnosis Indicators'!P49</f>
        <v>0.52939944347528956</v>
      </c>
      <c r="Q2">
        <f>'Diagnosis Indicators'!Q49</f>
        <v>0.52717920309263488</v>
      </c>
      <c r="R2">
        <f>'Diagnosis Indicators'!R49</f>
        <v>0.52534299445108079</v>
      </c>
      <c r="S2">
        <f>'Diagnosis Indicators'!S49</f>
        <v>0.52404971356876129</v>
      </c>
      <c r="T2">
        <f>'Diagnosis Indicators'!T49</f>
        <v>0.52334718437723526</v>
      </c>
      <c r="U2">
        <f>'Diagnosis Indicators'!U49</f>
        <v>0.52305503787689578</v>
      </c>
      <c r="V2">
        <f>'Diagnosis Indicators'!V49</f>
        <v>0.52301919080834924</v>
      </c>
      <c r="W2">
        <f>'Diagnosis Indicators'!W49</f>
        <v>0.5229843023720766</v>
      </c>
      <c r="X2">
        <f>'Diagnosis Indicators'!X49</f>
        <v>0.52294699545535106</v>
      </c>
      <c r="Y2">
        <f>'Diagnosis Indicators'!Y49</f>
        <v>0.52290080507642078</v>
      </c>
    </row>
    <row r="3" spans="1:25" x14ac:dyDescent="0.2">
      <c r="A3" t="str">
        <f>'Diagnosis Indicators'!A64</f>
        <v>Kaldorian</v>
      </c>
      <c r="B3">
        <f>'Diagnosis Indicators'!B50</f>
        <v>0.56058995943839085</v>
      </c>
      <c r="C3">
        <f>'Diagnosis Indicators'!C50</f>
        <v>0.55801240965962196</v>
      </c>
      <c r="D3">
        <f>'Diagnosis Indicators'!D50</f>
        <v>0.54798952978394289</v>
      </c>
      <c r="E3">
        <f>'Diagnosis Indicators'!E50</f>
        <v>0.53693921184863047</v>
      </c>
      <c r="F3">
        <f>'Diagnosis Indicators'!F50</f>
        <v>0.52460743048148106</v>
      </c>
      <c r="G3">
        <f>'Diagnosis Indicators'!G50</f>
        <v>0.51065215247636431</v>
      </c>
      <c r="H3">
        <f>'Diagnosis Indicators'!H50</f>
        <v>0.49460185102140974</v>
      </c>
      <c r="I3">
        <f>'Diagnosis Indicators'!I50</f>
        <v>0.47578955311913584</v>
      </c>
      <c r="J3">
        <f>'Diagnosis Indicators'!J50</f>
        <v>0.45324024651568923</v>
      </c>
      <c r="K3">
        <f>'Diagnosis Indicators'!K50</f>
        <v>0.42547113329057484</v>
      </c>
      <c r="L3">
        <f>'Diagnosis Indicators'!L50</f>
        <v>0.39011345005273762</v>
      </c>
      <c r="M3">
        <f>'Diagnosis Indicators'!M50</f>
        <v>0.34313894794893718</v>
      </c>
      <c r="N3">
        <f>'Diagnosis Indicators'!N50</f>
        <v>0.27712179060639025</v>
      </c>
      <c r="O3">
        <f>'Diagnosis Indicators'!O50</f>
        <v>0.17681209851505822</v>
      </c>
      <c r="P3">
        <f>'Diagnosis Indicators'!P50</f>
        <v>5.7553559907766007E-3</v>
      </c>
    </row>
    <row r="4" spans="1:25" x14ac:dyDescent="0.2">
      <c r="A4" t="str">
        <f>'Diagnosis Indicators'!A65</f>
        <v>Johansen</v>
      </c>
      <c r="B4">
        <f>'Diagnosis Indicators'!B51</f>
        <v>0.56058995943839085</v>
      </c>
      <c r="C4">
        <f>'Diagnosis Indicators'!C51</f>
        <v>0.56445432904115878</v>
      </c>
      <c r="D4">
        <f>'Diagnosis Indicators'!D51</f>
        <v>0.56170134625276147</v>
      </c>
      <c r="E4">
        <f>'Diagnosis Indicators'!E51</f>
        <v>0.55894176892916581</v>
      </c>
      <c r="F4">
        <f>'Diagnosis Indicators'!F51</f>
        <v>0.55617579392982763</v>
      </c>
      <c r="G4">
        <f>'Diagnosis Indicators'!G51</f>
        <v>0.55340369899187658</v>
      </c>
      <c r="H4">
        <f>'Diagnosis Indicators'!H51</f>
        <v>0.55062603194889059</v>
      </c>
      <c r="I4">
        <f>'Diagnosis Indicators'!I51</f>
        <v>0.54784380451159187</v>
      </c>
      <c r="J4">
        <f>'Diagnosis Indicators'!J51</f>
        <v>0.54505912797836331</v>
      </c>
      <c r="K4">
        <f>'Diagnosis Indicators'!K51</f>
        <v>0.54227600955021071</v>
      </c>
      <c r="L4">
        <f>'Diagnosis Indicators'!L51</f>
        <v>0.53950208149305612</v>
      </c>
      <c r="M4">
        <f>'Diagnosis Indicators'!M51</f>
        <v>0.53675130876640942</v>
      </c>
      <c r="N4">
        <f>'Diagnosis Indicators'!N51</f>
        <v>0.53404859259757043</v>
      </c>
      <c r="O4">
        <f>'Diagnosis Indicators'!O51</f>
        <v>0.53143719658050403</v>
      </c>
      <c r="P4">
        <f>'Diagnosis Indicators'!P51</f>
        <v>0.52898975524523961</v>
      </c>
      <c r="Q4">
        <f>'Diagnosis Indicators'!Q51</f>
        <v>0.5268210743570455</v>
      </c>
      <c r="R4">
        <f>'Diagnosis Indicators'!R51</f>
        <v>0.52508825881270249</v>
      </c>
      <c r="S4">
        <f>'Diagnosis Indicators'!S51</f>
        <v>0.52393265378798648</v>
      </c>
      <c r="T4">
        <f>'Diagnosis Indicators'!T51</f>
        <v>0.52333705469242797</v>
      </c>
      <c r="U4">
        <f>'Diagnosis Indicators'!U51</f>
        <v>0.52307783128462226</v>
      </c>
      <c r="V4">
        <f>'Diagnosis Indicators'!V51</f>
        <v>0.52304154287889992</v>
      </c>
      <c r="W4">
        <f>'Diagnosis Indicators'!W51</f>
        <v>0.52300470773160379</v>
      </c>
      <c r="X4">
        <f>'Diagnosis Indicators'!X51</f>
        <v>0.52296407145775547</v>
      </c>
      <c r="Y4">
        <f>'Diagnosis Indicators'!Y51</f>
        <v>0.52291300346897762</v>
      </c>
    </row>
    <row r="5" spans="1:25" x14ac:dyDescent="0.2">
      <c r="A5" t="str">
        <f>'Diagnosis Indicators'!A66</f>
        <v>Keynes-Kaldor</v>
      </c>
      <c r="B5">
        <f>'Diagnosis Indicators'!B52</f>
        <v>0.56058995943839085</v>
      </c>
      <c r="C5">
        <f>'Diagnosis Indicators'!C52</f>
        <v>0.55666030425497492</v>
      </c>
      <c r="D5">
        <f>'Diagnosis Indicators'!D52</f>
        <v>0.54530261045316231</v>
      </c>
      <c r="E5">
        <f>'Diagnosis Indicators'!E52</f>
        <v>0.53289279131231748</v>
      </c>
      <c r="F5">
        <f>'Diagnosis Indicators'!F52</f>
        <v>0.51913492996285349</v>
      </c>
      <c r="G5">
        <f>'Diagnosis Indicators'!G52</f>
        <v>0.50364337325667985</v>
      </c>
      <c r="H5">
        <f>'Diagnosis Indicators'!H52</f>
        <v>0.48589883004422713</v>
      </c>
      <c r="I5">
        <f>'Diagnosis Indicators'!I52</f>
        <v>0.46518317895343164</v>
      </c>
      <c r="J5">
        <f>'Diagnosis Indicators'!J52</f>
        <v>0.44047088225727188</v>
      </c>
      <c r="K5">
        <f>'Diagnosis Indicators'!K52</f>
        <v>0.41024682490867226</v>
      </c>
      <c r="L5">
        <f>'Diagnosis Indicators'!L52</f>
        <v>0.37218402055530581</v>
      </c>
      <c r="M5">
        <f>'Diagnosis Indicators'!M52</f>
        <v>0.32255245773296032</v>
      </c>
      <c r="N5">
        <f>'Diagnosis Indicators'!N52</f>
        <v>0.25509575727558986</v>
      </c>
      <c r="O5">
        <f>'Diagnosis Indicators'!O52</f>
        <v>0.15890756075857373</v>
      </c>
      <c r="P5">
        <f>'Diagnosis Indicators'!P52</f>
        <v>1.4955384453835428E-2</v>
      </c>
    </row>
    <row r="6" spans="1:25" x14ac:dyDescent="0.2">
      <c r="A6" t="str">
        <f>'Diagnosis Indicators'!A67</f>
        <v>Keynes-Marshall</v>
      </c>
      <c r="B6">
        <f>'Diagnosis Indicators'!B53</f>
        <v>0.56058995943839085</v>
      </c>
      <c r="C6">
        <f>'Diagnosis Indicators'!C53</f>
        <v>0.58794434838116505</v>
      </c>
      <c r="D6">
        <f>'Diagnosis Indicators'!D53</f>
        <v>0.61043596589907523</v>
      </c>
      <c r="E6">
        <f>'Diagnosis Indicators'!E53</f>
        <v>0.63508523045338994</v>
      </c>
      <c r="F6">
        <f>'Diagnosis Indicators'!F53</f>
        <v>0.66242625421563628</v>
      </c>
      <c r="G6">
        <f>'Diagnosis Indicators'!G53</f>
        <v>0.6931682488371359</v>
      </c>
      <c r="H6">
        <f>'Diagnosis Indicators'!H53</f>
        <v>0.72827478177537996</v>
      </c>
      <c r="I6">
        <f>'Diagnosis Indicators'!I53</f>
        <v>0.76908936262369709</v>
      </c>
      <c r="J6">
        <f>'Diagnosis Indicators'!J53</f>
        <v>0.81754517501923774</v>
      </c>
      <c r="K6">
        <f>'Diagnosis Indicators'!K53</f>
        <v>0.87652950806433017</v>
      </c>
      <c r="L6">
        <f>'Diagnosis Indicators'!L53</f>
        <v>0.95053952103680517</v>
      </c>
    </row>
    <row r="7" spans="1:25" x14ac:dyDescent="0.2">
      <c r="A7" t="str">
        <f>'Diagnosis Indicators'!A68</f>
        <v>Keynesian</v>
      </c>
      <c r="B7">
        <f>'Diagnosis Indicators'!B54</f>
        <v>0.56058995943839085</v>
      </c>
      <c r="C7">
        <f>'Diagnosis Indicators'!C54</f>
        <v>0.57615000830040608</v>
      </c>
      <c r="D7">
        <f>'Diagnosis Indicators'!D54</f>
        <v>0.58399989027557619</v>
      </c>
      <c r="E7">
        <f>'Diagnosis Indicators'!E54</f>
        <v>0.59062160480582204</v>
      </c>
      <c r="F7">
        <f>'Diagnosis Indicators'!F54</f>
        <v>0.59598259084201499</v>
      </c>
      <c r="G7">
        <f>'Diagnosis Indicators'!G54</f>
        <v>0.60013757236051468</v>
      </c>
      <c r="H7">
        <f>'Diagnosis Indicators'!H54</f>
        <v>0.6031879666766814</v>
      </c>
      <c r="I7">
        <f>'Diagnosis Indicators'!I54</f>
        <v>0.60515634380431527</v>
      </c>
    </row>
    <row r="8" spans="1:25" x14ac:dyDescent="0.2">
      <c r="A8" t="str">
        <f>'Diagnosis Indicators'!A69</f>
        <v>Neo-K1</v>
      </c>
      <c r="B8">
        <f>'Diagnosis Indicators'!B55</f>
        <v>0.56058995943839085</v>
      </c>
      <c r="C8">
        <f>'Diagnosis Indicators'!C55</f>
        <v>0.56676241217920698</v>
      </c>
      <c r="D8">
        <f>'Diagnosis Indicators'!D55</f>
        <v>0.56630011484243348</v>
      </c>
      <c r="E8">
        <f>'Diagnosis Indicators'!E55</f>
        <v>0.56581172432679183</v>
      </c>
      <c r="F8">
        <f>'Diagnosis Indicators'!F55</f>
        <v>0.56529677138306977</v>
      </c>
      <c r="G8">
        <f>'Diagnosis Indicators'!G55</f>
        <v>0.56475635761981657</v>
      </c>
      <c r="H8">
        <f>'Diagnosis Indicators'!H55</f>
        <v>0.56419326654974522</v>
      </c>
      <c r="I8">
        <f>'Diagnosis Indicators'!I55</f>
        <v>0.56361164024026289</v>
      </c>
      <c r="J8">
        <f>'Diagnosis Indicators'!J55</f>
        <v>0.56301669439785307</v>
      </c>
      <c r="K8">
        <f>'Diagnosis Indicators'!K55</f>
        <v>0.56241414535394574</v>
      </c>
      <c r="L8">
        <f>'Diagnosis Indicators'!L55</f>
        <v>0.5618097095279484</v>
      </c>
      <c r="M8">
        <f>'Diagnosis Indicators'!M55</f>
        <v>0.5612086873806772</v>
      </c>
      <c r="N8">
        <f>'Diagnosis Indicators'!N55</f>
        <v>0.56061564851320345</v>
      </c>
      <c r="O8">
        <f>'Diagnosis Indicators'!O55</f>
        <v>0.56003431322478514</v>
      </c>
      <c r="P8">
        <f>'Diagnosis Indicators'!P55</f>
        <v>0.55946748752395503</v>
      </c>
      <c r="Q8">
        <f>'Diagnosis Indicators'!Q55</f>
        <v>0.55891719792137862</v>
      </c>
      <c r="R8">
        <f>'Diagnosis Indicators'!R55</f>
        <v>0.55838470731680967</v>
      </c>
      <c r="S8">
        <f>'Diagnosis Indicators'!S55</f>
        <v>0.55787072447994623</v>
      </c>
      <c r="T8">
        <f>'Diagnosis Indicators'!T55</f>
        <v>0.55737547301593315</v>
      </c>
      <c r="U8">
        <f>'Diagnosis Indicators'!U55</f>
        <v>0.55689883658533934</v>
      </c>
      <c r="V8">
        <f>'Diagnosis Indicators'!V55</f>
        <v>0.55680572499943093</v>
      </c>
      <c r="W8">
        <f>'Diagnosis Indicators'!W55</f>
        <v>0.55671332198900492</v>
      </c>
      <c r="X8">
        <f>'Diagnosis Indicators'!X55</f>
        <v>0.5566216485241986</v>
      </c>
      <c r="Y8">
        <f>'Diagnosis Indicators'!Y55</f>
        <v>0.55653069648219478</v>
      </c>
    </row>
    <row r="9" spans="1:25" x14ac:dyDescent="0.2">
      <c r="A9" t="str">
        <f>'Diagnosis Indicators'!A70</f>
        <v>Neo-K2</v>
      </c>
      <c r="B9">
        <f>'Diagnosis Indicators'!B56</f>
        <v>0.56058995943839085</v>
      </c>
      <c r="C9">
        <f>'Diagnosis Indicators'!C56</f>
        <v>0.56808244850039702</v>
      </c>
      <c r="D9">
        <f>'Diagnosis Indicators'!D56</f>
        <v>0.56903312149697405</v>
      </c>
      <c r="E9">
        <f>'Diagnosis Indicators'!E56</f>
        <v>0.57003543540800738</v>
      </c>
      <c r="F9">
        <f>'Diagnosis Indicators'!F56</f>
        <v>0.57106499362878038</v>
      </c>
      <c r="G9">
        <f>'Diagnosis Indicators'!G56</f>
        <v>0.57208909423310461</v>
      </c>
      <c r="H9">
        <f>'Diagnosis Indicators'!H56</f>
        <v>0.57306545556919386</v>
      </c>
      <c r="I9">
        <f>'Diagnosis Indicators'!I56</f>
        <v>0.57394099392195208</v>
      </c>
      <c r="J9">
        <f>'Diagnosis Indicators'!J56</f>
        <v>0.57465186591852768</v>
      </c>
      <c r="K9">
        <f>'Diagnosis Indicators'!K56</f>
        <v>0.5751258039744408</v>
      </c>
      <c r="L9">
        <f>'Diagnosis Indicators'!L56</f>
        <v>0.57528573923299575</v>
      </c>
      <c r="M9">
        <f>'Diagnosis Indicators'!M56</f>
        <v>0.57505132183034091</v>
      </c>
      <c r="N9">
        <f>'Diagnosis Indicators'!N56</f>
        <v>0.57433270966928585</v>
      </c>
      <c r="O9">
        <f>'Diagnosis Indicators'!O56</f>
        <v>0.57301079072542627</v>
      </c>
      <c r="P9">
        <f>'Diagnosis Indicators'!P56</f>
        <v>0.570893297639405</v>
      </c>
      <c r="Q9">
        <f>'Diagnosis Indicators'!Q56</f>
        <v>0.56761283819254171</v>
      </c>
      <c r="R9">
        <f>'Diagnosis Indicators'!R56</f>
        <v>0.56233949896350066</v>
      </c>
      <c r="S9">
        <f>'Diagnosis Indicators'!S56</f>
        <v>0.5527564258965092</v>
      </c>
      <c r="T9">
        <f>'Diagnosis Indicators'!T56</f>
        <v>0.53129674248312952</v>
      </c>
      <c r="U9">
        <f>'Diagnosis Indicators'!U56</f>
        <v>0.47420980597047752</v>
      </c>
      <c r="V9">
        <f>'Diagnosis Indicators'!V56</f>
        <v>0.45198616638940381</v>
      </c>
      <c r="W9" t="e">
        <f>'Diagnosis Indicators'!W56</f>
        <v>#DIV/0!</v>
      </c>
      <c r="X9" t="e">
        <f>'Diagnosis Indicators'!X56</f>
        <v>#DIV/0!</v>
      </c>
      <c r="Y9" t="e">
        <f>'Diagnosis Indicators'!Y56</f>
        <v>#DIV/0!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05C95-8C8F-4137-A0D5-BC10EECD6713}">
  <sheetPr codeName="Feuil11"/>
  <dimension ref="A1:Y9"/>
  <sheetViews>
    <sheetView tabSelected="1" workbookViewId="0">
      <selection activeCell="C2" sqref="C2"/>
    </sheetView>
  </sheetViews>
  <sheetFormatPr baseColWidth="10" defaultRowHeight="10" x14ac:dyDescent="0.2"/>
  <sheetData>
    <row r="1" spans="1:25" x14ac:dyDescent="0.2">
      <c r="A1" t="s">
        <v>198</v>
      </c>
      <c r="B1" s="240">
        <f>'Diagnosis Indicators'!B2</f>
        <v>0</v>
      </c>
      <c r="C1" s="240">
        <f>'Diagnosis Indicators'!C2</f>
        <v>0.05</v>
      </c>
      <c r="D1" s="240">
        <f>'Diagnosis Indicators'!D2</f>
        <v>0.1</v>
      </c>
      <c r="E1" s="240">
        <f>'Diagnosis Indicators'!E2</f>
        <v>0.15000000000000002</v>
      </c>
      <c r="F1" s="240">
        <f>'Diagnosis Indicators'!F2</f>
        <v>0.2</v>
      </c>
      <c r="G1" s="240">
        <f>'Diagnosis Indicators'!G2</f>
        <v>0.25</v>
      </c>
      <c r="H1" s="240">
        <f>'Diagnosis Indicators'!H2</f>
        <v>0.3</v>
      </c>
      <c r="I1" s="240">
        <f>'Diagnosis Indicators'!I2</f>
        <v>0.35</v>
      </c>
      <c r="J1" s="240">
        <f>'Diagnosis Indicators'!J2</f>
        <v>0.39999999999999997</v>
      </c>
      <c r="K1" s="240">
        <f>'Diagnosis Indicators'!K2</f>
        <v>0.44999999999999996</v>
      </c>
      <c r="L1" s="240">
        <f>'Diagnosis Indicators'!L2</f>
        <v>0.49999999999999994</v>
      </c>
      <c r="M1" s="240">
        <f>'Diagnosis Indicators'!M2</f>
        <v>0.54999999999999993</v>
      </c>
      <c r="N1" s="240">
        <f>'Diagnosis Indicators'!N2</f>
        <v>0.6</v>
      </c>
      <c r="O1" s="240">
        <f>'Diagnosis Indicators'!O2</f>
        <v>0.65</v>
      </c>
      <c r="P1" s="240">
        <f>'Diagnosis Indicators'!P2</f>
        <v>0.70000000000000007</v>
      </c>
      <c r="Q1" s="240">
        <f>'Diagnosis Indicators'!Q2</f>
        <v>0.75000000000000011</v>
      </c>
      <c r="R1" s="240">
        <f>'Diagnosis Indicators'!R2</f>
        <v>0.80000000000000016</v>
      </c>
      <c r="S1" s="240">
        <f>'Diagnosis Indicators'!S2</f>
        <v>0.8500000000000002</v>
      </c>
      <c r="T1" s="240">
        <f>'Diagnosis Indicators'!T2</f>
        <v>0.90000000000000024</v>
      </c>
      <c r="U1" s="240">
        <f>'Diagnosis Indicators'!U2</f>
        <v>0.95000000000000029</v>
      </c>
      <c r="V1" s="240">
        <f>'Diagnosis Indicators'!V2</f>
        <v>0.9600000000000003</v>
      </c>
      <c r="W1" s="240">
        <f>'Diagnosis Indicators'!W2</f>
        <v>0.97000000000000031</v>
      </c>
      <c r="X1" s="240">
        <f>'Diagnosis Indicators'!X2</f>
        <v>0.98000000000000032</v>
      </c>
      <c r="Y1" s="240">
        <f>'Diagnosis Indicators'!Y2</f>
        <v>0.99000000000000032</v>
      </c>
    </row>
    <row r="2" spans="1:25" x14ac:dyDescent="0.2">
      <c r="A2" t="str">
        <f>'Diagnosis Indicators'!A3</f>
        <v>Neoclassical</v>
      </c>
      <c r="B2">
        <f>'Diagnosis Indicators'!B3</f>
        <v>1.0000000000000013</v>
      </c>
      <c r="C2">
        <f>'Diagnosis Indicators'!C3</f>
        <v>0.98919286403358853</v>
      </c>
      <c r="D2">
        <f>'Diagnosis Indicators'!D3</f>
        <v>0.97734941373723538</v>
      </c>
      <c r="E2">
        <f>'Diagnosis Indicators'!E3</f>
        <v>0.96429178746957189</v>
      </c>
      <c r="F2">
        <f>'Diagnosis Indicators'!F3</f>
        <v>0.94980039074182132</v>
      </c>
      <c r="G2">
        <f>'Diagnosis Indicators'!G3</f>
        <v>0.93360106126487385</v>
      </c>
      <c r="H2">
        <f>'Diagnosis Indicators'!H3</f>
        <v>0.91534741856385893</v>
      </c>
      <c r="I2">
        <f>'Diagnosis Indicators'!I3</f>
        <v>0.89459574932925701</v>
      </c>
      <c r="J2">
        <f>'Diagnosis Indicators'!J3</f>
        <v>0.87076911483518726</v>
      </c>
      <c r="K2">
        <f>'Diagnosis Indicators'!K3</f>
        <v>0.84310299392935606</v>
      </c>
      <c r="L2">
        <f>'Diagnosis Indicators'!L3</f>
        <v>0.81056383268256338</v>
      </c>
      <c r="M2">
        <f>'Diagnosis Indicators'!M3</f>
        <v>0.77172068273337679</v>
      </c>
      <c r="N2">
        <f>'Diagnosis Indicators'!N3</f>
        <v>0.72454183837004904</v>
      </c>
      <c r="O2">
        <f>'Diagnosis Indicators'!O3</f>
        <v>0.66607453338840139</v>
      </c>
      <c r="P2">
        <f>'Diagnosis Indicators'!P3</f>
        <v>0.59198272830443799</v>
      </c>
      <c r="Q2">
        <f>'Diagnosis Indicators'!Q3</f>
        <v>0.49613389017956699</v>
      </c>
      <c r="R2">
        <f>'Diagnosis Indicators'!R3</f>
        <v>0.37163142719847547</v>
      </c>
      <c r="S2">
        <f>'Diagnosis Indicators'!S3</f>
        <v>0.21935799834085129</v>
      </c>
      <c r="T2">
        <f>'Diagnosis Indicators'!T3</f>
        <v>7.4667393921473771E-2</v>
      </c>
      <c r="U2">
        <f>'Diagnosis Indicators'!U3</f>
        <v>6.3143372801611718E-3</v>
      </c>
      <c r="V2">
        <f>'Diagnosis Indicators'!V3</f>
        <v>2.6515095955367478E-3</v>
      </c>
      <c r="W2">
        <f>'Diagnosis Indicators'!W3</f>
        <v>8.5195107496813575E-4</v>
      </c>
      <c r="X2">
        <f>'Diagnosis Indicators'!X3</f>
        <v>1.6962778913232266E-4</v>
      </c>
      <c r="Y2">
        <f>'Diagnosis Indicators'!Y3</f>
        <v>1.0632028678916424E-5</v>
      </c>
    </row>
    <row r="3" spans="1:25" x14ac:dyDescent="0.2">
      <c r="A3" t="str">
        <f>'Diagnosis Indicators'!A4</f>
        <v>Kaldorian</v>
      </c>
      <c r="B3">
        <f>'Diagnosis Indicators'!B4</f>
        <v>1.0000000000000013</v>
      </c>
      <c r="C3">
        <f>'Diagnosis Indicators'!C4</f>
        <v>0.99678956878842817</v>
      </c>
      <c r="D3">
        <f>'Diagnosis Indicators'!D4</f>
        <v>0.99288156068627331</v>
      </c>
      <c r="E3">
        <f>'Diagnosis Indicators'!E4</f>
        <v>0.98815943137863127</v>
      </c>
      <c r="F3">
        <f>'Diagnosis Indicators'!F4</f>
        <v>0.98247920910041198</v>
      </c>
      <c r="G3">
        <f>'Diagnosis Indicators'!G4</f>
        <v>0.9756609572818139</v>
      </c>
      <c r="H3">
        <f>'Diagnosis Indicators'!H4</f>
        <v>0.96747677567927037</v>
      </c>
      <c r="I3">
        <f>'Diagnosis Indicators'!I4</f>
        <v>0.9576338686332958</v>
      </c>
      <c r="J3">
        <f>'Diagnosis Indicators'!J4</f>
        <v>0.94574959084229204</v>
      </c>
      <c r="K3">
        <f>'Diagnosis Indicators'!K4</f>
        <v>0.9313143102111564</v>
      </c>
      <c r="L3">
        <f>'Diagnosis Indicators'!L4</f>
        <v>0.91363332056245761</v>
      </c>
      <c r="M3">
        <f>'Diagnosis Indicators'!M4</f>
        <v>0.89173480508155878</v>
      </c>
      <c r="N3">
        <f>'Diagnosis Indicators'!N4</f>
        <v>0.86421823316760449</v>
      </c>
      <c r="O3">
        <f>'Diagnosis Indicators'!O4</f>
        <v>0.8289996817388634</v>
      </c>
      <c r="P3">
        <f>'Diagnosis Indicators'!P4</f>
        <v>0.7828852572545848</v>
      </c>
    </row>
    <row r="4" spans="1:25" x14ac:dyDescent="0.2">
      <c r="A4" t="str">
        <f>'Diagnosis Indicators'!A5</f>
        <v>Johansen</v>
      </c>
      <c r="B4">
        <f>'Diagnosis Indicators'!B5</f>
        <v>1.0000000000000013</v>
      </c>
      <c r="C4">
        <f>'Diagnosis Indicators'!C5</f>
        <v>0.99681571962465543</v>
      </c>
      <c r="D4">
        <f>'Diagnosis Indicators'!D5</f>
        <v>0.99293483827626861</v>
      </c>
      <c r="E4">
        <f>'Diagnosis Indicators'!E5</f>
        <v>0.98824098263734561</v>
      </c>
      <c r="F4">
        <f>'Diagnosis Indicators'!F5</f>
        <v>0.9825903432946993</v>
      </c>
      <c r="G4">
        <f>'Diagnosis Indicators'!G5</f>
        <v>0.97580316130964351</v>
      </c>
      <c r="H4">
        <f>'Diagnosis Indicators'!H5</f>
        <v>0.96765167973738031</v>
      </c>
      <c r="I4">
        <f>'Diagnosis Indicators'!I5</f>
        <v>0.95784323144723205</v>
      </c>
      <c r="J4">
        <f>'Diagnosis Indicators'!J5</f>
        <v>0.94599518687526796</v>
      </c>
      <c r="K4">
        <f>'Diagnosis Indicators'!K5</f>
        <v>0.93159740399197788</v>
      </c>
      <c r="L4">
        <f>'Diagnosis Indicators'!L5</f>
        <v>0.9139542248171445</v>
      </c>
      <c r="M4">
        <f>'Diagnosis Indicators'!M5</f>
        <v>0.89209177309842602</v>
      </c>
      <c r="N4">
        <f>'Diagnosis Indicators'!N5</f>
        <v>0.86460575968212949</v>
      </c>
      <c r="O4">
        <f>'Diagnosis Indicators'!O5</f>
        <v>0.82940606043189269</v>
      </c>
      <c r="P4">
        <f>'Diagnosis Indicators'!P5</f>
        <v>0.78329014378477457</v>
      </c>
      <c r="Q4">
        <f>'Diagnosis Indicators'!Q5</f>
        <v>0.72129041630413504</v>
      </c>
      <c r="R4">
        <f>'Diagnosis Indicators'!R5</f>
        <v>0.63603996796458306</v>
      </c>
      <c r="S4">
        <f>'Diagnosis Indicators'!S5</f>
        <v>0.51879980000162085</v>
      </c>
      <c r="T4">
        <f>'Diagnosis Indicators'!T5</f>
        <v>0.36592539631425702</v>
      </c>
      <c r="U4">
        <f>'Diagnosis Indicators'!U5</f>
        <v>0.18739103396881041</v>
      </c>
      <c r="V4">
        <f>'Diagnosis Indicators'!V5</f>
        <v>0.15017300431364247</v>
      </c>
      <c r="W4">
        <f>'Diagnosis Indicators'!W5</f>
        <v>0.11274873692666064</v>
      </c>
      <c r="X4">
        <f>'Diagnosis Indicators'!X5</f>
        <v>7.5206678411812E-2</v>
      </c>
      <c r="Y4">
        <f>'Diagnosis Indicators'!Y5</f>
        <v>3.7610874875399575E-2</v>
      </c>
    </row>
    <row r="5" spans="1:25" x14ac:dyDescent="0.2">
      <c r="A5" t="str">
        <f>'Diagnosis Indicators'!A6</f>
        <v>Keynes-Kaldor</v>
      </c>
      <c r="B5">
        <f>'Diagnosis Indicators'!B6</f>
        <v>1.0000000000000013</v>
      </c>
      <c r="C5">
        <f>'Diagnosis Indicators'!C6</f>
        <v>1.0045152573584284</v>
      </c>
      <c r="D5">
        <f>'Diagnosis Indicators'!D6</f>
        <v>1.0072727008852038</v>
      </c>
      <c r="E5">
        <f>'Diagnosis Indicators'!E6</f>
        <v>1.0082509249602765</v>
      </c>
      <c r="F5">
        <f>'Diagnosis Indicators'!F6</f>
        <v>1.0073531670117302</v>
      </c>
      <c r="G5">
        <f>'Diagnosis Indicators'!G6</f>
        <v>1.0044053815843976</v>
      </c>
      <c r="H5">
        <f>'Diagnosis Indicators'!H6</f>
        <v>0.99914690525422278</v>
      </c>
      <c r="I5">
        <f>'Diagnosis Indicators'!I6</f>
        <v>0.99120942212829644</v>
      </c>
      <c r="J5">
        <f>'Diagnosis Indicators'!J6</f>
        <v>0.9800851733439998</v>
      </c>
      <c r="K5">
        <f>'Diagnosis Indicators'!K6</f>
        <v>0.96507675696208428</v>
      </c>
      <c r="L5">
        <f>'Diagnosis Indicators'!L6</f>
        <v>0.9452191256220891</v>
      </c>
      <c r="M5">
        <f>'Diagnosis Indicators'!M6</f>
        <v>0.91915869364697445</v>
      </c>
      <c r="N5">
        <f>'Diagnosis Indicators'!N6</f>
        <v>0.88496515992549052</v>
      </c>
      <c r="O5">
        <f>'Diagnosis Indicators'!O6</f>
        <v>0.8398463607559592</v>
      </c>
      <c r="P5">
        <f>'Diagnosis Indicators'!P6</f>
        <v>0.7797646984006994</v>
      </c>
    </row>
    <row r="6" spans="1:25" x14ac:dyDescent="0.2">
      <c r="A6" t="str">
        <f>'Diagnosis Indicators'!A7</f>
        <v>Keynes-Marshall</v>
      </c>
      <c r="B6">
        <f>'Diagnosis Indicators'!B7</f>
        <v>1.0000000000000013</v>
      </c>
      <c r="C6">
        <f>'Diagnosis Indicators'!C7</f>
        <v>1.0052197694747844</v>
      </c>
      <c r="D6">
        <f>'Diagnosis Indicators'!D7</f>
        <v>1.0099380218966836</v>
      </c>
      <c r="E6">
        <f>'Diagnosis Indicators'!E7</f>
        <v>1.0140773656668653</v>
      </c>
      <c r="F6">
        <f>'Diagnosis Indicators'!F7</f>
        <v>1.0175361208923994</v>
      </c>
      <c r="G6">
        <f>'Diagnosis Indicators'!G7</f>
        <v>1.0201788026762575</v>
      </c>
      <c r="H6">
        <f>'Diagnosis Indicators'!H7</f>
        <v>1.0218225381459374</v>
      </c>
      <c r="I6">
        <f>'Diagnosis Indicators'!I7</f>
        <v>1.0222155797930879</v>
      </c>
      <c r="J6">
        <f>'Diagnosis Indicators'!J7</f>
        <v>1.0210034708544975</v>
      </c>
      <c r="K6">
        <f>'Diagnosis Indicators'!K7</f>
        <v>1.0176732709979048</v>
      </c>
    </row>
    <row r="7" spans="1:25" x14ac:dyDescent="0.2">
      <c r="A7" t="str">
        <f>'Diagnosis Indicators'!A8</f>
        <v>Keynesian</v>
      </c>
      <c r="B7">
        <f>'Diagnosis Indicators'!B8</f>
        <v>1.0000000000000013</v>
      </c>
      <c r="C7">
        <f>'Diagnosis Indicators'!C8</f>
        <v>0.97045746070851324</v>
      </c>
      <c r="D7">
        <f>'Diagnosis Indicators'!D8</f>
        <v>0.93588646389055141</v>
      </c>
      <c r="E7">
        <f>'Diagnosis Indicators'!E8</f>
        <v>0.89648501124606117</v>
      </c>
      <c r="F7">
        <f>'Diagnosis Indicators'!F8</f>
        <v>0.85282446536191903</v>
      </c>
      <c r="G7">
        <f>'Diagnosis Indicators'!G8</f>
        <v>0.80582220691359208</v>
      </c>
      <c r="H7">
        <f>'Diagnosis Indicators'!H8</f>
        <v>0.75681746463460409</v>
      </c>
      <c r="I7">
        <f>'Diagnosis Indicators'!I8</f>
        <v>0.70849453836529663</v>
      </c>
    </row>
    <row r="8" spans="1:25" x14ac:dyDescent="0.2">
      <c r="A8" t="str">
        <f>'Diagnosis Indicators'!A9</f>
        <v>Neo-K2</v>
      </c>
      <c r="B8">
        <f>'Diagnosis Indicators'!B9</f>
        <v>1.0000000000000013</v>
      </c>
      <c r="C8">
        <f>'Diagnosis Indicators'!C9</f>
        <v>0.97218839469782525</v>
      </c>
      <c r="D8">
        <f>'Diagnosis Indicators'!D9</f>
        <v>0.94082277018003868</v>
      </c>
      <c r="E8">
        <f>'Diagnosis Indicators'!E9</f>
        <v>0.90584493084174522</v>
      </c>
      <c r="F8">
        <f>'Diagnosis Indicators'!F9</f>
        <v>0.86743005031216813</v>
      </c>
      <c r="G8">
        <f>'Diagnosis Indicators'!G9</f>
        <v>0.82602117580257839</v>
      </c>
      <c r="H8">
        <f>'Diagnosis Indicators'!H9</f>
        <v>0.78232895642627376</v>
      </c>
      <c r="I8">
        <f>'Diagnosis Indicators'!I9</f>
        <v>0.73728040739948775</v>
      </c>
      <c r="J8">
        <f>'Diagnosis Indicators'!J9</f>
        <v>0.69191648879904832</v>
      </c>
      <c r="K8">
        <f>'Diagnosis Indicators'!K9</f>
        <v>0.64723885235900769</v>
      </c>
      <c r="L8">
        <f>'Diagnosis Indicators'!L9</f>
        <v>0.60404231960048405</v>
      </c>
      <c r="M8">
        <f>'Diagnosis Indicators'!M9</f>
        <v>0.56278281205438319</v>
      </c>
      <c r="N8">
        <f>'Diagnosis Indicators'!N9</f>
        <v>0.52352813976659829</v>
      </c>
      <c r="O8">
        <f>'Diagnosis Indicators'!O9</f>
        <v>0.48597694300063737</v>
      </c>
      <c r="P8">
        <f>'Diagnosis Indicators'!P9</f>
        <v>0.44947858689503706</v>
      </c>
      <c r="Q8">
        <f>'Diagnosis Indicators'!Q9</f>
        <v>0.4129505048342928</v>
      </c>
      <c r="R8">
        <f>'Diagnosis Indicators'!R9</f>
        <v>0.37447182361472253</v>
      </c>
      <c r="S8">
        <f>'Diagnosis Indicators'!S9</f>
        <v>0.32983834477939744</v>
      </c>
      <c r="T8">
        <f>'Diagnosis Indicators'!T9</f>
        <v>0.2689207748427706</v>
      </c>
      <c r="U8">
        <f>'Diagnosis Indicators'!U9</f>
        <v>0.17657064475293521</v>
      </c>
      <c r="V8">
        <f>'Diagnosis Indicators'!V9</f>
        <v>0.1524799911077801</v>
      </c>
    </row>
    <row r="9" spans="1:25" x14ac:dyDescent="0.2">
      <c r="A9" t="str">
        <f>'Diagnosis Indicators'!A10</f>
        <v>Neo-K1</v>
      </c>
      <c r="B9">
        <f>'Diagnosis Indicators'!B10</f>
        <v>1.0000000000000013</v>
      </c>
      <c r="C9">
        <f>'Diagnosis Indicators'!C10</f>
        <v>0.97688955908214481</v>
      </c>
      <c r="D9">
        <f>'Diagnosis Indicators'!D10</f>
        <v>0.95126752914313961</v>
      </c>
      <c r="E9">
        <f>'Diagnosis Indicators'!E10</f>
        <v>0.92289922165572558</v>
      </c>
      <c r="F9">
        <f>'Diagnosis Indicators'!F10</f>
        <v>0.8915738874354604</v>
      </c>
      <c r="G9">
        <f>'Diagnosis Indicators'!G10</f>
        <v>0.85711903098205799</v>
      </c>
      <c r="H9">
        <f>'Diagnosis Indicators'!H10</f>
        <v>0.81941425115386968</v>
      </c>
      <c r="I9">
        <f>'Diagnosis Indicators'!I10</f>
        <v>0.77840149953168258</v>
      </c>
      <c r="J9">
        <f>'Diagnosis Indicators'!J10</f>
        <v>0.73408775218028155</v>
      </c>
      <c r="K9">
        <f>'Diagnosis Indicators'!K10</f>
        <v>0.68654260585672944</v>
      </c>
      <c r="L9">
        <f>'Diagnosis Indicators'!L10</f>
        <v>0.63588934143402642</v>
      </c>
      <c r="M9">
        <f>'Diagnosis Indicators'!M10</f>
        <v>0.58229252433607759</v>
      </c>
      <c r="N9">
        <f>'Diagnosis Indicators'!N10</f>
        <v>0.52594405541639222</v>
      </c>
      <c r="O9">
        <f>'Diagnosis Indicators'!O10</f>
        <v>0.46705001675430063</v>
      </c>
      <c r="P9">
        <f>'Diagnosis Indicators'!P10</f>
        <v>0.40582080632892548</v>
      </c>
      <c r="Q9">
        <f>'Diagnosis Indicators'!Q10</f>
        <v>0.34246062754084022</v>
      </c>
      <c r="R9">
        <f>'Diagnosis Indicators'!R10</f>
        <v>0.27716438703973661</v>
      </c>
      <c r="S9">
        <f>'Diagnosis Indicators'!S10</f>
        <v>0.21011259914170588</v>
      </c>
      <c r="T9">
        <f>'Diagnosis Indicators'!T10</f>
        <v>0.14147073926515435</v>
      </c>
      <c r="U9">
        <f>'Diagnosis Indicators'!U10</f>
        <v>7.1388421859796547E-2</v>
      </c>
      <c r="V9">
        <f>'Diagnosis Indicators'!V10</f>
        <v>5.7211166604077296E-2</v>
      </c>
      <c r="W9">
        <f>'Diagnosis Indicators'!W10</f>
        <v>4.2982749638457933E-2</v>
      </c>
      <c r="X9">
        <f>'Diagnosis Indicators'!X10</f>
        <v>2.8704107620616537E-2</v>
      </c>
      <c r="Y9">
        <f>'Diagnosis Indicators'!Y10</f>
        <v>1.4376210460456951E-2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747E-7BD8-4959-A4F0-9EFAC16DC9C4}">
  <sheetPr codeName="Feuil18"/>
  <dimension ref="A1:Y9"/>
  <sheetViews>
    <sheetView workbookViewId="0">
      <selection activeCell="C2" sqref="C2"/>
    </sheetView>
  </sheetViews>
  <sheetFormatPr baseColWidth="10" defaultRowHeight="10" x14ac:dyDescent="0.2"/>
  <sheetData>
    <row r="1" spans="1:25" x14ac:dyDescent="0.2">
      <c r="A1" t="s">
        <v>198</v>
      </c>
      <c r="B1">
        <v>0</v>
      </c>
      <c r="C1">
        <v>0.05</v>
      </c>
      <c r="D1">
        <v>0.1</v>
      </c>
      <c r="E1">
        <v>0.15000000000000002</v>
      </c>
      <c r="F1">
        <v>0.2</v>
      </c>
      <c r="G1">
        <v>0.25</v>
      </c>
      <c r="H1">
        <v>0.3</v>
      </c>
      <c r="I1">
        <v>0.35</v>
      </c>
      <c r="J1">
        <v>0.39999999999999997</v>
      </c>
      <c r="K1">
        <v>0.44999999999999996</v>
      </c>
      <c r="L1">
        <v>0.49999999999999994</v>
      </c>
      <c r="M1">
        <v>0.54999999999999993</v>
      </c>
      <c r="N1">
        <v>0.6</v>
      </c>
      <c r="O1">
        <v>0.65</v>
      </c>
      <c r="P1">
        <v>0.70000000000000007</v>
      </c>
      <c r="Q1">
        <v>0.75000000000000011</v>
      </c>
      <c r="R1">
        <v>0.80000000000000016</v>
      </c>
      <c r="S1">
        <v>0.8500000000000002</v>
      </c>
      <c r="T1">
        <v>0.90000000000000024</v>
      </c>
      <c r="U1">
        <v>0.95000000000000029</v>
      </c>
      <c r="V1">
        <v>0.9600000000000003</v>
      </c>
      <c r="W1">
        <v>0.97000000000000031</v>
      </c>
      <c r="X1">
        <v>0.98000000000000032</v>
      </c>
      <c r="Y1">
        <v>0.99000000000000032</v>
      </c>
    </row>
    <row r="2" spans="1:25" x14ac:dyDescent="0.2">
      <c r="A2" t="s">
        <v>89</v>
      </c>
      <c r="B2">
        <f>NeoClassical!B$31</f>
        <v>1.0000000000000013</v>
      </c>
      <c r="C2">
        <f>NeoClassical!D$31</f>
        <v>0.98919286403358853</v>
      </c>
      <c r="D2">
        <f>NeoClassical!F$31</f>
        <v>0.97734941373723538</v>
      </c>
      <c r="E2">
        <f>NeoClassical!H$31</f>
        <v>0.96429178746957189</v>
      </c>
      <c r="F2">
        <f>NeoClassical!J$31</f>
        <v>0.94980039074182132</v>
      </c>
      <c r="G2">
        <f>NeoClassical!L$31</f>
        <v>0.93360106126487385</v>
      </c>
      <c r="H2">
        <f>NeoClassical!N$31</f>
        <v>0.91534741856385893</v>
      </c>
      <c r="I2">
        <f>NeoClassical!P$31</f>
        <v>0.89459574932925701</v>
      </c>
      <c r="J2">
        <f>NeoClassical!R$31</f>
        <v>0.87076911483518726</v>
      </c>
      <c r="K2">
        <f>NeoClassical!T$31</f>
        <v>0.84310299392935606</v>
      </c>
      <c r="L2">
        <f>NeoClassical!V$31</f>
        <v>0.81056383268256338</v>
      </c>
      <c r="M2">
        <f>NeoClassical!X$31</f>
        <v>0.77172068273337679</v>
      </c>
      <c r="N2">
        <f>NeoClassical!Z$31</f>
        <v>0.72454183837004904</v>
      </c>
      <c r="O2">
        <f>NeoClassical!AB$31</f>
        <v>0.66607453338840139</v>
      </c>
      <c r="P2">
        <f>NeoClassical!AD$31</f>
        <v>0.59198272830443799</v>
      </c>
      <c r="Q2">
        <f>NeoClassical!AF$31</f>
        <v>0.49613389017956699</v>
      </c>
      <c r="R2">
        <f>NeoClassical!AH$31</f>
        <v>0.37163142719847547</v>
      </c>
      <c r="S2">
        <f>NeoClassical!AJ$31</f>
        <v>0.21935799834085129</v>
      </c>
      <c r="T2">
        <f>NeoClassical!AL$31</f>
        <v>7.4667393921473771E-2</v>
      </c>
      <c r="U2">
        <f>NeoClassical!AN$31</f>
        <v>6.3143372801611718E-3</v>
      </c>
      <c r="V2">
        <f>NeoClassical!AP$31</f>
        <v>2.6515095955367478E-3</v>
      </c>
      <c r="W2">
        <f>NeoClassical!AR$31</f>
        <v>8.5195107496813575E-4</v>
      </c>
      <c r="X2">
        <f>NeoClassical!AT$31</f>
        <v>1.6962778913232266E-4</v>
      </c>
      <c r="Y2">
        <f>NeoClassical!AV$31</f>
        <v>1.0632028678916424E-5</v>
      </c>
    </row>
    <row r="3" spans="1:25" x14ac:dyDescent="0.2">
      <c r="A3" t="s">
        <v>163</v>
      </c>
      <c r="B3">
        <f>Kaldorian!B$31</f>
        <v>1.0000000000000013</v>
      </c>
      <c r="C3">
        <f>Kaldorian!D$31</f>
        <v>0.99678956878842817</v>
      </c>
      <c r="D3">
        <f>Kaldorian!F$31</f>
        <v>0.99288156068627331</v>
      </c>
      <c r="E3">
        <f>Kaldorian!H$31</f>
        <v>0.98815943137863127</v>
      </c>
      <c r="F3">
        <f>Kaldorian!J$31</f>
        <v>0.98247920910041198</v>
      </c>
      <c r="G3">
        <f>Kaldorian!L$31</f>
        <v>0.9756609572818139</v>
      </c>
      <c r="H3">
        <f>Kaldorian!N$31</f>
        <v>0.96747677567927037</v>
      </c>
      <c r="I3">
        <f>Kaldorian!P$31</f>
        <v>0.9576338686332958</v>
      </c>
      <c r="J3">
        <f>Kaldorian!R$31</f>
        <v>0.94574959084229204</v>
      </c>
      <c r="K3">
        <f>Kaldorian!T$31</f>
        <v>0.9313143102111564</v>
      </c>
      <c r="L3">
        <f>Kaldorian!V$31</f>
        <v>0.91363332056245761</v>
      </c>
      <c r="M3">
        <f>Kaldorian!X$31</f>
        <v>0.89173480508155878</v>
      </c>
      <c r="N3">
        <f>Kaldorian!Z$31</f>
        <v>0.86421823316760449</v>
      </c>
      <c r="O3">
        <f>Kaldorian!AB$31</f>
        <v>0.8289996817388634</v>
      </c>
      <c r="P3">
        <f>Kaldorian!AD$31</f>
        <v>0.7828852572545848</v>
      </c>
    </row>
    <row r="4" spans="1:25" x14ac:dyDescent="0.2">
      <c r="A4" t="s">
        <v>90</v>
      </c>
      <c r="B4">
        <f>Johansen!B$31</f>
        <v>1.0000000000000013</v>
      </c>
      <c r="C4">
        <f>Johansen!D$31</f>
        <v>0.99681571962465543</v>
      </c>
      <c r="D4">
        <f>Johansen!F$31</f>
        <v>0.99293483827626861</v>
      </c>
      <c r="E4">
        <f>Johansen!H$31</f>
        <v>0.98824098263734561</v>
      </c>
      <c r="F4">
        <f>Johansen!J$31</f>
        <v>0.9825903432946993</v>
      </c>
      <c r="G4">
        <f>Johansen!L$31</f>
        <v>0.97580316130964351</v>
      </c>
      <c r="H4">
        <f>Johansen!N$31</f>
        <v>0.96765167973738031</v>
      </c>
      <c r="I4">
        <f>Johansen!P$31</f>
        <v>0.95784323144723205</v>
      </c>
      <c r="J4">
        <f>Johansen!R$31</f>
        <v>0.94599518687526796</v>
      </c>
      <c r="K4">
        <f>Johansen!T$31</f>
        <v>0.93159740399197788</v>
      </c>
      <c r="L4">
        <f>Johansen!V$31</f>
        <v>0.9139542248171445</v>
      </c>
      <c r="M4">
        <f>Johansen!X$31</f>
        <v>0.89209177309842602</v>
      </c>
      <c r="N4">
        <f>Johansen!Z$31</f>
        <v>0.86460575968212949</v>
      </c>
      <c r="O4">
        <f>Johansen!AB$31</f>
        <v>0.82940606043189269</v>
      </c>
      <c r="P4">
        <f>Johansen!AD$31</f>
        <v>0.78329014378477457</v>
      </c>
      <c r="Q4">
        <f>Johansen!AF$31</f>
        <v>0.72129041630413504</v>
      </c>
      <c r="R4">
        <f>Johansen!AH$31</f>
        <v>0.63603996796458306</v>
      </c>
      <c r="S4">
        <f>Johansen!AJ$31</f>
        <v>0.51879980000162085</v>
      </c>
      <c r="T4">
        <f>Johansen!AL$31</f>
        <v>0.36592539631425702</v>
      </c>
      <c r="U4">
        <f>Johansen!AN$31</f>
        <v>0.18739103396881041</v>
      </c>
      <c r="V4">
        <f>Johansen!AP$31</f>
        <v>0.15017300431364247</v>
      </c>
      <c r="W4">
        <f>Johansen!AR$31</f>
        <v>0.11274873692666064</v>
      </c>
      <c r="X4">
        <f>Johansen!AT$31</f>
        <v>7.5206678411812E-2</v>
      </c>
      <c r="Y4">
        <f>Johansen!AV$31</f>
        <v>3.7610874875399575E-2</v>
      </c>
    </row>
    <row r="5" spans="1:25" x14ac:dyDescent="0.2">
      <c r="A5" t="s">
        <v>146</v>
      </c>
      <c r="B5">
        <f>'Keynes-K'!B$31</f>
        <v>1.0000000000000013</v>
      </c>
      <c r="C5">
        <f>'Keynes-K'!D$31</f>
        <v>1.0045152573584284</v>
      </c>
      <c r="D5">
        <f>'Keynes-K'!F$31</f>
        <v>1.0072727008852038</v>
      </c>
      <c r="E5">
        <f>'Keynes-K'!H$31</f>
        <v>1.0082509249602765</v>
      </c>
      <c r="F5">
        <f>'Keynes-K'!J$31</f>
        <v>1.0073531670117302</v>
      </c>
      <c r="G5">
        <f>'Keynes-K'!L$31</f>
        <v>1.0044053815843976</v>
      </c>
      <c r="H5">
        <f>'Keynes-K'!N$31</f>
        <v>0.99914690525422278</v>
      </c>
      <c r="I5">
        <f>'Keynes-K'!P$31</f>
        <v>0.99120942212829644</v>
      </c>
      <c r="J5">
        <f>'Keynes-K'!R$31</f>
        <v>0.9800851733439998</v>
      </c>
      <c r="K5">
        <f>'Keynes-K'!T$31</f>
        <v>0.96507675696208428</v>
      </c>
      <c r="L5">
        <f>'Keynes-K'!V$31</f>
        <v>0.9452191256220891</v>
      </c>
      <c r="M5">
        <f>'Keynes-K'!X$31</f>
        <v>0.91915869364697445</v>
      </c>
      <c r="N5">
        <f>'Keynes-K'!Z$31</f>
        <v>0.88496515992549052</v>
      </c>
      <c r="O5">
        <f>'Keynes-K'!AB$31</f>
        <v>0.8398463607559592</v>
      </c>
      <c r="P5">
        <f>'Keynes-K'!AD$31</f>
        <v>0.7797646984006994</v>
      </c>
    </row>
    <row r="6" spans="1:25" x14ac:dyDescent="0.2">
      <c r="A6" t="s">
        <v>144</v>
      </c>
      <c r="B6">
        <f>'Keynes-M'!B$31</f>
        <v>1.0000000000000013</v>
      </c>
      <c r="C6">
        <f>'Keynes-M'!D$31</f>
        <v>1.0052197694747844</v>
      </c>
      <c r="D6">
        <f>'Keynes-M'!F$31</f>
        <v>1.0099380218966836</v>
      </c>
      <c r="E6">
        <f>'Keynes-M'!H$31</f>
        <v>1.0140773656668653</v>
      </c>
      <c r="F6">
        <f>'Keynes-M'!J$31</f>
        <v>1.0175361208923994</v>
      </c>
      <c r="G6">
        <f>'Keynes-M'!L$31</f>
        <v>1.0201788026762575</v>
      </c>
      <c r="H6">
        <f>'Keynes-M'!N$31</f>
        <v>1.0218225381459374</v>
      </c>
      <c r="I6">
        <f>'Keynes-M'!P$31</f>
        <v>1.0222155797930879</v>
      </c>
      <c r="J6">
        <f>'Keynes-M'!R$31</f>
        <v>1.0210034708544975</v>
      </c>
      <c r="K6">
        <f>'Keynes-M'!T$31</f>
        <v>1.0176732709979048</v>
      </c>
    </row>
    <row r="7" spans="1:25" x14ac:dyDescent="0.2">
      <c r="A7" t="s">
        <v>162</v>
      </c>
      <c r="B7">
        <f>Keynesian!B$31</f>
        <v>1.0000000000000013</v>
      </c>
      <c r="C7">
        <f>Keynesian!D$31</f>
        <v>0.97045746070851324</v>
      </c>
      <c r="D7">
        <f>Keynesian!F$31</f>
        <v>0.93588646389055141</v>
      </c>
      <c r="E7">
        <f>Keynesian!H$31</f>
        <v>0.89648501124606117</v>
      </c>
      <c r="F7">
        <f>Keynesian!J$31</f>
        <v>0.85282446536191903</v>
      </c>
      <c r="G7">
        <f>Keynesian!L$31</f>
        <v>0.80582220691359208</v>
      </c>
      <c r="H7">
        <f>Keynesian!N$31</f>
        <v>0.75681746463460409</v>
      </c>
      <c r="I7">
        <f>Keynesian!P$31</f>
        <v>0.70849453836529663</v>
      </c>
    </row>
    <row r="8" spans="1:25" x14ac:dyDescent="0.2">
      <c r="A8" t="s">
        <v>157</v>
      </c>
      <c r="B8">
        <f>'Neo-K2'!B$31</f>
        <v>1.0000000000000013</v>
      </c>
      <c r="C8">
        <f>'Neo-K2'!D$31</f>
        <v>0.97218839469782525</v>
      </c>
      <c r="D8">
        <f>'Neo-K2'!F$31</f>
        <v>0.94082277018003868</v>
      </c>
      <c r="E8">
        <f>'Neo-K2'!H$31</f>
        <v>0.90584493084174522</v>
      </c>
      <c r="F8">
        <f>'Neo-K2'!J$31</f>
        <v>0.86743005031216813</v>
      </c>
      <c r="G8">
        <f>'Neo-K2'!L$31</f>
        <v>0.82602117580257839</v>
      </c>
      <c r="H8">
        <f>'Neo-K2'!N$31</f>
        <v>0.78232895642627376</v>
      </c>
      <c r="I8">
        <f>'Neo-K2'!P$31</f>
        <v>0.73728040739948775</v>
      </c>
      <c r="J8">
        <f>'Neo-K2'!R$31</f>
        <v>0.69191648879904832</v>
      </c>
      <c r="K8">
        <f>'Neo-K2'!T$31</f>
        <v>0.64723885235900769</v>
      </c>
      <c r="L8">
        <f>'Neo-K2'!V$31</f>
        <v>0.60404231960048405</v>
      </c>
      <c r="M8">
        <f>'Neo-K2'!X$31</f>
        <v>0.56278281205438319</v>
      </c>
      <c r="N8">
        <f>'Neo-K2'!Z$31</f>
        <v>0.52352813976659829</v>
      </c>
      <c r="O8">
        <f>'Neo-K2'!AB$31</f>
        <v>0.48597694300063737</v>
      </c>
      <c r="P8">
        <f>'Neo-K2'!AD$31</f>
        <v>0.44947858689503706</v>
      </c>
      <c r="Q8">
        <f>'Neo-K2'!AF$31</f>
        <v>0.4129505048342928</v>
      </c>
      <c r="R8">
        <f>'Neo-K2'!AH$31</f>
        <v>0.37447182361472253</v>
      </c>
      <c r="S8">
        <f>'Neo-K2'!AJ$31</f>
        <v>0.32983834477939744</v>
      </c>
      <c r="T8">
        <f>'Neo-K2'!AL$31</f>
        <v>0.2689207748427706</v>
      </c>
      <c r="U8">
        <f>'Neo-K2'!AN$31</f>
        <v>0.17657064475293521</v>
      </c>
      <c r="V8">
        <f>'Neo-K2'!AP$31</f>
        <v>0.1524799911077801</v>
      </c>
    </row>
    <row r="9" spans="1:25" x14ac:dyDescent="0.2">
      <c r="A9" t="s">
        <v>158</v>
      </c>
      <c r="B9">
        <f>'Neo-K1'!B$31</f>
        <v>1.0000000000000013</v>
      </c>
      <c r="C9">
        <f>'Neo-K1'!D$31</f>
        <v>0.97688955908214481</v>
      </c>
      <c r="D9">
        <f>'Neo-K1'!F$31</f>
        <v>0.95126752914313961</v>
      </c>
      <c r="E9">
        <f>'Neo-K1'!H$31</f>
        <v>0.92289922165572558</v>
      </c>
      <c r="F9">
        <f>'Neo-K1'!J$31</f>
        <v>0.8915738874354604</v>
      </c>
      <c r="G9">
        <f>'Neo-K1'!L$31</f>
        <v>0.85711903098205799</v>
      </c>
      <c r="H9">
        <f>'Neo-K1'!N$31</f>
        <v>0.81941425115386968</v>
      </c>
      <c r="I9">
        <f>'Neo-K1'!P$31</f>
        <v>0.77840149953168258</v>
      </c>
      <c r="J9">
        <f>'Neo-K1'!R$31</f>
        <v>0.73408775218028155</v>
      </c>
      <c r="K9">
        <f>'Neo-K1'!T$31</f>
        <v>0.68654260585672944</v>
      </c>
      <c r="L9">
        <f>'Neo-K1'!V$31</f>
        <v>0.63588934143402642</v>
      </c>
      <c r="M9">
        <f>'Neo-K1'!X$31</f>
        <v>0.58229252433607759</v>
      </c>
      <c r="N9">
        <f>'Neo-K1'!Z$31</f>
        <v>0.52594405541639222</v>
      </c>
      <c r="O9">
        <f>'Neo-K1'!AB$31</f>
        <v>0.46705001675430063</v>
      </c>
      <c r="P9">
        <f>'Neo-K1'!AD$31</f>
        <v>0.40582080632892548</v>
      </c>
      <c r="Q9">
        <f>'Neo-K1'!AF$31</f>
        <v>0.34246062754084022</v>
      </c>
      <c r="R9">
        <f>'Neo-K1'!AH$31</f>
        <v>0.27716438703973661</v>
      </c>
      <c r="S9">
        <f>'Neo-K1'!AJ$31</f>
        <v>0.21011259914170588</v>
      </c>
      <c r="T9">
        <f>'Neo-K1'!AL$31</f>
        <v>0.14147073926515435</v>
      </c>
      <c r="U9">
        <f>'Neo-K1'!AN$31</f>
        <v>7.1388421859796547E-2</v>
      </c>
      <c r="V9">
        <f>'Neo-K1'!AP$31</f>
        <v>5.7211166604077296E-2</v>
      </c>
      <c r="W9">
        <f>'Neo-K1'!AR$31</f>
        <v>4.2982749638457933E-2</v>
      </c>
      <c r="X9">
        <f>'Neo-K1'!AT$31</f>
        <v>2.8704107620616537E-2</v>
      </c>
      <c r="Y9">
        <f>'Neo-K1'!AV$31</f>
        <v>1.4376210460456951E-2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18</vt:i4>
      </vt:variant>
      <vt:variant>
        <vt:lpstr>Graphiques</vt:lpstr>
      </vt:variant>
      <vt:variant>
        <vt:i4>3</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Tax_export</vt:lpstr>
      <vt:lpstr>PShare_export</vt:lpstr>
      <vt:lpstr>Utility_Export</vt:lpstr>
      <vt:lpstr>Utility-Export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2025-07-29T16:12:51Z</dcterms:modified>
</cp:coreProperties>
</file>