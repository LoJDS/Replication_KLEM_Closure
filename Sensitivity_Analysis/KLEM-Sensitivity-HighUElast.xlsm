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D458BCB7-9C20-4845-B595-30D65D6E304B}" xr6:coauthVersionLast="47" xr6:coauthVersionMax="47" xr10:uidLastSave="{00000000-0000-0000-0000-000000000000}"/>
  <bookViews>
    <workbookView xWindow="-110" yWindow="-110" windowWidth="19420" windowHeight="11500" tabRatio="935" firstSheet="8" activeTab="18"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Diagnosis Indicators" sheetId="23" r:id="rId12"/>
    <sheet name="Welfare" sheetId="34" r:id="rId13"/>
    <sheet name="Tax" sheetId="42" r:id="rId14"/>
    <sheet name="GDP" sheetId="39" r:id="rId15"/>
    <sheet name="Inv" sheetId="41" r:id="rId16"/>
    <sheet name="Kshare" sheetId="40" r:id="rId17"/>
    <sheet name="U" sheetId="43" r:id="rId18"/>
    <sheet name="Utility_Export" sheetId="44" r:id="rId19"/>
    <sheet name="PShare_export" sheetId="45" r:id="rId20"/>
    <sheet name="Tax_export" sheetId="46" r:id="rId21"/>
  </sheets>
  <functionGroups builtInGroupCount="19"/>
  <externalReferences>
    <externalReference r:id="rId22"/>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83" i="35" l="1"/>
  <c r="R83" i="35"/>
  <c r="AJ82" i="35"/>
  <c r="P82" i="35"/>
  <c r="D82" i="35"/>
  <c r="B82" i="35"/>
  <c r="AR81" i="35"/>
  <c r="AL81" i="35"/>
  <c r="AJ81" i="35"/>
  <c r="AH81" i="35"/>
  <c r="AF81" i="35"/>
  <c r="AB81" i="35"/>
  <c r="Z81" i="35"/>
  <c r="V81" i="35"/>
  <c r="T81" i="35"/>
  <c r="L81" i="35"/>
  <c r="F81" i="35"/>
  <c r="D81" i="35"/>
  <c r="B81" i="35"/>
  <c r="AV80" i="35"/>
  <c r="AR80" i="35"/>
  <c r="AP80" i="35"/>
  <c r="AL80" i="35"/>
  <c r="AJ80" i="35"/>
  <c r="AB80" i="35"/>
  <c r="V80" i="35"/>
  <c r="T80" i="35"/>
  <c r="R80" i="35"/>
  <c r="P80" i="35"/>
  <c r="L80" i="35"/>
  <c r="J80" i="35"/>
  <c r="F80" i="35"/>
  <c r="D80" i="35"/>
  <c r="AV79" i="35" a="1"/>
  <c r="AV79" i="35" s="1"/>
  <c r="AT79" i="35"/>
  <c r="AT79" i="35" a="1"/>
  <c r="AR79" i="35" a="1"/>
  <c r="AR79" i="35" s="1"/>
  <c r="AP79" i="35" a="1"/>
  <c r="AP79" i="35" s="1"/>
  <c r="AN79" i="35"/>
  <c r="AN79" i="35" a="1"/>
  <c r="AL79" i="35" a="1"/>
  <c r="AL79" i="35" s="1"/>
  <c r="AJ79" i="35" a="1"/>
  <c r="AJ79" i="35" s="1"/>
  <c r="AH79" i="35" a="1"/>
  <c r="AH79" i="35" s="1"/>
  <c r="AF79" i="35" a="1"/>
  <c r="AF79" i="35" s="1"/>
  <c r="AD79" i="35"/>
  <c r="AD79" i="35" a="1"/>
  <c r="AB79" i="35" a="1"/>
  <c r="AB79" i="35" s="1"/>
  <c r="Z79" i="35" a="1"/>
  <c r="Z79" i="35" s="1"/>
  <c r="X79" i="35"/>
  <c r="X79" i="35" a="1"/>
  <c r="V79" i="35" a="1"/>
  <c r="V79" i="35" s="1"/>
  <c r="T79" i="35" a="1"/>
  <c r="T79" i="35" s="1"/>
  <c r="R79" i="35"/>
  <c r="R79" i="35" a="1"/>
  <c r="P79" i="35" a="1"/>
  <c r="P79" i="35" s="1"/>
  <c r="N79" i="35"/>
  <c r="N79" i="35" a="1"/>
  <c r="L79" i="35" a="1"/>
  <c r="L79" i="35" s="1"/>
  <c r="J79" i="35" a="1"/>
  <c r="J79" i="35" s="1"/>
  <c r="H79" i="35"/>
  <c r="H79" i="35" a="1"/>
  <c r="F79" i="35" a="1"/>
  <c r="F79" i="35" s="1"/>
  <c r="D79" i="35" a="1"/>
  <c r="D79" i="35" s="1"/>
  <c r="B79" i="35" a="1"/>
  <c r="B79" i="35" s="1"/>
  <c r="AV78" i="35" a="1"/>
  <c r="AV78" i="35" s="1"/>
  <c r="AT78" i="35"/>
  <c r="AT78" i="35" a="1"/>
  <c r="AR78" i="35" a="1"/>
  <c r="AR78" i="35" s="1"/>
  <c r="AP78" i="35" a="1"/>
  <c r="AP78" i="35" s="1"/>
  <c r="AN78" i="35"/>
  <c r="AN78" i="35" a="1"/>
  <c r="AL78" i="35" a="1"/>
  <c r="AL78" i="35" s="1"/>
  <c r="AJ78" i="35" a="1"/>
  <c r="AJ78" i="35" s="1"/>
  <c r="AH78" i="35" a="1"/>
  <c r="AH78" i="35" s="1"/>
  <c r="AF78" i="35" a="1"/>
  <c r="AF78" i="35" s="1"/>
  <c r="AD78" i="35"/>
  <c r="AD78" i="35" a="1"/>
  <c r="AB78" i="35" a="1"/>
  <c r="AB78" i="35" s="1"/>
  <c r="Z78" i="35" a="1"/>
  <c r="Z78" i="35" s="1"/>
  <c r="X78" i="35"/>
  <c r="X78" i="35" a="1"/>
  <c r="V78" i="35" a="1"/>
  <c r="V78" i="35" s="1"/>
  <c r="T78" i="35" a="1"/>
  <c r="T78" i="35" s="1"/>
  <c r="R78" i="35" a="1"/>
  <c r="R78" i="35" s="1"/>
  <c r="P78" i="35" a="1"/>
  <c r="P78" i="35" s="1"/>
  <c r="N78" i="35"/>
  <c r="N78" i="35" a="1"/>
  <c r="L78" i="35" a="1"/>
  <c r="L78" i="35" s="1"/>
  <c r="J78" i="35" a="1"/>
  <c r="J78" i="35" s="1"/>
  <c r="H78" i="35"/>
  <c r="H78" i="35" a="1"/>
  <c r="F78" i="35" a="1"/>
  <c r="F78" i="35" s="1"/>
  <c r="D78" i="35" a="1"/>
  <c r="D78" i="35" s="1"/>
  <c r="B78" i="35" a="1"/>
  <c r="B78" i="35" s="1"/>
  <c r="AV77" i="35" a="1"/>
  <c r="AV77" i="35" s="1"/>
  <c r="AT77" i="35"/>
  <c r="AT77" i="35" a="1"/>
  <c r="AR77" i="35" a="1"/>
  <c r="AR77" i="35" s="1"/>
  <c r="AP77" i="35" a="1"/>
  <c r="AP77" i="35" s="1"/>
  <c r="AN77" i="35"/>
  <c r="AN77" i="35" a="1"/>
  <c r="AL77" i="35" a="1"/>
  <c r="AL77" i="35" s="1"/>
  <c r="AJ77" i="35" a="1"/>
  <c r="AJ77" i="35" s="1"/>
  <c r="AH77" i="35"/>
  <c r="AH77" i="35" a="1"/>
  <c r="AF77" i="35" a="1"/>
  <c r="AF77" i="35" s="1"/>
  <c r="AD77" i="35"/>
  <c r="AD77" i="35" a="1"/>
  <c r="AB77" i="35" a="1"/>
  <c r="AB77" i="35" s="1"/>
  <c r="Z77" i="35" a="1"/>
  <c r="Z77" i="35" s="1"/>
  <c r="X77" i="35"/>
  <c r="X77" i="35" a="1"/>
  <c r="V77" i="35" a="1"/>
  <c r="V77" i="35" s="1"/>
  <c r="T77" i="35" a="1"/>
  <c r="T77" i="35" s="1"/>
  <c r="R77" i="35" a="1"/>
  <c r="R77" i="35" s="1"/>
  <c r="P77" i="35" a="1"/>
  <c r="P77" i="35" s="1"/>
  <c r="N77" i="35"/>
  <c r="N77" i="35" a="1"/>
  <c r="L77" i="35" a="1"/>
  <c r="L77" i="35" s="1"/>
  <c r="J77" i="35" a="1"/>
  <c r="J77" i="35" s="1"/>
  <c r="H77" i="35"/>
  <c r="H77" i="35" a="1"/>
  <c r="F77" i="35" a="1"/>
  <c r="F77" i="35" s="1"/>
  <c r="D77" i="35" a="1"/>
  <c r="D77" i="35" s="1"/>
  <c r="B77" i="35" a="1"/>
  <c r="B77" i="35" s="1"/>
  <c r="AV76" i="35" a="1"/>
  <c r="AV76" i="35" s="1"/>
  <c r="AT76" i="35"/>
  <c r="AT76" i="35" a="1"/>
  <c r="AR76" i="35" a="1"/>
  <c r="AR76" i="35" s="1"/>
  <c r="AP76" i="35" a="1"/>
  <c r="AP76" i="35" s="1"/>
  <c r="AN76" i="35"/>
  <c r="AN76" i="35" a="1"/>
  <c r="AL76" i="35" a="1"/>
  <c r="AL76" i="35" s="1"/>
  <c r="AJ76" i="35" a="1"/>
  <c r="AJ76" i="35" s="1"/>
  <c r="AH76" i="35" a="1"/>
  <c r="AH76" i="35" s="1"/>
  <c r="AF76" i="35" a="1"/>
  <c r="AF76" i="35" s="1"/>
  <c r="AD76" i="35"/>
  <c r="AD76" i="35" a="1"/>
  <c r="AB76" i="35" a="1"/>
  <c r="AB76" i="35" s="1"/>
  <c r="Z76" i="35" a="1"/>
  <c r="Z76" i="35" s="1"/>
  <c r="X76" i="35"/>
  <c r="X76" i="35" a="1"/>
  <c r="V76" i="35" a="1"/>
  <c r="V76" i="35" s="1"/>
  <c r="T76" i="35" a="1"/>
  <c r="T76" i="35" s="1"/>
  <c r="R76" i="35" a="1"/>
  <c r="R76" i="35" s="1"/>
  <c r="P76" i="35" a="1"/>
  <c r="P76" i="35" s="1"/>
  <c r="N76" i="35"/>
  <c r="N76" i="35" a="1"/>
  <c r="L76" i="35" a="1"/>
  <c r="L76" i="35" s="1"/>
  <c r="J76" i="35" a="1"/>
  <c r="J76" i="35" s="1"/>
  <c r="H76" i="35"/>
  <c r="H76" i="35" a="1"/>
  <c r="F76" i="35" a="1"/>
  <c r="F76" i="35" s="1"/>
  <c r="D76" i="35" a="1"/>
  <c r="D76" i="35" s="1"/>
  <c r="B76" i="35" a="1"/>
  <c r="B76" i="35" s="1"/>
  <c r="AV75" i="35" a="1"/>
  <c r="AV75" i="35" s="1"/>
  <c r="AT75" i="35"/>
  <c r="AT75" i="35" a="1"/>
  <c r="AR75" i="35" a="1"/>
  <c r="AR75" i="35" s="1"/>
  <c r="AP75" i="35" a="1"/>
  <c r="AP75" i="35" s="1"/>
  <c r="AN75" i="35"/>
  <c r="AN75" i="35" a="1"/>
  <c r="AL75" i="35" a="1"/>
  <c r="AL75" i="35" s="1"/>
  <c r="AJ75" i="35" a="1"/>
  <c r="AJ75" i="35" s="1"/>
  <c r="AH75" i="35" a="1"/>
  <c r="AH75" i="35" s="1"/>
  <c r="AF75" i="35" a="1"/>
  <c r="AF75" i="35" s="1"/>
  <c r="AD75" i="35"/>
  <c r="AD75" i="35" a="1"/>
  <c r="AB75" i="35" a="1"/>
  <c r="AB75" i="35" s="1"/>
  <c r="Z75" i="35" a="1"/>
  <c r="Z75" i="35" s="1"/>
  <c r="X75" i="35"/>
  <c r="X75" i="35" a="1"/>
  <c r="V75" i="35" a="1"/>
  <c r="V75" i="35" s="1"/>
  <c r="T75" i="35" a="1"/>
  <c r="T75" i="35" s="1"/>
  <c r="R75" i="35"/>
  <c r="R75" i="35" a="1"/>
  <c r="P75" i="35" a="1"/>
  <c r="P75" i="35" s="1"/>
  <c r="N75" i="35"/>
  <c r="N75" i="35" a="1"/>
  <c r="L75" i="35" a="1"/>
  <c r="L75" i="35" s="1"/>
  <c r="J75" i="35" a="1"/>
  <c r="J75" i="35" s="1"/>
  <c r="H75" i="35"/>
  <c r="H75" i="35" a="1"/>
  <c r="F75" i="35" a="1"/>
  <c r="F75" i="35" s="1"/>
  <c r="D75" i="35" a="1"/>
  <c r="D75" i="35" s="1"/>
  <c r="B75" i="35" a="1"/>
  <c r="B75" i="35" s="1"/>
  <c r="AV74" i="35" a="1"/>
  <c r="AV74" i="35" s="1"/>
  <c r="AT74" i="35"/>
  <c r="AT74" i="35" a="1"/>
  <c r="AR74" i="35" a="1"/>
  <c r="AR74" i="35" s="1"/>
  <c r="AP74" i="35" a="1"/>
  <c r="AP74" i="35" s="1"/>
  <c r="AN74" i="35"/>
  <c r="AN74" i="35" a="1"/>
  <c r="AL74" i="35" a="1"/>
  <c r="AL74" i="35" s="1"/>
  <c r="AJ74" i="35" a="1"/>
  <c r="AJ74" i="35" s="1"/>
  <c r="AH74" i="35" a="1"/>
  <c r="AH74" i="35" s="1"/>
  <c r="AF74" i="35" a="1"/>
  <c r="AF74" i="35" s="1"/>
  <c r="AD74" i="35"/>
  <c r="AD74" i="35" a="1"/>
  <c r="AB74" i="35" a="1"/>
  <c r="AB74" i="35" s="1"/>
  <c r="Z74" i="35" a="1"/>
  <c r="Z74" i="35" s="1"/>
  <c r="X74" i="35"/>
  <c r="X74" i="35" a="1"/>
  <c r="V74" i="35" a="1"/>
  <c r="V74" i="35" s="1"/>
  <c r="T74" i="35" a="1"/>
  <c r="T74" i="35" s="1"/>
  <c r="R74" i="35" a="1"/>
  <c r="R74" i="35" s="1"/>
  <c r="P74" i="35" a="1"/>
  <c r="P74" i="35" s="1"/>
  <c r="N74" i="35"/>
  <c r="N74" i="35" a="1"/>
  <c r="L74" i="35" a="1"/>
  <c r="L74" i="35" s="1"/>
  <c r="J74" i="35" a="1"/>
  <c r="J74" i="35" s="1"/>
  <c r="H74" i="35"/>
  <c r="H74" i="35" a="1"/>
  <c r="F74" i="35" a="1"/>
  <c r="F74" i="35" s="1"/>
  <c r="D74" i="35" a="1"/>
  <c r="D74" i="35" s="1"/>
  <c r="B74" i="35"/>
  <c r="B74" i="35" a="1"/>
  <c r="AV73" i="35" a="1"/>
  <c r="AV73" i="35" s="1"/>
  <c r="AT73" i="35"/>
  <c r="AT73" i="35" a="1"/>
  <c r="AR73" i="35" a="1"/>
  <c r="AR73" i="35" s="1"/>
  <c r="AP73" i="35" a="1"/>
  <c r="AP73" i="35" s="1"/>
  <c r="AN73" i="35"/>
  <c r="AN73" i="35" a="1"/>
  <c r="AL73" i="35" a="1"/>
  <c r="AL73" i="35" s="1"/>
  <c r="AJ73" i="35" a="1"/>
  <c r="AJ73" i="35" s="1"/>
  <c r="AH73" i="35" a="1"/>
  <c r="AH73" i="35" s="1"/>
  <c r="AF73" i="35" a="1"/>
  <c r="AF73" i="35" s="1"/>
  <c r="AD73" i="35"/>
  <c r="AD73" i="35" a="1"/>
  <c r="AB73" i="35" a="1"/>
  <c r="AB73" i="35" s="1"/>
  <c r="Z73" i="35" a="1"/>
  <c r="Z73" i="35" s="1"/>
  <c r="X73" i="35"/>
  <c r="X73" i="35" a="1"/>
  <c r="V73" i="35" a="1"/>
  <c r="V73" i="35" s="1"/>
  <c r="T73" i="35" a="1"/>
  <c r="T73" i="35" s="1"/>
  <c r="R73" i="35" a="1"/>
  <c r="R73" i="35" s="1"/>
  <c r="P73" i="35" a="1"/>
  <c r="P73" i="35" s="1"/>
  <c r="N73" i="35"/>
  <c r="N73" i="35" a="1"/>
  <c r="L73" i="35" a="1"/>
  <c r="L73" i="35" s="1"/>
  <c r="J73" i="35" a="1"/>
  <c r="J73" i="35" s="1"/>
  <c r="H73" i="35"/>
  <c r="H73" i="35" a="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L69" i="35"/>
  <c r="AJ69" i="35"/>
  <c r="AH69" i="35"/>
  <c r="V69" i="35"/>
  <c r="P69" i="35"/>
  <c r="F69" i="35"/>
  <c r="D69" i="35"/>
  <c r="B69" i="35"/>
  <c r="AL68" i="35"/>
  <c r="V68" i="35"/>
  <c r="F68" i="35"/>
  <c r="AV67" i="35"/>
  <c r="AV67" i="35" a="1"/>
  <c r="AT67" i="35" a="1"/>
  <c r="AT67" i="35" s="1"/>
  <c r="AR67" i="35" a="1"/>
  <c r="AR67" i="35" s="1"/>
  <c r="AP67" i="35" a="1"/>
  <c r="AP67" i="35" s="1"/>
  <c r="AN67" i="35" a="1"/>
  <c r="AN67" i="35" s="1"/>
  <c r="AL67" i="35"/>
  <c r="AL67" i="35" a="1"/>
  <c r="AJ67" i="35" a="1"/>
  <c r="AJ67" i="35" s="1"/>
  <c r="AH67" i="35" a="1"/>
  <c r="AH67" i="35" s="1"/>
  <c r="AF67" i="35"/>
  <c r="AF67" i="35" a="1"/>
  <c r="AD67" i="35" a="1"/>
  <c r="AD67" i="35" s="1"/>
  <c r="AB67" i="35" a="1"/>
  <c r="AB67" i="35" s="1"/>
  <c r="Z67" i="35" a="1"/>
  <c r="Z67" i="35" s="1"/>
  <c r="X67" i="35" a="1"/>
  <c r="X67" i="35" s="1"/>
  <c r="V67" i="35"/>
  <c r="V67" i="35" a="1"/>
  <c r="T67" i="35" a="1"/>
  <c r="T67" i="35" s="1"/>
  <c r="R67" i="35" a="1"/>
  <c r="R67" i="35" s="1"/>
  <c r="P67" i="35"/>
  <c r="P67" i="35" a="1"/>
  <c r="N67" i="35" a="1"/>
  <c r="N67" i="35" s="1"/>
  <c r="L67" i="35" a="1"/>
  <c r="L67" i="35" s="1"/>
  <c r="J67" i="35"/>
  <c r="J67" i="35" a="1"/>
  <c r="H67" i="35" a="1"/>
  <c r="H67" i="35" s="1"/>
  <c r="F67" i="35"/>
  <c r="F67" i="35" a="1"/>
  <c r="D67" i="35" a="1"/>
  <c r="D67" i="35" s="1"/>
  <c r="B67" i="35" a="1"/>
  <c r="B67" i="35" s="1"/>
  <c r="AV66" i="35"/>
  <c r="AV68" i="35" s="1"/>
  <c r="AV66" i="35" a="1"/>
  <c r="AT66" i="35" a="1"/>
  <c r="AT66" i="35" s="1"/>
  <c r="AT68" i="35" s="1"/>
  <c r="AR66" i="35" a="1"/>
  <c r="AR66" i="35" s="1"/>
  <c r="AR68" i="35" s="1"/>
  <c r="AP66" i="35" a="1"/>
  <c r="AP66" i="35" s="1"/>
  <c r="AN66" i="35" a="1"/>
  <c r="AN66" i="35" s="1"/>
  <c r="AL66" i="35"/>
  <c r="AL66" i="35" a="1"/>
  <c r="AJ66" i="35" a="1"/>
  <c r="AJ66" i="35" s="1"/>
  <c r="AJ68" i="35" s="1"/>
  <c r="AH66" i="35" a="1"/>
  <c r="AH66" i="35" s="1"/>
  <c r="AF66" i="35"/>
  <c r="AF68" i="35" s="1"/>
  <c r="AF66" i="35" a="1"/>
  <c r="AD66" i="35" a="1"/>
  <c r="AD66" i="35" s="1"/>
  <c r="AB66" i="35" a="1"/>
  <c r="AB66" i="35" s="1"/>
  <c r="AB68" i="35" s="1"/>
  <c r="Z66" i="35" a="1"/>
  <c r="Z66" i="35" s="1"/>
  <c r="X66" i="35" a="1"/>
  <c r="X66" i="35" s="1"/>
  <c r="X68" i="35" s="1"/>
  <c r="V66" i="35"/>
  <c r="V66" i="35" a="1"/>
  <c r="T66" i="35" a="1"/>
  <c r="T66" i="35" s="1"/>
  <c r="T68" i="35" s="1"/>
  <c r="R66" i="35" a="1"/>
  <c r="R66" i="35" s="1"/>
  <c r="R68" i="35" s="1"/>
  <c r="P66" i="35"/>
  <c r="P66" i="35" a="1"/>
  <c r="N66" i="35" a="1"/>
  <c r="N66" i="35" s="1"/>
  <c r="N68" i="35" s="1"/>
  <c r="L66" i="35" a="1"/>
  <c r="L66" i="35" s="1"/>
  <c r="L68" i="35" s="1"/>
  <c r="J66" i="35" a="1"/>
  <c r="J66" i="35" s="1"/>
  <c r="J68" i="35" s="1"/>
  <c r="H66" i="35" a="1"/>
  <c r="H66" i="35" s="1"/>
  <c r="H68" i="35" s="1"/>
  <c r="F66" i="35"/>
  <c r="F66" i="35" a="1"/>
  <c r="D66" i="35" a="1"/>
  <c r="D66" i="35" s="1"/>
  <c r="D68" i="35" s="1"/>
  <c r="B66" i="35" a="1"/>
  <c r="B66" i="35" s="1"/>
  <c r="B68" i="35" s="1"/>
  <c r="AV65" i="35"/>
  <c r="AV69" i="35" s="1"/>
  <c r="AV65" i="35" a="1"/>
  <c r="AT65" i="35" a="1"/>
  <c r="AT65" i="35" s="1"/>
  <c r="AT69" i="35" s="1"/>
  <c r="AR65" i="35" a="1"/>
  <c r="AR65" i="35" s="1"/>
  <c r="AR69" i="35" s="1"/>
  <c r="AP65" i="35"/>
  <c r="AP69" i="35" s="1"/>
  <c r="AP65" i="35" a="1"/>
  <c r="AN65" i="35" a="1"/>
  <c r="AN65" i="35" s="1"/>
  <c r="AN69" i="35" s="1"/>
  <c r="AL65" i="35"/>
  <c r="AL65" i="35" a="1"/>
  <c r="AJ65" i="35" a="1"/>
  <c r="AJ65" i="35" s="1"/>
  <c r="AH65" i="35" a="1"/>
  <c r="AH65" i="35" s="1"/>
  <c r="AF65" i="35"/>
  <c r="AF69" i="35" s="1"/>
  <c r="AF65" i="35" a="1"/>
  <c r="AD65" i="35" a="1"/>
  <c r="AD65" i="35" s="1"/>
  <c r="AD69" i="35" s="1"/>
  <c r="AB65" i="35" a="1"/>
  <c r="AB65" i="35" s="1"/>
  <c r="AB69" i="35" s="1"/>
  <c r="Z65" i="35" a="1"/>
  <c r="Z65" i="35" s="1"/>
  <c r="Z69" i="35" s="1"/>
  <c r="X65" i="35" a="1"/>
  <c r="X65" i="35" s="1"/>
  <c r="X69" i="35" s="1"/>
  <c r="V65" i="35"/>
  <c r="V65" i="35" a="1"/>
  <c r="T65" i="35" a="1"/>
  <c r="T65" i="35" s="1"/>
  <c r="T69" i="35" s="1"/>
  <c r="R65" i="35" a="1"/>
  <c r="R65" i="35" s="1"/>
  <c r="R69" i="35" s="1"/>
  <c r="P65" i="35"/>
  <c r="P65" i="35" a="1"/>
  <c r="N65" i="35" a="1"/>
  <c r="N65" i="35" s="1"/>
  <c r="N69" i="35" s="1"/>
  <c r="L65" i="35" a="1"/>
  <c r="L65" i="35" s="1"/>
  <c r="L69" i="35" s="1"/>
  <c r="J65" i="35" a="1"/>
  <c r="J65" i="35" s="1"/>
  <c r="J69" i="35" s="1"/>
  <c r="H65" i="35" a="1"/>
  <c r="H65" i="35" s="1"/>
  <c r="H69" i="35" s="1"/>
  <c r="F65" i="35"/>
  <c r="F65" i="35" a="1"/>
  <c r="D65" i="35" a="1"/>
  <c r="D65"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a="1"/>
  <c r="AT58" i="35" s="1"/>
  <c r="AR58" i="35"/>
  <c r="AR58" i="35" a="1"/>
  <c r="AP58" i="35" a="1"/>
  <c r="AP58" i="35" s="1"/>
  <c r="AN58" i="35" a="1"/>
  <c r="AN58" i="35" s="1"/>
  <c r="AL58" i="35" a="1"/>
  <c r="AL58" i="35" s="1"/>
  <c r="AJ58" i="35"/>
  <c r="AJ58" i="35" a="1"/>
  <c r="AH58" i="35" a="1"/>
  <c r="AH58" i="35" s="1"/>
  <c r="AF58" i="35"/>
  <c r="AF58" i="35" a="1"/>
  <c r="AD58" i="35" a="1"/>
  <c r="AD58" i="35" s="1"/>
  <c r="AB58" i="35" a="1"/>
  <c r="AB58" i="35" s="1"/>
  <c r="Z58" i="35" a="1"/>
  <c r="Z58" i="35" s="1"/>
  <c r="X58" i="35" a="1"/>
  <c r="X58" i="35" s="1"/>
  <c r="V58" i="35" a="1"/>
  <c r="V58" i="35" s="1"/>
  <c r="T58" i="35"/>
  <c r="T58" i="35" a="1"/>
  <c r="R58" i="35" a="1"/>
  <c r="R58" i="35" s="1"/>
  <c r="P58" i="35"/>
  <c r="P58" i="35" a="1"/>
  <c r="N58" i="35" a="1"/>
  <c r="N58" i="35" s="1"/>
  <c r="L58" i="35" a="1"/>
  <c r="L58" i="35" s="1"/>
  <c r="J58" i="35" a="1"/>
  <c r="J58" i="35" s="1"/>
  <c r="H58" i="35" a="1"/>
  <c r="H58" i="35" s="1"/>
  <c r="F58" i="35" a="1"/>
  <c r="F58" i="35" s="1"/>
  <c r="D58" i="35"/>
  <c r="D58" i="35" a="1"/>
  <c r="B58" i="35" a="1"/>
  <c r="B58" i="35" s="1"/>
  <c r="AV57" i="35"/>
  <c r="AV57" i="35" a="1"/>
  <c r="AT57" i="35" a="1"/>
  <c r="AT57" i="35" s="1"/>
  <c r="AR57" i="35" a="1"/>
  <c r="AR57" i="35" s="1"/>
  <c r="AP57" i="35" a="1"/>
  <c r="AP57" i="35" s="1"/>
  <c r="AN57" i="35" a="1"/>
  <c r="AN57" i="35" s="1"/>
  <c r="AL57" i="35" a="1"/>
  <c r="AL57" i="35" s="1"/>
  <c r="AJ57" i="35"/>
  <c r="AJ57" i="35" a="1"/>
  <c r="AH57" i="35" a="1"/>
  <c r="AH57" i="35" s="1"/>
  <c r="AF57" i="35"/>
  <c r="AF57" i="35" a="1"/>
  <c r="AD57" i="35" a="1"/>
  <c r="AD57" i="35" s="1"/>
  <c r="AB57" i="35" a="1"/>
  <c r="AB57" i="35" s="1"/>
  <c r="Z57" i="35" a="1"/>
  <c r="Z57" i="35" s="1"/>
  <c r="X57" i="35" a="1"/>
  <c r="X57" i="35" s="1"/>
  <c r="V57" i="35" a="1"/>
  <c r="V57" i="35" s="1"/>
  <c r="T57" i="35"/>
  <c r="T57" i="35" a="1"/>
  <c r="R57" i="35" a="1"/>
  <c r="R57" i="35" s="1"/>
  <c r="P57" i="35"/>
  <c r="P57" i="35" a="1"/>
  <c r="N57" i="35" a="1"/>
  <c r="N57" i="35" s="1"/>
  <c r="L57" i="35" a="1"/>
  <c r="L57" i="35" s="1"/>
  <c r="J57" i="35" a="1"/>
  <c r="J57" i="35" s="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T80" i="35" s="1"/>
  <c r="AR55" i="35"/>
  <c r="AP55" i="35"/>
  <c r="AN55" i="35"/>
  <c r="AN80" i="35" s="1"/>
  <c r="AL55" i="35"/>
  <c r="AJ55" i="35"/>
  <c r="AH55" i="35"/>
  <c r="AH80" i="35" s="1"/>
  <c r="AF55" i="35"/>
  <c r="AF80" i="35" s="1"/>
  <c r="AD55" i="35"/>
  <c r="AD80" i="35" s="1"/>
  <c r="AB55" i="35"/>
  <c r="Z55" i="35"/>
  <c r="Z80" i="35" s="1"/>
  <c r="X55" i="35"/>
  <c r="X80" i="35" s="1"/>
  <c r="V55" i="35"/>
  <c r="T55" i="35"/>
  <c r="R55" i="35"/>
  <c r="P55" i="35"/>
  <c r="N55" i="35"/>
  <c r="N80" i="35" s="1"/>
  <c r="L55" i="35"/>
  <c r="J55" i="35"/>
  <c r="H55" i="35"/>
  <c r="H80" i="35" s="1"/>
  <c r="F55" i="35"/>
  <c r="D55" i="35"/>
  <c r="B55" i="35"/>
  <c r="B80" i="35" s="1"/>
  <c r="AV53" i="35"/>
  <c r="AV83" i="35" s="1"/>
  <c r="AV53" i="35" a="1"/>
  <c r="AT53" i="35" a="1"/>
  <c r="AT53" i="35" s="1"/>
  <c r="AT83" i="35" s="1"/>
  <c r="AR53" i="35" a="1"/>
  <c r="AR53" i="35" s="1"/>
  <c r="AR83" i="35" s="1"/>
  <c r="AP53" i="35" a="1"/>
  <c r="AP53" i="35" s="1"/>
  <c r="AP83" i="35" s="1"/>
  <c r="AN53" i="35" a="1"/>
  <c r="AN53" i="35" s="1"/>
  <c r="AN83" i="35" s="1"/>
  <c r="AL53" i="35" a="1"/>
  <c r="AL53" i="35" s="1"/>
  <c r="AL83" i="35" s="1"/>
  <c r="AJ53" i="35"/>
  <c r="AJ83" i="35" s="1"/>
  <c r="AJ53" i="35" a="1"/>
  <c r="AH53" i="35" a="1"/>
  <c r="AH53" i="35" s="1"/>
  <c r="AH83" i="35" s="1"/>
  <c r="AF53" i="35"/>
  <c r="AF83" i="35" s="1"/>
  <c r="AF53" i="35" a="1"/>
  <c r="AD53" i="35" a="1"/>
  <c r="AD53" i="35" s="1"/>
  <c r="AD83" i="35" s="1"/>
  <c r="AB53" i="35" a="1"/>
  <c r="AB53" i="35" s="1"/>
  <c r="AB83" i="35" s="1"/>
  <c r="Z53" i="35" a="1"/>
  <c r="Z53" i="35" s="1"/>
  <c r="Z83" i="35" s="1"/>
  <c r="X53" i="35" a="1"/>
  <c r="X53" i="35" s="1"/>
  <c r="X83" i="35" s="1"/>
  <c r="V53" i="35" a="1"/>
  <c r="V53" i="35" s="1"/>
  <c r="V83" i="35" s="1"/>
  <c r="T53" i="35"/>
  <c r="T53" i="35" a="1"/>
  <c r="R53" i="35" a="1"/>
  <c r="R53" i="35" s="1"/>
  <c r="P53" i="35"/>
  <c r="P83" i="35" s="1"/>
  <c r="P53" i="35" a="1"/>
  <c r="N53" i="35" a="1"/>
  <c r="N53" i="35" s="1"/>
  <c r="N83" i="35" s="1"/>
  <c r="L53" i="35" a="1"/>
  <c r="L53" i="35" s="1"/>
  <c r="L83" i="35" s="1"/>
  <c r="J53" i="35" a="1"/>
  <c r="J53" i="35" s="1"/>
  <c r="J83" i="35" s="1"/>
  <c r="H53" i="35" a="1"/>
  <c r="H53" i="35" s="1"/>
  <c r="H83" i="35" s="1"/>
  <c r="F53" i="35" a="1"/>
  <c r="F53" i="35" s="1"/>
  <c r="F83" i="35" s="1"/>
  <c r="D53" i="35"/>
  <c r="D83" i="35" s="1"/>
  <c r="D53" i="35" a="1"/>
  <c r="B53" i="35" a="1"/>
  <c r="B53" i="35" s="1"/>
  <c r="B83" i="35" s="1"/>
  <c r="AV52" i="35"/>
  <c r="AV82" i="35" s="1"/>
  <c r="AV52" i="35" a="1"/>
  <c r="AT52" i="35" a="1"/>
  <c r="AT52" i="35" s="1"/>
  <c r="AT82" i="35" s="1"/>
  <c r="AR52" i="35" a="1"/>
  <c r="AR52" i="35" s="1"/>
  <c r="AR82" i="35" s="1"/>
  <c r="AP52" i="35" a="1"/>
  <c r="AP52" i="35" s="1"/>
  <c r="AP82" i="35" s="1"/>
  <c r="AN52" i="35"/>
  <c r="AN82" i="35" s="1"/>
  <c r="AN52" i="35" a="1"/>
  <c r="AL52" i="35" a="1"/>
  <c r="AL52" i="35" s="1"/>
  <c r="AL82" i="35" s="1"/>
  <c r="AJ52" i="35"/>
  <c r="AJ52" i="35" a="1"/>
  <c r="AH52" i="35" a="1"/>
  <c r="AH52" i="35" s="1"/>
  <c r="AH82" i="35" s="1"/>
  <c r="AF52" i="35"/>
  <c r="AF82" i="35" s="1"/>
  <c r="AF52" i="35" a="1"/>
  <c r="AD52" i="35" a="1"/>
  <c r="AD52" i="35" s="1"/>
  <c r="AD82" i="35" s="1"/>
  <c r="AB52" i="35" a="1"/>
  <c r="AB52" i="35" s="1"/>
  <c r="AB82" i="35" s="1"/>
  <c r="Z52" i="35" a="1"/>
  <c r="Z52" i="35" s="1"/>
  <c r="Z82" i="35" s="1"/>
  <c r="X52" i="35" a="1"/>
  <c r="X52" i="35" s="1"/>
  <c r="X82" i="35" s="1"/>
  <c r="V52" i="35" a="1"/>
  <c r="V52" i="35" s="1"/>
  <c r="V82" i="35" s="1"/>
  <c r="T52" i="35"/>
  <c r="T82" i="35" s="1"/>
  <c r="T52" i="35" a="1"/>
  <c r="R52" i="35" a="1"/>
  <c r="R52" i="35" s="1"/>
  <c r="R82" i="35" s="1"/>
  <c r="P52" i="35"/>
  <c r="P52" i="35" a="1"/>
  <c r="N52" i="35" a="1"/>
  <c r="N52" i="35" s="1"/>
  <c r="N82" i="35" s="1"/>
  <c r="L52" i="35" a="1"/>
  <c r="L52" i="35" s="1"/>
  <c r="L82" i="35" s="1"/>
  <c r="J52" i="35" a="1"/>
  <c r="J52" i="35" s="1"/>
  <c r="J82" i="35" s="1"/>
  <c r="H52" i="35" a="1"/>
  <c r="H52" i="35" s="1"/>
  <c r="H82" i="35" s="1"/>
  <c r="F52" i="35" a="1"/>
  <c r="F52" i="35" s="1"/>
  <c r="F82" i="35" s="1"/>
  <c r="D52" i="35"/>
  <c r="D52" i="35" a="1"/>
  <c r="B52" i="35" a="1"/>
  <c r="B52" i="35" s="1"/>
  <c r="AV51" i="35"/>
  <c r="AV81" i="35" s="1"/>
  <c r="AT51" i="35"/>
  <c r="AT81" i="35" s="1"/>
  <c r="AR51" i="35"/>
  <c r="AP51" i="35"/>
  <c r="AP81" i="35" s="1"/>
  <c r="AN51" i="35"/>
  <c r="AN81" i="35" s="1"/>
  <c r="AL51" i="35"/>
  <c r="AJ51" i="35"/>
  <c r="AH51" i="35"/>
  <c r="AF51" i="35"/>
  <c r="AD51" i="35"/>
  <c r="AD81" i="35" s="1"/>
  <c r="AB51" i="35"/>
  <c r="Z51" i="35"/>
  <c r="X51" i="35"/>
  <c r="X81" i="35" s="1"/>
  <c r="V51" i="35"/>
  <c r="T51" i="35"/>
  <c r="R51" i="35"/>
  <c r="R81" i="35" s="1"/>
  <c r="P51" i="35"/>
  <c r="P81" i="35" s="1"/>
  <c r="N51" i="35"/>
  <c r="N81" i="35" s="1"/>
  <c r="L51" i="35"/>
  <c r="J51" i="35"/>
  <c r="J81" i="35" s="1"/>
  <c r="H51" i="35"/>
  <c r="H81" i="35" s="1"/>
  <c r="F51" i="35"/>
  <c r="D51" i="35"/>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a="1"/>
  <c r="AP43" i="35" s="1"/>
  <c r="AN43" i="35"/>
  <c r="AN43" i="35" a="1"/>
  <c r="AL43" i="35" a="1"/>
  <c r="AL43" i="35" s="1"/>
  <c r="AJ43" i="35"/>
  <c r="AJ43" i="35" a="1"/>
  <c r="AH43" i="35" a="1"/>
  <c r="AH43" i="35" s="1"/>
  <c r="AF43" i="35"/>
  <c r="AF43" i="35" a="1"/>
  <c r="AD43" i="35" a="1"/>
  <c r="AD43" i="35" s="1"/>
  <c r="AB43" i="35" a="1"/>
  <c r="AB43" i="35" s="1"/>
  <c r="Z43" i="35" a="1"/>
  <c r="Z43" i="35" s="1"/>
  <c r="X43" i="35" a="1"/>
  <c r="X43" i="35" s="1"/>
  <c r="V43" i="35" a="1"/>
  <c r="V43" i="35" s="1"/>
  <c r="T43" i="35"/>
  <c r="T43" i="35" a="1"/>
  <c r="R43" i="35" a="1"/>
  <c r="R43" i="35" s="1"/>
  <c r="P43" i="35"/>
  <c r="P43" i="35" a="1"/>
  <c r="N43" i="35" a="1"/>
  <c r="N43" i="35" s="1"/>
  <c r="L43" i="35" a="1"/>
  <c r="L43" i="35" s="1"/>
  <c r="J43" i="35" a="1"/>
  <c r="J43" i="35" s="1"/>
  <c r="H43" i="35" a="1"/>
  <c r="H43" i="35" s="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R5" i="44"/>
  <c r="S5" i="44"/>
  <c r="T6" i="23"/>
  <c r="S6" i="23"/>
  <c r="R6" i="23"/>
  <c r="Y4" i="23"/>
  <c r="X4" i="23"/>
  <c r="W4" i="23"/>
  <c r="V4" i="23"/>
  <c r="U4" i="23"/>
  <c r="K58" i="2" a="1"/>
  <c r="K57" i="2" a="1"/>
  <c r="K56" i="2" a="1"/>
  <c r="K55" i="2" a="1"/>
  <c r="AH81" i="38"/>
  <c r="AF81" i="38"/>
  <c r="AD81" i="38"/>
  <c r="AB81" i="38"/>
  <c r="Z81" i="38"/>
  <c r="X81" i="38"/>
  <c r="V81" i="38"/>
  <c r="T81" i="38"/>
  <c r="R81" i="38"/>
  <c r="B81" i="38"/>
  <c r="AV80" i="38"/>
  <c r="AT80" i="38"/>
  <c r="AR80" i="38"/>
  <c r="AP80" i="38"/>
  <c r="AN80" i="38"/>
  <c r="AL80" i="38"/>
  <c r="AJ80" i="38"/>
  <c r="AH80" i="38"/>
  <c r="R80" i="38"/>
  <c r="P80" i="38"/>
  <c r="N80" i="38"/>
  <c r="L80" i="38"/>
  <c r="J80" i="38"/>
  <c r="H80" i="38"/>
  <c r="F80" i="38"/>
  <c r="D80" i="38"/>
  <c r="AV79" i="38" a="1"/>
  <c r="AV79" i="38" s="1"/>
  <c r="AT79" i="38" a="1"/>
  <c r="AT79" i="38" s="1"/>
  <c r="AR79" i="38"/>
  <c r="AR79" i="38" a="1"/>
  <c r="AP79" i="38" a="1"/>
  <c r="AP79" i="38" s="1"/>
  <c r="AN79" i="38" a="1"/>
  <c r="AN79" i="38" s="1"/>
  <c r="AL79" i="38" a="1"/>
  <c r="AL79" i="38" s="1"/>
  <c r="AJ79" i="38" a="1"/>
  <c r="AJ79" i="38" s="1"/>
  <c r="AH79" i="38" a="1"/>
  <c r="AH79" i="38" s="1"/>
  <c r="AF79" i="38" a="1"/>
  <c r="AF79" i="38" s="1"/>
  <c r="AD79" i="38" a="1"/>
  <c r="AD79" i="38" s="1"/>
  <c r="AB79" i="38"/>
  <c r="AB79" i="38" a="1"/>
  <c r="Z79" i="38" a="1"/>
  <c r="Z79" i="38" s="1"/>
  <c r="X79" i="38" a="1"/>
  <c r="X79" i="38" s="1"/>
  <c r="V79" i="38" a="1"/>
  <c r="V79" i="38" s="1"/>
  <c r="T79" i="38" a="1"/>
  <c r="T79" i="38" s="1"/>
  <c r="R79" i="38" a="1"/>
  <c r="R79" i="38" s="1"/>
  <c r="P79" i="38" a="1"/>
  <c r="P79" i="38" s="1"/>
  <c r="N79" i="38" a="1"/>
  <c r="N79" i="38" s="1"/>
  <c r="L79" i="38"/>
  <c r="L79" i="38" a="1"/>
  <c r="J79" i="38" a="1"/>
  <c r="J79" i="38" s="1"/>
  <c r="H79" i="38" a="1"/>
  <c r="H79" i="38" s="1"/>
  <c r="F79" i="38" a="1"/>
  <c r="F79" i="38" s="1"/>
  <c r="D79" i="38" a="1"/>
  <c r="D79" i="38" s="1"/>
  <c r="B79" i="38" a="1"/>
  <c r="B79" i="38" s="1"/>
  <c r="AV78" i="38" a="1"/>
  <c r="AV78" i="38" s="1"/>
  <c r="AT78" i="38" a="1"/>
  <c r="AT78" i="38" s="1"/>
  <c r="AR78" i="38"/>
  <c r="AR78" i="38" a="1"/>
  <c r="AP78" i="38" a="1"/>
  <c r="AP78" i="38" s="1"/>
  <c r="AN78" i="38" a="1"/>
  <c r="AN78" i="38" s="1"/>
  <c r="AL78" i="38" a="1"/>
  <c r="AL78" i="38" s="1"/>
  <c r="AJ78" i="38" a="1"/>
  <c r="AJ78" i="38" s="1"/>
  <c r="AH78" i="38" a="1"/>
  <c r="AH78" i="38" s="1"/>
  <c r="AF78" i="38" a="1"/>
  <c r="AF78" i="38" s="1"/>
  <c r="AD78" i="38" a="1"/>
  <c r="AD78" i="38" s="1"/>
  <c r="AB78" i="38"/>
  <c r="AB78" i="38" a="1"/>
  <c r="Z78" i="38" a="1"/>
  <c r="Z78" i="38" s="1"/>
  <c r="X78" i="38" a="1"/>
  <c r="X78" i="38" s="1"/>
  <c r="V78" i="38" a="1"/>
  <c r="V78" i="38" s="1"/>
  <c r="T78" i="38" a="1"/>
  <c r="T78" i="38" s="1"/>
  <c r="R78" i="38" a="1"/>
  <c r="R78" i="38" s="1"/>
  <c r="P78" i="38" a="1"/>
  <c r="P78" i="38" s="1"/>
  <c r="N78" i="38" a="1"/>
  <c r="N78" i="38" s="1"/>
  <c r="L78" i="38"/>
  <c r="L78" i="38" a="1"/>
  <c r="J78" i="38" a="1"/>
  <c r="J78" i="38" s="1"/>
  <c r="H78" i="38" a="1"/>
  <c r="H78" i="38" s="1"/>
  <c r="F78" i="38" a="1"/>
  <c r="F78" i="38" s="1"/>
  <c r="D78" i="38" a="1"/>
  <c r="D78" i="38" s="1"/>
  <c r="B78" i="38" a="1"/>
  <c r="B78" i="38" s="1"/>
  <c r="AV77" i="38" a="1"/>
  <c r="AV77" i="38" s="1"/>
  <c r="AT77" i="38" a="1"/>
  <c r="AT77" i="38" s="1"/>
  <c r="AR77" i="38"/>
  <c r="AR77" i="38" a="1"/>
  <c r="AP77" i="38" a="1"/>
  <c r="AP77" i="38" s="1"/>
  <c r="AN77" i="38" a="1"/>
  <c r="AN77" i="38" s="1"/>
  <c r="AL77" i="38" a="1"/>
  <c r="AL77" i="38" s="1"/>
  <c r="AJ77" i="38" a="1"/>
  <c r="AJ77" i="38" s="1"/>
  <c r="AH77" i="38" a="1"/>
  <c r="AH77" i="38" s="1"/>
  <c r="AF77" i="38" a="1"/>
  <c r="AF77" i="38" s="1"/>
  <c r="AD77" i="38" a="1"/>
  <c r="AD77" i="38" s="1"/>
  <c r="AB77" i="38"/>
  <c r="AB77" i="38" a="1"/>
  <c r="Z77" i="38" a="1"/>
  <c r="Z77" i="38" s="1"/>
  <c r="X77" i="38" a="1"/>
  <c r="X77" i="38" s="1"/>
  <c r="V77" i="38" a="1"/>
  <c r="V77" i="38" s="1"/>
  <c r="T77" i="38" a="1"/>
  <c r="T77" i="38" s="1"/>
  <c r="R77" i="38" a="1"/>
  <c r="R77" i="38" s="1"/>
  <c r="P77" i="38" a="1"/>
  <c r="P77" i="38" s="1"/>
  <c r="N77" i="38" a="1"/>
  <c r="N77" i="38" s="1"/>
  <c r="L77" i="38"/>
  <c r="L77" i="38" a="1"/>
  <c r="J77" i="38" a="1"/>
  <c r="J77" i="38" s="1"/>
  <c r="H77" i="38" a="1"/>
  <c r="H77" i="38" s="1"/>
  <c r="F77" i="38" a="1"/>
  <c r="F77" i="38" s="1"/>
  <c r="D77" i="38" a="1"/>
  <c r="D77" i="38" s="1"/>
  <c r="B77" i="38" a="1"/>
  <c r="B77" i="38" s="1"/>
  <c r="AV76" i="38" a="1"/>
  <c r="AV76" i="38" s="1"/>
  <c r="AT76" i="38" a="1"/>
  <c r="AT76" i="38" s="1"/>
  <c r="AR76" i="38"/>
  <c r="AR76" i="38" a="1"/>
  <c r="AP76" i="38" a="1"/>
  <c r="AP76" i="38" s="1"/>
  <c r="AN76" i="38" a="1"/>
  <c r="AN76" i="38" s="1"/>
  <c r="AL76" i="38" a="1"/>
  <c r="AL76" i="38" s="1"/>
  <c r="AJ76" i="38" a="1"/>
  <c r="AJ76" i="38" s="1"/>
  <c r="AH76" i="38" a="1"/>
  <c r="AH76" i="38" s="1"/>
  <c r="AF76" i="38" a="1"/>
  <c r="AF76" i="38" s="1"/>
  <c r="AD76" i="38" a="1"/>
  <c r="AD76" i="38" s="1"/>
  <c r="AB76" i="38"/>
  <c r="AB76" i="38" a="1"/>
  <c r="Z76" i="38" a="1"/>
  <c r="Z76" i="38" s="1"/>
  <c r="X76" i="38" a="1"/>
  <c r="X76" i="38" s="1"/>
  <c r="V76" i="38" a="1"/>
  <c r="V76" i="38" s="1"/>
  <c r="T76" i="38" a="1"/>
  <c r="T76" i="38" s="1"/>
  <c r="R76" i="38" a="1"/>
  <c r="R76" i="38" s="1"/>
  <c r="P76" i="38" a="1"/>
  <c r="P76" i="38" s="1"/>
  <c r="N76" i="38" a="1"/>
  <c r="N76" i="38" s="1"/>
  <c r="L76" i="38" a="1"/>
  <c r="L76" i="38" s="1"/>
  <c r="J76" i="38" a="1"/>
  <c r="J76" i="38" s="1"/>
  <c r="H76" i="38" a="1"/>
  <c r="H76" i="38" s="1"/>
  <c r="F76" i="38" a="1"/>
  <c r="F76" i="38" s="1"/>
  <c r="D76" i="38" a="1"/>
  <c r="D76" i="38" s="1"/>
  <c r="B76" i="38" a="1"/>
  <c r="B76" i="38" s="1"/>
  <c r="AV75" i="38" a="1"/>
  <c r="AV75" i="38" s="1"/>
  <c r="AT75" i="38" a="1"/>
  <c r="AT75" i="38" s="1"/>
  <c r="AR75" i="38" a="1"/>
  <c r="AR75" i="38" s="1"/>
  <c r="AP75" i="38" a="1"/>
  <c r="AP75" i="38" s="1"/>
  <c r="AN75" i="38" a="1"/>
  <c r="AN75" i="38" s="1"/>
  <c r="AL75" i="38" a="1"/>
  <c r="AL75" i="38" s="1"/>
  <c r="AJ75" i="38" a="1"/>
  <c r="AJ75" i="38" s="1"/>
  <c r="AH75" i="38" a="1"/>
  <c r="AH75" i="38" s="1"/>
  <c r="AF75" i="38" a="1"/>
  <c r="AF75" i="38" s="1"/>
  <c r="AD75" i="38" a="1"/>
  <c r="AD75" i="38" s="1"/>
  <c r="AB75" i="38" a="1"/>
  <c r="AB75" i="38" s="1"/>
  <c r="Z75" i="38" a="1"/>
  <c r="Z75" i="38" s="1"/>
  <c r="X75" i="38" a="1"/>
  <c r="X75" i="38" s="1"/>
  <c r="V75" i="38" a="1"/>
  <c r="V75" i="38" s="1"/>
  <c r="T75" i="38" a="1"/>
  <c r="T75" i="38" s="1"/>
  <c r="R75" i="38" a="1"/>
  <c r="R75" i="38" s="1"/>
  <c r="P75" i="38" a="1"/>
  <c r="P75" i="38" s="1"/>
  <c r="N75" i="38" a="1"/>
  <c r="N75" i="38" s="1"/>
  <c r="L75" i="38" a="1"/>
  <c r="L75" i="38" s="1"/>
  <c r="J75" i="38" a="1"/>
  <c r="J75" i="38" s="1"/>
  <c r="H75" i="38" a="1"/>
  <c r="H75" i="38" s="1"/>
  <c r="F75" i="38" a="1"/>
  <c r="F75" i="38" s="1"/>
  <c r="D75" i="38" a="1"/>
  <c r="D75" i="38" s="1"/>
  <c r="B75" i="38" a="1"/>
  <c r="B75" i="38" s="1"/>
  <c r="AV74" i="38" a="1"/>
  <c r="AV74" i="38" s="1"/>
  <c r="AT74" i="38" a="1"/>
  <c r="AT74" i="38" s="1"/>
  <c r="AR74" i="38" a="1"/>
  <c r="AR74" i="38" s="1"/>
  <c r="AP74" i="38" a="1"/>
  <c r="AP74" i="38" s="1"/>
  <c r="AN74" i="38" a="1"/>
  <c r="AN74" i="38" s="1"/>
  <c r="AL74" i="38" a="1"/>
  <c r="AL74" i="38" s="1"/>
  <c r="AJ74" i="38" a="1"/>
  <c r="AJ74" i="38" s="1"/>
  <c r="AH74" i="38" a="1"/>
  <c r="AH74" i="38" s="1"/>
  <c r="AF74" i="38" a="1"/>
  <c r="AF74" i="38" s="1"/>
  <c r="AD74" i="38" a="1"/>
  <c r="AD74" i="38" s="1"/>
  <c r="AB74" i="38" a="1"/>
  <c r="AB74" i="38" s="1"/>
  <c r="Z74" i="38" a="1"/>
  <c r="Z74" i="38" s="1"/>
  <c r="X74" i="38" a="1"/>
  <c r="X74" i="38" s="1"/>
  <c r="V74" i="38" a="1"/>
  <c r="V74" i="38" s="1"/>
  <c r="T74" i="38" a="1"/>
  <c r="T74" i="38" s="1"/>
  <c r="R74" i="38" a="1"/>
  <c r="R74" i="38" s="1"/>
  <c r="P74" i="38" a="1"/>
  <c r="P74" i="38" s="1"/>
  <c r="N74" i="38" a="1"/>
  <c r="N74" i="38" s="1"/>
  <c r="L74" i="38" a="1"/>
  <c r="L74" i="38" s="1"/>
  <c r="J74" i="38" a="1"/>
  <c r="J74" i="38" s="1"/>
  <c r="H74" i="38" a="1"/>
  <c r="H74" i="38" s="1"/>
  <c r="F74" i="38" a="1"/>
  <c r="F74" i="38" s="1"/>
  <c r="D74" i="38" a="1"/>
  <c r="D74" i="38" s="1"/>
  <c r="B74" i="38" a="1"/>
  <c r="B74" i="38" s="1"/>
  <c r="AV73" i="38" a="1"/>
  <c r="AV73" i="38" s="1"/>
  <c r="AT73" i="38" a="1"/>
  <c r="AT73" i="38" s="1"/>
  <c r="AR73" i="38" a="1"/>
  <c r="AR73" i="38" s="1"/>
  <c r="AP73" i="38" a="1"/>
  <c r="AP73" i="38" s="1"/>
  <c r="AN73" i="38" a="1"/>
  <c r="AN73" i="38" s="1"/>
  <c r="AL73" i="38" a="1"/>
  <c r="AL73" i="38" s="1"/>
  <c r="AJ73" i="38" a="1"/>
  <c r="AJ73" i="38" s="1"/>
  <c r="AH73" i="38" a="1"/>
  <c r="AH73" i="38" s="1"/>
  <c r="AF73" i="38" a="1"/>
  <c r="AF73" i="38" s="1"/>
  <c r="AD73" i="38" a="1"/>
  <c r="AD73" i="38" s="1"/>
  <c r="AB73" i="38" a="1"/>
  <c r="AB73" i="38" s="1"/>
  <c r="Z73" i="38" a="1"/>
  <c r="Z73" i="38" s="1"/>
  <c r="X73" i="38" a="1"/>
  <c r="X73" i="38" s="1"/>
  <c r="V73" i="38" a="1"/>
  <c r="V73" i="38" s="1"/>
  <c r="T73" i="38" a="1"/>
  <c r="T73" i="38" s="1"/>
  <c r="R73" i="38" a="1"/>
  <c r="R73" i="38" s="1"/>
  <c r="P73" i="38" a="1"/>
  <c r="P73" i="38" s="1"/>
  <c r="N73" i="38" a="1"/>
  <c r="N73" i="38" s="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H69" i="38"/>
  <c r="B69" i="38"/>
  <c r="R68" i="38"/>
  <c r="AV67" i="38" a="1"/>
  <c r="AV67" i="38" s="1"/>
  <c r="AT67" i="38" a="1"/>
  <c r="AT67" i="38" s="1"/>
  <c r="AR67" i="38" a="1"/>
  <c r="AR67" i="38" s="1"/>
  <c r="AP67" i="38" a="1"/>
  <c r="AP67" i="38" s="1"/>
  <c r="AN67" i="38" a="1"/>
  <c r="AN67" i="38" s="1"/>
  <c r="AL67" i="38" a="1"/>
  <c r="AL67" i="38" s="1"/>
  <c r="AJ67" i="38" a="1"/>
  <c r="AJ67" i="38" s="1"/>
  <c r="AH67" i="38" a="1"/>
  <c r="AH67" i="38" s="1"/>
  <c r="AF67" i="38" a="1"/>
  <c r="AF67" i="38" s="1"/>
  <c r="AD67" i="38" a="1"/>
  <c r="AD67" i="38" s="1"/>
  <c r="AB67" i="38" a="1"/>
  <c r="AB67" i="38" s="1"/>
  <c r="Z67" i="38" a="1"/>
  <c r="Z67" i="38" s="1"/>
  <c r="X67" i="38" a="1"/>
  <c r="X67" i="38" s="1"/>
  <c r="V67" i="38" a="1"/>
  <c r="V67" i="38" s="1"/>
  <c r="T67" i="38" a="1"/>
  <c r="T67" i="38" s="1"/>
  <c r="R67" i="38" a="1"/>
  <c r="R67" i="38" s="1"/>
  <c r="P67" i="38" a="1"/>
  <c r="P67" i="38" s="1"/>
  <c r="N67" i="38" a="1"/>
  <c r="N67" i="38" s="1"/>
  <c r="L67" i="38" a="1"/>
  <c r="L67" i="38" s="1"/>
  <c r="J67" i="38" a="1"/>
  <c r="J67" i="38" s="1"/>
  <c r="H67" i="38" a="1"/>
  <c r="H67" i="38" s="1"/>
  <c r="F67" i="38" a="1"/>
  <c r="F67" i="38" s="1"/>
  <c r="D67" i="38" a="1"/>
  <c r="D67" i="38" s="1"/>
  <c r="B67" i="38" a="1"/>
  <c r="B67" i="38" s="1"/>
  <c r="AV66" i="38" a="1"/>
  <c r="AV66" i="38" s="1"/>
  <c r="AT66" i="38" a="1"/>
  <c r="AT66" i="38" s="1"/>
  <c r="AT68" i="38" s="1"/>
  <c r="AR66" i="38" a="1"/>
  <c r="AR66" i="38" s="1"/>
  <c r="AR68" i="38" s="1"/>
  <c r="AP66" i="38" a="1"/>
  <c r="AP66" i="38" s="1"/>
  <c r="AP68" i="38" s="1"/>
  <c r="AN66" i="38" a="1"/>
  <c r="AN66" i="38" s="1"/>
  <c r="AN68" i="38" s="1"/>
  <c r="AL66" i="38" a="1"/>
  <c r="AL66" i="38" s="1"/>
  <c r="AL68" i="38" s="1"/>
  <c r="AJ66" i="38" a="1"/>
  <c r="AJ66" i="38" s="1"/>
  <c r="AJ68" i="38" s="1"/>
  <c r="AH66" i="38" a="1"/>
  <c r="AH66" i="38" s="1"/>
  <c r="AH68" i="38" s="1"/>
  <c r="AF66" i="38" a="1"/>
  <c r="AF66" i="38" s="1"/>
  <c r="AF68" i="38" s="1"/>
  <c r="AD66" i="38" a="1"/>
  <c r="AD66" i="38" s="1"/>
  <c r="AB66" i="38" a="1"/>
  <c r="AB66" i="38" s="1"/>
  <c r="Z66" i="38" a="1"/>
  <c r="Z66" i="38" s="1"/>
  <c r="X66" i="38" a="1"/>
  <c r="X66" i="38" s="1"/>
  <c r="V66" i="38" a="1"/>
  <c r="V66" i="38" s="1"/>
  <c r="T66" i="38" a="1"/>
  <c r="T66" i="38" s="1"/>
  <c r="R66" i="38" a="1"/>
  <c r="R66" i="38" s="1"/>
  <c r="P66" i="38" a="1"/>
  <c r="P66" i="38" s="1"/>
  <c r="N66" i="38" a="1"/>
  <c r="N66" i="38" s="1"/>
  <c r="N68" i="38" s="1"/>
  <c r="L66" i="38" a="1"/>
  <c r="L66" i="38" s="1"/>
  <c r="L68" i="38" s="1"/>
  <c r="J66" i="38" a="1"/>
  <c r="J66" i="38" s="1"/>
  <c r="J68" i="38" s="1"/>
  <c r="H66" i="38" a="1"/>
  <c r="H66" i="38" s="1"/>
  <c r="H68" i="38" s="1"/>
  <c r="F66" i="38" a="1"/>
  <c r="F66" i="38" s="1"/>
  <c r="F68" i="38" s="1"/>
  <c r="D66" i="38" a="1"/>
  <c r="D66" i="38" s="1"/>
  <c r="D68" i="38" s="1"/>
  <c r="B66" i="38" a="1"/>
  <c r="B66" i="38" s="1"/>
  <c r="B68"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a="1"/>
  <c r="L65" i="38" s="1"/>
  <c r="L69" i="38" s="1"/>
  <c r="J65" i="38"/>
  <c r="J69" i="38" s="1"/>
  <c r="J65" i="38" a="1"/>
  <c r="H65" i="38" a="1"/>
  <c r="H65" i="38" s="1"/>
  <c r="H69" i="38" s="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c r="AP58" i="38" a="1"/>
  <c r="AN58" i="38" a="1"/>
  <c r="AN58" i="38" s="1"/>
  <c r="AL58" i="38" a="1"/>
  <c r="AL58" i="38" s="1"/>
  <c r="AJ58" i="38" a="1"/>
  <c r="AJ58" i="38" s="1"/>
  <c r="AH58" i="38" a="1"/>
  <c r="AH58" i="38" s="1"/>
  <c r="AF58" i="38"/>
  <c r="AF58" i="38" a="1"/>
  <c r="AD58" i="38"/>
  <c r="AD58" i="38" a="1"/>
  <c r="AB58" i="38" a="1"/>
  <c r="AB58" i="38" s="1"/>
  <c r="Z58" i="38"/>
  <c r="Z58" i="38" a="1"/>
  <c r="X58" i="38" a="1"/>
  <c r="X58" i="38" s="1"/>
  <c r="V58" i="38" a="1"/>
  <c r="V58" i="38" s="1"/>
  <c r="T58" i="38" a="1"/>
  <c r="T58" i="38" s="1"/>
  <c r="R58" i="38" a="1"/>
  <c r="R58" i="38" s="1"/>
  <c r="P58" i="38"/>
  <c r="P58" i="38" a="1"/>
  <c r="N58" i="38" a="1"/>
  <c r="N58" i="38" s="1"/>
  <c r="L58" i="38" a="1"/>
  <c r="L58" i="38" s="1"/>
  <c r="J58" i="38"/>
  <c r="J58" i="38" a="1"/>
  <c r="H58" i="38" a="1"/>
  <c r="H58" i="38" s="1"/>
  <c r="F58" i="38" a="1"/>
  <c r="F58" i="38" s="1"/>
  <c r="D58" i="38" a="1"/>
  <c r="D58" i="38" s="1"/>
  <c r="B58" i="38" a="1"/>
  <c r="B58" i="38" s="1"/>
  <c r="AV57" i="38"/>
  <c r="AV57" i="38" a="1"/>
  <c r="AT57" i="38" a="1"/>
  <c r="AT57" i="38" s="1"/>
  <c r="AR57" i="38" a="1"/>
  <c r="AR57" i="38" s="1"/>
  <c r="AP57" i="38"/>
  <c r="AP57" i="38" a="1"/>
  <c r="AN57" i="38" a="1"/>
  <c r="AN57" i="38" s="1"/>
  <c r="AL57" i="38" a="1"/>
  <c r="AL57" i="38" s="1"/>
  <c r="AJ57" i="38" a="1"/>
  <c r="AJ57" i="38" s="1"/>
  <c r="AH57" i="38" a="1"/>
  <c r="AH57" i="38" s="1"/>
  <c r="AF57" i="38"/>
  <c r="AF57" i="38" a="1"/>
  <c r="AD57" i="38" a="1"/>
  <c r="AD57" i="38" s="1"/>
  <c r="AB57" i="38" a="1"/>
  <c r="AB57" i="38" s="1"/>
  <c r="Z57" i="38"/>
  <c r="Z57" i="38" a="1"/>
  <c r="X57" i="38" a="1"/>
  <c r="X57" i="38" s="1"/>
  <c r="V57" i="38" a="1"/>
  <c r="V57" i="38" s="1"/>
  <c r="T57" i="38" a="1"/>
  <c r="T57" i="38" s="1"/>
  <c r="R57" i="38" a="1"/>
  <c r="R57" i="38" s="1"/>
  <c r="P57" i="38"/>
  <c r="P57" i="38" a="1"/>
  <c r="N57" i="38" a="1"/>
  <c r="N57" i="38" s="1"/>
  <c r="L57" i="38" a="1"/>
  <c r="L57" i="38" s="1"/>
  <c r="J57" i="38"/>
  <c r="J57" i="38" a="1"/>
  <c r="H57" i="38" a="1"/>
  <c r="H57" i="38" s="1"/>
  <c r="F57" i="38" a="1"/>
  <c r="F57" i="38" s="1"/>
  <c r="D57" i="38" a="1"/>
  <c r="D57" i="38" s="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N55" i="38"/>
  <c r="AL55" i="38"/>
  <c r="AJ55" i="38"/>
  <c r="AH55" i="38"/>
  <c r="AF55" i="38"/>
  <c r="AF80" i="38" s="1"/>
  <c r="AD55" i="38"/>
  <c r="AD80" i="38" s="1"/>
  <c r="AB55" i="38"/>
  <c r="AB80" i="38" s="1"/>
  <c r="Z55" i="38"/>
  <c r="Z80" i="38" s="1"/>
  <c r="X55" i="38"/>
  <c r="X80" i="38" s="1"/>
  <c r="V55" i="38"/>
  <c r="V80" i="38" s="1"/>
  <c r="T55" i="38"/>
  <c r="T80" i="38" s="1"/>
  <c r="R55" i="38"/>
  <c r="P55" i="38"/>
  <c r="N55" i="38"/>
  <c r="L55" i="38"/>
  <c r="J55" i="38"/>
  <c r="H55" i="38"/>
  <c r="F55" i="38"/>
  <c r="D55" i="38"/>
  <c r="B55" i="38"/>
  <c r="B80" i="38" s="1"/>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N81" i="38" s="1"/>
  <c r="AL51" i="38"/>
  <c r="AL81" i="38" s="1"/>
  <c r="AJ51" i="38"/>
  <c r="AJ81" i="38" s="1"/>
  <c r="AH51" i="38"/>
  <c r="AF51" i="38"/>
  <c r="AD51" i="38"/>
  <c r="AB51" i="38"/>
  <c r="Z51" i="38"/>
  <c r="X51" i="38"/>
  <c r="V51" i="38"/>
  <c r="T51" i="38"/>
  <c r="R51" i="38"/>
  <c r="P51" i="38"/>
  <c r="P81" i="38" s="1"/>
  <c r="N51" i="38"/>
  <c r="N81" i="38" s="1"/>
  <c r="L51" i="38"/>
  <c r="L81" i="38" s="1"/>
  <c r="J51" i="38"/>
  <c r="J81" i="38" s="1"/>
  <c r="H51" i="38"/>
  <c r="H81" i="38" s="1"/>
  <c r="F51" i="38"/>
  <c r="F81" i="38" s="1"/>
  <c r="D51" i="38"/>
  <c r="D81" i="38" s="1"/>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c r="AP43" i="38" a="1"/>
  <c r="AN43" i="38" a="1"/>
  <c r="AN43" i="38" s="1"/>
  <c r="AL43" i="38" a="1"/>
  <c r="AL43" i="38" s="1"/>
  <c r="AJ43" i="38" a="1"/>
  <c r="AJ43" i="38" s="1"/>
  <c r="AH43" i="38" a="1"/>
  <c r="AH43" i="38" s="1"/>
  <c r="AF43" i="38"/>
  <c r="AF43" i="38" a="1"/>
  <c r="AD43" i="38" a="1"/>
  <c r="AD43" i="38" s="1"/>
  <c r="AB43" i="38" a="1"/>
  <c r="AB43" i="38" s="1"/>
  <c r="Z43" i="38"/>
  <c r="Z43" i="38" a="1"/>
  <c r="X43" i="38" a="1"/>
  <c r="X43" i="38" s="1"/>
  <c r="V43" i="38" a="1"/>
  <c r="V43" i="38" s="1"/>
  <c r="T43" i="38" a="1"/>
  <c r="T43" i="38" s="1"/>
  <c r="R43" i="38" a="1"/>
  <c r="R43" i="38" s="1"/>
  <c r="P43" i="38"/>
  <c r="P43" i="38" a="1"/>
  <c r="N43" i="38" a="1"/>
  <c r="N43" i="38" s="1"/>
  <c r="L43" i="38" a="1"/>
  <c r="L43" i="38" s="1"/>
  <c r="J43" i="38"/>
  <c r="J43" i="38" a="1"/>
  <c r="H43" i="38" a="1"/>
  <c r="H43" i="38" s="1"/>
  <c r="F43" i="38" a="1"/>
  <c r="F43" i="38" s="1"/>
  <c r="D43" i="38" a="1"/>
  <c r="D43" i="38" s="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P81" i="21"/>
  <c r="AL81" i="21"/>
  <c r="AJ81" i="21"/>
  <c r="AH81" i="21"/>
  <c r="AF81" i="21"/>
  <c r="AD81" i="21"/>
  <c r="AB81" i="21"/>
  <c r="Z81" i="21"/>
  <c r="X81" i="21"/>
  <c r="J81" i="21"/>
  <c r="F81" i="21"/>
  <c r="D81" i="21"/>
  <c r="B81" i="21"/>
  <c r="AV80" i="21"/>
  <c r="AT80" i="21"/>
  <c r="AR80" i="21"/>
  <c r="AN80" i="21"/>
  <c r="AJ80" i="21"/>
  <c r="Z80" i="21"/>
  <c r="V80" i="21"/>
  <c r="T80" i="21"/>
  <c r="R80" i="21"/>
  <c r="P80" i="21"/>
  <c r="AV79" i="21" a="1"/>
  <c r="AV79" i="21" s="1"/>
  <c r="AT79" i="21" a="1"/>
  <c r="AT79" i="21" s="1"/>
  <c r="AR79" i="21" a="1"/>
  <c r="AR79" i="21" s="1"/>
  <c r="AP79" i="21" a="1"/>
  <c r="AP79" i="21" s="1"/>
  <c r="AN79" i="21"/>
  <c r="AN79" i="21" a="1"/>
  <c r="AL79" i="21" a="1"/>
  <c r="AL79" i="21" s="1"/>
  <c r="AJ79" i="21"/>
  <c r="AJ79" i="21" a="1"/>
  <c r="AH79" i="21" a="1"/>
  <c r="AH79" i="21" s="1"/>
  <c r="AF79" i="21" a="1"/>
  <c r="AF79" i="21" s="1"/>
  <c r="AD79" i="21" a="1"/>
  <c r="AD79" i="21" s="1"/>
  <c r="AB79" i="21" a="1"/>
  <c r="AB79" i="21" s="1"/>
  <c r="Z79" i="21" a="1"/>
  <c r="Z79" i="21" s="1"/>
  <c r="X79" i="21" a="1"/>
  <c r="X79" i="21" s="1"/>
  <c r="V79" i="21" a="1"/>
  <c r="V79" i="21" s="1"/>
  <c r="T79" i="21"/>
  <c r="T79" i="21" a="1"/>
  <c r="R79" i="21" a="1"/>
  <c r="R79" i="21" s="1"/>
  <c r="P79" i="21" a="1"/>
  <c r="P79" i="21" s="1"/>
  <c r="N79" i="21" a="1"/>
  <c r="N79" i="21" s="1"/>
  <c r="L79" i="21" a="1"/>
  <c r="L79" i="21" s="1"/>
  <c r="J79" i="21" a="1"/>
  <c r="J79" i="21" s="1"/>
  <c r="H79" i="21" a="1"/>
  <c r="H79" i="21" s="1"/>
  <c r="F79" i="21" a="1"/>
  <c r="F79" i="21" s="1"/>
  <c r="D79" i="21" a="1"/>
  <c r="D79" i="21" s="1"/>
  <c r="B79" i="21" a="1"/>
  <c r="B79" i="21" s="1"/>
  <c r="AV78" i="21" a="1"/>
  <c r="AV78" i="21" s="1"/>
  <c r="AT78" i="21" a="1"/>
  <c r="AT78" i="21" s="1"/>
  <c r="AR78" i="21" a="1"/>
  <c r="AR78" i="21" s="1"/>
  <c r="AP78" i="21" a="1"/>
  <c r="AP78" i="21" s="1"/>
  <c r="AN78" i="21"/>
  <c r="AN78" i="21" a="1"/>
  <c r="AL78" i="21" a="1"/>
  <c r="AL78" i="21" s="1"/>
  <c r="AJ78" i="21" a="1"/>
  <c r="AJ78" i="21" s="1"/>
  <c r="AH78" i="21" a="1"/>
  <c r="AH78" i="21" s="1"/>
  <c r="AF78" i="21" a="1"/>
  <c r="AF78" i="21" s="1"/>
  <c r="AD78" i="21" a="1"/>
  <c r="AD78" i="21" s="1"/>
  <c r="AB78" i="21" a="1"/>
  <c r="AB78" i="21" s="1"/>
  <c r="Z78" i="21" a="1"/>
  <c r="Z78" i="21" s="1"/>
  <c r="X78" i="21"/>
  <c r="X78" i="21" a="1"/>
  <c r="V78" i="21" a="1"/>
  <c r="V78" i="21" s="1"/>
  <c r="T78" i="21"/>
  <c r="T78" i="21" a="1"/>
  <c r="R78" i="21" a="1"/>
  <c r="R78" i="21" s="1"/>
  <c r="P78" i="21" a="1"/>
  <c r="P78" i="21" s="1"/>
  <c r="N78" i="21" a="1"/>
  <c r="N78" i="21" s="1"/>
  <c r="L78" i="21" a="1"/>
  <c r="L78" i="21" s="1"/>
  <c r="J78" i="21" a="1"/>
  <c r="J78" i="21" s="1"/>
  <c r="H78" i="21" a="1"/>
  <c r="H78" i="21" s="1"/>
  <c r="F78" i="21" a="1"/>
  <c r="F78" i="21" s="1"/>
  <c r="D78" i="21"/>
  <c r="D78" i="21" a="1"/>
  <c r="B78" i="21" a="1"/>
  <c r="B78" i="21" s="1"/>
  <c r="AV77" i="21" a="1"/>
  <c r="AV77" i="21" s="1"/>
  <c r="AT77" i="21" a="1"/>
  <c r="AT77" i="21" s="1"/>
  <c r="AR77" i="21" a="1"/>
  <c r="AR77" i="21" s="1"/>
  <c r="AP77" i="21" a="1"/>
  <c r="AP77" i="21" s="1"/>
  <c r="AN77" i="21" a="1"/>
  <c r="AN77" i="21" s="1"/>
  <c r="AL77" i="21" a="1"/>
  <c r="AL77" i="21" s="1"/>
  <c r="AJ77" i="21" a="1"/>
  <c r="AJ77" i="21" s="1"/>
  <c r="AH77" i="21" a="1"/>
  <c r="AH77" i="21" s="1"/>
  <c r="AF77" i="21" a="1"/>
  <c r="AF77" i="21" s="1"/>
  <c r="AD77" i="21" a="1"/>
  <c r="AD77" i="21" s="1"/>
  <c r="AB77" i="21" a="1"/>
  <c r="AB77" i="21" s="1"/>
  <c r="Z77" i="21" a="1"/>
  <c r="Z77" i="21" s="1"/>
  <c r="X77" i="21"/>
  <c r="X77" i="21" a="1"/>
  <c r="V77" i="21" a="1"/>
  <c r="V77" i="21" s="1"/>
  <c r="T77" i="21" a="1"/>
  <c r="T77" i="21" s="1"/>
  <c r="R77" i="21" a="1"/>
  <c r="R77" i="21" s="1"/>
  <c r="P77" i="21" a="1"/>
  <c r="P77" i="21" s="1"/>
  <c r="N77" i="21" a="1"/>
  <c r="N77" i="21" s="1"/>
  <c r="L77" i="21" a="1"/>
  <c r="L77" i="21" s="1"/>
  <c r="J77" i="21" a="1"/>
  <c r="J77" i="21" s="1"/>
  <c r="H77" i="21"/>
  <c r="H77" i="21" a="1"/>
  <c r="F77" i="21" a="1"/>
  <c r="F77" i="21" s="1"/>
  <c r="D77" i="21"/>
  <c r="D77" i="21" a="1"/>
  <c r="B77" i="21" a="1"/>
  <c r="B77" i="21" s="1"/>
  <c r="AV76" i="21" a="1"/>
  <c r="AV76" i="21" s="1"/>
  <c r="AT76" i="21" a="1"/>
  <c r="AT76" i="21" s="1"/>
  <c r="AR76" i="21" a="1"/>
  <c r="AR76" i="21" s="1"/>
  <c r="AP76" i="21" a="1"/>
  <c r="AP76" i="21" s="1"/>
  <c r="AN76" i="21" a="1"/>
  <c r="AN76" i="21" s="1"/>
  <c r="AL76" i="21" a="1"/>
  <c r="AL76" i="21" s="1"/>
  <c r="AJ76" i="21"/>
  <c r="AJ76" i="21" a="1"/>
  <c r="AH76" i="21" a="1"/>
  <c r="AH76" i="21" s="1"/>
  <c r="AF76" i="21" a="1"/>
  <c r="AF76" i="21" s="1"/>
  <c r="AD76" i="21" a="1"/>
  <c r="AD76" i="21" s="1"/>
  <c r="AB76" i="21" a="1"/>
  <c r="AB76" i="21" s="1"/>
  <c r="Z76" i="21" a="1"/>
  <c r="Z76" i="21" s="1"/>
  <c r="X76" i="21" a="1"/>
  <c r="X76" i="21" s="1"/>
  <c r="V76" i="21" a="1"/>
  <c r="V76" i="21" s="1"/>
  <c r="T76" i="21" a="1"/>
  <c r="T76" i="21" s="1"/>
  <c r="R76" i="21" a="1"/>
  <c r="R76" i="21" s="1"/>
  <c r="P76" i="21" a="1"/>
  <c r="P76" i="21" s="1"/>
  <c r="N76" i="21" a="1"/>
  <c r="N76" i="21" s="1"/>
  <c r="L76" i="21" a="1"/>
  <c r="L76" i="21" s="1"/>
  <c r="J76" i="21" a="1"/>
  <c r="J76" i="21" s="1"/>
  <c r="H76" i="21"/>
  <c r="H76" i="21" a="1"/>
  <c r="F76" i="21" a="1"/>
  <c r="F76" i="21" s="1"/>
  <c r="D76" i="21" a="1"/>
  <c r="D76" i="21" s="1"/>
  <c r="B76" i="21" a="1"/>
  <c r="B76" i="21" s="1"/>
  <c r="AV75" i="21" a="1"/>
  <c r="AV75" i="21" s="1"/>
  <c r="AT75" i="21" a="1"/>
  <c r="AT75" i="21" s="1"/>
  <c r="AR75" i="21" a="1"/>
  <c r="AR75" i="21" s="1"/>
  <c r="AP75" i="21" a="1"/>
  <c r="AP75" i="21" s="1"/>
  <c r="AN75" i="21"/>
  <c r="AN75" i="21" a="1"/>
  <c r="AL75" i="21" a="1"/>
  <c r="AL75" i="21" s="1"/>
  <c r="AJ75" i="21"/>
  <c r="AJ75" i="21" a="1"/>
  <c r="AH75" i="21" a="1"/>
  <c r="AH75" i="21" s="1"/>
  <c r="AF75" i="21" a="1"/>
  <c r="AF75" i="21" s="1"/>
  <c r="AD75" i="21" a="1"/>
  <c r="AD75" i="21" s="1"/>
  <c r="AB75" i="21" a="1"/>
  <c r="AB75" i="21" s="1"/>
  <c r="Z75" i="21" a="1"/>
  <c r="Z75" i="21" s="1"/>
  <c r="X75" i="21" a="1"/>
  <c r="X75" i="21" s="1"/>
  <c r="V75" i="21" a="1"/>
  <c r="V75" i="21" s="1"/>
  <c r="T75" i="21"/>
  <c r="T75" i="21" a="1"/>
  <c r="R75" i="21" a="1"/>
  <c r="R75" i="21" s="1"/>
  <c r="P75" i="21" a="1"/>
  <c r="P75" i="21" s="1"/>
  <c r="N75" i="21" a="1"/>
  <c r="N75" i="21" s="1"/>
  <c r="L75" i="21" a="1"/>
  <c r="L75" i="21" s="1"/>
  <c r="J75" i="21" a="1"/>
  <c r="J75" i="21" s="1"/>
  <c r="H75" i="21" a="1"/>
  <c r="H75" i="21" s="1"/>
  <c r="F75" i="21" a="1"/>
  <c r="F75" i="21" s="1"/>
  <c r="D75" i="21" a="1"/>
  <c r="D75" i="21" s="1"/>
  <c r="B75" i="21" a="1"/>
  <c r="B75" i="21" s="1"/>
  <c r="AV74" i="21" a="1"/>
  <c r="AV74" i="21" s="1"/>
  <c r="AT74" i="21" a="1"/>
  <c r="AT74" i="21" s="1"/>
  <c r="AR74" i="21" a="1"/>
  <c r="AR74" i="21" s="1"/>
  <c r="AP74" i="21" a="1"/>
  <c r="AP74" i="21" s="1"/>
  <c r="AN74" i="21"/>
  <c r="AN74" i="21" a="1"/>
  <c r="AL74" i="21" a="1"/>
  <c r="AL74" i="21" s="1"/>
  <c r="AJ74" i="21" a="1"/>
  <c r="AJ74" i="21" s="1"/>
  <c r="AH74" i="21" a="1"/>
  <c r="AH74" i="21" s="1"/>
  <c r="AF74" i="21" a="1"/>
  <c r="AF74" i="21" s="1"/>
  <c r="AD74" i="21" a="1"/>
  <c r="AD74" i="21" s="1"/>
  <c r="AB74" i="21" a="1"/>
  <c r="AB74" i="21" s="1"/>
  <c r="Z74" i="21" a="1"/>
  <c r="Z74" i="21" s="1"/>
  <c r="X74" i="21"/>
  <c r="X74" i="21" a="1"/>
  <c r="V74" i="21" a="1"/>
  <c r="V74" i="21" s="1"/>
  <c r="T74" i="21"/>
  <c r="T74" i="21" a="1"/>
  <c r="R74" i="21" a="1"/>
  <c r="R74" i="21" s="1"/>
  <c r="P74" i="21" a="1"/>
  <c r="P74" i="21" s="1"/>
  <c r="N74" i="21" a="1"/>
  <c r="N74" i="21" s="1"/>
  <c r="L74" i="21" a="1"/>
  <c r="L74" i="21" s="1"/>
  <c r="J74" i="21" a="1"/>
  <c r="J74" i="21" s="1"/>
  <c r="H74" i="21" a="1"/>
  <c r="H74" i="21" s="1"/>
  <c r="F74" i="21" a="1"/>
  <c r="F74" i="21" s="1"/>
  <c r="D74" i="21"/>
  <c r="D74" i="21" a="1"/>
  <c r="B74" i="21" a="1"/>
  <c r="B74" i="21" s="1"/>
  <c r="AV73" i="21" a="1"/>
  <c r="AV73" i="21" s="1"/>
  <c r="AT73" i="21" a="1"/>
  <c r="AT73" i="21" s="1"/>
  <c r="AR73" i="21" a="1"/>
  <c r="AR73" i="21" s="1"/>
  <c r="AP73" i="21" a="1"/>
  <c r="AP73" i="21" s="1"/>
  <c r="AN73" i="21" a="1"/>
  <c r="AN73" i="21" s="1"/>
  <c r="AL73" i="21" a="1"/>
  <c r="AL73" i="21" s="1"/>
  <c r="AJ73" i="21" a="1"/>
  <c r="AJ73" i="21" s="1"/>
  <c r="AH73" i="21" a="1"/>
  <c r="AH73" i="21" s="1"/>
  <c r="AF73" i="21" a="1"/>
  <c r="AF73" i="21" s="1"/>
  <c r="AD73" i="21" a="1"/>
  <c r="AD73" i="21" s="1"/>
  <c r="AB73" i="21" a="1"/>
  <c r="AB73" i="21" s="1"/>
  <c r="Z73" i="21" a="1"/>
  <c r="Z73" i="21" s="1"/>
  <c r="X73" i="21"/>
  <c r="X73" i="21" a="1"/>
  <c r="V73" i="21" a="1"/>
  <c r="V73" i="21" s="1"/>
  <c r="T73" i="21" a="1"/>
  <c r="T73" i="21" s="1"/>
  <c r="R73" i="21" a="1"/>
  <c r="R73" i="21" s="1"/>
  <c r="P73" i="21" a="1"/>
  <c r="P73" i="21" s="1"/>
  <c r="N73" i="21" a="1"/>
  <c r="N73" i="21" s="1"/>
  <c r="L73" i="21" a="1"/>
  <c r="L73" i="21" s="1"/>
  <c r="J73" i="21" a="1"/>
  <c r="J73" i="21" s="1"/>
  <c r="H73" i="21"/>
  <c r="H73" i="21" a="1"/>
  <c r="F73" i="21" a="1"/>
  <c r="F73" i="21" s="1"/>
  <c r="D73" i="21"/>
  <c r="D73" i="21" a="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F69" i="21"/>
  <c r="D69" i="21"/>
  <c r="B69" i="21"/>
  <c r="AV67" i="21" a="1"/>
  <c r="AV67" i="21" s="1"/>
  <c r="AT67" i="21" a="1"/>
  <c r="AT67" i="21" s="1"/>
  <c r="AR67" i="21" a="1"/>
  <c r="AR67" i="21" s="1"/>
  <c r="AP67" i="21" a="1"/>
  <c r="AP67" i="21" s="1"/>
  <c r="AN67" i="21" a="1"/>
  <c r="AN67" i="21" s="1"/>
  <c r="AL67" i="21" a="1"/>
  <c r="AL67" i="21" s="1"/>
  <c r="AJ67" i="21" a="1"/>
  <c r="AJ67" i="21" s="1"/>
  <c r="AH67" i="21" a="1"/>
  <c r="AH67" i="21" s="1"/>
  <c r="AF67" i="21"/>
  <c r="AF67" i="21" a="1"/>
  <c r="AD67" i="21" a="1"/>
  <c r="AD67" i="21" s="1"/>
  <c r="AB67" i="21" a="1"/>
  <c r="AB67" i="21" s="1"/>
  <c r="Z67" i="21" a="1"/>
  <c r="Z67" i="21" s="1"/>
  <c r="X67" i="21" a="1"/>
  <c r="X67" i="21" s="1"/>
  <c r="V67" i="21" a="1"/>
  <c r="V67" i="21" s="1"/>
  <c r="V68" i="21" s="1"/>
  <c r="T67" i="21" a="1"/>
  <c r="T67" i="21" s="1"/>
  <c r="T68" i="21" s="1"/>
  <c r="R67" i="21" a="1"/>
  <c r="R67" i="21" s="1"/>
  <c r="R68" i="21" s="1"/>
  <c r="P67" i="21"/>
  <c r="P67" i="21" a="1"/>
  <c r="N67" i="21" a="1"/>
  <c r="N67" i="21" s="1"/>
  <c r="L67" i="21"/>
  <c r="L67" i="21" a="1"/>
  <c r="J67" i="21" a="1"/>
  <c r="J67" i="21" s="1"/>
  <c r="H67" i="21" a="1"/>
  <c r="H67" i="21" s="1"/>
  <c r="F67" i="21" a="1"/>
  <c r="F67" i="21" s="1"/>
  <c r="D67" i="21" a="1"/>
  <c r="D67" i="21" s="1"/>
  <c r="B67" i="21" a="1"/>
  <c r="B67" i="21" s="1"/>
  <c r="AV66" i="21" a="1"/>
  <c r="AV66" i="21" s="1"/>
  <c r="AT66" i="21" a="1"/>
  <c r="AT66" i="21" s="1"/>
  <c r="AR66" i="21"/>
  <c r="AR66" i="21" a="1"/>
  <c r="AP66" i="21" a="1"/>
  <c r="AP66" i="21" s="1"/>
  <c r="AN66" i="21" a="1"/>
  <c r="AN66" i="21" s="1"/>
  <c r="AL66" i="21" a="1"/>
  <c r="AL66" i="21" s="1"/>
  <c r="AL68" i="21" s="1"/>
  <c r="AJ66" i="21" a="1"/>
  <c r="AJ66" i="21" s="1"/>
  <c r="AJ68" i="21" s="1"/>
  <c r="AH66" i="21" a="1"/>
  <c r="AH66" i="21" s="1"/>
  <c r="AH68" i="21" s="1"/>
  <c r="AF66" i="21" a="1"/>
  <c r="AF66" i="21" s="1"/>
  <c r="AF68" i="21" s="1"/>
  <c r="AD66" i="21" a="1"/>
  <c r="AD66" i="21" s="1"/>
  <c r="AD68" i="21" s="1"/>
  <c r="AB66" i="21" a="1"/>
  <c r="AB66" i="21" s="1"/>
  <c r="AB68" i="21" s="1"/>
  <c r="Z66" i="21" a="1"/>
  <c r="Z66" i="21" s="1"/>
  <c r="Z68" i="21" s="1"/>
  <c r="X66" i="21" a="1"/>
  <c r="X66" i="21" s="1"/>
  <c r="X68" i="21" s="1"/>
  <c r="V66" i="21" a="1"/>
  <c r="V66" i="21" s="1"/>
  <c r="T66" i="21" a="1"/>
  <c r="T66" i="21" s="1"/>
  <c r="R66" i="21" a="1"/>
  <c r="R66" i="21" s="1"/>
  <c r="P66" i="21"/>
  <c r="P66" i="21" a="1"/>
  <c r="N66" i="21" a="1"/>
  <c r="N66" i="21" s="1"/>
  <c r="L66" i="21" a="1"/>
  <c r="L66" i="21" s="1"/>
  <c r="L68" i="21" s="1"/>
  <c r="J66" i="21" a="1"/>
  <c r="J66" i="21" s="1"/>
  <c r="H66" i="21" a="1"/>
  <c r="H66" i="21" s="1"/>
  <c r="H68" i="21" s="1"/>
  <c r="F66" i="21" a="1"/>
  <c r="F66" i="21" s="1"/>
  <c r="F68" i="21" s="1"/>
  <c r="D66" i="21" a="1"/>
  <c r="D66" i="21" s="1"/>
  <c r="D68" i="21" s="1"/>
  <c r="B66" i="21" a="1"/>
  <c r="B66" i="21" s="1"/>
  <c r="B68" i="21" s="1"/>
  <c r="AV65" i="21"/>
  <c r="AV69" i="21" s="1"/>
  <c r="AV65" i="21" a="1"/>
  <c r="AT65" i="21" a="1"/>
  <c r="AT65" i="21" s="1"/>
  <c r="AT69" i="21" s="1"/>
  <c r="AR65" i="21"/>
  <c r="AR69" i="21" s="1"/>
  <c r="AR65" i="21" a="1"/>
  <c r="AP65" i="21" a="1"/>
  <c r="AP65" i="21" s="1"/>
  <c r="AP69" i="21" s="1"/>
  <c r="AN65" i="21" a="1"/>
  <c r="AN65" i="21" s="1"/>
  <c r="AN69" i="21" s="1"/>
  <c r="AL65" i="21" a="1"/>
  <c r="AL65" i="21" s="1"/>
  <c r="AL69" i="21" s="1"/>
  <c r="AJ65" i="21" a="1"/>
  <c r="AJ65" i="21" s="1"/>
  <c r="AJ69" i="21" s="1"/>
  <c r="AH65" i="21" a="1"/>
  <c r="AH65" i="21" s="1"/>
  <c r="AH69" i="21" s="1"/>
  <c r="AF65" i="21" a="1"/>
  <c r="AF65" i="21" s="1"/>
  <c r="AF69" i="21" s="1"/>
  <c r="AD65" i="21" a="1"/>
  <c r="AD65" i="21" s="1"/>
  <c r="AD69" i="21" s="1"/>
  <c r="AB65" i="21"/>
  <c r="AB69" i="21" s="1"/>
  <c r="AB65" i="21" a="1"/>
  <c r="Z65" i="21" a="1"/>
  <c r="Z65" i="21" s="1"/>
  <c r="Z69" i="21" s="1"/>
  <c r="X65" i="21" a="1"/>
  <c r="X65" i="21" s="1"/>
  <c r="X69" i="21" s="1"/>
  <c r="V65" i="21" a="1"/>
  <c r="V65" i="21" s="1"/>
  <c r="V69" i="21" s="1"/>
  <c r="T65" i="21" a="1"/>
  <c r="T65" i="21" s="1"/>
  <c r="T69" i="21" s="1"/>
  <c r="R65" i="21" a="1"/>
  <c r="R65" i="21" s="1"/>
  <c r="R69" i="21" s="1"/>
  <c r="P65" i="21" a="1"/>
  <c r="P65" i="21" s="1"/>
  <c r="P69" i="21" s="1"/>
  <c r="N65" i="21" a="1"/>
  <c r="N65" i="21" s="1"/>
  <c r="N69" i="21" s="1"/>
  <c r="L65" i="21" a="1"/>
  <c r="L65" i="21" s="1"/>
  <c r="L69" i="21" s="1"/>
  <c r="J65" i="21" a="1"/>
  <c r="J65" i="21" s="1"/>
  <c r="J69" i="21" s="1"/>
  <c r="H65" i="21" a="1"/>
  <c r="H65" i="21" s="1"/>
  <c r="H69" i="21" s="1"/>
  <c r="F65" i="21" a="1"/>
  <c r="F65" i="21" s="1"/>
  <c r="D65" i="21" a="1"/>
  <c r="D65"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c r="AR58" i="21" a="1"/>
  <c r="AP58" i="21" a="1"/>
  <c r="AP58" i="21" s="1"/>
  <c r="AN58" i="21" a="1"/>
  <c r="AN58" i="21" s="1"/>
  <c r="AL58" i="21"/>
  <c r="AL58" i="21" a="1"/>
  <c r="AJ58" i="21" a="1"/>
  <c r="AJ58" i="21" s="1"/>
  <c r="AH58" i="21" a="1"/>
  <c r="AH58" i="21" s="1"/>
  <c r="AF58" i="21"/>
  <c r="AF58" i="21" a="1"/>
  <c r="AD58" i="21"/>
  <c r="AD58" i="21" a="1"/>
  <c r="AB58" i="21"/>
  <c r="AB58" i="21" a="1"/>
  <c r="Z58" i="21" a="1"/>
  <c r="Z58" i="21" s="1"/>
  <c r="X58" i="21" a="1"/>
  <c r="X58" i="21" s="1"/>
  <c r="V58" i="21" a="1"/>
  <c r="V58" i="21" s="1"/>
  <c r="T58" i="21"/>
  <c r="T58" i="21" a="1"/>
  <c r="R58" i="21" a="1"/>
  <c r="R58" i="21" s="1"/>
  <c r="P58" i="21"/>
  <c r="P58" i="21" a="1"/>
  <c r="N58" i="21"/>
  <c r="N58" i="21" a="1"/>
  <c r="L58" i="21"/>
  <c r="L58" i="21" a="1"/>
  <c r="J58" i="21" a="1"/>
  <c r="J58" i="21" s="1"/>
  <c r="H58" i="21" a="1"/>
  <c r="H58" i="21" s="1"/>
  <c r="F58" i="21"/>
  <c r="F58" i="21" a="1"/>
  <c r="D58" i="21" a="1"/>
  <c r="D58" i="21" s="1"/>
  <c r="B58" i="21"/>
  <c r="B58" i="21" a="1"/>
  <c r="AV57" i="21"/>
  <c r="AV57" i="21" a="1"/>
  <c r="AT57" i="21"/>
  <c r="AT57" i="21" a="1"/>
  <c r="AR57" i="21"/>
  <c r="AR57" i="21" a="1"/>
  <c r="AP57" i="21" a="1"/>
  <c r="AP57" i="21" s="1"/>
  <c r="AN57" i="21" a="1"/>
  <c r="AN57" i="21" s="1"/>
  <c r="AL57" i="21" a="1"/>
  <c r="AL57" i="21" s="1"/>
  <c r="AJ57" i="21"/>
  <c r="AJ57" i="21" a="1"/>
  <c r="AH57" i="21" a="1"/>
  <c r="AH57" i="21" s="1"/>
  <c r="AF57" i="21"/>
  <c r="AF57" i="21" a="1"/>
  <c r="AD57" i="21"/>
  <c r="AD57" i="21" a="1"/>
  <c r="AB57" i="21"/>
  <c r="AB57" i="21" a="1"/>
  <c r="Z57" i="21" a="1"/>
  <c r="Z57" i="21" s="1"/>
  <c r="X57" i="21" a="1"/>
  <c r="X57" i="21" s="1"/>
  <c r="V57" i="21" a="1"/>
  <c r="V57" i="21" s="1"/>
  <c r="T57" i="21" a="1"/>
  <c r="T57" i="21" s="1"/>
  <c r="R57" i="21"/>
  <c r="R57" i="21" a="1"/>
  <c r="P57" i="21"/>
  <c r="P57" i="21" a="1"/>
  <c r="N57" i="21"/>
  <c r="N57" i="21" a="1"/>
  <c r="L57" i="21"/>
  <c r="L57" i="21" a="1"/>
  <c r="J57" i="21" a="1"/>
  <c r="J57" i="21" s="1"/>
  <c r="H57" i="21" a="1"/>
  <c r="H57" i="21" s="1"/>
  <c r="F57" i="21" a="1"/>
  <c r="F57" i="21" s="1"/>
  <c r="D57" i="21" a="1"/>
  <c r="D57" i="21" s="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L55" i="21"/>
  <c r="AL80" i="21" s="1"/>
  <c r="AJ55" i="21"/>
  <c r="AH55" i="21"/>
  <c r="AH80" i="21" s="1"/>
  <c r="AF55" i="21"/>
  <c r="AF80" i="21" s="1"/>
  <c r="AD55" i="21"/>
  <c r="AD80" i="21" s="1"/>
  <c r="AB55" i="21"/>
  <c r="AB80" i="21" s="1"/>
  <c r="Z55" i="21"/>
  <c r="X55" i="21"/>
  <c r="X80" i="21" s="1"/>
  <c r="V55" i="21"/>
  <c r="T55" i="21"/>
  <c r="R55" i="21"/>
  <c r="P55" i="21"/>
  <c r="N55" i="21"/>
  <c r="N80" i="21" s="1"/>
  <c r="L55" i="21"/>
  <c r="L80" i="21" s="1"/>
  <c r="J55" i="21"/>
  <c r="J80" i="21" s="1"/>
  <c r="H55" i="21"/>
  <c r="H80" i="21" s="1"/>
  <c r="F55" i="21"/>
  <c r="F80" i="21" s="1"/>
  <c r="D55" i="21"/>
  <c r="D80" i="21" s="1"/>
  <c r="B55" i="21"/>
  <c r="B80" i="21" s="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N51" i="21"/>
  <c r="AN81" i="21" s="1"/>
  <c r="AL51" i="21"/>
  <c r="AJ51" i="21"/>
  <c r="AH51" i="21"/>
  <c r="AF51" i="21"/>
  <c r="AD51" i="21"/>
  <c r="AB51" i="21"/>
  <c r="Z51" i="21"/>
  <c r="X51" i="21"/>
  <c r="V51" i="21"/>
  <c r="V81" i="21" s="1"/>
  <c r="T51" i="21"/>
  <c r="T81" i="21" s="1"/>
  <c r="R51" i="21"/>
  <c r="R81" i="21" s="1"/>
  <c r="P51" i="21"/>
  <c r="P81" i="21" s="1"/>
  <c r="N51" i="21"/>
  <c r="N81" i="21" s="1"/>
  <c r="L51" i="21"/>
  <c r="L81" i="21" s="1"/>
  <c r="J51" i="21"/>
  <c r="H51" i="21"/>
  <c r="H81" i="21" s="1"/>
  <c r="F51" i="21"/>
  <c r="D51" i="2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c r="AR43" i="21" a="1"/>
  <c r="AP43" i="21" a="1"/>
  <c r="AP43" i="21" s="1"/>
  <c r="AN43" i="21" a="1"/>
  <c r="AN43" i="21" s="1"/>
  <c r="AL43" i="21" a="1"/>
  <c r="AL43" i="21" s="1"/>
  <c r="AJ43" i="21" a="1"/>
  <c r="AJ43" i="21" s="1"/>
  <c r="AH43" i="21" a="1"/>
  <c r="AH43" i="21" s="1"/>
  <c r="AF43" i="21"/>
  <c r="AF43" i="21" a="1"/>
  <c r="AD43" i="21" a="1"/>
  <c r="AD43" i="21" s="1"/>
  <c r="AB43" i="21"/>
  <c r="AB43" i="21" a="1"/>
  <c r="Z43" i="21" a="1"/>
  <c r="Z43" i="21" s="1"/>
  <c r="X43" i="21" a="1"/>
  <c r="X43" i="21" s="1"/>
  <c r="V43" i="21"/>
  <c r="V43" i="21" a="1"/>
  <c r="T43" i="21" a="1"/>
  <c r="T43" i="21" s="1"/>
  <c r="R43" i="21" a="1"/>
  <c r="R43" i="21" s="1"/>
  <c r="P43" i="21"/>
  <c r="P43" i="21" a="1"/>
  <c r="N43" i="21" a="1"/>
  <c r="N43" i="21" s="1"/>
  <c r="L43" i="21"/>
  <c r="L43" i="21" a="1"/>
  <c r="J43" i="21" a="1"/>
  <c r="J43" i="21" s="1"/>
  <c r="H43" i="21" a="1"/>
  <c r="H43" i="21" s="1"/>
  <c r="F43" i="21"/>
  <c r="F43" i="21" a="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R81" i="24"/>
  <c r="AL81" i="24"/>
  <c r="AJ81" i="24"/>
  <c r="R81" i="24"/>
  <c r="L81" i="24"/>
  <c r="F81" i="24"/>
  <c r="D81" i="24"/>
  <c r="B81" i="24"/>
  <c r="AB80" i="24"/>
  <c r="V80" i="24"/>
  <c r="T80" i="24"/>
  <c r="R80" i="24"/>
  <c r="P80" i="24"/>
  <c r="N80" i="24"/>
  <c r="L80" i="24"/>
  <c r="J80" i="24"/>
  <c r="AV79" i="24"/>
  <c r="AV79" i="24" a="1"/>
  <c r="AT79" i="24"/>
  <c r="AT79" i="24" a="1"/>
  <c r="AR79" i="24" a="1"/>
  <c r="AR79" i="24" s="1"/>
  <c r="AP79" i="24" a="1"/>
  <c r="AP79" i="24" s="1"/>
  <c r="AN79" i="24" a="1"/>
  <c r="AN79" i="24" s="1"/>
  <c r="AL79" i="24" a="1"/>
  <c r="AL79" i="24" s="1"/>
  <c r="AJ79" i="24" a="1"/>
  <c r="AJ79" i="24" s="1"/>
  <c r="AH79" i="24" a="1"/>
  <c r="AH79" i="24" s="1"/>
  <c r="AF79" i="24"/>
  <c r="AF79" i="24" a="1"/>
  <c r="AD79" i="24"/>
  <c r="AD79" i="24" a="1"/>
  <c r="AB79" i="24" a="1"/>
  <c r="AB79" i="24" s="1"/>
  <c r="Z79" i="24" a="1"/>
  <c r="Z79" i="24" s="1"/>
  <c r="X79" i="24" a="1"/>
  <c r="X79" i="24" s="1"/>
  <c r="V79" i="24" a="1"/>
  <c r="V79" i="24" s="1"/>
  <c r="T79" i="24" a="1"/>
  <c r="T79" i="24" s="1"/>
  <c r="R79" i="24" a="1"/>
  <c r="R79" i="24" s="1"/>
  <c r="P79" i="24"/>
  <c r="P79" i="24" a="1"/>
  <c r="N79" i="24"/>
  <c r="N79" i="24" a="1"/>
  <c r="L79" i="24" a="1"/>
  <c r="L79" i="24" s="1"/>
  <c r="J79" i="24" a="1"/>
  <c r="J79" i="24" s="1"/>
  <c r="H79" i="24" a="1"/>
  <c r="H79" i="24" s="1"/>
  <c r="F79" i="24" a="1"/>
  <c r="F79" i="24" s="1"/>
  <c r="D79" i="24" a="1"/>
  <c r="D79" i="24" s="1"/>
  <c r="B79" i="24" a="1"/>
  <c r="B79" i="24" s="1"/>
  <c r="AV78" i="24"/>
  <c r="AV78" i="24" a="1"/>
  <c r="AT78" i="24"/>
  <c r="AT78" i="24" a="1"/>
  <c r="AR78" i="24" a="1"/>
  <c r="AR78" i="24" s="1"/>
  <c r="AP78" i="24" a="1"/>
  <c r="AP78" i="24" s="1"/>
  <c r="AN78" i="24"/>
  <c r="AN78" i="24" a="1"/>
  <c r="AL78" i="24" a="1"/>
  <c r="AL78" i="24" s="1"/>
  <c r="AJ78" i="24" a="1"/>
  <c r="AJ78" i="24" s="1"/>
  <c r="AH78" i="24" a="1"/>
  <c r="AH78" i="24" s="1"/>
  <c r="AF78" i="24"/>
  <c r="AF78" i="24" a="1"/>
  <c r="AD78" i="24"/>
  <c r="AD78" i="24" a="1"/>
  <c r="AB78" i="24" a="1"/>
  <c r="AB78" i="24" s="1"/>
  <c r="Z78" i="24" a="1"/>
  <c r="Z78" i="24" s="1"/>
  <c r="X78" i="24"/>
  <c r="X78" i="24" a="1"/>
  <c r="V78" i="24"/>
  <c r="V78" i="24" a="1"/>
  <c r="T78" i="24" a="1"/>
  <c r="T78" i="24" s="1"/>
  <c r="R78" i="24" a="1"/>
  <c r="R78" i="24" s="1"/>
  <c r="P78" i="24"/>
  <c r="P78" i="24" a="1"/>
  <c r="N78" i="24"/>
  <c r="N78" i="24" a="1"/>
  <c r="L78" i="24" a="1"/>
  <c r="L78" i="24" s="1"/>
  <c r="J78" i="24" a="1"/>
  <c r="J78" i="24" s="1"/>
  <c r="H78" i="24" a="1"/>
  <c r="H78" i="24" s="1"/>
  <c r="F78" i="24"/>
  <c r="F78" i="24" a="1"/>
  <c r="D78" i="24"/>
  <c r="D78" i="24" a="1"/>
  <c r="B78" i="24" a="1"/>
  <c r="B78" i="24" s="1"/>
  <c r="AV77" i="24"/>
  <c r="AV77" i="24" a="1"/>
  <c r="AT77" i="24"/>
  <c r="AT77" i="24" a="1"/>
  <c r="AR77" i="24" a="1"/>
  <c r="AR77" i="24" s="1"/>
  <c r="AP77" i="24" a="1"/>
  <c r="AP77" i="24" s="1"/>
  <c r="AN77" i="24" a="1"/>
  <c r="AN77" i="24" s="1"/>
  <c r="AL77" i="24" a="1"/>
  <c r="AL77" i="24" s="1"/>
  <c r="AJ77" i="24"/>
  <c r="AJ77" i="24" a="1"/>
  <c r="AH77" i="24"/>
  <c r="AH77" i="24" a="1"/>
  <c r="AF77" i="24"/>
  <c r="AF77" i="24" a="1"/>
  <c r="AD77" i="24"/>
  <c r="AD77" i="24" a="1"/>
  <c r="AB77" i="24" a="1"/>
  <c r="AB77" i="24" s="1"/>
  <c r="Z77" i="24" a="1"/>
  <c r="Z77" i="24" s="1"/>
  <c r="X77" i="24" a="1"/>
  <c r="X77" i="24" s="1"/>
  <c r="V77" i="24"/>
  <c r="V77" i="24" a="1"/>
  <c r="T77" i="24" a="1"/>
  <c r="T77" i="24" s="1"/>
  <c r="R77" i="24"/>
  <c r="R77" i="24" a="1"/>
  <c r="P77" i="24"/>
  <c r="P77" i="24" a="1"/>
  <c r="N77" i="24"/>
  <c r="N77" i="24" a="1"/>
  <c r="L77" i="24" a="1"/>
  <c r="L77" i="24" s="1"/>
  <c r="J77" i="24" a="1"/>
  <c r="J77" i="24" s="1"/>
  <c r="H77" i="24" a="1"/>
  <c r="H77" i="24" s="1"/>
  <c r="F77" i="24" a="1"/>
  <c r="F77" i="24" s="1"/>
  <c r="D77" i="24" a="1"/>
  <c r="D77" i="24" s="1"/>
  <c r="B77" i="24" a="1"/>
  <c r="B77" i="24" s="1"/>
  <c r="AV76" i="24"/>
  <c r="AV76" i="24" a="1"/>
  <c r="AT76" i="24"/>
  <c r="AT76" i="24" a="1"/>
  <c r="AR76" i="24" a="1"/>
  <c r="AR76" i="24" s="1"/>
  <c r="AP76" i="24" a="1"/>
  <c r="AP76" i="24" s="1"/>
  <c r="AN76" i="24" a="1"/>
  <c r="AN76" i="24" s="1"/>
  <c r="AL76" i="24" a="1"/>
  <c r="AL76" i="24" s="1"/>
  <c r="AJ76" i="24" a="1"/>
  <c r="AJ76" i="24" s="1"/>
  <c r="AH76" i="24" a="1"/>
  <c r="AH76" i="24" s="1"/>
  <c r="AF76" i="24"/>
  <c r="AF76" i="24" a="1"/>
  <c r="AD76" i="24"/>
  <c r="AD76" i="24" a="1"/>
  <c r="AB76" i="24" a="1"/>
  <c r="AB76" i="24" s="1"/>
  <c r="Z76" i="24" a="1"/>
  <c r="Z76" i="24" s="1"/>
  <c r="X76" i="24" a="1"/>
  <c r="X76" i="24" s="1"/>
  <c r="V76" i="24" a="1"/>
  <c r="V76" i="24" s="1"/>
  <c r="T76" i="24" a="1"/>
  <c r="T76" i="24" s="1"/>
  <c r="R76" i="24" a="1"/>
  <c r="R76" i="24" s="1"/>
  <c r="P76" i="24"/>
  <c r="P76" i="24" a="1"/>
  <c r="N76" i="24"/>
  <c r="N76" i="24" a="1"/>
  <c r="L76" i="24" a="1"/>
  <c r="L76" i="24" s="1"/>
  <c r="J76" i="24" a="1"/>
  <c r="J76" i="24" s="1"/>
  <c r="H76" i="24"/>
  <c r="H76" i="24" a="1"/>
  <c r="F76" i="24" a="1"/>
  <c r="F76" i="24" s="1"/>
  <c r="D76" i="24" a="1"/>
  <c r="D76" i="24" s="1"/>
  <c r="B76" i="24" a="1"/>
  <c r="B76" i="24" s="1"/>
  <c r="AV75" i="24"/>
  <c r="AV75" i="24" a="1"/>
  <c r="AT75" i="24"/>
  <c r="AT75" i="24" a="1"/>
  <c r="AR75" i="24" a="1"/>
  <c r="AR75" i="24" s="1"/>
  <c r="AP75" i="24" a="1"/>
  <c r="AP75" i="24" s="1"/>
  <c r="AN75" i="24"/>
  <c r="AN75" i="24" a="1"/>
  <c r="AL75" i="24"/>
  <c r="AL75" i="24" a="1"/>
  <c r="AJ75" i="24" a="1"/>
  <c r="AJ75" i="24" s="1"/>
  <c r="AH75" i="24" a="1"/>
  <c r="AH75" i="24" s="1"/>
  <c r="AF75" i="24"/>
  <c r="AF75" i="24" a="1"/>
  <c r="AD75" i="24"/>
  <c r="AD75" i="24" a="1"/>
  <c r="AB75" i="24" a="1"/>
  <c r="AB75" i="24" s="1"/>
  <c r="Z75" i="24" a="1"/>
  <c r="Z75" i="24" s="1"/>
  <c r="X75" i="24" a="1"/>
  <c r="X75" i="24" s="1"/>
  <c r="V75" i="24"/>
  <c r="V75" i="24" a="1"/>
  <c r="T75" i="24"/>
  <c r="T75" i="24" a="1"/>
  <c r="R75" i="24" a="1"/>
  <c r="R75" i="24" s="1"/>
  <c r="P75" i="24"/>
  <c r="P75" i="24" a="1"/>
  <c r="N75" i="24"/>
  <c r="N75" i="24" a="1"/>
  <c r="L75" i="24" a="1"/>
  <c r="L75" i="24" s="1"/>
  <c r="J75" i="24" a="1"/>
  <c r="J75" i="24" s="1"/>
  <c r="H75" i="24"/>
  <c r="H75" i="24" a="1"/>
  <c r="F75" i="24" a="1"/>
  <c r="F75" i="24" s="1"/>
  <c r="D75" i="24"/>
  <c r="D75" i="24" a="1"/>
  <c r="B75" i="24"/>
  <c r="B75" i="24" a="1"/>
  <c r="AV74" i="24"/>
  <c r="AV74" i="24" a="1"/>
  <c r="AT74" i="24"/>
  <c r="AT74" i="24" a="1"/>
  <c r="AR74" i="24" a="1"/>
  <c r="AR74" i="24" s="1"/>
  <c r="AP74" i="24" a="1"/>
  <c r="AP74" i="24" s="1"/>
  <c r="AN74" i="24" a="1"/>
  <c r="AN74" i="24" s="1"/>
  <c r="AL74" i="24" a="1"/>
  <c r="AL74" i="24" s="1"/>
  <c r="AJ74" i="24" a="1"/>
  <c r="AJ74" i="24" s="1"/>
  <c r="AH74" i="24"/>
  <c r="AH74" i="24" a="1"/>
  <c r="AF74" i="24"/>
  <c r="AF74" i="24" a="1"/>
  <c r="AD74" i="24"/>
  <c r="AD74" i="24" a="1"/>
  <c r="AB74" i="24" a="1"/>
  <c r="AB74" i="24" s="1"/>
  <c r="Z74" i="24" a="1"/>
  <c r="Z74" i="24" s="1"/>
  <c r="X74" i="24" a="1"/>
  <c r="X74" i="24" s="1"/>
  <c r="V74" i="24" a="1"/>
  <c r="V74" i="24" s="1"/>
  <c r="T74" i="24" a="1"/>
  <c r="T74" i="24" s="1"/>
  <c r="R74" i="24" a="1"/>
  <c r="R74" i="24" s="1"/>
  <c r="P74" i="24"/>
  <c r="P74" i="24" a="1"/>
  <c r="N74" i="24"/>
  <c r="N74" i="24" a="1"/>
  <c r="L74" i="24" a="1"/>
  <c r="L74" i="24" s="1"/>
  <c r="J74" i="24" a="1"/>
  <c r="J74" i="24" s="1"/>
  <c r="H74" i="24" a="1"/>
  <c r="H74" i="24" s="1"/>
  <c r="F74" i="24" a="1"/>
  <c r="F74" i="24" s="1"/>
  <c r="D74" i="24" a="1"/>
  <c r="D74" i="24" s="1"/>
  <c r="B74" i="24" a="1"/>
  <c r="B74" i="24" s="1"/>
  <c r="AV73" i="24"/>
  <c r="AV73" i="24" a="1"/>
  <c r="AT73" i="24"/>
  <c r="AT73" i="24" a="1"/>
  <c r="AR73" i="24" a="1"/>
  <c r="AR73" i="24" s="1"/>
  <c r="AP73" i="24" a="1"/>
  <c r="AP73" i="24" s="1"/>
  <c r="AN73" i="24" a="1"/>
  <c r="AN73" i="24" s="1"/>
  <c r="AL73" i="24" a="1"/>
  <c r="AL73" i="24" s="1"/>
  <c r="AJ73" i="24" a="1"/>
  <c r="AJ73" i="24" s="1"/>
  <c r="AH73" i="24" a="1"/>
  <c r="AH73" i="24" s="1"/>
  <c r="AF73" i="24"/>
  <c r="AF73" i="24" a="1"/>
  <c r="AD73" i="24"/>
  <c r="AD73" i="24" a="1"/>
  <c r="AB73" i="24" a="1"/>
  <c r="AB73" i="24" s="1"/>
  <c r="Z73" i="24" a="1"/>
  <c r="Z73" i="24" s="1"/>
  <c r="X73" i="24"/>
  <c r="X73" i="24" a="1"/>
  <c r="V73" i="24" a="1"/>
  <c r="V73" i="24" s="1"/>
  <c r="T73" i="24" a="1"/>
  <c r="T73" i="24" s="1"/>
  <c r="R73" i="24" a="1"/>
  <c r="R73" i="24" s="1"/>
  <c r="P73" i="24"/>
  <c r="P73" i="24" a="1"/>
  <c r="N73" i="24"/>
  <c r="N73" i="24" a="1"/>
  <c r="L73" i="24" a="1"/>
  <c r="L73" i="24" s="1"/>
  <c r="J73" i="24" a="1"/>
  <c r="J73" i="24" s="1"/>
  <c r="H73" i="24"/>
  <c r="H73" i="24" a="1"/>
  <c r="F73" i="24"/>
  <c r="F73" i="24" a="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N69" i="24"/>
  <c r="AL69" i="24"/>
  <c r="AJ69" i="24"/>
  <c r="AH69" i="24"/>
  <c r="V69" i="24"/>
  <c r="L69" i="24"/>
  <c r="J69" i="24"/>
  <c r="H69" i="24"/>
  <c r="F69" i="24"/>
  <c r="B69" i="24"/>
  <c r="AL68" i="24"/>
  <c r="X68" i="24"/>
  <c r="V68" i="24"/>
  <c r="T68" i="24"/>
  <c r="R68" i="24"/>
  <c r="F68" i="24"/>
  <c r="AV67" i="24" a="1"/>
  <c r="AV67" i="24" s="1"/>
  <c r="AT67" i="24"/>
  <c r="AT67" i="24" a="1"/>
  <c r="AR67" i="24"/>
  <c r="AR67" i="24" a="1"/>
  <c r="AP67" i="24" a="1"/>
  <c r="AP67" i="24" s="1"/>
  <c r="AN67" i="24"/>
  <c r="AN67" i="24" a="1"/>
  <c r="AL67" i="24"/>
  <c r="AL67" i="24" a="1"/>
  <c r="AJ67" i="24" a="1"/>
  <c r="AJ67" i="24" s="1"/>
  <c r="AH67" i="24" a="1"/>
  <c r="AH67" i="24" s="1"/>
  <c r="AF67" i="24" a="1"/>
  <c r="AF67" i="24" s="1"/>
  <c r="AD67" i="24" a="1"/>
  <c r="AD67" i="24" s="1"/>
  <c r="AB67" i="24"/>
  <c r="AB67" i="24" a="1"/>
  <c r="Z67" i="24"/>
  <c r="Z67" i="24" a="1"/>
  <c r="X67" i="24"/>
  <c r="X67" i="24" a="1"/>
  <c r="V67" i="24"/>
  <c r="V67" i="24" a="1"/>
  <c r="T67" i="24" a="1"/>
  <c r="T67" i="24" s="1"/>
  <c r="R67" i="24" a="1"/>
  <c r="R67" i="24" s="1"/>
  <c r="P67" i="24" a="1"/>
  <c r="P67" i="24" s="1"/>
  <c r="N67" i="24"/>
  <c r="N67" i="24" a="1"/>
  <c r="L67" i="24" a="1"/>
  <c r="L67" i="24" s="1"/>
  <c r="J67" i="24"/>
  <c r="J67" i="24" a="1"/>
  <c r="H67" i="24"/>
  <c r="H67" i="24" a="1"/>
  <c r="F67" i="24"/>
  <c r="F67" i="24" a="1"/>
  <c r="D67" i="24" a="1"/>
  <c r="D67" i="24" s="1"/>
  <c r="B67" i="24" a="1"/>
  <c r="B67" i="24" s="1"/>
  <c r="AV66" i="24" a="1"/>
  <c r="AV66" i="24" s="1"/>
  <c r="AV68" i="24" s="1"/>
  <c r="AT66" i="24" a="1"/>
  <c r="AT66" i="24" s="1"/>
  <c r="AT68" i="24" s="1"/>
  <c r="AR66" i="24" a="1"/>
  <c r="AR66" i="24" s="1"/>
  <c r="AR68" i="24" s="1"/>
  <c r="AP66" i="24" a="1"/>
  <c r="AP66" i="24" s="1"/>
  <c r="AP68" i="24" s="1"/>
  <c r="AN66" i="24"/>
  <c r="AN68" i="24" s="1"/>
  <c r="AN66" i="24" a="1"/>
  <c r="AL66" i="24"/>
  <c r="AL66" i="24" a="1"/>
  <c r="AJ66" i="24" a="1"/>
  <c r="AJ66" i="24" s="1"/>
  <c r="AH66" i="24" a="1"/>
  <c r="AH66" i="24" s="1"/>
  <c r="AH68" i="24" s="1"/>
  <c r="AF66" i="24" a="1"/>
  <c r="AF66" i="24" s="1"/>
  <c r="AD66" i="24" a="1"/>
  <c r="AD66" i="24" s="1"/>
  <c r="AD68" i="24" s="1"/>
  <c r="AB66" i="24" a="1"/>
  <c r="AB66" i="24" s="1"/>
  <c r="AB68" i="24" s="1"/>
  <c r="Z66" i="24" a="1"/>
  <c r="Z66" i="24" s="1"/>
  <c r="Z68" i="24" s="1"/>
  <c r="X66" i="24"/>
  <c r="X66" i="24" a="1"/>
  <c r="V66" i="24"/>
  <c r="V66" i="24" a="1"/>
  <c r="T66" i="24" a="1"/>
  <c r="T66" i="24" s="1"/>
  <c r="R66" i="24" a="1"/>
  <c r="R66" i="24" s="1"/>
  <c r="P66" i="24" a="1"/>
  <c r="P66" i="24" s="1"/>
  <c r="N66" i="24" a="1"/>
  <c r="N66" i="24" s="1"/>
  <c r="L66" i="24" a="1"/>
  <c r="L66" i="24" s="1"/>
  <c r="L68" i="24" s="1"/>
  <c r="J66" i="24" a="1"/>
  <c r="J66" i="24" s="1"/>
  <c r="J68" i="24" s="1"/>
  <c r="H66" i="24"/>
  <c r="H68" i="24" s="1"/>
  <c r="H66" i="24" a="1"/>
  <c r="F66" i="24"/>
  <c r="F66" i="24" a="1"/>
  <c r="D66" i="24" a="1"/>
  <c r="D66" i="24" s="1"/>
  <c r="B66" i="24" a="1"/>
  <c r="B66" i="24" s="1"/>
  <c r="B68" i="24" s="1"/>
  <c r="AV65" i="24" a="1"/>
  <c r="AV65" i="24" s="1"/>
  <c r="AV69" i="24" s="1"/>
  <c r="AT65" i="24" a="1"/>
  <c r="AT65" i="24" s="1"/>
  <c r="AT69" i="24" s="1"/>
  <c r="AR65" i="24" a="1"/>
  <c r="AR65" i="24" s="1"/>
  <c r="AR69" i="24" s="1"/>
  <c r="AP65" i="24" a="1"/>
  <c r="AP65" i="24" s="1"/>
  <c r="AP69" i="24" s="1"/>
  <c r="AN65" i="24"/>
  <c r="AN65" i="24" a="1"/>
  <c r="AL65" i="24"/>
  <c r="AL65" i="24" a="1"/>
  <c r="AJ65" i="24" a="1"/>
  <c r="AJ65" i="24" s="1"/>
  <c r="AH65" i="24"/>
  <c r="AH65" i="24" a="1"/>
  <c r="AF65" i="24"/>
  <c r="AF69" i="24" s="1"/>
  <c r="AF65" i="24" a="1"/>
  <c r="AD65" i="24" a="1"/>
  <c r="AD65" i="24" s="1"/>
  <c r="AD69" i="24" s="1"/>
  <c r="AB65" i="24" a="1"/>
  <c r="AB65" i="24" s="1"/>
  <c r="AB69" i="24" s="1"/>
  <c r="Z65" i="24" a="1"/>
  <c r="Z65" i="24" s="1"/>
  <c r="Z69" i="24" s="1"/>
  <c r="X65" i="24"/>
  <c r="X69" i="24" s="1"/>
  <c r="X65" i="24" a="1"/>
  <c r="V65" i="24"/>
  <c r="V65" i="24" a="1"/>
  <c r="T65" i="24" a="1"/>
  <c r="T65" i="24" s="1"/>
  <c r="T69" i="24" s="1"/>
  <c r="R65" i="24" a="1"/>
  <c r="R65" i="24" s="1"/>
  <c r="R69" i="24" s="1"/>
  <c r="P65" i="24" a="1"/>
  <c r="P65" i="24" s="1"/>
  <c r="P69" i="24" s="1"/>
  <c r="N65" i="24" a="1"/>
  <c r="N65" i="24" s="1"/>
  <c r="N69" i="24" s="1"/>
  <c r="L65" i="24" a="1"/>
  <c r="L65" i="24" s="1"/>
  <c r="J65" i="24" a="1"/>
  <c r="J65" i="24" s="1"/>
  <c r="H65" i="24"/>
  <c r="H65" i="24" a="1"/>
  <c r="F65" i="24"/>
  <c r="F65" i="24" a="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c r="AR58" i="24" a="1"/>
  <c r="AP58" i="24" a="1"/>
  <c r="AP58" i="24" s="1"/>
  <c r="AN58" i="24"/>
  <c r="AN58" i="24" a="1"/>
  <c r="AL58" i="24" a="1"/>
  <c r="AL58" i="24" s="1"/>
  <c r="AJ58" i="24" a="1"/>
  <c r="AJ58" i="24" s="1"/>
  <c r="AH58" i="24" a="1"/>
  <c r="AH58" i="24" s="1"/>
  <c r="AF58" i="24"/>
  <c r="AF58" i="24" a="1"/>
  <c r="AD58" i="24" a="1"/>
  <c r="AD58" i="24" s="1"/>
  <c r="AB58" i="24"/>
  <c r="AB58" i="24" a="1"/>
  <c r="Z58" i="24" a="1"/>
  <c r="Z58" i="24" s="1"/>
  <c r="X58" i="24" a="1"/>
  <c r="X58" i="24" s="1"/>
  <c r="V58" i="24"/>
  <c r="V58" i="24" a="1"/>
  <c r="T58" i="24" a="1"/>
  <c r="T58" i="24" s="1"/>
  <c r="R58" i="24" a="1"/>
  <c r="R58" i="24" s="1"/>
  <c r="P58" i="24"/>
  <c r="P58" i="24" a="1"/>
  <c r="N58" i="24" a="1"/>
  <c r="N58" i="24" s="1"/>
  <c r="L58" i="24"/>
  <c r="L58" i="24" a="1"/>
  <c r="J58" i="24" a="1"/>
  <c r="J58" i="24" s="1"/>
  <c r="H58" i="24" a="1"/>
  <c r="H58" i="24" s="1"/>
  <c r="F58" i="24" a="1"/>
  <c r="F58" i="24" s="1"/>
  <c r="D58" i="24"/>
  <c r="D58" i="24" a="1"/>
  <c r="B58" i="24" a="1"/>
  <c r="B58" i="24" s="1"/>
  <c r="AV57" i="24"/>
  <c r="AV57" i="24" a="1"/>
  <c r="AT57" i="24" a="1"/>
  <c r="AT57" i="24" s="1"/>
  <c r="AR57" i="24"/>
  <c r="AR57" i="24" a="1"/>
  <c r="AP57" i="24" a="1"/>
  <c r="AP57" i="24" s="1"/>
  <c r="AN57" i="24" a="1"/>
  <c r="AN57" i="24" s="1"/>
  <c r="AL57" i="24" a="1"/>
  <c r="AL57" i="24" s="1"/>
  <c r="AJ57" i="24" a="1"/>
  <c r="AJ57" i="24" s="1"/>
  <c r="AH57" i="24"/>
  <c r="AH57" i="24" a="1"/>
  <c r="AF57" i="24"/>
  <c r="AF57" i="24" a="1"/>
  <c r="AD57" i="24" a="1"/>
  <c r="AD57" i="24" s="1"/>
  <c r="AB57" i="24"/>
  <c r="AB57" i="24" a="1"/>
  <c r="Z57" i="24" a="1"/>
  <c r="Z57" i="24" s="1"/>
  <c r="X57" i="24" a="1"/>
  <c r="X57" i="24" s="1"/>
  <c r="V57" i="24" a="1"/>
  <c r="V57" i="24" s="1"/>
  <c r="T57" i="24" a="1"/>
  <c r="T57" i="24" s="1"/>
  <c r="R57" i="24" a="1"/>
  <c r="R57" i="24" s="1"/>
  <c r="P57" i="24"/>
  <c r="P57" i="24" a="1"/>
  <c r="N57" i="24" a="1"/>
  <c r="N57" i="24" s="1"/>
  <c r="L57" i="24"/>
  <c r="L57" i="24" a="1"/>
  <c r="J57" i="24" a="1"/>
  <c r="J57" i="24" s="1"/>
  <c r="H57" i="24" a="1"/>
  <c r="H57" i="24" s="1"/>
  <c r="F57" i="24" a="1"/>
  <c r="F57" i="24" s="1"/>
  <c r="D57" i="24" a="1"/>
  <c r="D57" i="24" s="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V80" i="24" s="1"/>
  <c r="AT55" i="24"/>
  <c r="AT80" i="24" s="1"/>
  <c r="AR55" i="24"/>
  <c r="AR80" i="24" s="1"/>
  <c r="AP55" i="24"/>
  <c r="AP80" i="24" s="1"/>
  <c r="AN55" i="24"/>
  <c r="AN80" i="24" s="1"/>
  <c r="AL55" i="24"/>
  <c r="AL80" i="24" s="1"/>
  <c r="AJ55" i="24"/>
  <c r="AJ80" i="24" s="1"/>
  <c r="AH55" i="24"/>
  <c r="AH80" i="24" s="1"/>
  <c r="AF55" i="24"/>
  <c r="AF80" i="24" s="1"/>
  <c r="AD55" i="24"/>
  <c r="AD80" i="24" s="1"/>
  <c r="AB55" i="24"/>
  <c r="Z55" i="24"/>
  <c r="Z80" i="24" s="1"/>
  <c r="X55" i="24"/>
  <c r="X80" i="24" s="1"/>
  <c r="V55" i="24"/>
  <c r="T55" i="24"/>
  <c r="R55" i="24"/>
  <c r="P55" i="24"/>
  <c r="N55" i="24"/>
  <c r="L55" i="24"/>
  <c r="J55" i="24"/>
  <c r="H55" i="24"/>
  <c r="H80" i="24" s="1"/>
  <c r="F55" i="24"/>
  <c r="F80" i="24" s="1"/>
  <c r="D55" i="24"/>
  <c r="D80" i="24" s="1"/>
  <c r="B55" i="24"/>
  <c r="B80" i="24" s="1"/>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P51" i="24"/>
  <c r="AP81" i="24" s="1"/>
  <c r="AN51" i="24"/>
  <c r="AN81" i="24" s="1"/>
  <c r="AL51" i="24"/>
  <c r="AJ51" i="24"/>
  <c r="AH51" i="24"/>
  <c r="AH81" i="24" s="1"/>
  <c r="AF51" i="24"/>
  <c r="AF81" i="24" s="1"/>
  <c r="AD51" i="24"/>
  <c r="AD81" i="24" s="1"/>
  <c r="AB51" i="24"/>
  <c r="AB81" i="24" s="1"/>
  <c r="Z51" i="24"/>
  <c r="Z81" i="24" s="1"/>
  <c r="X51" i="24"/>
  <c r="X81" i="24" s="1"/>
  <c r="V51" i="24"/>
  <c r="V81" i="24" s="1"/>
  <c r="T51" i="24"/>
  <c r="T81" i="24" s="1"/>
  <c r="R51" i="24"/>
  <c r="P51" i="24"/>
  <c r="P81" i="24" s="1"/>
  <c r="N51" i="24"/>
  <c r="N81" i="24" s="1"/>
  <c r="L51" i="24"/>
  <c r="J51" i="24"/>
  <c r="J81" i="24" s="1"/>
  <c r="H51" i="24"/>
  <c r="H81" i="24" s="1"/>
  <c r="F51" i="24"/>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c r="AR43" i="24" a="1"/>
  <c r="AP43" i="24" a="1"/>
  <c r="AP43" i="24" s="1"/>
  <c r="AN43" i="24" a="1"/>
  <c r="AN43" i="24" s="1"/>
  <c r="AL43" i="24" a="1"/>
  <c r="AL43" i="24" s="1"/>
  <c r="AJ43" i="24" a="1"/>
  <c r="AJ43" i="24" s="1"/>
  <c r="AH43" i="24" a="1"/>
  <c r="AH43" i="24" s="1"/>
  <c r="AF43" i="24"/>
  <c r="AF43" i="24" a="1"/>
  <c r="AD43" i="24" a="1"/>
  <c r="AD43" i="24" s="1"/>
  <c r="AB43" i="24"/>
  <c r="AB43" i="24" a="1"/>
  <c r="Z43" i="24" a="1"/>
  <c r="Z43" i="24" s="1"/>
  <c r="X43" i="24" a="1"/>
  <c r="X43" i="24" s="1"/>
  <c r="V43" i="24" a="1"/>
  <c r="V43" i="24" s="1"/>
  <c r="T43" i="24" a="1"/>
  <c r="T43" i="24" s="1"/>
  <c r="R43" i="24" a="1"/>
  <c r="R43" i="24" s="1"/>
  <c r="P43" i="24"/>
  <c r="P43" i="24" a="1"/>
  <c r="N43" i="24" a="1"/>
  <c r="N43" i="24" s="1"/>
  <c r="L43" i="24"/>
  <c r="L43" i="24" a="1"/>
  <c r="J43" i="24" a="1"/>
  <c r="J43" i="24" s="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P81" i="18"/>
  <c r="AN81" i="18"/>
  <c r="AJ81" i="18"/>
  <c r="AH81" i="18"/>
  <c r="AF81" i="18"/>
  <c r="AB81" i="18"/>
  <c r="Z81" i="18"/>
  <c r="X81" i="18"/>
  <c r="J81" i="18"/>
  <c r="H81" i="18"/>
  <c r="D81" i="18"/>
  <c r="B81" i="18"/>
  <c r="AV80" i="18"/>
  <c r="AR80" i="18"/>
  <c r="AP80" i="18"/>
  <c r="AJ80" i="18"/>
  <c r="AH80" i="18"/>
  <c r="Z80" i="18"/>
  <c r="X80" i="18"/>
  <c r="T80" i="18"/>
  <c r="R80" i="18"/>
  <c r="P80" i="18"/>
  <c r="D80" i="18"/>
  <c r="B80" i="18"/>
  <c r="AV79" i="18" a="1"/>
  <c r="AV79" i="18" s="1"/>
  <c r="AT79" i="18" a="1"/>
  <c r="AT79" i="18" s="1"/>
  <c r="AR79" i="18"/>
  <c r="AR79" i="18" a="1"/>
  <c r="AP79" i="18" a="1"/>
  <c r="AP79" i="18" s="1"/>
  <c r="AN79" i="18" a="1"/>
  <c r="AN79" i="18" s="1"/>
  <c r="AL79" i="18"/>
  <c r="AL79" i="18" a="1"/>
  <c r="AJ79" i="18" a="1"/>
  <c r="AJ79" i="18" s="1"/>
  <c r="AH79" i="18" a="1"/>
  <c r="AH79" i="18" s="1"/>
  <c r="AF79" i="18" a="1"/>
  <c r="AF79" i="18" s="1"/>
  <c r="AD79" i="18" a="1"/>
  <c r="AD79" i="18" s="1"/>
  <c r="AB79" i="18"/>
  <c r="AB79" i="18" a="1"/>
  <c r="Z79" i="18" a="1"/>
  <c r="Z79" i="18" s="1"/>
  <c r="X79" i="18" a="1"/>
  <c r="X79" i="18" s="1"/>
  <c r="V79" i="18" a="1"/>
  <c r="V79" i="18" s="1"/>
  <c r="T79" i="18"/>
  <c r="T79" i="18" a="1"/>
  <c r="R79" i="18"/>
  <c r="R79" i="18" a="1"/>
  <c r="P79" i="18" a="1"/>
  <c r="P79" i="18" s="1"/>
  <c r="N79" i="18" a="1"/>
  <c r="N79" i="18" s="1"/>
  <c r="L79" i="18"/>
  <c r="L79" i="18" a="1"/>
  <c r="J79" i="18" a="1"/>
  <c r="J79" i="18" s="1"/>
  <c r="H79" i="18" a="1"/>
  <c r="H79" i="18" s="1"/>
  <c r="F79" i="18" a="1"/>
  <c r="F79" i="18" s="1"/>
  <c r="D79" i="18"/>
  <c r="D79" i="18" a="1"/>
  <c r="B79" i="18" a="1"/>
  <c r="B79" i="18" s="1"/>
  <c r="AV78" i="18" a="1"/>
  <c r="AV78" i="18" s="1"/>
  <c r="AT78" i="18" a="1"/>
  <c r="AT78" i="18" s="1"/>
  <c r="AR78" i="18"/>
  <c r="AR78" i="18" a="1"/>
  <c r="AP78" i="18" a="1"/>
  <c r="AP78" i="18" s="1"/>
  <c r="AN78" i="18" a="1"/>
  <c r="AN78" i="18" s="1"/>
  <c r="AL78" i="18" a="1"/>
  <c r="AL78" i="18" s="1"/>
  <c r="AJ78" i="18" a="1"/>
  <c r="AJ78" i="18" s="1"/>
  <c r="AH78" i="18" a="1"/>
  <c r="AH78" i="18" s="1"/>
  <c r="AF78" i="18" a="1"/>
  <c r="AF78" i="18" s="1"/>
  <c r="AD78" i="18" a="1"/>
  <c r="AD78" i="18" s="1"/>
  <c r="AB78" i="18"/>
  <c r="AB78" i="18" a="1"/>
  <c r="Z78" i="18" a="1"/>
  <c r="Z78" i="18" s="1"/>
  <c r="X78" i="18" a="1"/>
  <c r="X78" i="18" s="1"/>
  <c r="V78" i="18"/>
  <c r="V78" i="18" a="1"/>
  <c r="T78" i="18" a="1"/>
  <c r="T78" i="18" s="1"/>
  <c r="R78" i="18" a="1"/>
  <c r="R78" i="18" s="1"/>
  <c r="P78" i="18" a="1"/>
  <c r="P78" i="18" s="1"/>
  <c r="N78" i="18" a="1"/>
  <c r="N78" i="18" s="1"/>
  <c r="L78" i="18"/>
  <c r="L78" i="18" a="1"/>
  <c r="J78" i="18" a="1"/>
  <c r="J78" i="18" s="1"/>
  <c r="H78" i="18" a="1"/>
  <c r="H78" i="18" s="1"/>
  <c r="F78" i="18" a="1"/>
  <c r="F78" i="18" s="1"/>
  <c r="D78" i="18" a="1"/>
  <c r="D78" i="18" s="1"/>
  <c r="B78" i="18" a="1"/>
  <c r="B78" i="18" s="1"/>
  <c r="AV77" i="18" a="1"/>
  <c r="AV77" i="18" s="1"/>
  <c r="AT77" i="18" a="1"/>
  <c r="AT77" i="18" s="1"/>
  <c r="AR77" i="18"/>
  <c r="AR77" i="18" a="1"/>
  <c r="AP77" i="18" a="1"/>
  <c r="AP77" i="18" s="1"/>
  <c r="AN77" i="18" a="1"/>
  <c r="AN77" i="18" s="1"/>
  <c r="AL77" i="18"/>
  <c r="AL77" i="18" a="1"/>
  <c r="AJ77" i="18" a="1"/>
  <c r="AJ77" i="18" s="1"/>
  <c r="AH77" i="18"/>
  <c r="AH77" i="18" a="1"/>
  <c r="AF77" i="18" a="1"/>
  <c r="AF77" i="18" s="1"/>
  <c r="AD77" i="18" a="1"/>
  <c r="AD77" i="18" s="1"/>
  <c r="AB77" i="18"/>
  <c r="AB77" i="18" a="1"/>
  <c r="Z77" i="18" a="1"/>
  <c r="Z77" i="18" s="1"/>
  <c r="X77" i="18" a="1"/>
  <c r="X77" i="18" s="1"/>
  <c r="V77" i="18" a="1"/>
  <c r="V77" i="18" s="1"/>
  <c r="T77" i="18" a="1"/>
  <c r="T77" i="18" s="1"/>
  <c r="R77" i="18" a="1"/>
  <c r="R77" i="18" s="1"/>
  <c r="P77" i="18" a="1"/>
  <c r="P77" i="18" s="1"/>
  <c r="N77" i="18" a="1"/>
  <c r="N77" i="18" s="1"/>
  <c r="L77" i="18"/>
  <c r="L77" i="18" a="1"/>
  <c r="J77" i="18" a="1"/>
  <c r="J77" i="18" s="1"/>
  <c r="H77" i="18" a="1"/>
  <c r="H77" i="18" s="1"/>
  <c r="F77" i="18" a="1"/>
  <c r="F77" i="18" s="1"/>
  <c r="D77" i="18" a="1"/>
  <c r="D77" i="18" s="1"/>
  <c r="B77" i="18" a="1"/>
  <c r="B77" i="18" s="1"/>
  <c r="AV76" i="18" a="1"/>
  <c r="AV76" i="18" s="1"/>
  <c r="AT76" i="18" a="1"/>
  <c r="AT76" i="18" s="1"/>
  <c r="AR76" i="18"/>
  <c r="AR76" i="18" a="1"/>
  <c r="AP76" i="18" a="1"/>
  <c r="AP76" i="18" s="1"/>
  <c r="AN76" i="18" a="1"/>
  <c r="AN76" i="18" s="1"/>
  <c r="AL76" i="18" a="1"/>
  <c r="AL76" i="18" s="1"/>
  <c r="AJ76" i="18"/>
  <c r="AJ76" i="18" a="1"/>
  <c r="AH76" i="18" a="1"/>
  <c r="AH76" i="18" s="1"/>
  <c r="AF76" i="18" a="1"/>
  <c r="AF76" i="18" s="1"/>
  <c r="AD76" i="18" a="1"/>
  <c r="AD76" i="18" s="1"/>
  <c r="AB76" i="18"/>
  <c r="AB76" i="18" a="1"/>
  <c r="Z76" i="18" a="1"/>
  <c r="Z76" i="18" s="1"/>
  <c r="X76" i="18" a="1"/>
  <c r="X76" i="18" s="1"/>
  <c r="V76" i="18"/>
  <c r="V76" i="18" a="1"/>
  <c r="T76" i="18"/>
  <c r="T76" i="18" a="1"/>
  <c r="R76" i="18" a="1"/>
  <c r="R76" i="18" s="1"/>
  <c r="P76" i="18" a="1"/>
  <c r="P76" i="18" s="1"/>
  <c r="N76" i="18" a="1"/>
  <c r="N76" i="18" s="1"/>
  <c r="L76" i="18"/>
  <c r="L76" i="18" a="1"/>
  <c r="J76" i="18" a="1"/>
  <c r="J76" i="18" s="1"/>
  <c r="H76" i="18" a="1"/>
  <c r="H76" i="18" s="1"/>
  <c r="F76" i="18" a="1"/>
  <c r="F76" i="18" s="1"/>
  <c r="D76" i="18" a="1"/>
  <c r="D76" i="18" s="1"/>
  <c r="B76" i="18" a="1"/>
  <c r="B76" i="18" s="1"/>
  <c r="AV75" i="18" a="1"/>
  <c r="AV75" i="18" s="1"/>
  <c r="AT75" i="18" a="1"/>
  <c r="AT75" i="18" s="1"/>
  <c r="AR75" i="18"/>
  <c r="AR75" i="18" a="1"/>
  <c r="AP75" i="18" a="1"/>
  <c r="AP75" i="18" s="1"/>
  <c r="AN75" i="18" a="1"/>
  <c r="AN75" i="18" s="1"/>
  <c r="AL75" i="18" a="1"/>
  <c r="AL75" i="18" s="1"/>
  <c r="AJ75" i="18"/>
  <c r="AJ75" i="18" a="1"/>
  <c r="AH75" i="18" a="1"/>
  <c r="AH75" i="18" s="1"/>
  <c r="AF75" i="18" a="1"/>
  <c r="AF75" i="18" s="1"/>
  <c r="AD75" i="18" a="1"/>
  <c r="AD75" i="18" s="1"/>
  <c r="AB75" i="18"/>
  <c r="AB75" i="18" a="1"/>
  <c r="Z75" i="18" a="1"/>
  <c r="Z75" i="18" s="1"/>
  <c r="X75" i="18"/>
  <c r="X75" i="18" a="1"/>
  <c r="V75" i="18" a="1"/>
  <c r="V75" i="18" s="1"/>
  <c r="T75" i="18" a="1"/>
  <c r="T75" i="18" s="1"/>
  <c r="R75" i="18" a="1"/>
  <c r="R75" i="18" s="1"/>
  <c r="P75" i="18" a="1"/>
  <c r="P75" i="18" s="1"/>
  <c r="N75" i="18" a="1"/>
  <c r="N75" i="18" s="1"/>
  <c r="L75" i="18"/>
  <c r="L75" i="18" a="1"/>
  <c r="J75" i="18" a="1"/>
  <c r="J75" i="18" s="1"/>
  <c r="H75" i="18"/>
  <c r="H75" i="18" a="1"/>
  <c r="F75" i="18" a="1"/>
  <c r="F75" i="18" s="1"/>
  <c r="D75" i="18"/>
  <c r="D75" i="18" a="1"/>
  <c r="B75" i="18" a="1"/>
  <c r="B75" i="18" s="1"/>
  <c r="AV74" i="18" a="1"/>
  <c r="AV74" i="18" s="1"/>
  <c r="AT74" i="18" a="1"/>
  <c r="AT74" i="18" s="1"/>
  <c r="AR74" i="18"/>
  <c r="AR74" i="18" a="1"/>
  <c r="AP74" i="18" a="1"/>
  <c r="AP74" i="18" s="1"/>
  <c r="AN74" i="18" a="1"/>
  <c r="AN74" i="18" s="1"/>
  <c r="AL74" i="18" a="1"/>
  <c r="AL74" i="18" s="1"/>
  <c r="AJ74" i="18" a="1"/>
  <c r="AJ74" i="18" s="1"/>
  <c r="AH74" i="18"/>
  <c r="AH74" i="18" a="1"/>
  <c r="AF74" i="18" a="1"/>
  <c r="AF74" i="18" s="1"/>
  <c r="AD74" i="18" a="1"/>
  <c r="AD74" i="18" s="1"/>
  <c r="AB74" i="18"/>
  <c r="AB74" i="18" a="1"/>
  <c r="Z74" i="18" a="1"/>
  <c r="Z74" i="18" s="1"/>
  <c r="X74" i="18"/>
  <c r="X74" i="18" a="1"/>
  <c r="V74" i="18" a="1"/>
  <c r="V74" i="18" s="1"/>
  <c r="T74" i="18"/>
  <c r="T74" i="18" a="1"/>
  <c r="R74" i="18"/>
  <c r="R74" i="18" a="1"/>
  <c r="P74" i="18" a="1"/>
  <c r="P74" i="18" s="1"/>
  <c r="N74" i="18" a="1"/>
  <c r="N74" i="18" s="1"/>
  <c r="L74" i="18"/>
  <c r="L74" i="18" a="1"/>
  <c r="J74" i="18" a="1"/>
  <c r="J74" i="18" s="1"/>
  <c r="H74" i="18" a="1"/>
  <c r="H74" i="18" s="1"/>
  <c r="F74" i="18" a="1"/>
  <c r="F74" i="18" s="1"/>
  <c r="D74" i="18" a="1"/>
  <c r="D74" i="18" s="1"/>
  <c r="B74" i="18" a="1"/>
  <c r="B74" i="18" s="1"/>
  <c r="AV73" i="18" a="1"/>
  <c r="AV73" i="18" s="1"/>
  <c r="AT73" i="18" a="1"/>
  <c r="AT73" i="18" s="1"/>
  <c r="AR73" i="18"/>
  <c r="AR73" i="18" a="1"/>
  <c r="AP73" i="18" a="1"/>
  <c r="AP73" i="18" s="1"/>
  <c r="AN73" i="18"/>
  <c r="AN73" i="18" a="1"/>
  <c r="AL73" i="18" a="1"/>
  <c r="AL73" i="18" s="1"/>
  <c r="AJ73" i="18" a="1"/>
  <c r="AJ73" i="18" s="1"/>
  <c r="AH73" i="18"/>
  <c r="AH73" i="18" a="1"/>
  <c r="AF73" i="18" a="1"/>
  <c r="AF73" i="18" s="1"/>
  <c r="AD73" i="18" a="1"/>
  <c r="AD73" i="18" s="1"/>
  <c r="AB73" i="18"/>
  <c r="AB73" i="18" a="1"/>
  <c r="Z73" i="18" a="1"/>
  <c r="Z73" i="18" s="1"/>
  <c r="X73" i="18" a="1"/>
  <c r="X73" i="18" s="1"/>
  <c r="V73" i="18"/>
  <c r="V73" i="18" a="1"/>
  <c r="T73" i="18" a="1"/>
  <c r="T73" i="18" s="1"/>
  <c r="R73" i="18" a="1"/>
  <c r="R73" i="18" s="1"/>
  <c r="P73" i="18" a="1"/>
  <c r="P73" i="18" s="1"/>
  <c r="N73" i="18" a="1"/>
  <c r="N73" i="18" s="1"/>
  <c r="L73" i="18"/>
  <c r="L73" i="18" a="1"/>
  <c r="J73" i="18" a="1"/>
  <c r="J73" i="18" s="1"/>
  <c r="H73" i="18"/>
  <c r="H73" i="18" a="1"/>
  <c r="F73" i="18"/>
  <c r="F73" i="18" a="1"/>
  <c r="D73" i="18" a="1"/>
  <c r="D73" i="18" s="1"/>
  <c r="B73" i="18"/>
  <c r="B73" i="18" a="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V69" i="18"/>
  <c r="AJ69" i="18"/>
  <c r="N69" i="18"/>
  <c r="J69" i="18"/>
  <c r="H69" i="18"/>
  <c r="D69" i="18"/>
  <c r="B69" i="18"/>
  <c r="AF68" i="18"/>
  <c r="T68" i="18"/>
  <c r="AV67" i="18" a="1"/>
  <c r="AV67" i="18" s="1"/>
  <c r="AT67" i="18" a="1"/>
  <c r="AT67" i="18" s="1"/>
  <c r="AR67" i="18"/>
  <c r="AR67" i="18" a="1"/>
  <c r="AP67" i="18" a="1"/>
  <c r="AP67" i="18" s="1"/>
  <c r="AN67" i="18" a="1"/>
  <c r="AN67" i="18" s="1"/>
  <c r="AL67" i="18" a="1"/>
  <c r="AL67" i="18" s="1"/>
  <c r="AJ67" i="18"/>
  <c r="AJ67" i="18" a="1"/>
  <c r="AH67" i="18" a="1"/>
  <c r="AH67" i="18" s="1"/>
  <c r="AF67" i="18"/>
  <c r="AF67" i="18" a="1"/>
  <c r="AD67" i="18" a="1"/>
  <c r="AD67" i="18" s="1"/>
  <c r="AB67" i="18" a="1"/>
  <c r="AB67" i="18" s="1"/>
  <c r="Z67" i="18" a="1"/>
  <c r="Z67" i="18" s="1"/>
  <c r="X67" i="18" a="1"/>
  <c r="X67" i="18" s="1"/>
  <c r="V67" i="18" a="1"/>
  <c r="V67" i="18" s="1"/>
  <c r="T67" i="18"/>
  <c r="T67" i="18" a="1"/>
  <c r="R67" i="18" a="1"/>
  <c r="R67" i="18" s="1"/>
  <c r="P67" i="18"/>
  <c r="P67" i="18" a="1"/>
  <c r="N67" i="18" a="1"/>
  <c r="N67" i="18" s="1"/>
  <c r="L67" i="18"/>
  <c r="L67" i="18" a="1"/>
  <c r="J67" i="18" a="1"/>
  <c r="J67" i="18" s="1"/>
  <c r="H67" i="18" a="1"/>
  <c r="H67" i="18" s="1"/>
  <c r="F67" i="18" a="1"/>
  <c r="F67" i="18" s="1"/>
  <c r="D67" i="18"/>
  <c r="D67" i="18" a="1"/>
  <c r="B67" i="18" a="1"/>
  <c r="B67" i="18" s="1"/>
  <c r="AV66" i="18" a="1"/>
  <c r="AV66" i="18" s="1"/>
  <c r="AV68" i="18" s="1"/>
  <c r="AT66" i="18" a="1"/>
  <c r="AT66" i="18" s="1"/>
  <c r="AR66" i="18" a="1"/>
  <c r="AR66" i="18" s="1"/>
  <c r="AR68" i="18" s="1"/>
  <c r="AP66" i="18"/>
  <c r="AP66" i="18" a="1"/>
  <c r="AN66" i="18" a="1"/>
  <c r="AN66" i="18" s="1"/>
  <c r="AL66" i="18" a="1"/>
  <c r="AL66" i="18" s="1"/>
  <c r="AL68" i="18" s="1"/>
  <c r="AJ66" i="18"/>
  <c r="AJ68" i="18" s="1"/>
  <c r="AJ66" i="18" a="1"/>
  <c r="AH66" i="18" a="1"/>
  <c r="AH66" i="18" s="1"/>
  <c r="AH68" i="18" s="1"/>
  <c r="AF66" i="18"/>
  <c r="AF66" i="18" a="1"/>
  <c r="AD66" i="18" a="1"/>
  <c r="AD66" i="18" s="1"/>
  <c r="AB66" i="18"/>
  <c r="AB68" i="18" s="1"/>
  <c r="AB66" i="18" a="1"/>
  <c r="Z66" i="18"/>
  <c r="Z68" i="18" s="1"/>
  <c r="Z66" i="18" a="1"/>
  <c r="X66" i="18" a="1"/>
  <c r="X66" i="18" s="1"/>
  <c r="X68" i="18" s="1"/>
  <c r="V66" i="18" a="1"/>
  <c r="V66" i="18" s="1"/>
  <c r="V68" i="18" s="1"/>
  <c r="T66" i="18"/>
  <c r="T66" i="18" a="1"/>
  <c r="R66" i="18" a="1"/>
  <c r="R66" i="18" s="1"/>
  <c r="R68" i="18" s="1"/>
  <c r="P66" i="18" a="1"/>
  <c r="P66" i="18" s="1"/>
  <c r="P68" i="18" s="1"/>
  <c r="N66" i="18" a="1"/>
  <c r="N66" i="18" s="1"/>
  <c r="N68" i="18" s="1"/>
  <c r="L66" i="18" a="1"/>
  <c r="L66" i="18" s="1"/>
  <c r="L68" i="18" s="1"/>
  <c r="J66" i="18" a="1"/>
  <c r="J66" i="18" s="1"/>
  <c r="J68" i="18" s="1"/>
  <c r="H66" i="18" a="1"/>
  <c r="H66" i="18" s="1"/>
  <c r="F66" i="18" a="1"/>
  <c r="F66" i="18" s="1"/>
  <c r="D66" i="18"/>
  <c r="D68" i="18" s="1"/>
  <c r="D66" i="18" a="1"/>
  <c r="B66" i="18" a="1"/>
  <c r="B66" i="18" s="1"/>
  <c r="AV65" i="18"/>
  <c r="AV65" i="18" a="1"/>
  <c r="AT65" i="18" a="1"/>
  <c r="AT65" i="18" s="1"/>
  <c r="AT69" i="18" s="1"/>
  <c r="AR65" i="18" a="1"/>
  <c r="AR65" i="18" s="1"/>
  <c r="AR69" i="18" s="1"/>
  <c r="AP65" i="18"/>
  <c r="AP69" i="18" s="1"/>
  <c r="AP65" i="18" a="1"/>
  <c r="AN65" i="18" a="1"/>
  <c r="AN65" i="18" s="1"/>
  <c r="AN69" i="18" s="1"/>
  <c r="AL65" i="18" a="1"/>
  <c r="AL65" i="18" s="1"/>
  <c r="AL69" i="18" s="1"/>
  <c r="AJ65" i="18"/>
  <c r="AJ65" i="18" a="1"/>
  <c r="AH65" i="18" a="1"/>
  <c r="AH65" i="18" s="1"/>
  <c r="AH69" i="18" s="1"/>
  <c r="AF65" i="18" a="1"/>
  <c r="AF65" i="18" s="1"/>
  <c r="AF69" i="18" s="1"/>
  <c r="AD65" i="18"/>
  <c r="AD69" i="18" s="1"/>
  <c r="AD65" i="18" a="1"/>
  <c r="AB65" i="18" a="1"/>
  <c r="AB65" i="18" s="1"/>
  <c r="AB69" i="18" s="1"/>
  <c r="Z65" i="18" a="1"/>
  <c r="Z65" i="18" s="1"/>
  <c r="Z69" i="18" s="1"/>
  <c r="X65" i="18" a="1"/>
  <c r="X65" i="18" s="1"/>
  <c r="X69" i="18" s="1"/>
  <c r="V65" i="18" a="1"/>
  <c r="V65" i="18" s="1"/>
  <c r="V69" i="18" s="1"/>
  <c r="T65" i="18"/>
  <c r="T69" i="18" s="1"/>
  <c r="T65" i="18" a="1"/>
  <c r="R65" i="18" a="1"/>
  <c r="R65" i="18" s="1"/>
  <c r="R69" i="18" s="1"/>
  <c r="P65" i="18"/>
  <c r="P69" i="18" s="1"/>
  <c r="P65" i="18" a="1"/>
  <c r="N65" i="18"/>
  <c r="N65" i="18" a="1"/>
  <c r="L65" i="18" a="1"/>
  <c r="L65" i="18" s="1"/>
  <c r="L69" i="18" s="1"/>
  <c r="J65" i="18"/>
  <c r="J65" i="18" a="1"/>
  <c r="H65" i="18" a="1"/>
  <c r="H65" i="18" s="1"/>
  <c r="F65" i="18" a="1"/>
  <c r="F65" i="18" s="1"/>
  <c r="F69" i="18" s="1"/>
  <c r="D65" i="18"/>
  <c r="D65" i="18" a="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a="1"/>
  <c r="AR58" i="18" s="1"/>
  <c r="AP58" i="18" a="1"/>
  <c r="AP58" i="18" s="1"/>
  <c r="AN58" i="18" a="1"/>
  <c r="AN58" i="18" s="1"/>
  <c r="AL58" i="18"/>
  <c r="AL58" i="18" a="1"/>
  <c r="AJ58" i="18" a="1"/>
  <c r="AJ58" i="18" s="1"/>
  <c r="AH58" i="18"/>
  <c r="AH58" i="18" a="1"/>
  <c r="AF58" i="18"/>
  <c r="AF58" i="18" a="1"/>
  <c r="AD58" i="18"/>
  <c r="AD58" i="18" a="1"/>
  <c r="AB58" i="18" a="1"/>
  <c r="AB58" i="18" s="1"/>
  <c r="Z58" i="18" a="1"/>
  <c r="Z58" i="18" s="1"/>
  <c r="X58" i="18" a="1"/>
  <c r="X58" i="18" s="1"/>
  <c r="V58" i="18" a="1"/>
  <c r="V58" i="18" s="1"/>
  <c r="T58" i="18" a="1"/>
  <c r="T58" i="18" s="1"/>
  <c r="R58" i="18" a="1"/>
  <c r="R58" i="18" s="1"/>
  <c r="P58" i="18"/>
  <c r="P58" i="18" a="1"/>
  <c r="N58" i="18"/>
  <c r="N58" i="18" a="1"/>
  <c r="L58" i="18" a="1"/>
  <c r="L58" i="18" s="1"/>
  <c r="J58" i="18" a="1"/>
  <c r="J58" i="18" s="1"/>
  <c r="H58" i="18" a="1"/>
  <c r="H58" i="18" s="1"/>
  <c r="F58" i="18"/>
  <c r="F58" i="18" a="1"/>
  <c r="D58" i="18" a="1"/>
  <c r="D58" i="18" s="1"/>
  <c r="B58" i="18" a="1"/>
  <c r="B58" i="18" s="1"/>
  <c r="AV57" i="18"/>
  <c r="AV57" i="18" a="1"/>
  <c r="AT57" i="18"/>
  <c r="AT57" i="18" a="1"/>
  <c r="AR57" i="18" a="1"/>
  <c r="AR57" i="18" s="1"/>
  <c r="AP57" i="18" a="1"/>
  <c r="AP57" i="18" s="1"/>
  <c r="AN57" i="18" a="1"/>
  <c r="AN57" i="18" s="1"/>
  <c r="AL57" i="18" a="1"/>
  <c r="AL57" i="18" s="1"/>
  <c r="AJ57" i="18"/>
  <c r="AJ57" i="18" a="1"/>
  <c r="AH57" i="18" a="1"/>
  <c r="AH57" i="18" s="1"/>
  <c r="AF57" i="18"/>
  <c r="AF57" i="18" a="1"/>
  <c r="AD57" i="18"/>
  <c r="AD57" i="18" a="1"/>
  <c r="AB57" i="18" a="1"/>
  <c r="AB57" i="18" s="1"/>
  <c r="Z57" i="18" a="1"/>
  <c r="Z57" i="18" s="1"/>
  <c r="X57" i="18" a="1"/>
  <c r="X57" i="18" s="1"/>
  <c r="V57" i="18"/>
  <c r="V57" i="18" a="1"/>
  <c r="T57" i="18"/>
  <c r="T57" i="18" a="1"/>
  <c r="R57" i="18" a="1"/>
  <c r="R57" i="18" s="1"/>
  <c r="P57" i="18"/>
  <c r="P57" i="18" a="1"/>
  <c r="N57" i="18"/>
  <c r="N57" i="18" a="1"/>
  <c r="L57" i="18" a="1"/>
  <c r="L57" i="18" s="1"/>
  <c r="J57" i="18" a="1"/>
  <c r="J57" i="18" s="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T80" i="18" s="1"/>
  <c r="AR55" i="18"/>
  <c r="AP55" i="18"/>
  <c r="AN55" i="18"/>
  <c r="AN80" i="18" s="1"/>
  <c r="AL55" i="18"/>
  <c r="AL80" i="18" s="1"/>
  <c r="AJ55" i="18"/>
  <c r="AH55" i="18"/>
  <c r="AF55" i="18"/>
  <c r="AF80" i="18" s="1"/>
  <c r="AD55" i="18"/>
  <c r="AD80" i="18" s="1"/>
  <c r="AB55" i="18"/>
  <c r="AB80" i="18" s="1"/>
  <c r="Z55" i="18"/>
  <c r="X55" i="18"/>
  <c r="V55" i="18"/>
  <c r="V80" i="18" s="1"/>
  <c r="T55" i="18"/>
  <c r="R55" i="18"/>
  <c r="P55" i="18"/>
  <c r="N55" i="18"/>
  <c r="N80" i="18" s="1"/>
  <c r="L55" i="18"/>
  <c r="L80" i="18" s="1"/>
  <c r="J55" i="18"/>
  <c r="J80" i="18" s="1"/>
  <c r="H55" i="18"/>
  <c r="H80" i="18" s="1"/>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N51" i="18"/>
  <c r="AL51" i="18"/>
  <c r="AL81" i="18" s="1"/>
  <c r="AJ51" i="18"/>
  <c r="AH51" i="18"/>
  <c r="AF51" i="18"/>
  <c r="AD51" i="18"/>
  <c r="AD81" i="18" s="1"/>
  <c r="AB51" i="18"/>
  <c r="Z51" i="18"/>
  <c r="X51" i="18"/>
  <c r="V51" i="18"/>
  <c r="V81" i="18" s="1"/>
  <c r="T51" i="18"/>
  <c r="T81" i="18" s="1"/>
  <c r="R51" i="18"/>
  <c r="R81" i="18" s="1"/>
  <c r="P51" i="18"/>
  <c r="P81" i="18" s="1"/>
  <c r="N51" i="18"/>
  <c r="N81" i="18" s="1"/>
  <c r="L51" i="18"/>
  <c r="L81" i="18" s="1"/>
  <c r="J51" i="18"/>
  <c r="H51" i="18"/>
  <c r="F51" i="18"/>
  <c r="F81" i="18" s="1"/>
  <c r="D51" i="18"/>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c r="AJ43" i="18" a="1"/>
  <c r="AH43" i="18" a="1"/>
  <c r="AH43" i="18" s="1"/>
  <c r="AF43" i="18"/>
  <c r="AF43" i="18" a="1"/>
  <c r="AD43" i="18" a="1"/>
  <c r="AD43" i="18" s="1"/>
  <c r="AB43" i="18" a="1"/>
  <c r="AB43" i="18" s="1"/>
  <c r="Z43" i="18" a="1"/>
  <c r="Z43" i="18" s="1"/>
  <c r="X43" i="18" a="1"/>
  <c r="X43" i="18" s="1"/>
  <c r="V43" i="18"/>
  <c r="V43" i="18" a="1"/>
  <c r="T43" i="18"/>
  <c r="T43" i="18" a="1"/>
  <c r="R43" i="18" a="1"/>
  <c r="R43" i="18" s="1"/>
  <c r="P43" i="18"/>
  <c r="P43" i="18" a="1"/>
  <c r="N43" i="18" a="1"/>
  <c r="N43" i="18" s="1"/>
  <c r="L43" i="18" a="1"/>
  <c r="L43" i="18" s="1"/>
  <c r="J43" i="18" a="1"/>
  <c r="J43" i="18" s="1"/>
  <c r="H43" i="18" a="1"/>
  <c r="H43" i="18" s="1"/>
  <c r="F43" i="18"/>
  <c r="F43" i="18" a="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R81" i="22"/>
  <c r="AJ81" i="22"/>
  <c r="AH81" i="22"/>
  <c r="AF81" i="22"/>
  <c r="AD81" i="22"/>
  <c r="AB81" i="22"/>
  <c r="Z81" i="22"/>
  <c r="T81" i="22"/>
  <c r="L81" i="22"/>
  <c r="D81" i="22"/>
  <c r="B81" i="22"/>
  <c r="AV80" i="22"/>
  <c r="AT80" i="22"/>
  <c r="AR80" i="22"/>
  <c r="AJ80" i="22"/>
  <c r="AB80" i="22"/>
  <c r="T80" i="22"/>
  <c r="R80" i="22"/>
  <c r="P80" i="22"/>
  <c r="N80" i="22"/>
  <c r="L80" i="22"/>
  <c r="J80" i="22"/>
  <c r="D80" i="22"/>
  <c r="AV79" i="22"/>
  <c r="AV79" i="22" a="1"/>
  <c r="AT79" i="22" a="1"/>
  <c r="AT79" i="22" s="1"/>
  <c r="AR79" i="22" a="1"/>
  <c r="AR79" i="22" s="1"/>
  <c r="AP79" i="22" a="1"/>
  <c r="AP79" i="22" s="1"/>
  <c r="AN79" i="22" a="1"/>
  <c r="AN79" i="22" s="1"/>
  <c r="AL79" i="22" a="1"/>
  <c r="AL79" i="22" s="1"/>
  <c r="AJ79" i="22" a="1"/>
  <c r="AJ79" i="22" s="1"/>
  <c r="AH79" i="22"/>
  <c r="AH79" i="22" a="1"/>
  <c r="AF79" i="22"/>
  <c r="AF79" i="22" a="1"/>
  <c r="AD79" i="22" a="1"/>
  <c r="AD79" i="22" s="1"/>
  <c r="AB79" i="22" a="1"/>
  <c r="AB79" i="22" s="1"/>
  <c r="Z79" i="22" a="1"/>
  <c r="Z79" i="22" s="1"/>
  <c r="X79" i="22" a="1"/>
  <c r="X79" i="22" s="1"/>
  <c r="V79" i="22" a="1"/>
  <c r="V79" i="22" s="1"/>
  <c r="T79" i="22" a="1"/>
  <c r="T79" i="22" s="1"/>
  <c r="R79" i="22"/>
  <c r="R79" i="22" a="1"/>
  <c r="P79" i="22"/>
  <c r="P79" i="22" a="1"/>
  <c r="N79" i="22" a="1"/>
  <c r="N79" i="22" s="1"/>
  <c r="L79" i="22" a="1"/>
  <c r="L79" i="22" s="1"/>
  <c r="J79" i="22" a="1"/>
  <c r="J79" i="22" s="1"/>
  <c r="H79" i="22" a="1"/>
  <c r="H79" i="22" s="1"/>
  <c r="F79" i="22" a="1"/>
  <c r="F79" i="22" s="1"/>
  <c r="D79" i="22" a="1"/>
  <c r="D79" i="22" s="1"/>
  <c r="B79" i="22"/>
  <c r="B79" i="22" a="1"/>
  <c r="AV78" i="22"/>
  <c r="AV78" i="22" a="1"/>
  <c r="AT78" i="22" a="1"/>
  <c r="AT78" i="22" s="1"/>
  <c r="AR78" i="22" a="1"/>
  <c r="AR78" i="22" s="1"/>
  <c r="AP78" i="22" a="1"/>
  <c r="AP78" i="22" s="1"/>
  <c r="AN78" i="22" a="1"/>
  <c r="AN78" i="22" s="1"/>
  <c r="AL78" i="22" a="1"/>
  <c r="AL78" i="22" s="1"/>
  <c r="AJ78" i="22" a="1"/>
  <c r="AJ78" i="22" s="1"/>
  <c r="AH78" i="22"/>
  <c r="AH78" i="22" a="1"/>
  <c r="AF78" i="22"/>
  <c r="AF78" i="22" a="1"/>
  <c r="AD78" i="22" a="1"/>
  <c r="AD78" i="22" s="1"/>
  <c r="AB78" i="22" a="1"/>
  <c r="AB78" i="22" s="1"/>
  <c r="Z78" i="22" a="1"/>
  <c r="Z78" i="22" s="1"/>
  <c r="X78" i="22" a="1"/>
  <c r="X78" i="22" s="1"/>
  <c r="V78" i="22" a="1"/>
  <c r="V78" i="22" s="1"/>
  <c r="T78" i="22" a="1"/>
  <c r="T78" i="22" s="1"/>
  <c r="R78" i="22"/>
  <c r="R78" i="22" a="1"/>
  <c r="P78" i="22"/>
  <c r="P78" i="22" a="1"/>
  <c r="N78" i="22" a="1"/>
  <c r="N78" i="22" s="1"/>
  <c r="L78" i="22" a="1"/>
  <c r="L78" i="22" s="1"/>
  <c r="J78" i="22" a="1"/>
  <c r="J78" i="22" s="1"/>
  <c r="H78" i="22" a="1"/>
  <c r="H78" i="22" s="1"/>
  <c r="F78" i="22" a="1"/>
  <c r="F78" i="22" s="1"/>
  <c r="D78" i="22" a="1"/>
  <c r="D78" i="22" s="1"/>
  <c r="B78" i="22"/>
  <c r="B78" i="22" a="1"/>
  <c r="AV77" i="22"/>
  <c r="AV77" i="22" a="1"/>
  <c r="AT77" i="22" a="1"/>
  <c r="AT77" i="22" s="1"/>
  <c r="AR77" i="22" a="1"/>
  <c r="AR77" i="22" s="1"/>
  <c r="AP77" i="22" a="1"/>
  <c r="AP77" i="22" s="1"/>
  <c r="AN77" i="22" a="1"/>
  <c r="AN77" i="22" s="1"/>
  <c r="AL77" i="22" a="1"/>
  <c r="AL77" i="22" s="1"/>
  <c r="AJ77" i="22" a="1"/>
  <c r="AJ77" i="22" s="1"/>
  <c r="AH77" i="22"/>
  <c r="AH77" i="22" a="1"/>
  <c r="AF77" i="22"/>
  <c r="AF77" i="22" a="1"/>
  <c r="AD77" i="22" a="1"/>
  <c r="AD77" i="22" s="1"/>
  <c r="AB77" i="22" a="1"/>
  <c r="AB77" i="22" s="1"/>
  <c r="Z77" i="22" a="1"/>
  <c r="Z77" i="22" s="1"/>
  <c r="X77" i="22" a="1"/>
  <c r="X77" i="22" s="1"/>
  <c r="V77" i="22" a="1"/>
  <c r="V77" i="22" s="1"/>
  <c r="T77" i="22" a="1"/>
  <c r="T77" i="22" s="1"/>
  <c r="R77" i="22"/>
  <c r="R77" i="22" a="1"/>
  <c r="P77" i="22"/>
  <c r="P77" i="22" a="1"/>
  <c r="N77" i="22" a="1"/>
  <c r="N77" i="22" s="1"/>
  <c r="L77" i="22" a="1"/>
  <c r="L77" i="22" s="1"/>
  <c r="J77" i="22" a="1"/>
  <c r="J77" i="22" s="1"/>
  <c r="H77" i="22" a="1"/>
  <c r="H77" i="22" s="1"/>
  <c r="F77" i="22" a="1"/>
  <c r="F77" i="22" s="1"/>
  <c r="D77" i="22" a="1"/>
  <c r="D77" i="22" s="1"/>
  <c r="B77" i="22"/>
  <c r="B77" i="22" a="1"/>
  <c r="AV76" i="22"/>
  <c r="AV76" i="22" a="1"/>
  <c r="AT76" i="22" a="1"/>
  <c r="AT76" i="22" s="1"/>
  <c r="AR76" i="22" a="1"/>
  <c r="AR76" i="22" s="1"/>
  <c r="AP76" i="22" a="1"/>
  <c r="AP76" i="22" s="1"/>
  <c r="AN76" i="22" a="1"/>
  <c r="AN76" i="22" s="1"/>
  <c r="AL76" i="22" a="1"/>
  <c r="AL76" i="22" s="1"/>
  <c r="AJ76" i="22" a="1"/>
  <c r="AJ76" i="22" s="1"/>
  <c r="AH76" i="22"/>
  <c r="AH76" i="22" a="1"/>
  <c r="AF76" i="22"/>
  <c r="AF76" i="22" a="1"/>
  <c r="AD76" i="22" a="1"/>
  <c r="AD76" i="22" s="1"/>
  <c r="AB76" i="22" a="1"/>
  <c r="AB76" i="22" s="1"/>
  <c r="Z76" i="22" a="1"/>
  <c r="Z76" i="22" s="1"/>
  <c r="X76" i="22" a="1"/>
  <c r="X76" i="22" s="1"/>
  <c r="V76" i="22" a="1"/>
  <c r="V76" i="22" s="1"/>
  <c r="T76" i="22" a="1"/>
  <c r="T76" i="22" s="1"/>
  <c r="R76" i="22"/>
  <c r="R76" i="22" a="1"/>
  <c r="P76" i="22"/>
  <c r="P76" i="22" a="1"/>
  <c r="N76" i="22" a="1"/>
  <c r="N76" i="22" s="1"/>
  <c r="L76" i="22" a="1"/>
  <c r="L76" i="22" s="1"/>
  <c r="J76" i="22" a="1"/>
  <c r="J76" i="22" s="1"/>
  <c r="H76" i="22" a="1"/>
  <c r="H76" i="22" s="1"/>
  <c r="F76" i="22" a="1"/>
  <c r="F76" i="22" s="1"/>
  <c r="D76" i="22" a="1"/>
  <c r="D76" i="22" s="1"/>
  <c r="B76" i="22"/>
  <c r="B76" i="22" a="1"/>
  <c r="AV75" i="22"/>
  <c r="AV75" i="22" a="1"/>
  <c r="AT75" i="22" a="1"/>
  <c r="AT75" i="22" s="1"/>
  <c r="AR75" i="22" a="1"/>
  <c r="AR75" i="22" s="1"/>
  <c r="AP75" i="22" a="1"/>
  <c r="AP75" i="22" s="1"/>
  <c r="AN75" i="22" a="1"/>
  <c r="AN75" i="22" s="1"/>
  <c r="AL75" i="22" a="1"/>
  <c r="AL75" i="22" s="1"/>
  <c r="AJ75" i="22" a="1"/>
  <c r="AJ75" i="22" s="1"/>
  <c r="AH75" i="22"/>
  <c r="AH75" i="22" a="1"/>
  <c r="AF75" i="22"/>
  <c r="AF75" i="22" a="1"/>
  <c r="AD75" i="22" a="1"/>
  <c r="AD75" i="22" s="1"/>
  <c r="AB75" i="22" a="1"/>
  <c r="AB75" i="22" s="1"/>
  <c r="Z75" i="22" a="1"/>
  <c r="Z75" i="22" s="1"/>
  <c r="X75" i="22" a="1"/>
  <c r="X75" i="22" s="1"/>
  <c r="V75" i="22" a="1"/>
  <c r="V75" i="22" s="1"/>
  <c r="T75" i="22" a="1"/>
  <c r="T75" i="22" s="1"/>
  <c r="R75" i="22"/>
  <c r="R75" i="22" a="1"/>
  <c r="P75" i="22"/>
  <c r="P75" i="22" a="1"/>
  <c r="N75" i="22" a="1"/>
  <c r="N75" i="22" s="1"/>
  <c r="L75" i="22" a="1"/>
  <c r="L75" i="22" s="1"/>
  <c r="J75" i="22" a="1"/>
  <c r="J75" i="22" s="1"/>
  <c r="H75" i="22" a="1"/>
  <c r="H75" i="22" s="1"/>
  <c r="F75" i="22" a="1"/>
  <c r="F75" i="22" s="1"/>
  <c r="D75" i="22" a="1"/>
  <c r="D75" i="22" s="1"/>
  <c r="B75" i="22"/>
  <c r="B75" i="22" a="1"/>
  <c r="AV74" i="22"/>
  <c r="AV74" i="22" a="1"/>
  <c r="AT74" i="22" a="1"/>
  <c r="AT74" i="22" s="1"/>
  <c r="AR74" i="22" a="1"/>
  <c r="AR74" i="22" s="1"/>
  <c r="AP74" i="22" a="1"/>
  <c r="AP74" i="22" s="1"/>
  <c r="AN74" i="22" a="1"/>
  <c r="AN74" i="22" s="1"/>
  <c r="AL74" i="22" a="1"/>
  <c r="AL74" i="22" s="1"/>
  <c r="AJ74" i="22" a="1"/>
  <c r="AJ74" i="22" s="1"/>
  <c r="AH74" i="22"/>
  <c r="AH74" i="22" a="1"/>
  <c r="AF74" i="22"/>
  <c r="AF74" i="22" a="1"/>
  <c r="AD74" i="22" a="1"/>
  <c r="AD74" i="22" s="1"/>
  <c r="AB74" i="22" a="1"/>
  <c r="AB74" i="22" s="1"/>
  <c r="Z74" i="22" a="1"/>
  <c r="Z74" i="22" s="1"/>
  <c r="X74" i="22" a="1"/>
  <c r="X74" i="22" s="1"/>
  <c r="V74" i="22" a="1"/>
  <c r="V74" i="22" s="1"/>
  <c r="T74" i="22" a="1"/>
  <c r="T74" i="22" s="1"/>
  <c r="R74" i="22"/>
  <c r="R74" i="22" a="1"/>
  <c r="P74" i="22"/>
  <c r="P74" i="22" a="1"/>
  <c r="N74" i="22" a="1"/>
  <c r="N74" i="22" s="1"/>
  <c r="L74" i="22" a="1"/>
  <c r="L74" i="22" s="1"/>
  <c r="J74" i="22" a="1"/>
  <c r="J74" i="22" s="1"/>
  <c r="H74" i="22" a="1"/>
  <c r="H74" i="22" s="1"/>
  <c r="F74" i="22" a="1"/>
  <c r="F74" i="22" s="1"/>
  <c r="D74" i="22" a="1"/>
  <c r="D74" i="22" s="1"/>
  <c r="B74" i="22"/>
  <c r="B74" i="22" a="1"/>
  <c r="AV73" i="22"/>
  <c r="AV73" i="22" a="1"/>
  <c r="AT73" i="22" a="1"/>
  <c r="AT73" i="22" s="1"/>
  <c r="AR73" i="22" a="1"/>
  <c r="AR73" i="22" s="1"/>
  <c r="AP73" i="22" a="1"/>
  <c r="AP73" i="22" s="1"/>
  <c r="AN73" i="22" a="1"/>
  <c r="AN73" i="22" s="1"/>
  <c r="AL73" i="22" a="1"/>
  <c r="AL73" i="22" s="1"/>
  <c r="AJ73" i="22" a="1"/>
  <c r="AJ73" i="22" s="1"/>
  <c r="AH73" i="22"/>
  <c r="AH73" i="22" a="1"/>
  <c r="AF73" i="22"/>
  <c r="AF73" i="22" a="1"/>
  <c r="AD73" i="22" a="1"/>
  <c r="AD73" i="22" s="1"/>
  <c r="AB73" i="22" a="1"/>
  <c r="AB73" i="22" s="1"/>
  <c r="Z73" i="22" a="1"/>
  <c r="Z73" i="22" s="1"/>
  <c r="X73" i="22" a="1"/>
  <c r="X73" i="22" s="1"/>
  <c r="V73" i="22" a="1"/>
  <c r="V73" i="22" s="1"/>
  <c r="T73" i="22" a="1"/>
  <c r="T73" i="22" s="1"/>
  <c r="R73" i="22"/>
  <c r="R73" i="22" a="1"/>
  <c r="P73" i="22"/>
  <c r="P73" i="22" a="1"/>
  <c r="N73" i="22" a="1"/>
  <c r="N73" i="22" s="1"/>
  <c r="L73" i="22" a="1"/>
  <c r="L73" i="22" s="1"/>
  <c r="J73" i="22" a="1"/>
  <c r="J73" i="22" s="1"/>
  <c r="H73" i="22" a="1"/>
  <c r="H73" i="22" s="1"/>
  <c r="F73" i="22" a="1"/>
  <c r="F73" i="22" s="1"/>
  <c r="D73" i="22" a="1"/>
  <c r="D73" i="22" s="1"/>
  <c r="B73" i="22"/>
  <c r="B73" i="22" a="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P69" i="22"/>
  <c r="J69" i="22"/>
  <c r="Z68" i="22"/>
  <c r="AV67" i="22" a="1"/>
  <c r="AV67" i="22" s="1"/>
  <c r="AT67" i="22" a="1"/>
  <c r="AT67" i="22" s="1"/>
  <c r="AR67" i="22" a="1"/>
  <c r="AR67" i="22" s="1"/>
  <c r="AP67" i="22"/>
  <c r="AP67" i="22" a="1"/>
  <c r="AN67" i="22"/>
  <c r="AN67" i="22" a="1"/>
  <c r="AL67" i="22" a="1"/>
  <c r="AL67" i="22" s="1"/>
  <c r="AJ67" i="22" a="1"/>
  <c r="AJ67" i="22" s="1"/>
  <c r="AH67" i="22" a="1"/>
  <c r="AH67" i="22" s="1"/>
  <c r="AF67" i="22" a="1"/>
  <c r="AF67" i="22" s="1"/>
  <c r="AD67" i="22" a="1"/>
  <c r="AD67" i="22" s="1"/>
  <c r="AB67" i="22" a="1"/>
  <c r="AB67" i="22" s="1"/>
  <c r="Z67" i="22"/>
  <c r="Z67" i="22" a="1"/>
  <c r="X67" i="22"/>
  <c r="X67" i="22" a="1"/>
  <c r="V67" i="22" a="1"/>
  <c r="V67" i="22" s="1"/>
  <c r="T67" i="22" a="1"/>
  <c r="T67" i="22" s="1"/>
  <c r="R67" i="22" a="1"/>
  <c r="R67" i="22" s="1"/>
  <c r="P67" i="22" a="1"/>
  <c r="P67" i="22" s="1"/>
  <c r="N67" i="22" a="1"/>
  <c r="N67" i="22" s="1"/>
  <c r="L67" i="22" a="1"/>
  <c r="L67" i="22" s="1"/>
  <c r="J67" i="22"/>
  <c r="J67" i="22" a="1"/>
  <c r="H67" i="22"/>
  <c r="H67" i="22" a="1"/>
  <c r="F67" i="22" a="1"/>
  <c r="F67" i="22" s="1"/>
  <c r="D67" i="22" a="1"/>
  <c r="D67" i="22" s="1"/>
  <c r="B67" i="22" a="1"/>
  <c r="B67" i="22" s="1"/>
  <c r="AV66" i="22" a="1"/>
  <c r="AV66" i="22" s="1"/>
  <c r="AT66" i="22" a="1"/>
  <c r="AT66" i="22" s="1"/>
  <c r="AT68" i="22" s="1"/>
  <c r="AR66" i="22" a="1"/>
  <c r="AR66" i="22" s="1"/>
  <c r="AR68" i="22" s="1"/>
  <c r="AP66" i="22"/>
  <c r="AP68" i="22" s="1"/>
  <c r="AP66" i="22" a="1"/>
  <c r="AN66" i="22"/>
  <c r="AN68" i="22" s="1"/>
  <c r="AN66" i="22" a="1"/>
  <c r="AL66" i="22" a="1"/>
  <c r="AL66" i="22" s="1"/>
  <c r="AJ66" i="22" a="1"/>
  <c r="AJ66" i="22" s="1"/>
  <c r="AH66" i="22" a="1"/>
  <c r="AH66" i="22" s="1"/>
  <c r="AH68" i="22" s="1"/>
  <c r="AF66" i="22" a="1"/>
  <c r="AF66" i="22" s="1"/>
  <c r="AF68" i="22" s="1"/>
  <c r="AD66" i="22" a="1"/>
  <c r="AD66" i="22" s="1"/>
  <c r="AB66" i="22" a="1"/>
  <c r="AB66" i="22" s="1"/>
  <c r="Z66" i="22"/>
  <c r="Z66" i="22" a="1"/>
  <c r="X66" i="22"/>
  <c r="X68" i="22" s="1"/>
  <c r="X66" i="22" a="1"/>
  <c r="V66" i="22" a="1"/>
  <c r="V66" i="22" s="1"/>
  <c r="V68" i="22" s="1"/>
  <c r="T66" i="22" a="1"/>
  <c r="T66" i="22" s="1"/>
  <c r="T68" i="22" s="1"/>
  <c r="R66" i="22" a="1"/>
  <c r="R66" i="22" s="1"/>
  <c r="P66" i="22" a="1"/>
  <c r="P66" i="22" s="1"/>
  <c r="N66" i="22" a="1"/>
  <c r="N66" i="22" s="1"/>
  <c r="L66" i="22" a="1"/>
  <c r="L66" i="22" s="1"/>
  <c r="J66" i="22"/>
  <c r="J68" i="22" s="1"/>
  <c r="J66" i="22" a="1"/>
  <c r="H66" i="22"/>
  <c r="H68" i="22" s="1"/>
  <c r="H66" i="22" a="1"/>
  <c r="F66" i="22" a="1"/>
  <c r="F66" i="22" s="1"/>
  <c r="D66" i="22" a="1"/>
  <c r="D66" i="22" s="1"/>
  <c r="B66" i="22" a="1"/>
  <c r="B66" i="22" s="1"/>
  <c r="B68" i="22" s="1"/>
  <c r="AV65" i="22" a="1"/>
  <c r="AV65" i="22" s="1"/>
  <c r="AV69" i="22" s="1"/>
  <c r="AT65" i="22" a="1"/>
  <c r="AT65" i="22" s="1"/>
  <c r="AT69" i="22" s="1"/>
  <c r="AR65" i="22" a="1"/>
  <c r="AR65" i="22" s="1"/>
  <c r="AR69" i="22" s="1"/>
  <c r="AP65" i="22"/>
  <c r="AP65" i="22" a="1"/>
  <c r="AN65" i="22"/>
  <c r="AN69" i="22" s="1"/>
  <c r="AN65" i="22" a="1"/>
  <c r="AL65" i="22" a="1"/>
  <c r="AL65" i="22" s="1"/>
  <c r="AL69" i="22" s="1"/>
  <c r="AJ65" i="22" a="1"/>
  <c r="AJ65" i="22" s="1"/>
  <c r="AJ69" i="22" s="1"/>
  <c r="AH65" i="22" a="1"/>
  <c r="AH65" i="22" s="1"/>
  <c r="AH69" i="22" s="1"/>
  <c r="AF65" i="22" a="1"/>
  <c r="AF65" i="22" s="1"/>
  <c r="AF69" i="22" s="1"/>
  <c r="AD65" i="22" a="1"/>
  <c r="AD65" i="22" s="1"/>
  <c r="AD69" i="22" s="1"/>
  <c r="AB65" i="22" a="1"/>
  <c r="AB65" i="22" s="1"/>
  <c r="AB69" i="22" s="1"/>
  <c r="Z65" i="22"/>
  <c r="Z69" i="22" s="1"/>
  <c r="Z65" i="22" a="1"/>
  <c r="X65" i="22"/>
  <c r="X69" i="22" s="1"/>
  <c r="X65" i="22" a="1"/>
  <c r="V65" i="22" a="1"/>
  <c r="V65" i="22" s="1"/>
  <c r="V69" i="22" s="1"/>
  <c r="T65" i="22" a="1"/>
  <c r="T65" i="22" s="1"/>
  <c r="T69" i="22" s="1"/>
  <c r="R65" i="22" a="1"/>
  <c r="R65" i="22" s="1"/>
  <c r="R69" i="22" s="1"/>
  <c r="P65" i="22" a="1"/>
  <c r="P65" i="22" s="1"/>
  <c r="P69" i="22" s="1"/>
  <c r="N65" i="22" a="1"/>
  <c r="N65" i="22" s="1"/>
  <c r="N69" i="22" s="1"/>
  <c r="L65" i="22" a="1"/>
  <c r="L65" i="22" s="1"/>
  <c r="L69" i="22" s="1"/>
  <c r="J65" i="22"/>
  <c r="J65" i="22" a="1"/>
  <c r="H65" i="22"/>
  <c r="H69" i="22" s="1"/>
  <c r="H65" i="22" a="1"/>
  <c r="F65" i="22" a="1"/>
  <c r="F65" i="22" s="1"/>
  <c r="F69" i="22" s="1"/>
  <c r="D65" i="22" a="1"/>
  <c r="D65" i="22" s="1"/>
  <c r="D69" i="22" s="1"/>
  <c r="B65" i="22"/>
  <c r="B69" i="22" s="1"/>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c r="AR58" i="22" a="1"/>
  <c r="AP58" i="22" a="1"/>
  <c r="AP58" i="22" s="1"/>
  <c r="AN58" i="22" a="1"/>
  <c r="AN58" i="22" s="1"/>
  <c r="AL58" i="22" a="1"/>
  <c r="AL58" i="22" s="1"/>
  <c r="AJ58" i="22"/>
  <c r="AJ58" i="22" a="1"/>
  <c r="AH58" i="22" a="1"/>
  <c r="AH58" i="22" s="1"/>
  <c r="AF58" i="22"/>
  <c r="AF58" i="22" a="1"/>
  <c r="AD58" i="22" a="1"/>
  <c r="AD58" i="22" s="1"/>
  <c r="AB58" i="22"/>
  <c r="AB58" i="22" a="1"/>
  <c r="Z58" i="22" a="1"/>
  <c r="Z58" i="22" s="1"/>
  <c r="X58" i="22" a="1"/>
  <c r="X58" i="22" s="1"/>
  <c r="V58" i="22" a="1"/>
  <c r="V58" i="22" s="1"/>
  <c r="T58" i="22"/>
  <c r="T58" i="22" a="1"/>
  <c r="R58" i="22" a="1"/>
  <c r="R58" i="22" s="1"/>
  <c r="P58" i="22"/>
  <c r="P58" i="22" a="1"/>
  <c r="N58" i="22" a="1"/>
  <c r="N58" i="22" s="1"/>
  <c r="L58" i="22"/>
  <c r="L58" i="22" a="1"/>
  <c r="J58" i="22" a="1"/>
  <c r="J58" i="22" s="1"/>
  <c r="H58" i="22" a="1"/>
  <c r="H58" i="22" s="1"/>
  <c r="F58" i="22" a="1"/>
  <c r="F58" i="22" s="1"/>
  <c r="D58" i="22"/>
  <c r="D58" i="22" a="1"/>
  <c r="B58" i="22" a="1"/>
  <c r="B58" i="22" s="1"/>
  <c r="AV57" i="22"/>
  <c r="AV57" i="22" a="1"/>
  <c r="AT57" i="22" a="1"/>
  <c r="AT57" i="22" s="1"/>
  <c r="AR57" i="22"/>
  <c r="AR57" i="22" a="1"/>
  <c r="AP57" i="22" a="1"/>
  <c r="AP57" i="22" s="1"/>
  <c r="AN57" i="22" a="1"/>
  <c r="AN57" i="22" s="1"/>
  <c r="AL57" i="22" a="1"/>
  <c r="AL57" i="22" s="1"/>
  <c r="AJ57" i="22"/>
  <c r="AJ57" i="22" a="1"/>
  <c r="AH57" i="22" a="1"/>
  <c r="AH57" i="22" s="1"/>
  <c r="AF57" i="22"/>
  <c r="AF57" i="22" a="1"/>
  <c r="AD57" i="22" a="1"/>
  <c r="AD57" i="22" s="1"/>
  <c r="AB57" i="22"/>
  <c r="AB57" i="22" a="1"/>
  <c r="Z57" i="22" a="1"/>
  <c r="Z57" i="22" s="1"/>
  <c r="X57" i="22" a="1"/>
  <c r="X57" i="22" s="1"/>
  <c r="V57" i="22" a="1"/>
  <c r="V57" i="22" s="1"/>
  <c r="T57" i="22"/>
  <c r="T57" i="22" a="1"/>
  <c r="R57" i="22" a="1"/>
  <c r="R57" i="22" s="1"/>
  <c r="P57" i="22"/>
  <c r="P57" i="22" a="1"/>
  <c r="N57" i="22" a="1"/>
  <c r="N57" i="22" s="1"/>
  <c r="L57" i="22"/>
  <c r="L57" i="22" a="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P80" i="22" s="1"/>
  <c r="AN55" i="22"/>
  <c r="AN80" i="22" s="1"/>
  <c r="AL55" i="22"/>
  <c r="AL80" i="22" s="1"/>
  <c r="AJ55" i="22"/>
  <c r="AH55" i="22"/>
  <c r="AH80" i="22" s="1"/>
  <c r="AF55" i="22"/>
  <c r="AF80" i="22" s="1"/>
  <c r="AD55" i="22"/>
  <c r="AD80" i="22" s="1"/>
  <c r="AB55" i="22"/>
  <c r="Z55" i="22"/>
  <c r="Z80" i="22" s="1"/>
  <c r="X55" i="22"/>
  <c r="X80" i="22" s="1"/>
  <c r="V55" i="22"/>
  <c r="V80" i="22" s="1"/>
  <c r="T55" i="22"/>
  <c r="R55" i="22"/>
  <c r="P55" i="22"/>
  <c r="N55" i="22"/>
  <c r="L55" i="22"/>
  <c r="J55" i="22"/>
  <c r="H55" i="22"/>
  <c r="H80" i="22" s="1"/>
  <c r="F55" i="22"/>
  <c r="F80" i="22" s="1"/>
  <c r="D55" i="22"/>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P51" i="22"/>
  <c r="AP81" i="22" s="1"/>
  <c r="AN51" i="22"/>
  <c r="AN81" i="22" s="1"/>
  <c r="AL51" i="22"/>
  <c r="AL81" i="22" s="1"/>
  <c r="AJ51" i="22"/>
  <c r="AH51" i="22"/>
  <c r="AF51" i="22"/>
  <c r="AD51" i="22"/>
  <c r="AB51" i="22"/>
  <c r="Z51" i="22"/>
  <c r="X51" i="22"/>
  <c r="X81" i="22" s="1"/>
  <c r="V51" i="22"/>
  <c r="V81" i="22" s="1"/>
  <c r="T51" i="22"/>
  <c r="R51" i="22"/>
  <c r="R81" i="22" s="1"/>
  <c r="P51" i="22"/>
  <c r="P81" i="22" s="1"/>
  <c r="N51" i="22"/>
  <c r="N81" i="22" s="1"/>
  <c r="L51" i="22"/>
  <c r="J51" i="22"/>
  <c r="J81" i="22" s="1"/>
  <c r="H51" i="22"/>
  <c r="H81" i="22" s="1"/>
  <c r="F51" i="22"/>
  <c r="F81" i="22" s="1"/>
  <c r="D51" i="22"/>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a="1"/>
  <c r="AV43" i="22" s="1"/>
  <c r="AT43" i="22" a="1"/>
  <c r="AT43" i="22" s="1"/>
  <c r="AR43" i="22" a="1"/>
  <c r="AR43" i="22" s="1"/>
  <c r="AP43" i="22" a="1"/>
  <c r="AP43" i="22" s="1"/>
  <c r="AN43" i="22" a="1"/>
  <c r="AN43" i="22" s="1"/>
  <c r="AL43" i="22" a="1"/>
  <c r="AL43" i="22" s="1"/>
  <c r="AJ43" i="22"/>
  <c r="AJ43" i="22" a="1"/>
  <c r="AH43" i="22" a="1"/>
  <c r="AH43" i="22" s="1"/>
  <c r="AF43" i="22" a="1"/>
  <c r="AF43" i="22" s="1"/>
  <c r="AD43" i="22" a="1"/>
  <c r="AD43" i="22" s="1"/>
  <c r="AB43" i="22" a="1"/>
  <c r="AB43" i="22" s="1"/>
  <c r="Z43" i="22" a="1"/>
  <c r="Z43" i="22" s="1"/>
  <c r="X43" i="22" a="1"/>
  <c r="X43" i="22" s="1"/>
  <c r="V43" i="22" a="1"/>
  <c r="V43" i="22" s="1"/>
  <c r="T43" i="22"/>
  <c r="T43" i="22" a="1"/>
  <c r="R43" i="22" a="1"/>
  <c r="R43" i="22" s="1"/>
  <c r="P43" i="22" a="1"/>
  <c r="P43" i="22" s="1"/>
  <c r="N43" i="22" a="1"/>
  <c r="N43" i="22" s="1"/>
  <c r="L43" i="22" a="1"/>
  <c r="L43" i="22" s="1"/>
  <c r="J43" i="22" a="1"/>
  <c r="J43" i="22" s="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P68" i="35" l="1"/>
  <c r="Z68" i="35"/>
  <c r="P68" i="35"/>
  <c r="AN68" i="35"/>
  <c r="AD68" i="35"/>
  <c r="AH68" i="35"/>
  <c r="P68" i="38"/>
  <c r="AV68" i="38"/>
  <c r="T68" i="38"/>
  <c r="V68" i="38"/>
  <c r="X68" i="38"/>
  <c r="AB68" i="38"/>
  <c r="Z68" i="38"/>
  <c r="AD68" i="38"/>
  <c r="J68" i="21"/>
  <c r="AP68" i="21"/>
  <c r="N68" i="21"/>
  <c r="AT68" i="21"/>
  <c r="AV68" i="21"/>
  <c r="AR68" i="21"/>
  <c r="P68" i="21"/>
  <c r="AN68" i="21"/>
  <c r="AF68" i="24"/>
  <c r="N68" i="24"/>
  <c r="P68" i="24"/>
  <c r="AJ68" i="24"/>
  <c r="D68" i="24"/>
  <c r="AD68" i="18"/>
  <c r="AT68" i="18"/>
  <c r="AN68" i="18"/>
  <c r="B68" i="18"/>
  <c r="AP68" i="18"/>
  <c r="F68" i="18"/>
  <c r="H68" i="18"/>
  <c r="AJ68" i="22"/>
  <c r="P68" i="22"/>
  <c r="R68" i="22"/>
  <c r="AL68" i="22"/>
  <c r="AV68" i="22"/>
  <c r="L68" i="22"/>
  <c r="N68" i="22"/>
  <c r="D68" i="22"/>
  <c r="AB68" i="22"/>
  <c r="F68" i="22"/>
  <c r="AD68" i="22"/>
  <c r="W58" i="2" a="1"/>
  <c r="W59" i="2" a="1"/>
  <c r="AN81" i="11"/>
  <c r="AL81" i="11"/>
  <c r="AJ81" i="11"/>
  <c r="AH81" i="11"/>
  <c r="AF81" i="11"/>
  <c r="AD81" i="11"/>
  <c r="AB81" i="11"/>
  <c r="Z81" i="11"/>
  <c r="T81" i="11"/>
  <c r="R81" i="11"/>
  <c r="H81" i="11"/>
  <c r="F81" i="11"/>
  <c r="D81" i="11"/>
  <c r="B81" i="11"/>
  <c r="AV80" i="11"/>
  <c r="AT80" i="11"/>
  <c r="AR80" i="11"/>
  <c r="AP80" i="11"/>
  <c r="AN80" i="11"/>
  <c r="AL80" i="11"/>
  <c r="AJ80" i="11"/>
  <c r="AH80" i="11"/>
  <c r="X80" i="11"/>
  <c r="V80" i="11"/>
  <c r="T80" i="11"/>
  <c r="R80" i="11"/>
  <c r="P80" i="11"/>
  <c r="J80" i="11"/>
  <c r="H80" i="11"/>
  <c r="F80" i="11"/>
  <c r="D80" i="11"/>
  <c r="B80" i="11"/>
  <c r="AV79" i="11" a="1"/>
  <c r="AV79" i="11" s="1"/>
  <c r="AT79" i="11" a="1"/>
  <c r="AT79" i="11" s="1"/>
  <c r="AR79" i="11" a="1"/>
  <c r="AR79" i="11" s="1"/>
  <c r="AP79" i="11" a="1"/>
  <c r="AP79" i="11" s="1"/>
  <c r="AN79" i="11" a="1"/>
  <c r="AN79" i="11" s="1"/>
  <c r="AL79" i="11" a="1"/>
  <c r="AL79" i="11" s="1"/>
  <c r="AJ79" i="11"/>
  <c r="AJ79" i="11" a="1"/>
  <c r="AH79" i="11" a="1"/>
  <c r="AH79" i="11" s="1"/>
  <c r="AF79" i="11" a="1"/>
  <c r="AF79" i="11" s="1"/>
  <c r="AD79" i="11" a="1"/>
  <c r="AD79" i="11" s="1"/>
  <c r="AB79" i="11" a="1"/>
  <c r="AB79" i="11" s="1"/>
  <c r="Z79" i="11" a="1"/>
  <c r="Z79" i="11" s="1"/>
  <c r="X79" i="11" a="1"/>
  <c r="X79" i="11" s="1"/>
  <c r="V79" i="11" a="1"/>
  <c r="V79" i="11" s="1"/>
  <c r="T79" i="11" a="1"/>
  <c r="T79" i="11" s="1"/>
  <c r="R79" i="11" a="1"/>
  <c r="R79" i="11" s="1"/>
  <c r="P79" i="11" a="1"/>
  <c r="P79" i="11" s="1"/>
  <c r="N79" i="11" a="1"/>
  <c r="N79" i="11" s="1"/>
  <c r="L79" i="11" a="1"/>
  <c r="L79" i="11" s="1"/>
  <c r="J79" i="11" a="1"/>
  <c r="J79" i="11" s="1"/>
  <c r="H79" i="11" a="1"/>
  <c r="H79" i="11" s="1"/>
  <c r="F79" i="11" a="1"/>
  <c r="F79" i="11" s="1"/>
  <c r="D79" i="11" a="1"/>
  <c r="D79" i="11" s="1"/>
  <c r="B79" i="11" a="1"/>
  <c r="B79" i="11" s="1"/>
  <c r="AV78" i="11" a="1"/>
  <c r="AV78" i="11" s="1"/>
  <c r="AT78" i="11" a="1"/>
  <c r="AT78" i="11" s="1"/>
  <c r="AR78" i="11" a="1"/>
  <c r="AR78" i="11" s="1"/>
  <c r="AP78" i="11" a="1"/>
  <c r="AP78" i="11" s="1"/>
  <c r="AN78" i="11"/>
  <c r="AN78" i="11" a="1"/>
  <c r="AL78" i="11" a="1"/>
  <c r="AL78" i="11" s="1"/>
  <c r="AJ78" i="11" a="1"/>
  <c r="AJ78" i="11" s="1"/>
  <c r="AH78" i="11" a="1"/>
  <c r="AH78" i="11" s="1"/>
  <c r="AF78" i="11" a="1"/>
  <c r="AF78" i="11" s="1"/>
  <c r="AD78" i="11" a="1"/>
  <c r="AD78" i="11" s="1"/>
  <c r="AB78" i="11" a="1"/>
  <c r="AB78" i="11" s="1"/>
  <c r="Z78" i="11" a="1"/>
  <c r="Z78" i="11" s="1"/>
  <c r="X78" i="11" a="1"/>
  <c r="X78" i="11" s="1"/>
  <c r="V78" i="11" a="1"/>
  <c r="V78" i="11" s="1"/>
  <c r="T78" i="11"/>
  <c r="T78" i="11" a="1"/>
  <c r="R78" i="11" a="1"/>
  <c r="R78" i="11" s="1"/>
  <c r="P78" i="11" a="1"/>
  <c r="P78" i="11" s="1"/>
  <c r="N78" i="11" a="1"/>
  <c r="N78" i="11" s="1"/>
  <c r="L78" i="11" a="1"/>
  <c r="L78" i="11" s="1"/>
  <c r="J78" i="11" a="1"/>
  <c r="J78" i="11" s="1"/>
  <c r="H78" i="11" a="1"/>
  <c r="H78" i="11" s="1"/>
  <c r="F78" i="11" a="1"/>
  <c r="F78" i="11" s="1"/>
  <c r="D78" i="11" a="1"/>
  <c r="D78" i="11" s="1"/>
  <c r="B78" i="11" a="1"/>
  <c r="B78" i="11" s="1"/>
  <c r="AV77" i="11" a="1"/>
  <c r="AV77" i="11" s="1"/>
  <c r="AT77" i="11" a="1"/>
  <c r="AT77" i="11" s="1"/>
  <c r="AR77" i="11" a="1"/>
  <c r="AR77" i="11" s="1"/>
  <c r="AP77" i="11" a="1"/>
  <c r="AP77" i="11" s="1"/>
  <c r="AN77" i="11" a="1"/>
  <c r="AN77" i="11" s="1"/>
  <c r="AL77" i="11" a="1"/>
  <c r="AL77" i="11" s="1"/>
  <c r="AJ77" i="11" a="1"/>
  <c r="AJ77" i="11" s="1"/>
  <c r="AH77" i="11" a="1"/>
  <c r="AH77" i="11" s="1"/>
  <c r="AF77" i="11" a="1"/>
  <c r="AF77" i="11" s="1"/>
  <c r="AD77" i="11" a="1"/>
  <c r="AD77" i="11" s="1"/>
  <c r="AB77" i="11" a="1"/>
  <c r="AB77" i="11" s="1"/>
  <c r="Z77" i="11" a="1"/>
  <c r="Z77" i="11" s="1"/>
  <c r="X77" i="11"/>
  <c r="X77" i="11" a="1"/>
  <c r="V77" i="11" a="1"/>
  <c r="V77" i="11" s="1"/>
  <c r="T77" i="11" a="1"/>
  <c r="T77" i="11" s="1"/>
  <c r="R77" i="11" a="1"/>
  <c r="R77" i="11" s="1"/>
  <c r="P77" i="11" a="1"/>
  <c r="P77" i="11" s="1"/>
  <c r="N77" i="11" a="1"/>
  <c r="N77" i="11" s="1"/>
  <c r="L77" i="11" a="1"/>
  <c r="L77" i="11" s="1"/>
  <c r="J77" i="11" a="1"/>
  <c r="J77" i="11" s="1"/>
  <c r="H77" i="11" a="1"/>
  <c r="H77" i="11" s="1"/>
  <c r="F77" i="11" a="1"/>
  <c r="F77" i="11" s="1"/>
  <c r="D77" i="11"/>
  <c r="D77" i="11" a="1"/>
  <c r="B77" i="11" a="1"/>
  <c r="B77" i="11" s="1"/>
  <c r="AV76" i="11" a="1"/>
  <c r="AV76" i="11" s="1"/>
  <c r="AT76" i="11" a="1"/>
  <c r="AT76" i="11" s="1"/>
  <c r="AR76" i="11" a="1"/>
  <c r="AR76" i="11" s="1"/>
  <c r="AP76" i="11" a="1"/>
  <c r="AP76" i="11" s="1"/>
  <c r="AN76" i="11" a="1"/>
  <c r="AN76" i="11" s="1"/>
  <c r="AL76" i="11" a="1"/>
  <c r="AL76" i="11" s="1"/>
  <c r="AJ76" i="11" a="1"/>
  <c r="AJ76" i="11" s="1"/>
  <c r="AH76" i="11" a="1"/>
  <c r="AH76" i="11" s="1"/>
  <c r="AF76" i="11" a="1"/>
  <c r="AF76" i="11" s="1"/>
  <c r="AD76" i="11" a="1"/>
  <c r="AD76" i="11" s="1"/>
  <c r="AB76" i="11" a="1"/>
  <c r="AB76" i="11" s="1"/>
  <c r="Z76" i="11" a="1"/>
  <c r="Z76" i="11" s="1"/>
  <c r="X76" i="11" a="1"/>
  <c r="X76" i="11" s="1"/>
  <c r="V76" i="11" a="1"/>
  <c r="V76" i="11" s="1"/>
  <c r="T76" i="11" a="1"/>
  <c r="T76" i="11" s="1"/>
  <c r="R76" i="11" a="1"/>
  <c r="R76" i="11" s="1"/>
  <c r="P76" i="11" a="1"/>
  <c r="P76" i="11" s="1"/>
  <c r="N76" i="11" a="1"/>
  <c r="N76" i="11" s="1"/>
  <c r="L76" i="11" a="1"/>
  <c r="L76" i="11" s="1"/>
  <c r="J76" i="11" a="1"/>
  <c r="J76" i="11" s="1"/>
  <c r="H76" i="11"/>
  <c r="H76" i="11" a="1"/>
  <c r="F76" i="11" a="1"/>
  <c r="F76" i="11" s="1"/>
  <c r="D76" i="11" a="1"/>
  <c r="D76" i="11" s="1"/>
  <c r="B76" i="11" a="1"/>
  <c r="B76" i="11" s="1"/>
  <c r="AV75" i="11" a="1"/>
  <c r="AV75" i="11" s="1"/>
  <c r="AT75" i="11" a="1"/>
  <c r="AT75" i="11" s="1"/>
  <c r="AR75" i="11" a="1"/>
  <c r="AR75" i="11" s="1"/>
  <c r="AP75" i="11" a="1"/>
  <c r="AP75" i="11" s="1"/>
  <c r="AN75" i="11" a="1"/>
  <c r="AN75" i="11" s="1"/>
  <c r="AL75" i="11" a="1"/>
  <c r="AL75" i="11" s="1"/>
  <c r="AJ75" i="11"/>
  <c r="AJ75" i="11" a="1"/>
  <c r="AH75" i="11" a="1"/>
  <c r="AH75" i="11" s="1"/>
  <c r="AF75" i="11" a="1"/>
  <c r="AF75" i="11" s="1"/>
  <c r="AD75" i="11" a="1"/>
  <c r="AD75" i="11" s="1"/>
  <c r="AB75" i="11" a="1"/>
  <c r="AB75" i="11" s="1"/>
  <c r="Z75" i="11" a="1"/>
  <c r="Z75" i="11" s="1"/>
  <c r="X75" i="11" a="1"/>
  <c r="X75" i="11" s="1"/>
  <c r="V75" i="11" a="1"/>
  <c r="V75" i="11" s="1"/>
  <c r="T75" i="11" a="1"/>
  <c r="T75" i="11" s="1"/>
  <c r="R75" i="11" a="1"/>
  <c r="R75" i="11" s="1"/>
  <c r="P75" i="11" a="1"/>
  <c r="P75" i="11" s="1"/>
  <c r="N75" i="11" a="1"/>
  <c r="N75" i="11" s="1"/>
  <c r="L75" i="11" a="1"/>
  <c r="L75" i="11" s="1"/>
  <c r="J75" i="11" a="1"/>
  <c r="J75" i="11" s="1"/>
  <c r="H75" i="11" a="1"/>
  <c r="H75" i="11" s="1"/>
  <c r="F75" i="11" a="1"/>
  <c r="F75" i="11" s="1"/>
  <c r="D75" i="11" a="1"/>
  <c r="D75" i="11" s="1"/>
  <c r="B75" i="11" a="1"/>
  <c r="B75" i="11" s="1"/>
  <c r="AV74" i="11" a="1"/>
  <c r="AV74" i="11" s="1"/>
  <c r="AT74" i="11" a="1"/>
  <c r="AT74" i="11" s="1"/>
  <c r="AR74" i="11" a="1"/>
  <c r="AR74" i="11" s="1"/>
  <c r="AP74" i="11" a="1"/>
  <c r="AP74" i="11" s="1"/>
  <c r="AN74" i="11"/>
  <c r="AN74" i="11" a="1"/>
  <c r="AL74" i="11" a="1"/>
  <c r="AL74" i="11" s="1"/>
  <c r="AJ74" i="11" a="1"/>
  <c r="AJ74" i="11" s="1"/>
  <c r="AH74" i="11" a="1"/>
  <c r="AH74" i="11" s="1"/>
  <c r="AF74" i="11" a="1"/>
  <c r="AF74" i="11" s="1"/>
  <c r="AD74" i="11" a="1"/>
  <c r="AD74" i="11" s="1"/>
  <c r="AB74" i="11" a="1"/>
  <c r="AB74" i="11" s="1"/>
  <c r="Z74" i="11" a="1"/>
  <c r="Z74" i="11" s="1"/>
  <c r="X74" i="11" a="1"/>
  <c r="X74" i="11" s="1"/>
  <c r="V74" i="11" a="1"/>
  <c r="V74" i="11" s="1"/>
  <c r="T74" i="11"/>
  <c r="T74" i="11" a="1"/>
  <c r="R74" i="11" a="1"/>
  <c r="R74" i="11" s="1"/>
  <c r="P74" i="11" a="1"/>
  <c r="P74" i="11" s="1"/>
  <c r="N74" i="11" a="1"/>
  <c r="N74" i="11" s="1"/>
  <c r="L74" i="11" a="1"/>
  <c r="L74" i="11" s="1"/>
  <c r="J74" i="11" a="1"/>
  <c r="J74" i="11" s="1"/>
  <c r="H74" i="11" a="1"/>
  <c r="H74" i="11" s="1"/>
  <c r="F74" i="11" a="1"/>
  <c r="F74" i="11" s="1"/>
  <c r="D74" i="11" a="1"/>
  <c r="D74" i="11" s="1"/>
  <c r="B74" i="11" a="1"/>
  <c r="B74" i="11" s="1"/>
  <c r="AV73" i="11" a="1"/>
  <c r="AV73" i="11" s="1"/>
  <c r="AT73" i="11" a="1"/>
  <c r="AT73" i="11" s="1"/>
  <c r="AR73" i="11" a="1"/>
  <c r="AR73" i="11" s="1"/>
  <c r="AP73" i="11" a="1"/>
  <c r="AP73" i="11" s="1"/>
  <c r="AN73" i="11" a="1"/>
  <c r="AN73" i="11" s="1"/>
  <c r="AL73" i="11" a="1"/>
  <c r="AL73" i="11" s="1"/>
  <c r="AJ73" i="11" a="1"/>
  <c r="AJ73" i="11" s="1"/>
  <c r="AH73" i="11" a="1"/>
  <c r="AH73" i="11" s="1"/>
  <c r="AF73" i="11" a="1"/>
  <c r="AF73" i="11" s="1"/>
  <c r="AD73" i="11" a="1"/>
  <c r="AD73" i="11" s="1"/>
  <c r="AB73" i="11" a="1"/>
  <c r="AB73" i="11" s="1"/>
  <c r="Z73" i="11" a="1"/>
  <c r="Z73" i="11" s="1"/>
  <c r="X73" i="11"/>
  <c r="X73" i="11" a="1"/>
  <c r="V73" i="11" a="1"/>
  <c r="V73" i="11" s="1"/>
  <c r="T73" i="11" a="1"/>
  <c r="T73" i="11" s="1"/>
  <c r="R73" i="11" a="1"/>
  <c r="R73" i="11" s="1"/>
  <c r="P73" i="11" a="1"/>
  <c r="P73" i="11" s="1"/>
  <c r="N73" i="11" a="1"/>
  <c r="N73" i="11" s="1"/>
  <c r="L73" i="11" a="1"/>
  <c r="L73" i="11" s="1"/>
  <c r="J73" i="11" a="1"/>
  <c r="J73" i="11" s="1"/>
  <c r="H73" i="11" a="1"/>
  <c r="H73" i="11" s="1"/>
  <c r="F73" i="11" a="1"/>
  <c r="F73" i="11" s="1"/>
  <c r="D73" i="11"/>
  <c r="D73" i="11" a="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N69" i="11"/>
  <c r="H69" i="11"/>
  <c r="F69" i="11"/>
  <c r="D69" i="11"/>
  <c r="B69" i="11"/>
  <c r="AV67" i="11" a="1"/>
  <c r="AV67" i="11" s="1"/>
  <c r="AT67" i="11" a="1"/>
  <c r="AT67" i="11" s="1"/>
  <c r="AR67" i="11" a="1"/>
  <c r="AR67" i="11" s="1"/>
  <c r="AP67" i="11" a="1"/>
  <c r="AP67" i="11" s="1"/>
  <c r="AN67" i="11" a="1"/>
  <c r="AN67" i="11" s="1"/>
  <c r="AL67" i="11" a="1"/>
  <c r="AL67" i="11" s="1"/>
  <c r="AJ67" i="11" a="1"/>
  <c r="AJ67" i="11" s="1"/>
  <c r="AH67" i="11" a="1"/>
  <c r="AH67" i="11" s="1"/>
  <c r="AF67" i="11"/>
  <c r="AF67" i="11" a="1"/>
  <c r="AD67" i="11" a="1"/>
  <c r="AD67" i="11" s="1"/>
  <c r="AB67" i="11" a="1"/>
  <c r="AB67" i="11" s="1"/>
  <c r="Z67" i="11" a="1"/>
  <c r="Z67" i="11" s="1"/>
  <c r="X67" i="11" a="1"/>
  <c r="X67" i="11" s="1"/>
  <c r="X68" i="11" s="1"/>
  <c r="V67" i="11" a="1"/>
  <c r="V67" i="11" s="1"/>
  <c r="V68" i="11" s="1"/>
  <c r="T67" i="11" a="1"/>
  <c r="T67" i="11" s="1"/>
  <c r="R67" i="11" a="1"/>
  <c r="R67" i="11" s="1"/>
  <c r="P67" i="11" a="1"/>
  <c r="P67" i="11" s="1"/>
  <c r="N67" i="11" a="1"/>
  <c r="N67" i="11" s="1"/>
  <c r="L67" i="11"/>
  <c r="L67" i="11" a="1"/>
  <c r="J67" i="11" a="1"/>
  <c r="J67" i="11" s="1"/>
  <c r="H67" i="11" a="1"/>
  <c r="H67" i="11" s="1"/>
  <c r="F67" i="11" a="1"/>
  <c r="F67" i="11" s="1"/>
  <c r="D67" i="11" a="1"/>
  <c r="D67" i="11" s="1"/>
  <c r="B67" i="11" a="1"/>
  <c r="B67" i="11" s="1"/>
  <c r="AV66" i="11" a="1"/>
  <c r="AV66" i="11" s="1"/>
  <c r="AT66" i="11" a="1"/>
  <c r="AT66" i="11" s="1"/>
  <c r="AR66" i="11" a="1"/>
  <c r="AR66" i="11" s="1"/>
  <c r="AP66" i="11" a="1"/>
  <c r="AP66" i="11" s="1"/>
  <c r="AN66" i="11" a="1"/>
  <c r="AN66" i="11" s="1"/>
  <c r="AN68" i="11" s="1"/>
  <c r="AL66" i="11" a="1"/>
  <c r="AL66" i="11" s="1"/>
  <c r="AL68" i="11" s="1"/>
  <c r="AJ66" i="11" a="1"/>
  <c r="AJ66" i="11" s="1"/>
  <c r="AH66" i="11" a="1"/>
  <c r="AH66" i="11" s="1"/>
  <c r="AF66" i="11" a="1"/>
  <c r="AF66" i="11" s="1"/>
  <c r="AF68" i="11" s="1"/>
  <c r="AD66" i="11" a="1"/>
  <c r="AD66" i="11" s="1"/>
  <c r="AD68" i="11" s="1"/>
  <c r="AB66" i="11" a="1"/>
  <c r="AB66" i="11" s="1"/>
  <c r="AB68" i="11" s="1"/>
  <c r="Z66" i="11" a="1"/>
  <c r="Z66" i="11" s="1"/>
  <c r="Z68" i="11" s="1"/>
  <c r="X66" i="11" a="1"/>
  <c r="X66" i="11" s="1"/>
  <c r="V66" i="11" a="1"/>
  <c r="V66" i="11" s="1"/>
  <c r="T66" i="11" a="1"/>
  <c r="T66" i="11" s="1"/>
  <c r="T68" i="11" s="1"/>
  <c r="R66" i="11" a="1"/>
  <c r="R66" i="11" s="1"/>
  <c r="R68" i="11" s="1"/>
  <c r="P66" i="11"/>
  <c r="P66" i="11" a="1"/>
  <c r="N66" i="11" a="1"/>
  <c r="N66" i="11" s="1"/>
  <c r="L66" i="11" a="1"/>
  <c r="L66" i="11" s="1"/>
  <c r="L68" i="11" s="1"/>
  <c r="J66" i="11" a="1"/>
  <c r="J66" i="11" s="1"/>
  <c r="H66" i="11" a="1"/>
  <c r="H66" i="11" s="1"/>
  <c r="H68" i="11" s="1"/>
  <c r="F66" i="11" a="1"/>
  <c r="F66" i="11" s="1"/>
  <c r="F68" i="11" s="1"/>
  <c r="D66" i="11" a="1"/>
  <c r="D66" i="11" s="1"/>
  <c r="D68" i="11" s="1"/>
  <c r="B66" i="11" a="1"/>
  <c r="B66" i="11" s="1"/>
  <c r="B68" i="11" s="1"/>
  <c r="AV65" i="11" a="1"/>
  <c r="AV65" i="11" s="1"/>
  <c r="AV69" i="11" s="1"/>
  <c r="AT65" i="11" a="1"/>
  <c r="AT65" i="11" s="1"/>
  <c r="AT69" i="11" s="1"/>
  <c r="AR65" i="11"/>
  <c r="AR69" i="11" s="1"/>
  <c r="AR65" i="11" a="1"/>
  <c r="AP65" i="11" a="1"/>
  <c r="AP65" i="11" s="1"/>
  <c r="AP69" i="11" s="1"/>
  <c r="AN65" i="11" a="1"/>
  <c r="AN65" i="11" s="1"/>
  <c r="AL65" i="11" a="1"/>
  <c r="AL65" i="11" s="1"/>
  <c r="AL69" i="11" s="1"/>
  <c r="AJ65" i="11" a="1"/>
  <c r="AJ65" i="11" s="1"/>
  <c r="AJ69" i="11" s="1"/>
  <c r="AH65" i="11" a="1"/>
  <c r="AH65" i="11" s="1"/>
  <c r="AH69" i="11" s="1"/>
  <c r="AF65" i="11" a="1"/>
  <c r="AF65" i="11" s="1"/>
  <c r="AF69" i="11" s="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a="1"/>
  <c r="P65" i="11" s="1"/>
  <c r="P69" i="11" s="1"/>
  <c r="N65" i="11" a="1"/>
  <c r="N65" i="11" s="1"/>
  <c r="N69" i="11" s="1"/>
  <c r="L65" i="11" a="1"/>
  <c r="L65" i="11" s="1"/>
  <c r="L69" i="11" s="1"/>
  <c r="J65" i="11" a="1"/>
  <c r="J65" i="11" s="1"/>
  <c r="J69" i="11" s="1"/>
  <c r="H65" i="11" a="1"/>
  <c r="H65" i="11" s="1"/>
  <c r="F65" i="11" a="1"/>
  <c r="F65" i="11" s="1"/>
  <c r="D65" i="11" a="1"/>
  <c r="D65"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a="1"/>
  <c r="AP58" i="11" s="1"/>
  <c r="AN58" i="11" a="1"/>
  <c r="AN58" i="11" s="1"/>
  <c r="AL58" i="11" a="1"/>
  <c r="AL58" i="11" s="1"/>
  <c r="AJ58" i="11" a="1"/>
  <c r="AJ58" i="11" s="1"/>
  <c r="AH58" i="11" a="1"/>
  <c r="AH58" i="11" s="1"/>
  <c r="AF58" i="11"/>
  <c r="AF58" i="11" a="1"/>
  <c r="AD58" i="11"/>
  <c r="AD58" i="11" a="1"/>
  <c r="AB58" i="11" a="1"/>
  <c r="AB58" i="11" s="1"/>
  <c r="Z58" i="11" a="1"/>
  <c r="Z58" i="11" s="1"/>
  <c r="X58" i="11" a="1"/>
  <c r="X58" i="11" s="1"/>
  <c r="V58" i="11" a="1"/>
  <c r="V58" i="11" s="1"/>
  <c r="T58" i="11" a="1"/>
  <c r="T58" i="11" s="1"/>
  <c r="R58" i="11"/>
  <c r="R58" i="11" a="1"/>
  <c r="P58" i="11"/>
  <c r="P58" i="11" a="1"/>
  <c r="N58" i="11"/>
  <c r="N58" i="11" a="1"/>
  <c r="L58" i="11" a="1"/>
  <c r="L58" i="11" s="1"/>
  <c r="J58" i="11" a="1"/>
  <c r="J58" i="11" s="1"/>
  <c r="H58" i="11" a="1"/>
  <c r="H58" i="11" s="1"/>
  <c r="F58" i="11" a="1"/>
  <c r="F58" i="11" s="1"/>
  <c r="D58" i="11"/>
  <c r="D58" i="11" a="1"/>
  <c r="B58" i="11" a="1"/>
  <c r="B58" i="11" s="1"/>
  <c r="AV57" i="11"/>
  <c r="AV57" i="11" a="1"/>
  <c r="AT57" i="11"/>
  <c r="AT57" i="11" a="1"/>
  <c r="AR57" i="11" a="1"/>
  <c r="AR57" i="11" s="1"/>
  <c r="AP57" i="11" a="1"/>
  <c r="AP57" i="11" s="1"/>
  <c r="AN57" i="11" a="1"/>
  <c r="AN57" i="11" s="1"/>
  <c r="AL57" i="11" a="1"/>
  <c r="AL57" i="11" s="1"/>
  <c r="AJ57" i="11" a="1"/>
  <c r="AJ57" i="11" s="1"/>
  <c r="AH57" i="11" a="1"/>
  <c r="AH57" i="11" s="1"/>
  <c r="AF57" i="11"/>
  <c r="AF57" i="11" a="1"/>
  <c r="AD57" i="11"/>
  <c r="AD57" i="11" a="1"/>
  <c r="AB57" i="11" a="1"/>
  <c r="AB57" i="11" s="1"/>
  <c r="Z57" i="11" a="1"/>
  <c r="Z57" i="11" s="1"/>
  <c r="X57" i="11" a="1"/>
  <c r="X57" i="11" s="1"/>
  <c r="V57" i="11" a="1"/>
  <c r="V57" i="11" s="1"/>
  <c r="T57" i="11" a="1"/>
  <c r="T57" i="11" s="1"/>
  <c r="R57" i="11" a="1"/>
  <c r="R57" i="11" s="1"/>
  <c r="P57" i="11"/>
  <c r="P57" i="11" a="1"/>
  <c r="N57" i="11"/>
  <c r="N57" i="11" a="1"/>
  <c r="L57" i="11" a="1"/>
  <c r="L57" i="11" s="1"/>
  <c r="J57" i="11" a="1"/>
  <c r="J57" i="11" s="1"/>
  <c r="H57" i="11" a="1"/>
  <c r="H57" i="11" s="1"/>
  <c r="F57" i="11"/>
  <c r="F57" i="11" a="1"/>
  <c r="D57" i="11" a="1"/>
  <c r="D57" i="11" s="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N55" i="11"/>
  <c r="AL55" i="11"/>
  <c r="AJ55" i="11"/>
  <c r="AH55" i="11"/>
  <c r="AF55" i="11"/>
  <c r="AF80" i="11" s="1"/>
  <c r="AD55" i="11"/>
  <c r="AD80" i="11" s="1"/>
  <c r="AB55" i="11"/>
  <c r="AB80" i="11" s="1"/>
  <c r="Z55" i="11"/>
  <c r="Z80" i="11" s="1"/>
  <c r="X55" i="11"/>
  <c r="V55" i="11"/>
  <c r="T55" i="11"/>
  <c r="R55" i="11"/>
  <c r="P55" i="11"/>
  <c r="N55" i="11"/>
  <c r="N80" i="11" s="1"/>
  <c r="L55" i="11"/>
  <c r="L80" i="11" s="1"/>
  <c r="J55" i="11"/>
  <c r="H55" i="11"/>
  <c r="F55" i="11"/>
  <c r="D55" i="1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L51" i="11"/>
  <c r="AJ51" i="11"/>
  <c r="AH51" i="11"/>
  <c r="AF51" i="11"/>
  <c r="AD51" i="11"/>
  <c r="AB51" i="11"/>
  <c r="Z51" i="11"/>
  <c r="X51" i="11"/>
  <c r="X81" i="11" s="1"/>
  <c r="V51" i="11"/>
  <c r="V81" i="11" s="1"/>
  <c r="T51" i="11"/>
  <c r="R51" i="11"/>
  <c r="P51" i="11"/>
  <c r="P81" i="11" s="1"/>
  <c r="N51" i="11"/>
  <c r="N81" i="11" s="1"/>
  <c r="L51" i="11"/>
  <c r="L81" i="11" s="1"/>
  <c r="J51" i="11"/>
  <c r="J81" i="11" s="1"/>
  <c r="H51" i="11"/>
  <c r="F51" i="11"/>
  <c r="D51" i="1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c r="AT43" i="11" a="1"/>
  <c r="AR43" i="11" a="1"/>
  <c r="AR43" i="11" s="1"/>
  <c r="AP43" i="11" a="1"/>
  <c r="AP43" i="11" s="1"/>
  <c r="AN43" i="11" a="1"/>
  <c r="AN43" i="11" s="1"/>
  <c r="AL43" i="11"/>
  <c r="AL43" i="11" a="1"/>
  <c r="AJ43" i="11" a="1"/>
  <c r="AJ43" i="11" s="1"/>
  <c r="AH43" i="11" a="1"/>
  <c r="AH43" i="11" s="1"/>
  <c r="AF43" i="11"/>
  <c r="AF43" i="11" a="1"/>
  <c r="AD43" i="11"/>
  <c r="AD43" i="11" a="1"/>
  <c r="AB43" i="11" a="1"/>
  <c r="AB43" i="11" s="1"/>
  <c r="Z43" i="11" a="1"/>
  <c r="Z43" i="11" s="1"/>
  <c r="X43" i="11" a="1"/>
  <c r="X43" i="11" s="1"/>
  <c r="V43" i="11" a="1"/>
  <c r="V43" i="11" s="1"/>
  <c r="T43" i="11"/>
  <c r="T43" i="11" a="1"/>
  <c r="R43" i="11" a="1"/>
  <c r="R43" i="11" s="1"/>
  <c r="P43" i="11"/>
  <c r="P43" i="11" a="1"/>
  <c r="N43" i="11"/>
  <c r="N43" i="11" a="1"/>
  <c r="L43" i="11" a="1"/>
  <c r="L43" i="11" s="1"/>
  <c r="J43" i="11" a="1"/>
  <c r="J43" i="11" s="1"/>
  <c r="H43" i="11" a="1"/>
  <c r="H43" i="11" s="1"/>
  <c r="F43" i="11" a="1"/>
  <c r="F43" i="11" s="1"/>
  <c r="D43" i="11" a="1"/>
  <c r="D43" i="11" s="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C3" i="46"/>
  <c r="D3" i="46"/>
  <c r="E3" i="46"/>
  <c r="F3" i="46"/>
  <c r="G3" i="46"/>
  <c r="H3" i="46"/>
  <c r="I3" i="46"/>
  <c r="J3" i="46"/>
  <c r="K3" i="46"/>
  <c r="L3" i="46"/>
  <c r="M3" i="46"/>
  <c r="N3" i="46"/>
  <c r="O3" i="46"/>
  <c r="P3" i="46"/>
  <c r="Q3" i="46"/>
  <c r="R3" i="46"/>
  <c r="S3" i="46"/>
  <c r="T3" i="46"/>
  <c r="U3" i="46"/>
  <c r="V3" i="46"/>
  <c r="W3" i="46"/>
  <c r="X3" i="46"/>
  <c r="Y3" i="46"/>
  <c r="B3" i="46"/>
  <c r="C4" i="45"/>
  <c r="D4" i="45"/>
  <c r="E4" i="45"/>
  <c r="F4" i="45"/>
  <c r="G4" i="45"/>
  <c r="H4" i="45"/>
  <c r="I4" i="45"/>
  <c r="J4" i="45"/>
  <c r="K4" i="45"/>
  <c r="L4" i="45"/>
  <c r="M4" i="45"/>
  <c r="N4" i="45"/>
  <c r="O4" i="45"/>
  <c r="P4" i="45"/>
  <c r="Q4" i="45"/>
  <c r="R4" i="45"/>
  <c r="S4" i="45"/>
  <c r="T4" i="45"/>
  <c r="U4" i="45"/>
  <c r="V4" i="45"/>
  <c r="W4" i="45"/>
  <c r="X4" i="45"/>
  <c r="Y4" i="45"/>
  <c r="B4" i="45"/>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J68" i="11" l="1"/>
  <c r="AP68" i="11"/>
  <c r="N68" i="11"/>
  <c r="AR68" i="11"/>
  <c r="AV68" i="11"/>
  <c r="AT68" i="11"/>
  <c r="AJ68" i="11"/>
  <c r="AH68" i="11"/>
  <c r="P68" i="11"/>
  <c r="A9" i="44"/>
  <c r="A8" i="44"/>
  <c r="A7" i="44"/>
  <c r="A6" i="44"/>
  <c r="A5" i="44"/>
  <c r="Y4" i="44"/>
  <c r="X4" i="44"/>
  <c r="W4" i="44"/>
  <c r="V4" i="44"/>
  <c r="U4" i="44"/>
  <c r="T4" i="44"/>
  <c r="S4" i="44"/>
  <c r="R4" i="44"/>
  <c r="Q4" i="44"/>
  <c r="P4" i="44"/>
  <c r="O4" i="44"/>
  <c r="N4" i="44"/>
  <c r="M4" i="44"/>
  <c r="L4" i="44"/>
  <c r="K4" i="44"/>
  <c r="J4" i="44"/>
  <c r="I4" i="44"/>
  <c r="H4" i="44"/>
  <c r="G4" i="44"/>
  <c r="F4" i="44"/>
  <c r="E4" i="44"/>
  <c r="D4" i="44"/>
  <c r="C4" i="44"/>
  <c r="B4" i="44"/>
  <c r="A4" i="44"/>
  <c r="A3"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Y8" i="45" s="1"/>
  <c r="X42" i="23"/>
  <c r="X8" i="45" s="1"/>
  <c r="W42" i="23"/>
  <c r="W8" i="45" s="1"/>
  <c r="V42" i="23"/>
  <c r="V8" i="45" s="1"/>
  <c r="U42" i="23"/>
  <c r="U8" i="45" s="1"/>
  <c r="T42" i="23"/>
  <c r="T8" i="45" s="1"/>
  <c r="S42" i="23"/>
  <c r="S8" i="45" s="1"/>
  <c r="R42" i="23"/>
  <c r="R8" i="45" s="1"/>
  <c r="Q42" i="23"/>
  <c r="Q8" i="45" s="1"/>
  <c r="P42" i="23"/>
  <c r="P8" i="45" s="1"/>
  <c r="O42" i="23"/>
  <c r="O8" i="45" s="1"/>
  <c r="N42" i="23"/>
  <c r="N8" i="45" s="1"/>
  <c r="M42" i="23"/>
  <c r="M8" i="45" s="1"/>
  <c r="L42" i="23"/>
  <c r="L8" i="45" s="1"/>
  <c r="K42" i="23"/>
  <c r="K8" i="45" s="1"/>
  <c r="J42" i="23"/>
  <c r="J8" i="45" s="1"/>
  <c r="I42" i="23"/>
  <c r="I8" i="45" s="1"/>
  <c r="H42" i="23"/>
  <c r="H8" i="45" s="1"/>
  <c r="G42" i="23"/>
  <c r="G8" i="45" s="1"/>
  <c r="F42" i="23"/>
  <c r="F8" i="45" s="1"/>
  <c r="E42" i="23"/>
  <c r="E8" i="45" s="1"/>
  <c r="D42" i="23"/>
  <c r="D8" i="45" s="1"/>
  <c r="C42" i="23"/>
  <c r="C8" i="45" s="1"/>
  <c r="B42" i="23"/>
  <c r="B8" i="45" s="1"/>
  <c r="Y21" i="23"/>
  <c r="Y8" i="46" s="1"/>
  <c r="X21" i="23"/>
  <c r="X8" i="46" s="1"/>
  <c r="W21" i="23"/>
  <c r="W8" i="46" s="1"/>
  <c r="V21" i="23"/>
  <c r="V8" i="46" s="1"/>
  <c r="U21" i="23"/>
  <c r="U8" i="46" s="1"/>
  <c r="T21" i="23"/>
  <c r="T8" i="46" s="1"/>
  <c r="S21" i="23"/>
  <c r="S8" i="46" s="1"/>
  <c r="R21" i="23"/>
  <c r="R8" i="46" s="1"/>
  <c r="Q21" i="23"/>
  <c r="Q8" i="46" s="1"/>
  <c r="P21" i="23"/>
  <c r="P8" i="46" s="1"/>
  <c r="O21" i="23"/>
  <c r="O8" i="46" s="1"/>
  <c r="N21" i="23"/>
  <c r="N8" i="46" s="1"/>
  <c r="M21" i="23"/>
  <c r="M8" i="46" s="1"/>
  <c r="L21" i="23"/>
  <c r="L8" i="46" s="1"/>
  <c r="K21" i="23"/>
  <c r="K8" i="46" s="1"/>
  <c r="J21" i="23"/>
  <c r="J8" i="46" s="1"/>
  <c r="I21" i="23"/>
  <c r="I8" i="46" s="1"/>
  <c r="H21" i="23"/>
  <c r="H8" i="46" s="1"/>
  <c r="G21" i="23"/>
  <c r="G8" i="46" s="1"/>
  <c r="F21" i="23"/>
  <c r="F8" i="46" s="1"/>
  <c r="E21" i="23"/>
  <c r="E8" i="46" s="1"/>
  <c r="D21" i="23"/>
  <c r="D8" i="46" s="1"/>
  <c r="C21" i="23"/>
  <c r="C8" i="46" s="1"/>
  <c r="B21" i="23"/>
  <c r="B8" i="46" s="1"/>
  <c r="Y20" i="23"/>
  <c r="Y7" i="46" s="1"/>
  <c r="X20" i="23"/>
  <c r="X7" i="46" s="1"/>
  <c r="W20" i="23"/>
  <c r="W7" i="46" s="1"/>
  <c r="V20" i="23"/>
  <c r="V7" i="46" s="1"/>
  <c r="U20" i="23"/>
  <c r="U7" i="46" s="1"/>
  <c r="T20" i="23"/>
  <c r="T7" i="46" s="1"/>
  <c r="S20" i="23"/>
  <c r="S7" i="46" s="1"/>
  <c r="R20" i="23"/>
  <c r="R7" i="46" s="1"/>
  <c r="Q20" i="23"/>
  <c r="Q7" i="46" s="1"/>
  <c r="P20" i="23"/>
  <c r="P7" i="46" s="1"/>
  <c r="O20" i="23"/>
  <c r="O7" i="46" s="1"/>
  <c r="N20" i="23"/>
  <c r="N7" i="46" s="1"/>
  <c r="M20" i="23"/>
  <c r="M7" i="46" s="1"/>
  <c r="L20" i="23"/>
  <c r="L7" i="46" s="1"/>
  <c r="K20" i="23"/>
  <c r="K7" i="46" s="1"/>
  <c r="J20" i="23"/>
  <c r="J7" i="46" s="1"/>
  <c r="I20" i="23"/>
  <c r="I7" i="46" s="1"/>
  <c r="H20" i="23"/>
  <c r="H7" i="46" s="1"/>
  <c r="G20" i="23"/>
  <c r="G7" i="46" s="1"/>
  <c r="F20" i="23"/>
  <c r="F7" i="46" s="1"/>
  <c r="E20" i="23"/>
  <c r="E7" i="46" s="1"/>
  <c r="D20" i="23"/>
  <c r="D7" i="46" s="1"/>
  <c r="C20" i="23"/>
  <c r="C7" i="46" s="1"/>
  <c r="B20" i="23"/>
  <c r="B7" i="46" s="1"/>
  <c r="O18" i="23"/>
  <c r="O5" i="46" s="1"/>
  <c r="N18" i="23"/>
  <c r="N5" i="46" s="1"/>
  <c r="M18" i="23"/>
  <c r="M5" i="46" s="1"/>
  <c r="L18" i="23"/>
  <c r="L5" i="46" s="1"/>
  <c r="K18" i="23"/>
  <c r="K5" i="46" s="1"/>
  <c r="J18" i="23"/>
  <c r="J5" i="46" s="1"/>
  <c r="I18" i="23"/>
  <c r="I5" i="46" s="1"/>
  <c r="H18" i="23"/>
  <c r="H5" i="46" s="1"/>
  <c r="G18" i="23"/>
  <c r="G5" i="46" s="1"/>
  <c r="F18" i="23"/>
  <c r="F5" i="46" s="1"/>
  <c r="E18" i="23"/>
  <c r="E5" i="46" s="1"/>
  <c r="D18" i="23"/>
  <c r="D5" i="46" s="1"/>
  <c r="C18" i="23"/>
  <c r="C5" i="46" s="1"/>
  <c r="B18" i="23"/>
  <c r="B5" i="46" s="1"/>
  <c r="T15" i="23"/>
  <c r="T9" i="46" s="1"/>
  <c r="S15" i="23"/>
  <c r="S9" i="46" s="1"/>
  <c r="R15" i="23"/>
  <c r="R9" i="46" s="1"/>
  <c r="Q15" i="23"/>
  <c r="Q9" i="46" s="1"/>
  <c r="P15" i="23"/>
  <c r="P9" i="46" s="1"/>
  <c r="O15" i="23"/>
  <c r="O9" i="46" s="1"/>
  <c r="N15" i="23"/>
  <c r="N9" i="46" s="1"/>
  <c r="M15" i="23"/>
  <c r="M9" i="46" s="1"/>
  <c r="L15" i="23"/>
  <c r="L9" i="46" s="1"/>
  <c r="K15" i="23"/>
  <c r="K9" i="46" s="1"/>
  <c r="J15" i="23"/>
  <c r="J9" i="46" s="1"/>
  <c r="I15" i="23"/>
  <c r="I9" i="46" s="1"/>
  <c r="H15" i="23"/>
  <c r="H9" i="46" s="1"/>
  <c r="G15" i="23"/>
  <c r="G9" i="46" s="1"/>
  <c r="F15" i="23"/>
  <c r="F9" i="46" s="1"/>
  <c r="E15" i="23"/>
  <c r="E9" i="46" s="1"/>
  <c r="D15" i="23"/>
  <c r="D9" i="46" s="1"/>
  <c r="C15" i="23"/>
  <c r="C9" i="46" s="1"/>
  <c r="B15" i="23"/>
  <c r="B9" i="46" s="1"/>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Y9" i="45" s="1"/>
  <c r="X43" i="23"/>
  <c r="X9" i="45" s="1"/>
  <c r="W43" i="23"/>
  <c r="W9" i="45" s="1"/>
  <c r="V43" i="23"/>
  <c r="V9" i="45" s="1"/>
  <c r="U43" i="23"/>
  <c r="U9" i="45" s="1"/>
  <c r="T43" i="23"/>
  <c r="T9" i="45" s="1"/>
  <c r="S43" i="23"/>
  <c r="S9" i="45" s="1"/>
  <c r="R43" i="23"/>
  <c r="R9" i="45" s="1"/>
  <c r="Q43" i="23"/>
  <c r="Q9" i="45" s="1"/>
  <c r="P43" i="23"/>
  <c r="P9" i="45" s="1"/>
  <c r="O43" i="23"/>
  <c r="O9" i="45" s="1"/>
  <c r="N43" i="23"/>
  <c r="N9" i="45" s="1"/>
  <c r="M43" i="23"/>
  <c r="M9" i="45" s="1"/>
  <c r="L43" i="23"/>
  <c r="L9" i="45" s="1"/>
  <c r="K43" i="23"/>
  <c r="K9" i="45" s="1"/>
  <c r="J43" i="23"/>
  <c r="J9" i="45" s="1"/>
  <c r="I43" i="23"/>
  <c r="I9" i="45" s="1"/>
  <c r="H43" i="23"/>
  <c r="H9" i="45" s="1"/>
  <c r="G43" i="23"/>
  <c r="G9" i="45" s="1"/>
  <c r="F43" i="23"/>
  <c r="F9" i="45" s="1"/>
  <c r="E43" i="23"/>
  <c r="E9" i="45" s="1"/>
  <c r="D43" i="23"/>
  <c r="D9" i="45" s="1"/>
  <c r="C43" i="23"/>
  <c r="C9" i="45" s="1"/>
  <c r="B43" i="23"/>
  <c r="B9" i="45" s="1"/>
  <c r="O40" i="23"/>
  <c r="O6" i="45" s="1"/>
  <c r="N40" i="23"/>
  <c r="N6" i="45" s="1"/>
  <c r="M40" i="23"/>
  <c r="M6" i="45" s="1"/>
  <c r="L40" i="23"/>
  <c r="L6" i="45" s="1"/>
  <c r="K40" i="23"/>
  <c r="K6" i="45" s="1"/>
  <c r="J40" i="23"/>
  <c r="J6" i="45" s="1"/>
  <c r="I40" i="23"/>
  <c r="I6" i="45" s="1"/>
  <c r="H40" i="23"/>
  <c r="H6" i="45" s="1"/>
  <c r="G40" i="23"/>
  <c r="G6" i="45" s="1"/>
  <c r="F40" i="23"/>
  <c r="F6" i="45" s="1"/>
  <c r="E40" i="23"/>
  <c r="E6" i="45" s="1"/>
  <c r="D40" i="23"/>
  <c r="D6" i="45" s="1"/>
  <c r="C40" i="23"/>
  <c r="C6" i="45" s="1"/>
  <c r="B40" i="23"/>
  <c r="B6" i="45" s="1"/>
  <c r="Q39" i="23"/>
  <c r="Q5" i="45" s="1"/>
  <c r="P39" i="23"/>
  <c r="P5" i="45" s="1"/>
  <c r="O39" i="23"/>
  <c r="O5" i="45" s="1"/>
  <c r="N39" i="23"/>
  <c r="N5" i="45" s="1"/>
  <c r="M39" i="23"/>
  <c r="M5" i="45" s="1"/>
  <c r="L39" i="23"/>
  <c r="L5" i="45" s="1"/>
  <c r="K39" i="23"/>
  <c r="K5" i="45" s="1"/>
  <c r="J39" i="23"/>
  <c r="J5" i="45" s="1"/>
  <c r="I39" i="23"/>
  <c r="I5" i="45" s="1"/>
  <c r="H39" i="23"/>
  <c r="H5" i="45" s="1"/>
  <c r="G39" i="23"/>
  <c r="G5" i="45" s="1"/>
  <c r="F39" i="23"/>
  <c r="F5" i="45" s="1"/>
  <c r="E39" i="23"/>
  <c r="E5" i="45" s="1"/>
  <c r="D39" i="23"/>
  <c r="D5" i="45" s="1"/>
  <c r="C39" i="23"/>
  <c r="C5" i="45" s="1"/>
  <c r="B39" i="23"/>
  <c r="B5" i="45" s="1"/>
  <c r="T41" i="23"/>
  <c r="T7" i="45" s="1"/>
  <c r="S41" i="23"/>
  <c r="S7" i="45" s="1"/>
  <c r="R41" i="23"/>
  <c r="R7" i="45" s="1"/>
  <c r="Q41" i="23"/>
  <c r="Q7" i="45" s="1"/>
  <c r="P41" i="23"/>
  <c r="P7" i="45" s="1"/>
  <c r="O41" i="23"/>
  <c r="O7" i="45" s="1"/>
  <c r="N41" i="23"/>
  <c r="N7" i="45" s="1"/>
  <c r="M41" i="23"/>
  <c r="M7" i="45" s="1"/>
  <c r="L41" i="23"/>
  <c r="L7" i="45" s="1"/>
  <c r="K41" i="23"/>
  <c r="K7" i="45" s="1"/>
  <c r="J41" i="23"/>
  <c r="J7" i="45" s="1"/>
  <c r="I41" i="23"/>
  <c r="I7" i="45" s="1"/>
  <c r="H41" i="23"/>
  <c r="H7" i="45" s="1"/>
  <c r="G41" i="23"/>
  <c r="G7" i="45" s="1"/>
  <c r="F41" i="23"/>
  <c r="F7" i="45" s="1"/>
  <c r="E41" i="23"/>
  <c r="E7" i="45" s="1"/>
  <c r="D41" i="23"/>
  <c r="D7" i="45" s="1"/>
  <c r="C41" i="23"/>
  <c r="C7" i="45" s="1"/>
  <c r="B41" i="23"/>
  <c r="B7" i="45" s="1"/>
  <c r="T37" i="23"/>
  <c r="T3" i="45" s="1"/>
  <c r="S37" i="23"/>
  <c r="S3" i="45" s="1"/>
  <c r="R37" i="23"/>
  <c r="R3" i="45" s="1"/>
  <c r="Q37" i="23"/>
  <c r="Q3" i="45" s="1"/>
  <c r="P37" i="23"/>
  <c r="P3" i="45" s="1"/>
  <c r="O37" i="23"/>
  <c r="O3" i="45" s="1"/>
  <c r="N37" i="23"/>
  <c r="N3" i="45" s="1"/>
  <c r="M37" i="23"/>
  <c r="M3" i="45" s="1"/>
  <c r="L37" i="23"/>
  <c r="L3" i="45" s="1"/>
  <c r="K37" i="23"/>
  <c r="K3" i="45" s="1"/>
  <c r="J37" i="23"/>
  <c r="J3" i="45" s="1"/>
  <c r="I37" i="23"/>
  <c r="I3" i="45" s="1"/>
  <c r="H37" i="23"/>
  <c r="H3" i="45" s="1"/>
  <c r="G37" i="23"/>
  <c r="G3" i="45" s="1"/>
  <c r="F37" i="23"/>
  <c r="F3" i="45" s="1"/>
  <c r="E37" i="23"/>
  <c r="E3" i="45" s="1"/>
  <c r="D37" i="23"/>
  <c r="D3" i="45" s="1"/>
  <c r="C37" i="23"/>
  <c r="C3" i="45" s="1"/>
  <c r="B37" i="23"/>
  <c r="B3" i="45" s="1"/>
  <c r="Y38" i="23"/>
  <c r="X38" i="23"/>
  <c r="W38" i="23"/>
  <c r="V38" i="23"/>
  <c r="U38" i="23"/>
  <c r="T38" i="23"/>
  <c r="S38" i="23"/>
  <c r="R38" i="23"/>
  <c r="Q38" i="23"/>
  <c r="P38" i="23"/>
  <c r="O38" i="23"/>
  <c r="N38" i="23"/>
  <c r="M38" i="23"/>
  <c r="L38" i="23"/>
  <c r="K38" i="23"/>
  <c r="J38" i="23"/>
  <c r="I38" i="23"/>
  <c r="H38" i="23"/>
  <c r="G38" i="23"/>
  <c r="F38" i="23"/>
  <c r="E38" i="23"/>
  <c r="D38" i="23"/>
  <c r="C38" i="23"/>
  <c r="B38" i="23"/>
  <c r="Y36" i="23"/>
  <c r="Y2" i="45" s="1"/>
  <c r="X36" i="23"/>
  <c r="X2" i="45" s="1"/>
  <c r="W36" i="23"/>
  <c r="W2" i="45" s="1"/>
  <c r="V36" i="23"/>
  <c r="V2" i="45" s="1"/>
  <c r="U36" i="23"/>
  <c r="U2" i="45" s="1"/>
  <c r="T36" i="23"/>
  <c r="T2" i="45" s="1"/>
  <c r="S36" i="23"/>
  <c r="S2" i="45" s="1"/>
  <c r="R36" i="23"/>
  <c r="R2" i="45" s="1"/>
  <c r="Q36" i="23"/>
  <c r="Q2" i="45" s="1"/>
  <c r="P36" i="23"/>
  <c r="P2" i="45" s="1"/>
  <c r="O36" i="23"/>
  <c r="O2" i="45" s="1"/>
  <c r="N36" i="23"/>
  <c r="N2" i="45" s="1"/>
  <c r="M36" i="23"/>
  <c r="M2" i="45" s="1"/>
  <c r="L36" i="23"/>
  <c r="L2" i="45" s="1"/>
  <c r="K36" i="23"/>
  <c r="K2" i="45" s="1"/>
  <c r="J36" i="23"/>
  <c r="J2" i="45" s="1"/>
  <c r="I36" i="23"/>
  <c r="I2" i="45" s="1"/>
  <c r="H36" i="23"/>
  <c r="H2" i="45" s="1"/>
  <c r="G36" i="23"/>
  <c r="G2" i="45" s="1"/>
  <c r="F36" i="23"/>
  <c r="F2" i="45" s="1"/>
  <c r="E36" i="23"/>
  <c r="E2" i="45" s="1"/>
  <c r="D36" i="23"/>
  <c r="D2" i="45" s="1"/>
  <c r="C36" i="23"/>
  <c r="C2" i="45" s="1"/>
  <c r="B36" i="23"/>
  <c r="B2" i="45" s="1"/>
  <c r="Y9" i="23"/>
  <c r="Y8" i="44" s="1"/>
  <c r="X9" i="23"/>
  <c r="X8" i="44" s="1"/>
  <c r="W9" i="23"/>
  <c r="W8" i="44" s="1"/>
  <c r="V9" i="23"/>
  <c r="V8" i="44" s="1"/>
  <c r="U9" i="23"/>
  <c r="U8" i="44" s="1"/>
  <c r="T9" i="23"/>
  <c r="T8" i="44" s="1"/>
  <c r="S9" i="23"/>
  <c r="S8" i="44" s="1"/>
  <c r="R9" i="23"/>
  <c r="R8" i="44" s="1"/>
  <c r="Q9" i="23"/>
  <c r="Q8" i="44" s="1"/>
  <c r="P9" i="23"/>
  <c r="P8" i="44" s="1"/>
  <c r="O9" i="23"/>
  <c r="O8" i="44" s="1"/>
  <c r="N9" i="23"/>
  <c r="N8" i="44" s="1"/>
  <c r="M9" i="23"/>
  <c r="M8" i="44" s="1"/>
  <c r="L9" i="23"/>
  <c r="L8" i="44" s="1"/>
  <c r="K9" i="23"/>
  <c r="K8" i="44" s="1"/>
  <c r="J9" i="23"/>
  <c r="J8" i="44" s="1"/>
  <c r="I9" i="23"/>
  <c r="I8" i="44" s="1"/>
  <c r="H9" i="23"/>
  <c r="H8" i="44" s="1"/>
  <c r="G9" i="23"/>
  <c r="G8" i="44" s="1"/>
  <c r="F9" i="23"/>
  <c r="F8" i="44" s="1"/>
  <c r="E9" i="23"/>
  <c r="E8" i="44" s="1"/>
  <c r="D9" i="23"/>
  <c r="D8" i="44" s="1"/>
  <c r="C9" i="23"/>
  <c r="C8" i="44" s="1"/>
  <c r="B9" i="23"/>
  <c r="B8" i="44" s="1"/>
  <c r="Y10" i="23"/>
  <c r="Y9" i="44" s="1"/>
  <c r="X10" i="23"/>
  <c r="X9" i="44" s="1"/>
  <c r="W10" i="23"/>
  <c r="W9" i="44" s="1"/>
  <c r="V10" i="23"/>
  <c r="V9" i="44" s="1"/>
  <c r="U10" i="23"/>
  <c r="U9" i="44" s="1"/>
  <c r="T10" i="23"/>
  <c r="T9" i="44" s="1"/>
  <c r="S10" i="23"/>
  <c r="S9" i="44" s="1"/>
  <c r="R10" i="23"/>
  <c r="R9" i="44" s="1"/>
  <c r="Q10" i="23"/>
  <c r="Q9" i="44" s="1"/>
  <c r="P10" i="23"/>
  <c r="P9" i="44" s="1"/>
  <c r="O10" i="23"/>
  <c r="O9" i="44" s="1"/>
  <c r="N10" i="23"/>
  <c r="N9" i="44" s="1"/>
  <c r="M10" i="23"/>
  <c r="M9" i="44" s="1"/>
  <c r="L10" i="23"/>
  <c r="L9" i="44" s="1"/>
  <c r="K10" i="23"/>
  <c r="K9" i="44" s="1"/>
  <c r="J10" i="23"/>
  <c r="J9" i="44" s="1"/>
  <c r="I10" i="23"/>
  <c r="I9" i="44" s="1"/>
  <c r="H10" i="23"/>
  <c r="H9" i="44" s="1"/>
  <c r="G10" i="23"/>
  <c r="G9" i="44" s="1"/>
  <c r="F10" i="23"/>
  <c r="F9" i="44" s="1"/>
  <c r="E10" i="23"/>
  <c r="E9" i="44" s="1"/>
  <c r="D10" i="23"/>
  <c r="D9" i="44" s="1"/>
  <c r="C10" i="23"/>
  <c r="C9" i="44" s="1"/>
  <c r="B10" i="23"/>
  <c r="B9" i="44" s="1"/>
  <c r="T8" i="23"/>
  <c r="T7" i="44" s="1"/>
  <c r="S8" i="23"/>
  <c r="S7" i="44" s="1"/>
  <c r="R8" i="23"/>
  <c r="R7" i="44" s="1"/>
  <c r="Q8" i="23"/>
  <c r="Q7" i="44" s="1"/>
  <c r="P8" i="23"/>
  <c r="P7" i="44" s="1"/>
  <c r="O8" i="23"/>
  <c r="O7" i="44" s="1"/>
  <c r="N8" i="23"/>
  <c r="N7" i="44" s="1"/>
  <c r="M8" i="23"/>
  <c r="M7" i="44" s="1"/>
  <c r="L8" i="23"/>
  <c r="L7" i="44" s="1"/>
  <c r="K8" i="23"/>
  <c r="K7" i="44" s="1"/>
  <c r="J8" i="23"/>
  <c r="J7" i="44" s="1"/>
  <c r="I8" i="23"/>
  <c r="I7" i="44" s="1"/>
  <c r="H8" i="23"/>
  <c r="H7" i="44" s="1"/>
  <c r="G8" i="23"/>
  <c r="G7" i="44" s="1"/>
  <c r="F8" i="23"/>
  <c r="F7" i="44" s="1"/>
  <c r="E8" i="23"/>
  <c r="E7" i="44" s="1"/>
  <c r="D8" i="23"/>
  <c r="D7" i="44" s="1"/>
  <c r="C8" i="23"/>
  <c r="C7" i="44" s="1"/>
  <c r="B8" i="23"/>
  <c r="B7" i="44" s="1"/>
  <c r="O7" i="23"/>
  <c r="N7" i="23"/>
  <c r="N6" i="44" s="1"/>
  <c r="M7" i="23"/>
  <c r="M6" i="44" s="1"/>
  <c r="L7" i="23"/>
  <c r="L6" i="44" s="1"/>
  <c r="K7" i="23"/>
  <c r="K6" i="44" s="1"/>
  <c r="J7" i="23"/>
  <c r="J6" i="44" s="1"/>
  <c r="I7" i="23"/>
  <c r="I6" i="44" s="1"/>
  <c r="H7" i="23"/>
  <c r="H6" i="44" s="1"/>
  <c r="G7" i="23"/>
  <c r="G6" i="44" s="1"/>
  <c r="F7" i="23"/>
  <c r="F6" i="44" s="1"/>
  <c r="E7" i="23"/>
  <c r="E6" i="44" s="1"/>
  <c r="D7" i="23"/>
  <c r="D6" i="44" s="1"/>
  <c r="C7" i="23"/>
  <c r="C6" i="44" s="1"/>
  <c r="B7" i="23"/>
  <c r="B6" i="44" s="1"/>
  <c r="Q6" i="23"/>
  <c r="Q5" i="44" s="1"/>
  <c r="P6" i="23"/>
  <c r="P5" i="44" s="1"/>
  <c r="O6" i="23"/>
  <c r="O5" i="44" s="1"/>
  <c r="N6" i="23"/>
  <c r="N5" i="44" s="1"/>
  <c r="M6" i="23"/>
  <c r="M5" i="44" s="1"/>
  <c r="L6" i="23"/>
  <c r="L5" i="44" s="1"/>
  <c r="K6" i="23"/>
  <c r="K5" i="44" s="1"/>
  <c r="J6" i="23"/>
  <c r="J5" i="44" s="1"/>
  <c r="I6" i="23"/>
  <c r="I5" i="44" s="1"/>
  <c r="H6" i="23"/>
  <c r="H5" i="44" s="1"/>
  <c r="G6" i="23"/>
  <c r="G5" i="44" s="1"/>
  <c r="F6" i="23"/>
  <c r="F5" i="44" s="1"/>
  <c r="E6" i="23"/>
  <c r="E5" i="44" s="1"/>
  <c r="D6" i="23"/>
  <c r="D5" i="44" s="1"/>
  <c r="C6" i="23"/>
  <c r="C5" i="44" s="1"/>
  <c r="B6" i="23"/>
  <c r="B5" i="44" s="1"/>
  <c r="Y5" i="23"/>
  <c r="X5" i="23"/>
  <c r="W5" i="23"/>
  <c r="V5" i="23"/>
  <c r="U5" i="23"/>
  <c r="T5" i="23"/>
  <c r="S5" i="23"/>
  <c r="R5" i="23"/>
  <c r="Q5" i="23"/>
  <c r="P5" i="23"/>
  <c r="O5" i="23"/>
  <c r="N5" i="23"/>
  <c r="M5" i="23"/>
  <c r="L5" i="23"/>
  <c r="K5" i="23"/>
  <c r="J5" i="23"/>
  <c r="I5" i="23"/>
  <c r="H5" i="23"/>
  <c r="G5" i="23"/>
  <c r="F5" i="23"/>
  <c r="E5" i="23"/>
  <c r="D5" i="23"/>
  <c r="C5" i="23"/>
  <c r="B5" i="23"/>
  <c r="T4" i="23"/>
  <c r="T3" i="44" s="1"/>
  <c r="S4" i="23"/>
  <c r="S3" i="44" s="1"/>
  <c r="R4" i="23"/>
  <c r="R3" i="44" s="1"/>
  <c r="Q4" i="23"/>
  <c r="Q3" i="44" s="1"/>
  <c r="P4" i="23"/>
  <c r="P3" i="44" s="1"/>
  <c r="O4" i="23"/>
  <c r="O3" i="44" s="1"/>
  <c r="N4" i="23"/>
  <c r="N3" i="44" s="1"/>
  <c r="M4" i="23"/>
  <c r="M3" i="44" s="1"/>
  <c r="L4" i="23"/>
  <c r="L3" i="44" s="1"/>
  <c r="K4" i="23"/>
  <c r="K3" i="44" s="1"/>
  <c r="J4" i="23"/>
  <c r="J3" i="44" s="1"/>
  <c r="I4" i="23"/>
  <c r="I3" i="44" s="1"/>
  <c r="H4" i="23"/>
  <c r="H3" i="44" s="1"/>
  <c r="G4" i="23"/>
  <c r="G3" i="44" s="1"/>
  <c r="F4" i="23"/>
  <c r="F3" i="44" s="1"/>
  <c r="E4" i="23"/>
  <c r="E3" i="44" s="1"/>
  <c r="D4" i="23"/>
  <c r="D3" i="44" s="1"/>
  <c r="C4" i="23"/>
  <c r="C3" i="44" s="1"/>
  <c r="B4" i="23"/>
  <c r="B3" i="44" s="1"/>
  <c r="Y3" i="23"/>
  <c r="Y2" i="44" s="1"/>
  <c r="X3" i="23"/>
  <c r="X2" i="44" s="1"/>
  <c r="W3" i="23"/>
  <c r="W2" i="44" s="1"/>
  <c r="V3" i="23"/>
  <c r="V2" i="44" s="1"/>
  <c r="U3" i="23"/>
  <c r="U2" i="44" s="1"/>
  <c r="T3" i="23"/>
  <c r="T2" i="44" s="1"/>
  <c r="S3" i="23"/>
  <c r="S2" i="44" s="1"/>
  <c r="R3" i="23"/>
  <c r="R2" i="44" s="1"/>
  <c r="Q3" i="23"/>
  <c r="Q2" i="44" s="1"/>
  <c r="P3" i="23"/>
  <c r="P2" i="44" s="1"/>
  <c r="O3" i="23"/>
  <c r="O2" i="44" s="1"/>
  <c r="N3" i="23"/>
  <c r="N2" i="44" s="1"/>
  <c r="M3" i="23"/>
  <c r="M2" i="44" s="1"/>
  <c r="L3" i="23"/>
  <c r="L2" i="44" s="1"/>
  <c r="K3" i="23"/>
  <c r="K2" i="44" s="1"/>
  <c r="J3" i="23"/>
  <c r="J2" i="44" s="1"/>
  <c r="I3" i="23"/>
  <c r="I2" i="44" s="1"/>
  <c r="H3" i="23"/>
  <c r="H2" i="44" s="1"/>
  <c r="G3" i="23"/>
  <c r="G2" i="44" s="1"/>
  <c r="F3" i="23"/>
  <c r="F2" i="44" s="1"/>
  <c r="E3" i="23"/>
  <c r="E2" i="44" s="1"/>
  <c r="D3" i="23"/>
  <c r="D2" i="44" s="1"/>
  <c r="C3" i="23"/>
  <c r="C2" i="44" s="1"/>
  <c r="B3" i="23"/>
  <c r="B2" i="44" s="1"/>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D33" i="2" l="1"/>
  <c r="C52" i="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O29" i="23"/>
  <c r="N29" i="23"/>
  <c r="M29" i="23"/>
  <c r="L29" i="23"/>
  <c r="K29" i="23"/>
  <c r="J29" i="23"/>
  <c r="I29" i="23"/>
  <c r="H29" i="23"/>
  <c r="G29" i="23"/>
  <c r="F29" i="23"/>
  <c r="E29" i="23"/>
  <c r="D29" i="23"/>
  <c r="C29" i="23"/>
  <c r="B29" i="23"/>
  <c r="Q28"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Z52" i="38" l="1"/>
  <c r="Z82" i="38" s="1"/>
  <c r="J52" i="38"/>
  <c r="J82" i="38" s="1"/>
  <c r="AV52" i="38"/>
  <c r="AV82" i="38" s="1"/>
  <c r="AP52" i="38"/>
  <c r="AP82" i="38" s="1"/>
  <c r="P52" i="38"/>
  <c r="P82" i="38" s="1"/>
  <c r="AF52" i="38"/>
  <c r="AF82" i="38" s="1"/>
  <c r="T52" i="38"/>
  <c r="T82" i="38" s="1"/>
  <c r="V52" i="38"/>
  <c r="V82" i="38" s="1"/>
  <c r="F52" i="38"/>
  <c r="F82" i="38" s="1"/>
  <c r="AT52" i="38"/>
  <c r="AT82" i="38" s="1"/>
  <c r="H52" i="38"/>
  <c r="H82" i="38" s="1"/>
  <c r="AB52" i="38"/>
  <c r="AB82" i="38" s="1"/>
  <c r="X52" i="38"/>
  <c r="X82" i="38" s="1"/>
  <c r="B52" i="38"/>
  <c r="B82" i="38" s="1"/>
  <c r="AH52" i="38"/>
  <c r="AH82" i="38" s="1"/>
  <c r="AD52" i="38"/>
  <c r="AD82" i="38" s="1"/>
  <c r="AJ52" i="38"/>
  <c r="AJ82" i="38" s="1"/>
  <c r="L52" i="38"/>
  <c r="L82" i="38" s="1"/>
  <c r="AL52" i="38"/>
  <c r="AL82" i="38" s="1"/>
  <c r="N52" i="38"/>
  <c r="N82" i="38" s="1"/>
  <c r="AN52" i="38"/>
  <c r="AN82" i="38" s="1"/>
  <c r="R52" i="38"/>
  <c r="R82" i="38" s="1"/>
  <c r="D52" i="38"/>
  <c r="D82" i="38" s="1"/>
  <c r="AR52" i="38"/>
  <c r="AR82" i="38" s="1"/>
  <c r="AB52" i="21"/>
  <c r="AB82" i="21" s="1"/>
  <c r="AR52" i="21"/>
  <c r="AR82" i="21" s="1"/>
  <c r="AV52" i="21"/>
  <c r="AV82" i="21" s="1"/>
  <c r="P52" i="21"/>
  <c r="P82" i="21" s="1"/>
  <c r="AH52" i="21"/>
  <c r="AH82" i="21" s="1"/>
  <c r="R52" i="21"/>
  <c r="R82" i="21" s="1"/>
  <c r="AL52" i="21"/>
  <c r="AL82" i="21" s="1"/>
  <c r="L52" i="21"/>
  <c r="L82" i="21" s="1"/>
  <c r="AF52" i="21"/>
  <c r="AF82" i="21" s="1"/>
  <c r="H52" i="21"/>
  <c r="H82" i="21" s="1"/>
  <c r="T52" i="21"/>
  <c r="T82" i="21" s="1"/>
  <c r="AT52" i="21"/>
  <c r="AT82" i="21" s="1"/>
  <c r="D52" i="21"/>
  <c r="D82" i="21" s="1"/>
  <c r="F52" i="21"/>
  <c r="F82" i="21" s="1"/>
  <c r="J52" i="21"/>
  <c r="J82" i="21" s="1"/>
  <c r="X52" i="21"/>
  <c r="X82" i="21" s="1"/>
  <c r="AD52" i="21"/>
  <c r="AD82" i="21" s="1"/>
  <c r="AJ52" i="21"/>
  <c r="AJ82" i="21" s="1"/>
  <c r="Z52" i="21"/>
  <c r="Z82" i="21" s="1"/>
  <c r="N52" i="21"/>
  <c r="N82" i="21" s="1"/>
  <c r="AN52" i="21"/>
  <c r="AN82" i="21" s="1"/>
  <c r="B52" i="21"/>
  <c r="B82" i="21" s="1"/>
  <c r="AP52" i="21"/>
  <c r="AP82" i="21" s="1"/>
  <c r="V52" i="21"/>
  <c r="V82" i="21" s="1"/>
  <c r="AR52" i="24"/>
  <c r="AR82" i="24" s="1"/>
  <c r="T52" i="24"/>
  <c r="T82" i="24" s="1"/>
  <c r="AF52" i="24"/>
  <c r="AF82" i="24" s="1"/>
  <c r="P52" i="24"/>
  <c r="P82" i="24" s="1"/>
  <c r="AL52" i="24"/>
  <c r="AL82" i="24" s="1"/>
  <c r="L52" i="24"/>
  <c r="L82" i="24" s="1"/>
  <c r="AB52" i="24"/>
  <c r="AB82" i="24" s="1"/>
  <c r="B52" i="24"/>
  <c r="B82" i="24" s="1"/>
  <c r="AV52" i="24"/>
  <c r="AV82" i="24" s="1"/>
  <c r="X52" i="24"/>
  <c r="X82" i="24" s="1"/>
  <c r="AN52" i="24"/>
  <c r="AN82" i="24" s="1"/>
  <c r="J52" i="24"/>
  <c r="J82" i="24" s="1"/>
  <c r="Z52" i="24"/>
  <c r="Z82" i="24" s="1"/>
  <c r="R52" i="24"/>
  <c r="R82" i="24" s="1"/>
  <c r="AP52" i="24"/>
  <c r="AP82" i="24" s="1"/>
  <c r="D52" i="24"/>
  <c r="D82" i="24" s="1"/>
  <c r="AD52" i="24"/>
  <c r="AD82" i="24" s="1"/>
  <c r="H52" i="24"/>
  <c r="H82" i="24" s="1"/>
  <c r="N52" i="24"/>
  <c r="N82" i="24" s="1"/>
  <c r="AH52" i="24"/>
  <c r="AH82" i="24" s="1"/>
  <c r="F52" i="24"/>
  <c r="F82" i="24" s="1"/>
  <c r="V52" i="24"/>
  <c r="V82" i="24" s="1"/>
  <c r="AT52" i="24"/>
  <c r="AT82" i="24" s="1"/>
  <c r="AJ52" i="24"/>
  <c r="AJ82" i="24" s="1"/>
  <c r="AF52" i="18"/>
  <c r="AF82" i="18" s="1"/>
  <c r="AL52" i="18"/>
  <c r="AL82" i="18" s="1"/>
  <c r="B52" i="18"/>
  <c r="B82" i="18" s="1"/>
  <c r="R52" i="18"/>
  <c r="R82" i="18" s="1"/>
  <c r="AV52" i="18"/>
  <c r="AV82" i="18" s="1"/>
  <c r="V52" i="18"/>
  <c r="V82" i="18" s="1"/>
  <c r="P52" i="18"/>
  <c r="P82" i="18" s="1"/>
  <c r="AJ52" i="18"/>
  <c r="AJ82" i="18" s="1"/>
  <c r="J52" i="18"/>
  <c r="J82" i="18" s="1"/>
  <c r="N52" i="18"/>
  <c r="N82" i="18" s="1"/>
  <c r="D52" i="18"/>
  <c r="D82" i="18" s="1"/>
  <c r="AD52" i="18"/>
  <c r="AD82" i="18" s="1"/>
  <c r="X52" i="18"/>
  <c r="X82" i="18" s="1"/>
  <c r="AR52" i="18"/>
  <c r="AR82" i="18" s="1"/>
  <c r="F52" i="18"/>
  <c r="F82" i="18" s="1"/>
  <c r="L52" i="18"/>
  <c r="L82" i="18" s="1"/>
  <c r="Z52" i="18"/>
  <c r="Z82" i="18" s="1"/>
  <c r="AB52" i="18"/>
  <c r="AB82" i="18" s="1"/>
  <c r="AP52" i="18"/>
  <c r="AP82" i="18" s="1"/>
  <c r="H52" i="18"/>
  <c r="H82" i="18" s="1"/>
  <c r="AH52" i="18"/>
  <c r="AH82" i="18" s="1"/>
  <c r="T52" i="18"/>
  <c r="T82" i="18" s="1"/>
  <c r="AN52" i="18"/>
  <c r="AN82" i="18" s="1"/>
  <c r="AT52" i="18"/>
  <c r="AT82" i="18" s="1"/>
  <c r="D52" i="22"/>
  <c r="D82" i="22" s="1"/>
  <c r="AB52" i="22"/>
  <c r="AB82" i="22" s="1"/>
  <c r="T52" i="22"/>
  <c r="T82" i="22" s="1"/>
  <c r="AR52" i="22"/>
  <c r="AR82" i="22" s="1"/>
  <c r="AV52" i="22"/>
  <c r="AV82" i="22" s="1"/>
  <c r="AJ52" i="22"/>
  <c r="AJ82" i="22" s="1"/>
  <c r="AH52" i="22"/>
  <c r="AH82" i="22" s="1"/>
  <c r="AF52" i="22"/>
  <c r="AF82" i="22" s="1"/>
  <c r="R52" i="22"/>
  <c r="R82" i="22" s="1"/>
  <c r="AN52" i="22"/>
  <c r="AN82" i="22" s="1"/>
  <c r="AD52" i="22"/>
  <c r="AD82" i="22" s="1"/>
  <c r="AL52" i="22"/>
  <c r="AL82" i="22" s="1"/>
  <c r="P52" i="22"/>
  <c r="P82" i="22" s="1"/>
  <c r="B52" i="22"/>
  <c r="B82" i="22" s="1"/>
  <c r="L52" i="22"/>
  <c r="L82" i="22" s="1"/>
  <c r="AP52" i="22"/>
  <c r="AP82" i="22" s="1"/>
  <c r="AT52" i="22"/>
  <c r="AT82" i="22" s="1"/>
  <c r="X52" i="22"/>
  <c r="X82" i="22" s="1"/>
  <c r="V52" i="22"/>
  <c r="V82" i="22" s="1"/>
  <c r="H52" i="22"/>
  <c r="H82" i="22" s="1"/>
  <c r="F52" i="22"/>
  <c r="F82" i="22" s="1"/>
  <c r="N52" i="22"/>
  <c r="N82" i="22" s="1"/>
  <c r="J52" i="22"/>
  <c r="J82" i="22" s="1"/>
  <c r="Z52" i="22"/>
  <c r="Z82" i="22" s="1"/>
  <c r="AD52" i="11"/>
  <c r="AD82" i="11" s="1"/>
  <c r="AT52" i="11"/>
  <c r="AT82" i="11" s="1"/>
  <c r="D52" i="11"/>
  <c r="D82" i="11" s="1"/>
  <c r="AV52" i="11"/>
  <c r="AV82" i="11" s="1"/>
  <c r="N52" i="11"/>
  <c r="N82" i="11" s="1"/>
  <c r="P52" i="11"/>
  <c r="P82" i="11" s="1"/>
  <c r="AF52" i="11"/>
  <c r="AF82" i="11" s="1"/>
  <c r="X52" i="11"/>
  <c r="X82" i="11" s="1"/>
  <c r="AN52" i="11"/>
  <c r="AN82" i="11" s="1"/>
  <c r="F52" i="11"/>
  <c r="F82" i="11" s="1"/>
  <c r="Z52" i="11"/>
  <c r="Z82" i="11" s="1"/>
  <c r="H52" i="11"/>
  <c r="H82" i="11" s="1"/>
  <c r="AB52" i="11"/>
  <c r="AB82" i="11" s="1"/>
  <c r="B52" i="11"/>
  <c r="B82" i="11" s="1"/>
  <c r="AR52" i="11"/>
  <c r="AR82" i="11" s="1"/>
  <c r="AJ52" i="11"/>
  <c r="AJ82" i="11" s="1"/>
  <c r="J52" i="11"/>
  <c r="J82" i="11" s="1"/>
  <c r="AL52" i="11"/>
  <c r="AL82" i="11" s="1"/>
  <c r="AH52" i="11"/>
  <c r="AH82" i="11" s="1"/>
  <c r="AP52" i="11"/>
  <c r="AP82" i="11" s="1"/>
  <c r="L52" i="11"/>
  <c r="L82" i="11" s="1"/>
  <c r="R52" i="11"/>
  <c r="R82" i="11" s="1"/>
  <c r="V52" i="11"/>
  <c r="V82" i="11" s="1"/>
  <c r="T52" i="11"/>
  <c r="T82" i="11" s="1"/>
  <c r="P52" i="3"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W56" i="2" l="1"/>
  <c r="C37" i="2"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Q4" i="46" s="1"/>
  <c r="P17" i="23"/>
  <c r="P4" i="46" s="1"/>
  <c r="O17" i="23"/>
  <c r="O4" i="46" s="1"/>
  <c r="N17" i="23"/>
  <c r="N4" i="46" s="1"/>
  <c r="M17" i="23"/>
  <c r="M4" i="46" s="1"/>
  <c r="L17" i="23"/>
  <c r="L4" i="46" s="1"/>
  <c r="K17" i="23"/>
  <c r="K4" i="46" s="1"/>
  <c r="J17" i="23"/>
  <c r="J4" i="46" s="1"/>
  <c r="I17" i="23"/>
  <c r="I4" i="46" s="1"/>
  <c r="H17" i="23"/>
  <c r="H4" i="46" s="1"/>
  <c r="G17" i="23"/>
  <c r="G4" i="46" s="1"/>
  <c r="F17" i="23"/>
  <c r="F4" i="46" s="1"/>
  <c r="E17" i="23"/>
  <c r="E4" i="46" s="1"/>
  <c r="D17" i="23"/>
  <c r="D4" i="46" s="1"/>
  <c r="C17" i="23"/>
  <c r="C4" i="46" s="1"/>
  <c r="B17" i="23"/>
  <c r="B4" i="46" s="1"/>
  <c r="T19" i="23"/>
  <c r="T6" i="46" s="1"/>
  <c r="S19" i="23"/>
  <c r="S6" i="46" s="1"/>
  <c r="R19" i="23"/>
  <c r="R6" i="46" s="1"/>
  <c r="Q19" i="23"/>
  <c r="Q6" i="46" s="1"/>
  <c r="P19" i="23"/>
  <c r="P6" i="46" s="1"/>
  <c r="O19" i="23"/>
  <c r="O6" i="46" s="1"/>
  <c r="N19" i="23"/>
  <c r="N6" i="46" s="1"/>
  <c r="M19" i="23"/>
  <c r="M6" i="46" s="1"/>
  <c r="L19" i="23"/>
  <c r="L6" i="46" s="1"/>
  <c r="K19" i="23"/>
  <c r="K6" i="46" s="1"/>
  <c r="J19" i="23"/>
  <c r="J6" i="46" s="1"/>
  <c r="I19" i="23"/>
  <c r="I6" i="46" s="1"/>
  <c r="H19" i="23"/>
  <c r="H6" i="46" s="1"/>
  <c r="G19" i="23"/>
  <c r="G6" i="46" s="1"/>
  <c r="F19" i="23"/>
  <c r="F6" i="46" s="1"/>
  <c r="E19" i="23"/>
  <c r="E6" i="46" s="1"/>
  <c r="D19" i="23"/>
  <c r="D6" i="46" s="1"/>
  <c r="C19" i="23"/>
  <c r="C6" i="46" s="1"/>
  <c r="B19" i="23"/>
  <c r="B6" i="46" s="1"/>
  <c r="Y16" i="23"/>
  <c r="X16" i="23"/>
  <c r="W16" i="23"/>
  <c r="V16" i="23"/>
  <c r="U16" i="23"/>
  <c r="T16" i="23"/>
  <c r="S16" i="23"/>
  <c r="R16" i="23"/>
  <c r="Q16" i="23"/>
  <c r="P16" i="23"/>
  <c r="O16" i="23"/>
  <c r="N16" i="23"/>
  <c r="M16" i="23"/>
  <c r="L16" i="23"/>
  <c r="K16" i="23"/>
  <c r="J16" i="23"/>
  <c r="I16" i="23"/>
  <c r="H16" i="23"/>
  <c r="G16" i="23"/>
  <c r="F16" i="23"/>
  <c r="E16" i="23"/>
  <c r="D16" i="23"/>
  <c r="C16" i="23"/>
  <c r="B16" i="23"/>
  <c r="Y14" i="23"/>
  <c r="Y2" i="46" s="1"/>
  <c r="X14" i="23"/>
  <c r="X2" i="46" s="1"/>
  <c r="W14" i="23"/>
  <c r="W2" i="46" s="1"/>
  <c r="V14" i="23"/>
  <c r="V2" i="46" s="1"/>
  <c r="U14" i="23"/>
  <c r="U2" i="46" s="1"/>
  <c r="T14" i="23"/>
  <c r="T2" i="46" s="1"/>
  <c r="S14" i="23"/>
  <c r="S2" i="46" s="1"/>
  <c r="R14" i="23"/>
  <c r="R2" i="46" s="1"/>
  <c r="Q14" i="23"/>
  <c r="Q2" i="46" s="1"/>
  <c r="P14" i="23"/>
  <c r="P2" i="46" s="1"/>
  <c r="O14" i="23"/>
  <c r="O2" i="46" s="1"/>
  <c r="N14" i="23"/>
  <c r="N2" i="46" s="1"/>
  <c r="M14" i="23"/>
  <c r="M2" i="46" s="1"/>
  <c r="L14" i="23"/>
  <c r="L2" i="46" s="1"/>
  <c r="K14" i="23"/>
  <c r="K2" i="46" s="1"/>
  <c r="J14" i="23"/>
  <c r="J2" i="46" s="1"/>
  <c r="I14" i="23"/>
  <c r="I2" i="46" s="1"/>
  <c r="H14" i="23"/>
  <c r="H2" i="46" s="1"/>
  <c r="G14" i="23"/>
  <c r="G2" i="46" s="1"/>
  <c r="F14" i="23"/>
  <c r="F2" i="46" s="1"/>
  <c r="E14" i="23"/>
  <c r="E2" i="46" s="1"/>
  <c r="D14" i="23"/>
  <c r="D2" i="46" s="1"/>
  <c r="C14" i="23"/>
  <c r="C2" i="46" s="1"/>
  <c r="B14" i="23"/>
  <c r="B2" i="46" s="1"/>
  <c r="C45" i="1" l="1" a="1"/>
  <c r="C45" i="1" s="1"/>
  <c r="D45" i="1" l="1"/>
  <c r="L5" i="1" s="1" a="1"/>
  <c r="U56" i="2" l="1"/>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AP53" i="38" l="1"/>
  <c r="AP83" i="38" s="1"/>
  <c r="P53" i="38"/>
  <c r="P83" i="38" s="1"/>
  <c r="AF53" i="38"/>
  <c r="AF83" i="38" s="1"/>
  <c r="Z53" i="38"/>
  <c r="Z83" i="38" s="1"/>
  <c r="AV53" i="38"/>
  <c r="AV83" i="38" s="1"/>
  <c r="J53" i="38"/>
  <c r="J83" i="38" s="1"/>
  <c r="H53" i="38"/>
  <c r="H83" i="38" s="1"/>
  <c r="D53" i="38"/>
  <c r="D83" i="38" s="1"/>
  <c r="AJ53" i="38"/>
  <c r="AJ83" i="38" s="1"/>
  <c r="AR53" i="38"/>
  <c r="AR83" i="38" s="1"/>
  <c r="AD53" i="38"/>
  <c r="AD83" i="38" s="1"/>
  <c r="F53" i="38"/>
  <c r="F83" i="38" s="1"/>
  <c r="T53" i="38"/>
  <c r="T83" i="38" s="1"/>
  <c r="AH53" i="38"/>
  <c r="AH83" i="38" s="1"/>
  <c r="X53" i="38"/>
  <c r="X83" i="38" s="1"/>
  <c r="L53" i="38"/>
  <c r="L83" i="38" s="1"/>
  <c r="AL53" i="38"/>
  <c r="AL83" i="38" s="1"/>
  <c r="R53" i="38"/>
  <c r="R83" i="38" s="1"/>
  <c r="AN53" i="38"/>
  <c r="AN83" i="38" s="1"/>
  <c r="N53" i="38"/>
  <c r="N83" i="38" s="1"/>
  <c r="AT53" i="38"/>
  <c r="AT83" i="38" s="1"/>
  <c r="B53" i="38"/>
  <c r="B83" i="38" s="1"/>
  <c r="AB53" i="38"/>
  <c r="AB83" i="38" s="1"/>
  <c r="V53" i="38"/>
  <c r="V83" i="38" s="1"/>
  <c r="AB53" i="21"/>
  <c r="AB83" i="21" s="1"/>
  <c r="AV53" i="21"/>
  <c r="AV83" i="21" s="1"/>
  <c r="AT53" i="21"/>
  <c r="AT83" i="21" s="1"/>
  <c r="AR53" i="21"/>
  <c r="AR83" i="21" s="1"/>
  <c r="P53" i="21"/>
  <c r="P83" i="21" s="1"/>
  <c r="L53" i="21"/>
  <c r="L83" i="21" s="1"/>
  <c r="AF53" i="21"/>
  <c r="AF83" i="21" s="1"/>
  <c r="AD53" i="21"/>
  <c r="AD83" i="21" s="1"/>
  <c r="AP53" i="21"/>
  <c r="AP83" i="21" s="1"/>
  <c r="F53" i="21"/>
  <c r="F83" i="21" s="1"/>
  <c r="N53" i="21"/>
  <c r="N83" i="21" s="1"/>
  <c r="V53" i="21"/>
  <c r="V83" i="21" s="1"/>
  <c r="T53" i="21"/>
  <c r="T83" i="21" s="1"/>
  <c r="H53" i="21"/>
  <c r="H83" i="21" s="1"/>
  <c r="J53" i="21"/>
  <c r="J83" i="21" s="1"/>
  <c r="Z53" i="21"/>
  <c r="Z83" i="21" s="1"/>
  <c r="R53" i="21"/>
  <c r="R83" i="21" s="1"/>
  <c r="B53" i="21"/>
  <c r="B83" i="21" s="1"/>
  <c r="AH53" i="21"/>
  <c r="AH83" i="21" s="1"/>
  <c r="X53" i="21"/>
  <c r="X83" i="21" s="1"/>
  <c r="D53" i="21"/>
  <c r="D83" i="21" s="1"/>
  <c r="AJ53" i="21"/>
  <c r="AJ83" i="21" s="1"/>
  <c r="AL53" i="21"/>
  <c r="AL83" i="21" s="1"/>
  <c r="AN53" i="21"/>
  <c r="AN83" i="21" s="1"/>
  <c r="AR53" i="24"/>
  <c r="AR83" i="24" s="1"/>
  <c r="H53" i="24"/>
  <c r="H83" i="24" s="1"/>
  <c r="P53" i="24"/>
  <c r="P83" i="24" s="1"/>
  <c r="AF53" i="24"/>
  <c r="AF83" i="24" s="1"/>
  <c r="L53" i="24"/>
  <c r="L83" i="24" s="1"/>
  <c r="AB53" i="24"/>
  <c r="AB83" i="24" s="1"/>
  <c r="AV53" i="24"/>
  <c r="AV83" i="24" s="1"/>
  <c r="X53" i="24"/>
  <c r="X83" i="24" s="1"/>
  <c r="AP53" i="24"/>
  <c r="AP83" i="24" s="1"/>
  <c r="Z53" i="24"/>
  <c r="Z83" i="24" s="1"/>
  <c r="AD53" i="24"/>
  <c r="AD83" i="24" s="1"/>
  <c r="AT53" i="24"/>
  <c r="AT83" i="24" s="1"/>
  <c r="B53" i="24"/>
  <c r="B83" i="24" s="1"/>
  <c r="N53" i="24"/>
  <c r="N83" i="24" s="1"/>
  <c r="AJ53" i="24"/>
  <c r="AJ83" i="24" s="1"/>
  <c r="R53" i="24"/>
  <c r="R83" i="24" s="1"/>
  <c r="D53" i="24"/>
  <c r="D83" i="24" s="1"/>
  <c r="AL53" i="24"/>
  <c r="AL83" i="24" s="1"/>
  <c r="T53" i="24"/>
  <c r="T83" i="24" s="1"/>
  <c r="J53" i="24"/>
  <c r="J83" i="24" s="1"/>
  <c r="F53" i="24"/>
  <c r="F83" i="24" s="1"/>
  <c r="AN53" i="24"/>
  <c r="AN83" i="24" s="1"/>
  <c r="V53" i="24"/>
  <c r="V83" i="24" s="1"/>
  <c r="AH53" i="24"/>
  <c r="AH83" i="24" s="1"/>
  <c r="AF53" i="18"/>
  <c r="AF83" i="18" s="1"/>
  <c r="AD53" i="18"/>
  <c r="AD83" i="18" s="1"/>
  <c r="D53" i="18"/>
  <c r="D83" i="18" s="1"/>
  <c r="AV53" i="18"/>
  <c r="AV83" i="18" s="1"/>
  <c r="AT53" i="18"/>
  <c r="AT83" i="18" s="1"/>
  <c r="P53" i="18"/>
  <c r="P83" i="18" s="1"/>
  <c r="N53" i="18"/>
  <c r="N83" i="18" s="1"/>
  <c r="AJ53" i="18"/>
  <c r="AJ83" i="18" s="1"/>
  <c r="X53" i="18"/>
  <c r="X83" i="18" s="1"/>
  <c r="Z53" i="18"/>
  <c r="Z83" i="18" s="1"/>
  <c r="J53" i="18"/>
  <c r="J83" i="18" s="1"/>
  <c r="AL53" i="18"/>
  <c r="AL83" i="18" s="1"/>
  <c r="H53" i="18"/>
  <c r="H83" i="18" s="1"/>
  <c r="AH53" i="18"/>
  <c r="AH83" i="18" s="1"/>
  <c r="B53" i="18"/>
  <c r="B83" i="18" s="1"/>
  <c r="AR53" i="18"/>
  <c r="AR83" i="18" s="1"/>
  <c r="F53" i="18"/>
  <c r="F83" i="18" s="1"/>
  <c r="L53" i="18"/>
  <c r="L83" i="18" s="1"/>
  <c r="AB53" i="18"/>
  <c r="AB83" i="18" s="1"/>
  <c r="AN53" i="18"/>
  <c r="AN83" i="18" s="1"/>
  <c r="T53" i="18"/>
  <c r="T83" i="18" s="1"/>
  <c r="AP53" i="18"/>
  <c r="AP83" i="18" s="1"/>
  <c r="R53" i="18"/>
  <c r="R83" i="18" s="1"/>
  <c r="V53" i="18"/>
  <c r="V83" i="18" s="1"/>
  <c r="D53" i="22"/>
  <c r="D83" i="22" s="1"/>
  <c r="AR53" i="22"/>
  <c r="AR83" i="22" s="1"/>
  <c r="P53" i="22"/>
  <c r="P83" i="22" s="1"/>
  <c r="AJ53" i="22"/>
  <c r="AJ83" i="22" s="1"/>
  <c r="AF53" i="22"/>
  <c r="AF83" i="22" s="1"/>
  <c r="AV53" i="22"/>
  <c r="AV83" i="22" s="1"/>
  <c r="AB53" i="22"/>
  <c r="AB83" i="22" s="1"/>
  <c r="T53" i="22"/>
  <c r="T83" i="22" s="1"/>
  <c r="L53" i="22"/>
  <c r="L83" i="22" s="1"/>
  <c r="AL53" i="22"/>
  <c r="AL83" i="22" s="1"/>
  <c r="AT53" i="22"/>
  <c r="AT83" i="22" s="1"/>
  <c r="Z53" i="22"/>
  <c r="Z83" i="22" s="1"/>
  <c r="AD53" i="22"/>
  <c r="AD83" i="22" s="1"/>
  <c r="N53" i="22"/>
  <c r="N83" i="22" s="1"/>
  <c r="AN53" i="22"/>
  <c r="AN83" i="22" s="1"/>
  <c r="H53" i="22"/>
  <c r="H83" i="22" s="1"/>
  <c r="B53" i="22"/>
  <c r="B83" i="22" s="1"/>
  <c r="AP53" i="22"/>
  <c r="AP83" i="22" s="1"/>
  <c r="F53" i="22"/>
  <c r="F83" i="22" s="1"/>
  <c r="V53" i="22"/>
  <c r="V83" i="22" s="1"/>
  <c r="AH53" i="22"/>
  <c r="AH83" i="22" s="1"/>
  <c r="X53" i="22"/>
  <c r="X83" i="22" s="1"/>
  <c r="R53" i="22"/>
  <c r="R83" i="22" s="1"/>
  <c r="J53" i="22"/>
  <c r="J83" i="22" s="1"/>
  <c r="AD53" i="11"/>
  <c r="AD83" i="11" s="1"/>
  <c r="B53" i="11"/>
  <c r="B83" i="11" s="1"/>
  <c r="AV53" i="11"/>
  <c r="AV83" i="11" s="1"/>
  <c r="N53" i="11"/>
  <c r="N83" i="11" s="1"/>
  <c r="AF53" i="11"/>
  <c r="AF83" i="11" s="1"/>
  <c r="P53" i="11"/>
  <c r="P83" i="11" s="1"/>
  <c r="AT53" i="11"/>
  <c r="AT83" i="11" s="1"/>
  <c r="AH53" i="11"/>
  <c r="AH83" i="11" s="1"/>
  <c r="Z53" i="11"/>
  <c r="Z83" i="11" s="1"/>
  <c r="D53" i="11"/>
  <c r="D83" i="11" s="1"/>
  <c r="AP53" i="11"/>
  <c r="AP83" i="11" s="1"/>
  <c r="AR53" i="11"/>
  <c r="AR83" i="11" s="1"/>
  <c r="R53" i="11"/>
  <c r="R83" i="11" s="1"/>
  <c r="T53" i="11"/>
  <c r="T83" i="11" s="1"/>
  <c r="V53" i="11"/>
  <c r="V83" i="11" s="1"/>
  <c r="X53" i="11"/>
  <c r="X83" i="11" s="1"/>
  <c r="J53" i="11"/>
  <c r="J83" i="11" s="1"/>
  <c r="L53" i="11"/>
  <c r="L83" i="11" s="1"/>
  <c r="AJ53" i="11"/>
  <c r="AJ83" i="11" s="1"/>
  <c r="AB53" i="11"/>
  <c r="AB83" i="11" s="1"/>
  <c r="H53" i="11"/>
  <c r="H83" i="11" s="1"/>
  <c r="F53" i="11"/>
  <c r="F83" i="11" s="1"/>
  <c r="AL53" i="11"/>
  <c r="AL83" i="11" s="1"/>
  <c r="AN53" i="11"/>
  <c r="AN83" i="11" s="1"/>
  <c r="K38" i="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K59" i="2" s="1" a="1"/>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W59" i="2" l="1"/>
  <c r="D28" i="2"/>
  <c r="AK58" i="2" a="1"/>
  <c r="AK58" i="2" s="1"/>
  <c r="O12" i="2"/>
  <c r="L10" i="2"/>
  <c r="M7" i="2"/>
  <c r="C24" i="2"/>
  <c r="C40" i="2" s="1" a="1"/>
  <c r="D40" i="2" s="1"/>
  <c r="H23" i="2" a="1"/>
  <c r="C26" i="2"/>
  <c r="D26" i="2"/>
  <c r="D25" i="2"/>
  <c r="C25" i="2"/>
  <c r="C42" i="2" a="1"/>
  <c r="C42" i="2" s="1"/>
  <c r="AE58" i="2" a="1"/>
  <c r="AE58"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W57" i="2" l="1"/>
  <c r="K37" i="2" a="1"/>
  <c r="C64" i="2" a="1"/>
  <c r="AG57" i="2"/>
  <c r="C58" i="2"/>
  <c r="D41" i="2" s="1"/>
  <c r="C64" i="2"/>
  <c r="Y57" i="2"/>
  <c r="AK57" i="2"/>
  <c r="Q4" i="2"/>
  <c r="Q3" i="2"/>
  <c r="L23" i="2"/>
  <c r="K23" i="2"/>
  <c r="AA57" i="2"/>
  <c r="U57" i="2"/>
  <c r="AC57" i="2"/>
  <c r="AE57" i="2"/>
  <c r="L37" i="2" l="1"/>
  <c r="K37" i="2"/>
  <c r="C41" i="2"/>
  <c r="N3" i="2" s="1" a="1"/>
  <c r="N4" i="2" s="1"/>
  <c r="C60" i="2" l="1" a="1"/>
  <c r="C60" i="2" s="1"/>
  <c r="K56" i="2" s="1"/>
  <c r="Q58" i="2" a="1"/>
  <c r="Q58" i="2" s="1"/>
  <c r="Q57" i="2" a="1"/>
  <c r="Q57" i="2" s="1"/>
  <c r="C56" i="2"/>
  <c r="N3" i="2"/>
  <c r="AI56" i="2" l="1" a="1"/>
  <c r="AI56" i="2" s="1"/>
  <c r="AG56" i="2" a="1"/>
  <c r="AG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X58" i="2" l="1"/>
  <c r="W58" i="2"/>
  <c r="AG58" i="2" a="1"/>
  <c r="AG58" i="2" s="1"/>
  <c r="AL58" i="2"/>
  <c r="AI58" i="2" a="1"/>
  <c r="AJ58" i="2" s="1"/>
  <c r="AA58" i="2" a="1"/>
  <c r="AA58" i="2" s="1"/>
  <c r="U58" i="2" a="1"/>
  <c r="V58" i="2" s="1"/>
  <c r="AF58" i="2"/>
  <c r="AD58" i="2"/>
  <c r="Z58" i="2"/>
  <c r="Q32" i="2" a="1"/>
  <c r="R32" i="2" s="1"/>
  <c r="Q45" i="2" a="1"/>
  <c r="R45" i="2" s="1"/>
  <c r="C46" i="2" a="1"/>
  <c r="Q48" i="2" a="1"/>
  <c r="Q35" i="2" a="1"/>
  <c r="H39" i="2" a="1"/>
  <c r="L3" i="2" a="1"/>
  <c r="AH58" i="2" l="1"/>
  <c r="AI58" i="2"/>
  <c r="U58" i="2"/>
  <c r="AB58" i="2"/>
  <c r="Q32" i="2"/>
  <c r="Q45" i="2"/>
  <c r="C46" i="2"/>
  <c r="D46" i="2"/>
  <c r="I39" i="2"/>
  <c r="H39" i="2"/>
  <c r="K39" i="2" s="1" a="1"/>
  <c r="Q48" i="2"/>
  <c r="R48" i="2"/>
  <c r="L3" i="2"/>
  <c r="M3" i="2"/>
  <c r="L4" i="2"/>
  <c r="M4" i="2"/>
  <c r="Q35" i="2"/>
  <c r="R35" i="2"/>
  <c r="K57" i="2" l="1"/>
  <c r="K59" i="2"/>
  <c r="W55" i="2"/>
  <c r="R3" i="2" a="1"/>
  <c r="R3" i="2" s="1"/>
  <c r="K39" i="2"/>
  <c r="L39" i="2"/>
  <c r="Y59" i="2" a="1"/>
  <c r="Y59" i="2"/>
  <c r="AG55" i="2" a="1"/>
  <c r="AG55" i="2" s="1"/>
  <c r="AG59" i="2" a="1"/>
  <c r="AG59" i="2" s="1"/>
  <c r="R4" i="2" a="1"/>
  <c r="R4" i="2" s="1"/>
  <c r="AK55" i="2"/>
  <c r="AI57" i="2" a="1"/>
  <c r="AI57" i="2" s="1"/>
  <c r="AE55" i="2"/>
  <c r="AC55" i="2"/>
  <c r="U55" i="2"/>
  <c r="AA55" i="2"/>
  <c r="Y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<sst xmlns="http://schemas.openxmlformats.org/spreadsheetml/2006/main" count="851" uniqueCount="187">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</sst>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5">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hartsheet" Target="chartsheets/sheet6.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externalLink" Target="externalLinks/externalLink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0.999999999999998</c:v>
                </c:pt>
                <c:pt idx="1">
                  <c:v>0.99447366321308817</c:v>
                </c:pt>
                <c:pt idx="2">
                  <c:v>0.98863928504590737</c:v>
                </c:pt>
                <c:pt idx="3">
                  <c:v>0.98245688081395566</c:v>
                </c:pt>
                <c:pt idx="4">
                  <c:v>0.97587843989315792</c:v>
                </c:pt>
                <c:pt idx="5">
                  <c:v>0.96884556612811923</c:v>
                </c:pt>
                <c:pt idx="6">
                  <c:v>0.96128625221827102</c:v>
                </c:pt>
                <c:pt idx="7">
                  <c:v>0.95311020392413792</c:v>
                </c:pt>
                <c:pt idx="8">
                  <c:v>0.94420189994090609</c:v>
                </c:pt>
                <c:pt idx="9">
                  <c:v>0.93441002521948868</c:v>
                </c:pt>
                <c:pt idx="10">
                  <c:v>0.92353040490247773</c:v>
                </c:pt>
                <c:pt idx="11">
                  <c:v>0.91127759590876967</c:v>
                </c:pt>
                <c:pt idx="12">
                  <c:v>0.89723447698612024</c:v>
                </c:pt>
                <c:pt idx="13">
                  <c:v>0.88075727069610521</c:v>
                </c:pt>
                <c:pt idx="14">
                  <c:v>0.86078286098416468</c:v>
                </c:pt>
                <c:pt idx="15">
                  <c:v>0.83540672831308249</c:v>
                </c:pt>
                <c:pt idx="16">
                  <c:v>0.80088968718164022</c:v>
                </c:pt>
                <c:pt idx="17">
                  <c:v>0.74922519457143255</c:v>
                </c:pt>
                <c:pt idx="18">
                  <c:v>0.66168618979955951</c:v>
                </c:pt>
                <c:pt idx="19">
                  <c:v>0.48115050034150508</c:v>
                </c:pt>
                <c:pt idx="20">
                  <c:v>0.41884379296672114</c:v>
                </c:pt>
                <c:pt idx="21">
                  <c:v>0.33954779553593528</c:v>
                </c:pt>
                <c:pt idx="22">
                  <c:v>0.23670255085740946</c:v>
                </c:pt>
                <c:pt idx="23">
                  <c:v>0.10629968998270858</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0.999999999999998</c:v>
                </c:pt>
                <c:pt idx="1">
                  <c:v>0.99835648065559235</c:v>
                </c:pt>
                <c:pt idx="2">
                  <c:v>0.99644386002287533</c:v>
                </c:pt>
                <c:pt idx="3">
                  <c:v>0.99422987977990096</c:v>
                </c:pt>
                <c:pt idx="4">
                  <c:v>0.99167601842830733</c:v>
                </c:pt>
                <c:pt idx="5">
                  <c:v>0.98873573442210272</c:v>
                </c:pt>
                <c:pt idx="6">
                  <c:v>0.98535203747214894</c:v>
                </c:pt>
                <c:pt idx="7">
                  <c:v>0.98145408692084268</c:v>
                </c:pt>
                <c:pt idx="8">
                  <c:v>0.97695220846554376</c:v>
                </c:pt>
                <c:pt idx="9">
                  <c:v>0.97173048069340684</c:v>
                </c:pt>
                <c:pt idx="10">
                  <c:v>0.96563512810459218</c:v>
                </c:pt>
                <c:pt idx="11">
                  <c:v>0.95845575448092235</c:v>
                </c:pt>
                <c:pt idx="12">
                  <c:v>0.94989322453788028</c:v>
                </c:pt>
                <c:pt idx="13">
                  <c:v>0.93950154949027298</c:v>
                </c:pt>
                <c:pt idx="14">
                  <c:v>0.92657394632115708</c:v>
                </c:pt>
                <c:pt idx="15">
                  <c:v>0.90990064006772187</c:v>
                </c:pt>
                <c:pt idx="16">
                  <c:v>0.88719783788471018</c:v>
                </c:pt>
                <c:pt idx="17">
                  <c:v>0.85359227795184478</c:v>
                </c:pt>
                <c:pt idx="18">
                  <c:v>0.79673069981310629</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0.99789423855811932</c:v>
                </c:pt>
                <c:pt idx="2">
                  <c:v>0.99537296485269977</c:v>
                </c:pt>
                <c:pt idx="3">
                  <c:v>0.99237958567328621</c:v>
                </c:pt>
                <c:pt idx="4">
                  <c:v>0.98884592823561812</c:v>
                </c:pt>
                <c:pt idx="5">
                  <c:v>0.98468892393764018</c:v>
                </c:pt>
                <c:pt idx="6">
                  <c:v>0.97980579842137949</c:v>
                </c:pt>
                <c:pt idx="7">
                  <c:v>0.97406732611841051</c:v>
                </c:pt>
                <c:pt idx="8">
                  <c:v>0.96730777633696396</c:v>
                </c:pt>
                <c:pt idx="9">
                  <c:v>0.95930941199306152</c:v>
                </c:pt>
                <c:pt idx="10">
                  <c:v>0.94977784258756459</c:v>
                </c:pt>
                <c:pt idx="11">
                  <c:v>0.93830113707549367</c:v>
                </c:pt>
                <c:pt idx="12">
                  <c:v>0.92427860103316728</c:v>
                </c:pt>
                <c:pt idx="13">
                  <c:v>0.90679055884660875</c:v>
                </c:pt>
                <c:pt idx="14">
                  <c:v>0.88434963265085353</c:v>
                </c:pt>
                <c:pt idx="15">
                  <c:v>0.85441295093365555</c:v>
                </c:pt>
                <c:pt idx="16">
                  <c:v>0.81243162705890126</c:v>
                </c:pt>
                <c:pt idx="17">
                  <c:v>0.74994186017707209</c:v>
                </c:pt>
                <c:pt idx="18">
                  <c:v>0.64948099060639797</c:v>
                </c:pt>
                <c:pt idx="19">
                  <c:v>0.46476536716926015</c:v>
                </c:pt>
                <c:pt idx="20">
                  <c:v>0.40734468798779588</c:v>
                </c:pt>
                <c:pt idx="21">
                  <c:v>0.3379880894319785</c:v>
                </c:pt>
                <c:pt idx="22">
                  <c:v>0.25229610600956093</c:v>
                </c:pt>
                <c:pt idx="23">
                  <c:v>0.14335126240857823</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0.999999999999998</c:v>
                </c:pt>
                <c:pt idx="1">
                  <c:v>1.0083973575718683</c:v>
                </c:pt>
                <c:pt idx="2">
                  <c:v>1.0165240976770251</c:v>
                </c:pt>
                <c:pt idx="3">
                  <c:v>1.0243718203389249</c:v>
                </c:pt>
                <c:pt idx="4">
                  <c:v>1.031929604618355</c:v>
                </c:pt>
                <c:pt idx="5">
                  <c:v>1.0391840422896437</c:v>
                </c:pt>
                <c:pt idx="6">
                  <c:v>1.0461190861437148</c:v>
                </c:pt>
                <c:pt idx="7">
                  <c:v>1.052716744320259</c:v>
                </c:pt>
                <c:pt idx="8">
                  <c:v>1.0589581534167491</c:v>
                </c:pt>
                <c:pt idx="9">
                  <c:v>1.0648265795374336</c:v>
                </c:pt>
                <c:pt idx="10">
                  <c:v>1.0703138944057373</c:v>
                </c:pt>
                <c:pt idx="11">
                  <c:v>1.0754350717029195</c:v>
                </c:pt>
                <c:pt idx="12">
                  <c:v>1.0802594842197486</c:v>
                </c:pt>
                <c:pt idx="13">
                  <c:v>1.0849801054637678</c:v>
                </c:pt>
                <c:pt idx="14">
                  <c:v>1.0900629657006373</c:v>
                </c:pt>
                <c:pt idx="15">
                  <c:v>1.0965291674760924</c:v>
                </c:pt>
                <c:pt idx="16">
                  <c:v>1.1061908746498113</c:v>
                </c:pt>
                <c:pt idx="17">
                  <c:v>1.1204318088706291</c:v>
                </c:pt>
                <c:pt idx="18">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0.999999999999998</c:v>
                </c:pt>
                <c:pt idx="1">
                  <c:v>0.981245836919176</c:v>
                </c:pt>
                <c:pt idx="2">
                  <c:v>0.96068509562756665</c:v>
                </c:pt>
                <c:pt idx="3">
                  <c:v>0.93810431788065163</c:v>
                </c:pt>
                <c:pt idx="4">
                  <c:v>0.9132617949501457</c:v>
                </c:pt>
                <c:pt idx="5">
                  <c:v>0.88588574292466138</c:v>
                </c:pt>
                <c:pt idx="6">
                  <c:v>0.85567537356793655</c:v>
                </c:pt>
                <c:pt idx="7">
                  <c:v>0.82230837797779677</c:v>
                </c:pt>
                <c:pt idx="8">
                  <c:v>0.78545781314432739</c:v>
                </c:pt>
                <c:pt idx="9">
                  <c:v>0.74483206969972804</c:v>
                </c:pt>
                <c:pt idx="10">
                  <c:v>0.70026424964188705</c:v>
                </c:pt>
                <c:pt idx="11">
                  <c:v>0.65192888505381763</c:v>
                </c:pt>
                <c:pt idx="12">
                  <c:v>0.60099529144620667</c:v>
                </c:pt>
                <c:pt idx="1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0.999999999999998</c:v>
                </c:pt>
                <c:pt idx="1">
                  <c:v>1.0019901929943549</c:v>
                </c:pt>
                <c:pt idx="2">
                  <c:v>1.0033441965017904</c:v>
                </c:pt>
                <c:pt idx="3">
                  <c:v>1.0040091687830333</c:v>
                </c:pt>
                <c:pt idx="4">
                  <c:v>1.0039169608094913</c:v>
                </c:pt>
                <c:pt idx="5">
                  <c:v>1.0029799752186124</c:v>
                </c:pt>
                <c:pt idx="6">
                  <c:v>1.0010853821225667</c:v>
                </c:pt>
                <c:pt idx="7">
                  <c:v>0.99808670530081389</c:v>
                </c:pt>
                <c:pt idx="8">
                  <c:v>0.99379142023970168</c:v>
                </c:pt>
                <c:pt idx="9">
                  <c:v>0.98794213725547986</c:v>
                </c:pt>
                <c:pt idx="10">
                  <c:v>0.9801871154991717</c:v>
                </c:pt>
                <c:pt idx="11">
                  <c:v>0.97003207882758635</c:v>
                </c:pt>
                <c:pt idx="12">
                  <c:v>0.95675718341925275</c:v>
                </c:pt>
                <c:pt idx="13">
                  <c:v>0.93926621283722722</c:v>
                </c:pt>
                <c:pt idx="14">
                  <c:v>0.91579020472582329</c:v>
                </c:pt>
                <c:pt idx="15">
                  <c:v>0.8832559389983119</c:v>
                </c:pt>
                <c:pt idx="16">
                  <c:v>0.83580934881462554</c:v>
                </c:pt>
                <c:pt idx="17">
                  <c:v>0.76108914831555985</c:v>
                </c:pt>
                <c:pt idx="18">
                  <c:v>0.63095501580394109</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0.999999999999998</c:v>
                </c:pt>
                <c:pt idx="1">
                  <c:v>0.99140039521925905</c:v>
                </c:pt>
                <c:pt idx="2">
                  <c:v>0.98217927498423141</c:v>
                </c:pt>
                <c:pt idx="3">
                  <c:v>0.97223855897960954</c:v>
                </c:pt>
                <c:pt idx="4">
                  <c:v>0.96145667236898635</c:v>
                </c:pt>
                <c:pt idx="5">
                  <c:v>0.94968137950459874</c:v>
                </c:pt>
                <c:pt idx="6">
                  <c:v>0.93671886642287672</c:v>
                </c:pt>
                <c:pt idx="7">
                  <c:v>0.92231874503094657</c:v>
                </c:pt>
                <c:pt idx="8">
                  <c:v>0.90615171650176596</c:v>
                </c:pt>
                <c:pt idx="9">
                  <c:v>0.88777642695936043</c:v>
                </c:pt>
                <c:pt idx="10">
                  <c:v>0.86658926649098023</c:v>
                </c:pt>
                <c:pt idx="11">
                  <c:v>0.84174648287509546</c:v>
                </c:pt>
                <c:pt idx="12">
                  <c:v>0.81204430452636944</c:v>
                </c:pt>
                <c:pt idx="13">
                  <c:v>0.7757336457248214</c:v>
                </c:pt>
                <c:pt idx="14">
                  <c:v>0.73024950184020987</c:v>
                </c:pt>
                <c:pt idx="15">
                  <c:v>0.67186569141357211</c:v>
                </c:pt>
                <c:pt idx="16">
                  <c:v>0.59542332071595427</c:v>
                </c:pt>
                <c:pt idx="17">
                  <c:v>0.49458455733621587</c:v>
                </c:pt>
                <c:pt idx="18">
                  <c:v>0.36327460523545752</c:v>
                </c:pt>
                <c:pt idx="19">
                  <c:v>0.19813066266240398</c:v>
                </c:pt>
                <c:pt idx="20">
                  <c:v>0.16104579571141847</c:v>
                </c:pt>
                <c:pt idx="21">
                  <c:v>0.12265717387870916</c:v>
                </c:pt>
                <c:pt idx="22">
                  <c:v>8.29960696265402E-2</c:v>
                </c:pt>
                <c:pt idx="23">
                  <c:v>4.2097619679436871E-2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0.999999999999998</c:v>
                </c:pt>
                <c:pt idx="1">
                  <c:v>0.99041683689647653</c:v>
                </c:pt>
                <c:pt idx="2">
                  <c:v>0.98003933355201367</c:v>
                </c:pt>
                <c:pt idx="3">
                  <c:v>0.96872705258166925</c:v>
                </c:pt>
                <c:pt idx="4">
                  <c:v>0.95630301674708107</c:v>
                </c:pt>
                <c:pt idx="5">
                  <c:v>0.94254274599272103</c:v>
                </c:pt>
                <c:pt idx="6">
                  <c:v>0.92715670383282989</c:v>
                </c:pt>
                <c:pt idx="7">
                  <c:v>0.90976786863890913</c:v>
                </c:pt>
                <c:pt idx="8">
                  <c:v>0.88987956996681827</c:v>
                </c:pt>
                <c:pt idx="9">
                  <c:v>0.86683254052946146</c:v>
                </c:pt>
                <c:pt idx="10">
                  <c:v>0.83975070474116031</c:v>
                </c:pt>
                <c:pt idx="11">
                  <c:v>0.80748234120879492</c:v>
                </c:pt>
                <c:pt idx="12">
                  <c:v>0.76856623237725619</c:v>
                </c:pt>
                <c:pt idx="13">
                  <c:v>0.7213031606995971</c:v>
                </c:pt>
                <c:pt idx="14">
                  <c:v>0.66410714125562453</c:v>
                </c:pt>
                <c:pt idx="15">
                  <c:v>0.59637832936067359</c:v>
                </c:pt>
                <c:pt idx="16">
                  <c:v>0.51977669614987954</c:v>
                </c:pt>
                <c:pt idx="17">
                  <c:v>0.43827736395726002</c:v>
                </c:pt>
                <c:pt idx="18">
                  <c:v>0.35397456545479883</c:v>
                </c:pt>
                <c:pt idx="19">
                  <c:v>0.25675115660235215</c:v>
                </c:pt>
                <c:pt idx="20">
                  <c:v>0.23222310151628486</c:v>
                </c:pt>
                <c:pt idx="21">
                  <c:v>0.20380828104289822</c:v>
                </c:pt>
                <c:pt idx="22">
                  <c:v>0.16899465190055271</c:v>
                </c:pt>
                <c:pt idx="23">
                  <c:v>0.12166363668124569</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4.2804577648347795E-2</c:v>
                </c:pt>
                <c:pt idx="2">
                  <c:v>8.3342102831293022E-2</c:v>
                </c:pt>
                <c:pt idx="3">
                  <c:v>0.12795703565120103</c:v>
                </c:pt>
                <c:pt idx="4">
                  <c:v>0.17736411382330258</c:v>
                </c:pt>
                <c:pt idx="5">
                  <c:v>0.23246766553234077</c:v>
                </c:pt>
                <c:pt idx="6">
                  <c:v>0.29443517211798176</c:v>
                </c:pt>
                <c:pt idx="7">
                  <c:v>0.3648062370424589</c:v>
                </c:pt>
                <c:pt idx="8">
                  <c:v>0.44566493052258627</c:v>
                </c:pt>
                <c:pt idx="9">
                  <c:v>0.53992106346696778</c:v>
                </c:pt>
                <c:pt idx="10">
                  <c:v>0.65179258536205542</c:v>
                </c:pt>
                <c:pt idx="11">
                  <c:v>0.78767926175228897</c:v>
                </c:pt>
                <c:pt idx="12">
                  <c:v>0.95785351428430521</c:v>
                </c:pt>
                <c:pt idx="13">
                  <c:v>1.1800052950839341</c:v>
                </c:pt>
                <c:pt idx="14">
                  <c:v>1.4874210775012866</c:v>
                </c:pt>
                <c:pt idx="15">
                  <c:v>1.9502138890305662</c:v>
                </c:pt>
                <c:pt idx="16">
                  <c:v>2.7385963094319736</c:v>
                </c:pt>
                <c:pt idx="17">
                  <c:v>4.3430696226282688</c:v>
                </c:pt>
                <c:pt idx="18">
                  <c:v>8.5198105663695998</c:v>
                </c:pt>
                <c:pt idx="19">
                  <c:v>25.113983030193388</c:v>
                </c:pt>
                <c:pt idx="20">
                  <c:v>34.297001763448897</c:v>
                </c:pt>
                <c:pt idx="21">
                  <c:v>49.656911200709729</c:v>
                </c:pt>
                <c:pt idx="22">
                  <c:v>78.32468847610906</c:v>
                </c:pt>
                <c:pt idx="23">
                  <c:v>141.75178397083008</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4.498793784335528E-2</c:v>
                </c:pt>
                <c:pt idx="2">
                  <c:v>8.7818080562676079E-2</c:v>
                </c:pt>
                <c:pt idx="3">
                  <c:v>0.13484765708944241</c:v>
                </c:pt>
                <c:pt idx="4">
                  <c:v>0.18680577333457396</c:v>
                </c:pt>
                <c:pt idx="5">
                  <c:v>0.24461633968937727</c:v>
                </c:pt>
                <c:pt idx="6">
                  <c:v>0.30947005059658883</c:v>
                </c:pt>
                <c:pt idx="7">
                  <c:v>0.38293696094941704</c:v>
                </c:pt>
                <c:pt idx="8">
                  <c:v>0.46714208506171412</c:v>
                </c:pt>
                <c:pt idx="9">
                  <c:v>0.56505260217226272</c:v>
                </c:pt>
                <c:pt idx="10">
                  <c:v>0.68097132057171106</c:v>
                </c:pt>
                <c:pt idx="11">
                  <c:v>0.82143071478519458</c:v>
                </c:pt>
                <c:pt idx="12">
                  <c:v>0.99692492903366947</c:v>
                </c:pt>
                <c:pt idx="13">
                  <c:v>1.2255431635882315</c:v>
                </c:pt>
                <c:pt idx="14">
                  <c:v>1.5413513899213398</c:v>
                </c:pt>
                <c:pt idx="15">
                  <c:v>2.0161408729758517</c:v>
                </c:pt>
                <c:pt idx="16">
                  <c:v>2.8241427328223887</c:v>
                </c:pt>
                <c:pt idx="17">
                  <c:v>4.4664716371485191</c:v>
                </c:pt>
                <c:pt idx="18">
                  <c:v>8.7296555757122718</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5.5014439997918968E-2</c:v>
                </c:pt>
                <c:pt idx="2">
                  <c:v>0.10906958458026007</c:v>
                </c:pt>
                <c:pt idx="3">
                  <c:v>0.16872438292690839</c:v>
                </c:pt>
                <c:pt idx="4">
                  <c:v>0.23496769938343354</c:v>
                </c:pt>
                <c:pt idx="5">
                  <c:v>0.30906615374944901</c:v>
                </c:pt>
                <c:pt idx="6">
                  <c:v>0.3926801580131119</c:v>
                </c:pt>
                <c:pt idx="7">
                  <c:v>0.48804509618252229</c:v>
                </c:pt>
                <c:pt idx="8">
                  <c:v>0.59826652270557557</c:v>
                </c:pt>
                <c:pt idx="9">
                  <c:v>0.72782096900058313</c:v>
                </c:pt>
                <c:pt idx="10">
                  <c:v>0.88344313079603487</c:v>
                </c:pt>
                <c:pt idx="11">
                  <c:v>1.0757925162930242</c:v>
                </c:pt>
                <c:pt idx="12">
                  <c:v>1.3227809634877583</c:v>
                </c:pt>
                <c:pt idx="13">
                  <c:v>1.6567067892971499</c:v>
                </c:pt>
                <c:pt idx="14">
                  <c:v>2.1407933646851998</c:v>
                </c:pt>
                <c:pt idx="15">
                  <c:v>2.9104917708887981</c:v>
                </c:pt>
                <c:pt idx="16">
                  <c:v>4.2833747151355865</c:v>
                </c:pt>
                <c:pt idx="17">
                  <c:v>7.0803307977105927</c:v>
                </c:pt>
                <c:pt idx="18">
                  <c:v>13.877653156371668</c:v>
                </c:pt>
                <c:pt idx="19">
                  <c:v>37.473069560641029</c:v>
                </c:pt>
                <c:pt idx="20">
                  <c:v>49.321891324375379</c:v>
                </c:pt>
                <c:pt idx="21">
                  <c:v>67.974409258132326</c:v>
                </c:pt>
                <c:pt idx="22">
                  <c:v>100.12194069275338</c:v>
                </c:pt>
                <c:pt idx="23">
                  <c:v>163.76263899729508</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4.6056242055600119E-2</c:v>
                </c:pt>
                <c:pt idx="2">
                  <c:v>9.0355773714879517E-2</c:v>
                </c:pt>
                <c:pt idx="3">
                  <c:v>0.13938216944410842</c:v>
                </c:pt>
                <c:pt idx="4">
                  <c:v>0.19403846164078747</c:v>
                </c:pt>
                <c:pt idx="5">
                  <c:v>0.25549231806966299</c:v>
                </c:pt>
                <c:pt idx="6">
                  <c:v>0.32528761759660207</c:v>
                </c:pt>
                <c:pt idx="7">
                  <c:v>0.40552011199900906</c:v>
                </c:pt>
                <c:pt idx="8">
                  <c:v>0.49912119956363959</c:v>
                </c:pt>
                <c:pt idx="9">
                  <c:v>0.6103488658813806</c:v>
                </c:pt>
                <c:pt idx="10">
                  <c:v>0.74565865537671006</c:v>
                </c:pt>
                <c:pt idx="11">
                  <c:v>0.91538559960952104</c:v>
                </c:pt>
                <c:pt idx="12">
                  <c:v>1.1371926020304564</c:v>
                </c:pt>
                <c:pt idx="13">
                  <c:v>1.4438394408782182</c:v>
                </c:pt>
                <c:pt idx="14">
                  <c:v>1.9025515393831385</c:v>
                </c:pt>
                <c:pt idx="15">
                  <c:v>2.6690574956140756</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3.0883928244494003E-2</c:v>
                </c:pt>
                <c:pt idx="2">
                  <c:v>5.734226788759738E-2</c:v>
                </c:pt>
                <c:pt idx="3">
                  <c:v>8.5196393665276468E-2</c:v>
                </c:pt>
                <c:pt idx="4">
                  <c:v>0.11447773295340509</c:v>
                </c:pt>
                <c:pt idx="5">
                  <c:v>0.14518813678405584</c:v>
                </c:pt>
                <c:pt idx="6">
                  <c:v>0.17728353598760505</c:v>
                </c:pt>
                <c:pt idx="7">
                  <c:v>0.21065196964339525</c:v>
                </c:pt>
                <c:pt idx="8">
                  <c:v>0.245080412692806</c:v>
                </c:pt>
                <c:pt idx="9">
                  <c:v>0.28020701842999696</c:v>
                </c:pt>
                <c:pt idx="10">
                  <c:v>0.31544438569309446</c:v>
                </c:pt>
                <c:pt idx="11">
                  <c:v>0.34982572018994967</c:v>
                </c:pt>
                <c:pt idx="12">
                  <c:v>0.38157990129323077</c:v>
                </c:pt>
                <c:pt idx="13">
                  <c:v>0</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4.7277520300705055E-2</c:v>
                </c:pt>
                <c:pt idx="2">
                  <c:v>9.2395738800707256E-2</c:v>
                </c:pt>
                <c:pt idx="3">
                  <c:v>0.14170320786651835</c:v>
                </c:pt>
                <c:pt idx="4">
                  <c:v>0.19591217686843618</c:v>
                </c:pt>
                <c:pt idx="5">
                  <c:v>0.25591744332239286</c:v>
                </c:pt>
                <c:pt idx="6">
                  <c:v>0.32286132689618297</c:v>
                </c:pt>
                <c:pt idx="7">
                  <c:v>0.39823377496238943</c:v>
                </c:pt>
                <c:pt idx="8">
                  <c:v>0.48402562006860533</c:v>
                </c:pt>
                <c:pt idx="9">
                  <c:v>0.58297296222676409</c:v>
                </c:pt>
                <c:pt idx="10">
                  <c:v>0.69896495450229268</c:v>
                </c:pt>
                <c:pt idx="11">
                  <c:v>0.83775184300514982</c:v>
                </c:pt>
                <c:pt idx="12">
                  <c:v>1.0082482314391579</c:v>
                </c:pt>
                <c:pt idx="13">
                  <c:v>1.225072281475436</c:v>
                </c:pt>
                <c:pt idx="14">
                  <c:v>1.5138304836060432</c:v>
                </c:pt>
                <c:pt idx="15">
                  <c:v>1.9228675519694312</c:v>
                </c:pt>
                <c:pt idx="16">
                  <c:v>2.5504948050101985</c:v>
                </c:pt>
                <c:pt idx="17">
                  <c:v>3.6041131059727207</c:v>
                </c:pt>
                <c:pt idx="18">
                  <c:v>5.4653836467725379</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3.8435328054305065E-2</c:v>
                </c:pt>
                <c:pt idx="2">
                  <c:v>7.3748899408382529E-2</c:v>
                </c:pt>
                <c:pt idx="3">
                  <c:v>0.1120598390453192</c:v>
                </c:pt>
                <c:pt idx="4">
                  <c:v>0.153776671470743</c:v>
                </c:pt>
                <c:pt idx="5">
                  <c:v>0.19938220935562889</c:v>
                </c:pt>
                <c:pt idx="6">
                  <c:v>0.24944849825071935</c:v>
                </c:pt>
                <c:pt idx="7">
                  <c:v>0.30465539205764075</c:v>
                </c:pt>
                <c:pt idx="8">
                  <c:v>0.36581159899488963</c:v>
                </c:pt>
                <c:pt idx="9">
                  <c:v>0.43387929034989597</c:v>
                </c:pt>
                <c:pt idx="10">
                  <c:v>0.51000678959503221</c:v>
                </c:pt>
                <c:pt idx="11">
                  <c:v>0.59558632520820309</c:v>
                </c:pt>
                <c:pt idx="12">
                  <c:v>0.69241624785819667</c:v>
                </c:pt>
                <c:pt idx="13">
                  <c:v>0.80325094597796975</c:v>
                </c:pt>
                <c:pt idx="14">
                  <c:v>0.93372753018750365</c:v>
                </c:pt>
                <c:pt idx="15">
                  <c:v>1.098916298120477</c:v>
                </c:pt>
                <c:pt idx="16">
                  <c:v>1.3449877227712368</c:v>
                </c:pt>
                <c:pt idx="17">
                  <c:v>1.8258208718609898</c:v>
                </c:pt>
                <c:pt idx="18">
                  <c:v>3.16681223693665</c:v>
                </c:pt>
                <c:pt idx="19">
                  <c:v>9.5035508869806389</c:v>
                </c:pt>
                <c:pt idx="20">
                  <c:v>13.475356377908708</c:v>
                </c:pt>
                <c:pt idx="21">
                  <c:v>20.838181447802533</c:v>
                </c:pt>
                <c:pt idx="22">
                  <c:v>37.430528592974014</c:v>
                </c:pt>
                <c:pt idx="23">
                  <c:v>94.795345351745638</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3.9580833161691011E-2</c:v>
                </c:pt>
                <c:pt idx="2">
                  <c:v>7.6344237872326859E-2</c:v>
                </c:pt>
                <c:pt idx="3">
                  <c:v>0.11649269626001767</c:v>
                </c:pt>
                <c:pt idx="4">
                  <c:v>0.1605483641619512</c:v>
                </c:pt>
                <c:pt idx="5">
                  <c:v>0.20914992403627541</c:v>
                </c:pt>
                <c:pt idx="6">
                  <c:v>0.2630883664821233</c:v>
                </c:pt>
                <c:pt idx="7">
                  <c:v>0.32335535558258921</c:v>
                </c:pt>
                <c:pt idx="8">
                  <c:v>0.39121154023071875</c:v>
                </c:pt>
                <c:pt idx="9">
                  <c:v>0.4682829471858333</c:v>
                </c:pt>
                <c:pt idx="10">
                  <c:v>0.55669902453785669</c:v>
                </c:pt>
                <c:pt idx="11">
                  <c:v>0.65928798502492991</c:v>
                </c:pt>
                <c:pt idx="12">
                  <c:v>0.77984884859241632</c:v>
                </c:pt>
                <c:pt idx="13">
                  <c:v>0.92350025665234559</c:v>
                </c:pt>
                <c:pt idx="14">
                  <c:v>1.0970385343435798</c:v>
                </c:pt>
                <c:pt idx="15">
                  <c:v>1.3090260800753812</c:v>
                </c:pt>
                <c:pt idx="16">
                  <c:v>1.5688463204017444</c:v>
                </c:pt>
                <c:pt idx="17">
                  <c:v>1.8834906266024611</c:v>
                </c:pt>
                <c:pt idx="18">
                  <c:v>2.2518838266430499</c:v>
                </c:pt>
                <c:pt idx="19">
                  <c:v>2.6608439425400672</c:v>
                </c:pt>
                <c:pt idx="20">
                  <c:v>2.7456435919112412</c:v>
                </c:pt>
                <c:pt idx="21">
                  <c:v>2.8310080457366782</c:v>
                </c:pt>
                <c:pt idx="22">
                  <c:v>2.9167553320251627</c:v>
                </c:pt>
                <c:pt idx="23">
                  <c:v>3.002711543661388</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1.0011202207686523</c:v>
                </c:pt>
                <c:pt idx="2">
                  <c:v>1.0021050480053799</c:v>
                </c:pt>
                <c:pt idx="3">
                  <c:v>1.0029343661414605</c:v>
                </c:pt>
                <c:pt idx="4">
                  <c:v>1.0035834775126973</c:v>
                </c:pt>
                <c:pt idx="5">
                  <c:v>1.0040219547518312</c:v>
                </c:pt>
                <c:pt idx="6">
                  <c:v>1.0042116569527084</c:v>
                </c:pt>
                <c:pt idx="7">
                  <c:v>1.0041041789052152</c:v>
                </c:pt>
                <c:pt idx="8">
                  <c:v>1.0036370109886228</c:v>
                </c:pt>
                <c:pt idx="9">
                  <c:v>1.002727890762892</c:v>
                </c:pt>
                <c:pt idx="10">
                  <c:v>1.0012659360272032</c:v>
                </c:pt>
                <c:pt idx="11">
                  <c:v>0.99909741348072645</c:v>
                </c:pt>
                <c:pt idx="12">
                  <c:v>0.99600135612425333</c:v>
                </c:pt>
                <c:pt idx="13">
                  <c:v>0.9916449752197446</c:v>
                </c:pt>
                <c:pt idx="14">
                  <c:v>0.98549441000327087</c:v>
                </c:pt>
                <c:pt idx="15">
                  <c:v>0.97661439069104206</c:v>
                </c:pt>
                <c:pt idx="16">
                  <c:v>0.96314718067665384</c:v>
                </c:pt>
                <c:pt idx="17">
                  <c:v>0.94070528289420829</c:v>
                </c:pt>
                <c:pt idx="18">
                  <c:v>0.89645994996596146</c:v>
                </c:pt>
                <c:pt idx="19">
                  <c:v>0.77903133142074443</c:v>
                </c:pt>
                <c:pt idx="20">
                  <c:v>0.73007708960898132</c:v>
                </c:pt>
                <c:pt idx="21">
                  <c:v>0.66045450235211578</c:v>
                </c:pt>
                <c:pt idx="22">
                  <c:v>0.55422866868298515</c:v>
                </c:pt>
                <c:pt idx="23">
                  <c:v>0.37344284323352112</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1.0011649703796801</c:v>
                </c:pt>
                <c:pt idx="2">
                  <c:v>1.0021927077530772</c:v>
                </c:pt>
                <c:pt idx="3">
                  <c:v>1.0030629101434045</c:v>
                </c:pt>
                <c:pt idx="4">
                  <c:v>1.003750789022972</c:v>
                </c:pt>
                <c:pt idx="5">
                  <c:v>1.0042256649559307</c:v>
                </c:pt>
                <c:pt idx="6">
                  <c:v>1.0044491881336675</c:v>
                </c:pt>
                <c:pt idx="7">
                  <c:v>1.0043726786980134</c:v>
                </c:pt>
                <c:pt idx="8">
                  <c:v>1.0039332964741086</c:v>
                </c:pt>
                <c:pt idx="9">
                  <c:v>1.0030483756949644</c:v>
                </c:pt>
                <c:pt idx="10">
                  <c:v>1.0016065477840919</c:v>
                </c:pt>
                <c:pt idx="11">
                  <c:v>0.9994534833481723</c:v>
                </c:pt>
                <c:pt idx="12">
                  <c:v>0.9963674686834969</c:v>
                </c:pt>
                <c:pt idx="13">
                  <c:v>0.99201483854812966</c:v>
                </c:pt>
                <c:pt idx="14">
                  <c:v>0.98586048989755981</c:v>
                </c:pt>
                <c:pt idx="15">
                  <c:v>0.97696725887186142</c:v>
                </c:pt>
                <c:pt idx="16">
                  <c:v>0.96347382306882812</c:v>
                </c:pt>
                <c:pt idx="17">
                  <c:v>0.94098387098392544</c:v>
                </c:pt>
                <c:pt idx="18">
                  <c:v>0.89664951557727834</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1.0015289785555348</c:v>
                </c:pt>
                <c:pt idx="2">
                  <c:v>1.0029389599012843</c:v>
                </c:pt>
                <c:pt idx="3">
                  <c:v>1.0042107820083273</c:v>
                </c:pt>
                <c:pt idx="4">
                  <c:v>1.005320929829697</c:v>
                </c:pt>
                <c:pt idx="5">
                  <c:v>1.0062403481049549</c:v>
                </c:pt>
                <c:pt idx="6">
                  <c:v>1.0069326964785943</c:v>
                </c:pt>
                <c:pt idx="7">
                  <c:v>1.0073521228780264</c:v>
                </c:pt>
                <c:pt idx="8">
                  <c:v>1.0074401053094406</c:v>
                </c:pt>
                <c:pt idx="9">
                  <c:v>1.0071208201288337</c:v>
                </c:pt>
                <c:pt idx="10">
                  <c:v>1.0062943564966955</c:v>
                </c:pt>
                <c:pt idx="11">
                  <c:v>1.0048261036197557</c:v>
                </c:pt>
                <c:pt idx="12">
                  <c:v>1.002528917129883</c:v>
                </c:pt>
                <c:pt idx="13">
                  <c:v>0.99912972284624169</c:v>
                </c:pt>
                <c:pt idx="14">
                  <c:v>0.99419645669163381</c:v>
                </c:pt>
                <c:pt idx="15">
                  <c:v>0.98694420254539583</c:v>
                </c:pt>
                <c:pt idx="16">
                  <c:v>0.97563262694565345</c:v>
                </c:pt>
                <c:pt idx="17">
                  <c:v>0.9556288099469229</c:v>
                </c:pt>
                <c:pt idx="18">
                  <c:v>0.91310199365386224</c:v>
                </c:pt>
                <c:pt idx="19">
                  <c:v>0.79407417329659269</c:v>
                </c:pt>
                <c:pt idx="20">
                  <c:v>0.74364475154977905</c:v>
                </c:pt>
                <c:pt idx="21">
                  <c:v>0.6716949648070919</c:v>
                </c:pt>
                <c:pt idx="22">
                  <c:v>0.56190796753386985</c:v>
                </c:pt>
                <c:pt idx="23">
                  <c:v>0.3761608095396004</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1.0116634064365475</c:v>
                </c:pt>
                <c:pt idx="2">
                  <c:v>1.0232554364830282</c:v>
                </c:pt>
                <c:pt idx="3">
                  <c:v>1.0347855401939408</c:v>
                </c:pt>
                <c:pt idx="4">
                  <c:v>1.0462639389310624</c:v>
                </c:pt>
                <c:pt idx="5">
                  <c:v>1.0577026651786023</c:v>
                </c:pt>
                <c:pt idx="6">
                  <c:v>1.069116855701951</c:v>
                </c:pt>
                <c:pt idx="7">
                  <c:v>1.0805276077256971</c:v>
                </c:pt>
                <c:pt idx="8">
                  <c:v>1.0919665242856109</c:v>
                </c:pt>
                <c:pt idx="9">
                  <c:v>1.1034839825272735</c:v>
                </c:pt>
                <c:pt idx="10">
                  <c:v>1.1151648536912042</c:v>
                </c:pt>
                <c:pt idx="11">
                  <c:v>1.1271588617602393</c:v>
                </c:pt>
                <c:pt idx="12">
                  <c:v>1.1397410063291953</c:v>
                </c:pt>
                <c:pt idx="13">
                  <c:v>1.153436459201876</c:v>
                </c:pt>
                <c:pt idx="14">
                  <c:v>1.169278465554932</c:v>
                </c:pt>
                <c:pt idx="15">
                  <c:v>1.1892891236902055</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0.98303926401700381</c:v>
                </c:pt>
                <c:pt idx="2">
                  <c:v>0.96423187300267066</c:v>
                </c:pt>
                <c:pt idx="3">
                  <c:v>0.94334844256411921</c:v>
                </c:pt>
                <c:pt idx="4">
                  <c:v>0.92012817291364302</c:v>
                </c:pt>
                <c:pt idx="5">
                  <c:v>0.89427655387987659</c:v>
                </c:pt>
                <c:pt idx="6">
                  <c:v>0.86546611193740752</c:v>
                </c:pt>
                <c:pt idx="7">
                  <c:v>0.83334391560603838</c:v>
                </c:pt>
                <c:pt idx="8">
                  <c:v>0.79754913123003601</c:v>
                </c:pt>
                <c:pt idx="9">
                  <c:v>0.75775521021391024</c:v>
                </c:pt>
                <c:pt idx="10">
                  <c:v>0.71376485302380688</c:v>
                </c:pt>
                <c:pt idx="11">
                  <c:v>0.66574067952197147</c:v>
                </c:pt>
                <c:pt idx="12">
                  <c:v>0.61489994418477911</c:v>
                </c:pt>
                <c:pt idx="13">
                  <c:v>0</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1.0050023481701593</c:v>
                </c:pt>
                <c:pt idx="2">
                  <c:v>1.0095017054422775</c:v>
                </c:pt>
                <c:pt idx="3">
                  <c:v>1.0134537335053648</c:v>
                </c:pt>
                <c:pt idx="4">
                  <c:v>1.0167995944714432</c:v>
                </c:pt>
                <c:pt idx="5">
                  <c:v>1.0194617842590565</c:v>
                </c:pt>
                <c:pt idx="6">
                  <c:v>1.0213384630264348</c:v>
                </c:pt>
                <c:pt idx="7">
                  <c:v>1.0222949933725141</c:v>
                </c:pt>
                <c:pt idx="8">
                  <c:v>1.0221514668386666</c:v>
                </c:pt>
                <c:pt idx="9">
                  <c:v>1.0206636764125923</c:v>
                </c:pt>
                <c:pt idx="10">
                  <c:v>1.0174930785011438</c:v>
                </c:pt>
                <c:pt idx="11">
                  <c:v>1.0121573697827635</c:v>
                </c:pt>
                <c:pt idx="12">
                  <c:v>1.0039443587797772</c:v>
                </c:pt>
                <c:pt idx="13">
                  <c:v>0.99175328292738729</c:v>
                </c:pt>
                <c:pt idx="14">
                  <c:v>0.97377689246867927</c:v>
                </c:pt>
                <c:pt idx="15">
                  <c:v>0.94680564887799867</c:v>
                </c:pt>
                <c:pt idx="16">
                  <c:v>0.90454402580796134</c:v>
                </c:pt>
                <c:pt idx="17">
                  <c:v>0.83318787458860577</c:v>
                </c:pt>
                <c:pt idx="18">
                  <c:v>0.7000018997689379</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0.99713651088389199</c:v>
                </c:pt>
                <c:pt idx="2">
                  <c:v>0.99374829863727465</c:v>
                </c:pt>
                <c:pt idx="3">
                  <c:v>0.98974049080632565</c:v>
                </c:pt>
                <c:pt idx="4">
                  <c:v>0.98499339828259502</c:v>
                </c:pt>
                <c:pt idx="5">
                  <c:v>0.97935468095412936</c:v>
                </c:pt>
                <c:pt idx="6">
                  <c:v>0.97262699869303615</c:v>
                </c:pt>
                <c:pt idx="7">
                  <c:v>0.96455100407590055</c:v>
                </c:pt>
                <c:pt idx="8">
                  <c:v>0.95477961426141478</c:v>
                </c:pt>
                <c:pt idx="9">
                  <c:v>0.94283932429564887</c:v>
                </c:pt>
                <c:pt idx="10">
                  <c:v>0.92807068036610985</c:v>
                </c:pt>
                <c:pt idx="11">
                  <c:v>0.90953425085239481</c:v>
                </c:pt>
                <c:pt idx="12">
                  <c:v>0.88586233259484781</c:v>
                </c:pt>
                <c:pt idx="13">
                  <c:v>0.85502300106921603</c:v>
                </c:pt>
                <c:pt idx="14">
                  <c:v>0.81395979103441718</c:v>
                </c:pt>
                <c:pt idx="15">
                  <c:v>0.75809506765097023</c:v>
                </c:pt>
                <c:pt idx="16">
                  <c:v>0.68084171630028278</c:v>
                </c:pt>
                <c:pt idx="17">
                  <c:v>0.57366542588873481</c:v>
                </c:pt>
                <c:pt idx="18">
                  <c:v>0.42765229894041124</c:v>
                </c:pt>
                <c:pt idx="19">
                  <c:v>0.23669664623251183</c:v>
                </c:pt>
                <c:pt idx="20">
                  <c:v>0.19294467296100135</c:v>
                </c:pt>
                <c:pt idx="21">
                  <c:v>0.14736793411479004</c:v>
                </c:pt>
                <c:pt idx="22">
                  <c:v>9.9994498543603191E-2</c:v>
                </c:pt>
                <c:pt idx="23">
                  <c:v>5.0858674613091646E-2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0.99570301593730881</c:v>
                </c:pt>
                <c:pt idx="2">
                  <c:v>0.99067453166194008</c:v>
                </c:pt>
                <c:pt idx="3">
                  <c:v>0.98476988552436706</c:v>
                </c:pt>
                <c:pt idx="4">
                  <c:v>0.97780401848146115</c:v>
                </c:pt>
                <c:pt idx="5">
                  <c:v>0.96953892510393147</c:v>
                </c:pt>
                <c:pt idx="6">
                  <c:v>0.95966313408249648</c:v>
                </c:pt>
                <c:pt idx="7">
                  <c:v>0.94776532695719196</c:v>
                </c:pt>
                <c:pt idx="8">
                  <c:v>0.9332958813614336</c:v>
                </c:pt>
                <c:pt idx="9">
                  <c:v>0.91551450896740483</c:v>
                </c:pt>
                <c:pt idx="10">
                  <c:v>0.89342241222821572</c:v>
                </c:pt>
                <c:pt idx="11">
                  <c:v>0.86568376311065076</c:v>
                </c:pt>
                <c:pt idx="12">
                  <c:v>0.83056782108257132</c:v>
                </c:pt>
                <c:pt idx="13">
                  <c:v>0.78599848546317186</c:v>
                </c:pt>
                <c:pt idx="14">
                  <c:v>0.72991116633845521</c:v>
                </c:pt>
                <c:pt idx="15">
                  <c:v>0.6611972918822161</c:v>
                </c:pt>
                <c:pt idx="16">
                  <c:v>0.58111993936675888</c:v>
                </c:pt>
                <c:pt idx="17">
                  <c:v>0.4931846747092028</c:v>
                </c:pt>
                <c:pt idx="18">
                  <c:v>0.39632552092090217</c:v>
                </c:pt>
                <c:pt idx="19">
                  <c:v>0.253141483126822</c:v>
                </c:pt>
                <c:pt idx="20">
                  <c:v>0.20059104696387919</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1.0097410602858694</c:v>
                </c:pt>
                <c:pt idx="2">
                  <c:v>1.0194796882863471</c:v>
                </c:pt>
                <c:pt idx="3">
                  <c:v>1.0292176502363632</c:v>
                </c:pt>
                <c:pt idx="4">
                  <c:v>1.0389568072002655</c:v>
                </c:pt>
                <c:pt idx="5">
                  <c:v>1.0486997863550314</c:v>
                </c:pt>
                <c:pt idx="6">
                  <c:v>1.0584499889322421</c:v>
                </c:pt>
                <c:pt idx="7">
                  <c:v>1.068212404614119</c:v>
                </c:pt>
                <c:pt idx="8">
                  <c:v>1.0779948165717239</c:v>
                </c:pt>
                <c:pt idx="9">
                  <c:v>1.087810251046289</c:v>
                </c:pt>
                <c:pt idx="10">
                  <c:v>1.097681935603299</c:v>
                </c:pt>
                <c:pt idx="11">
                  <c:v>1.1076534196926404</c:v>
                </c:pt>
                <c:pt idx="12">
                  <c:v>1.1178101258000339</c:v>
                </c:pt>
                <c:pt idx="13">
                  <c:v>1.1283268369675055</c:v>
                </c:pt>
                <c:pt idx="14">
                  <c:v>1.1395762886247516</c:v>
                </c:pt>
                <c:pt idx="15">
                  <c:v>1.1523829501845595</c:v>
                </c:pt>
                <c:pt idx="16">
                  <c:v>1.1685874892807371</c:v>
                </c:pt>
                <c:pt idx="17">
                  <c:v>1.1919027599987571</c:v>
                </c:pt>
                <c:pt idx="18">
                  <c:v>1.2266697362713932</c:v>
                </c:pt>
                <c:pt idx="19">
                  <c:v>1.257744587157559</c:v>
                </c:pt>
                <c:pt idx="20">
                  <c:v>1.2506441926854894</c:v>
                </c:pt>
                <c:pt idx="21">
                  <c:v>1.222998132074546</c:v>
                </c:pt>
                <c:pt idx="22">
                  <c:v>1.1428481203473646</c:v>
                </c:pt>
                <c:pt idx="23">
                  <c:v>0.903418811592821</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1.0012487336899223</c:v>
                </c:pt>
                <c:pt idx="2">
                  <c:v>1.0023630545112978</c:v>
                </c:pt>
                <c:pt idx="3">
                  <c:v>1.003323009644489</c:v>
                </c:pt>
                <c:pt idx="4">
                  <c:v>1.0041042322584395</c:v>
                </c:pt>
                <c:pt idx="5">
                  <c:v>1.0046765460755411</c:v>
                </c:pt>
                <c:pt idx="6">
                  <c:v>1.005002192744626</c:v>
                </c:pt>
                <c:pt idx="7">
                  <c:v>1.0050331659937652</c:v>
                </c:pt>
                <c:pt idx="8">
                  <c:v>1.0047073508165449</c:v>
                </c:pt>
                <c:pt idx="9">
                  <c:v>1.0039427732446569</c:v>
                </c:pt>
                <c:pt idx="10">
                  <c:v>1.0026285226058056</c:v>
                </c:pt>
                <c:pt idx="11">
                  <c:v>1.0006100497380228</c:v>
                </c:pt>
                <c:pt idx="12">
                  <c:v>0.99766377922589278</c:v>
                </c:pt>
                <c:pt idx="13">
                  <c:v>0.99345044428976625</c:v>
                </c:pt>
                <c:pt idx="14">
                  <c:v>0.98742103181264895</c:v>
                </c:pt>
                <c:pt idx="15">
                  <c:v>0.97860638838810987</c:v>
                </c:pt>
                <c:pt idx="16">
                  <c:v>0.96507700767396176</c:v>
                </c:pt>
                <c:pt idx="17">
                  <c:v>0.94231929627708011</c:v>
                </c:pt>
                <c:pt idx="18">
                  <c:v>0.89740239952844292</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1.0016696703784878</c:v>
                </c:pt>
                <c:pt idx="2">
                  <c:v>1.003227325599463</c:v>
                </c:pt>
                <c:pt idx="3">
                  <c:v>1.0046547738442992</c:v>
                </c:pt>
                <c:pt idx="4">
                  <c:v>1.0059296301849405</c:v>
                </c:pt>
                <c:pt idx="5">
                  <c:v>1.0070241297520577</c:v>
                </c:pt>
                <c:pt idx="6">
                  <c:v>1.007903360239548</c:v>
                </c:pt>
                <c:pt idx="7">
                  <c:v>1.008522959650302</c:v>
                </c:pt>
                <c:pt idx="8">
                  <c:v>1.0088257838743031</c:v>
                </c:pt>
                <c:pt idx="9">
                  <c:v>1.0087369102696522</c:v>
                </c:pt>
                <c:pt idx="10">
                  <c:v>1.0081561175381224</c:v>
                </c:pt>
                <c:pt idx="11">
                  <c:v>1.0069458224227694</c:v>
                </c:pt>
                <c:pt idx="12">
                  <c:v>1.004910412719064</c:v>
                </c:pt>
                <c:pt idx="13">
                  <c:v>1.001757435100985</c:v>
                </c:pt>
                <c:pt idx="14">
                  <c:v>0.99701493398214069</c:v>
                </c:pt>
                <c:pt idx="15">
                  <c:v>0.98982488539256075</c:v>
                </c:pt>
                <c:pt idx="16">
                  <c:v>0.97834314152452817</c:v>
                </c:pt>
                <c:pt idx="17">
                  <c:v>0.95787304582997901</c:v>
                </c:pt>
                <c:pt idx="18">
                  <c:v>0.91468133373009763</c:v>
                </c:pt>
                <c:pt idx="19">
                  <c:v>0.79501412143295125</c:v>
                </c:pt>
                <c:pt idx="20">
                  <c:v>0.74447685652761386</c:v>
                </c:pt>
                <c:pt idx="21">
                  <c:v>0.67242380127460877</c:v>
                </c:pt>
                <c:pt idx="22">
                  <c:v>0.562525295682481</c:v>
                </c:pt>
                <c:pt idx="23">
                  <c:v>0.37660948934676486</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1.0118083285823238</c:v>
                </c:pt>
                <c:pt idx="2">
                  <c:v>1.0235479676224959</c:v>
                </c:pt>
                <c:pt idx="3">
                  <c:v>1.0352288987444618</c:v>
                </c:pt>
                <c:pt idx="4">
                  <c:v>1.0468619490806164</c:v>
                </c:pt>
                <c:pt idx="5">
                  <c:v>1.0584598142642792</c:v>
                </c:pt>
                <c:pt idx="6">
                  <c:v>1.0700383112070857</c:v>
                </c:pt>
                <c:pt idx="7">
                  <c:v>1.0816191472253367</c:v>
                </c:pt>
                <c:pt idx="8">
                  <c:v>1.093234300535205</c:v>
                </c:pt>
                <c:pt idx="9">
                  <c:v>1.1049339583329549</c:v>
                </c:pt>
                <c:pt idx="10">
                  <c:v>1.1168015972207941</c:v>
                </c:pt>
                <c:pt idx="11">
                  <c:v>1.1289831040263743</c:v>
                </c:pt>
                <c:pt idx="12">
                  <c:v>1.141744704648918</c:v>
                </c:pt>
                <c:pt idx="13">
                  <c:v>1.1555928675529747</c:v>
                </c:pt>
                <c:pt idx="14">
                  <c:v>1.1715223976988676</c:v>
                </c:pt>
                <c:pt idx="15">
                  <c:v>1.1914810551793544</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0.9830947571641907</c:v>
                </c:pt>
                <c:pt idx="2">
                  <c:v>0.96433923583551173</c:v>
                </c:pt>
                <c:pt idx="3">
                  <c:v>0.94350368830463327</c:v>
                </c:pt>
                <c:pt idx="4">
                  <c:v>0.92032690948357665</c:v>
                </c:pt>
                <c:pt idx="5">
                  <c:v>0.89451396373038516</c:v>
                </c:pt>
                <c:pt idx="6">
                  <c:v>0.86573696365206598</c:v>
                </c:pt>
                <c:pt idx="7">
                  <c:v>0.83364262713717974</c:v>
                </c:pt>
                <c:pt idx="8">
                  <c:v>0.79786997368627488</c:v>
                </c:pt>
                <c:pt idx="9">
                  <c:v>0.7580927840692091</c:v>
                </c:pt>
                <c:pt idx="10">
                  <c:v>0.71411519139567159</c:v>
                </c:pt>
                <c:pt idx="11">
                  <c:v>0.6661040135448375</c:v>
                </c:pt>
                <c:pt idx="12">
                  <c:v>0.61528886410058847</c:v>
                </c:pt>
                <c:pt idx="13">
                  <c:v>0</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1.0050964411638714</c:v>
                </c:pt>
                <c:pt idx="2">
                  <c:v>1.0096918425617862</c:v>
                </c:pt>
                <c:pt idx="3">
                  <c:v>1.0137421748316955</c:v>
                </c:pt>
                <c:pt idx="4">
                  <c:v>1.0171889493910742</c:v>
                </c:pt>
                <c:pt idx="5">
                  <c:v>1.0199550448157586</c:v>
                </c:pt>
                <c:pt idx="6">
                  <c:v>1.0219390248677012</c:v>
                </c:pt>
                <c:pt idx="7">
                  <c:v>1.023006640249321</c:v>
                </c:pt>
                <c:pt idx="8">
                  <c:v>1.022978283093493</c:v>
                </c:pt>
                <c:pt idx="9">
                  <c:v>1.0216098193639542</c:v>
                </c:pt>
                <c:pt idx="10">
                  <c:v>1.0185622814138744</c:v>
                </c:pt>
                <c:pt idx="11">
                  <c:v>1.0133519379818823</c:v>
                </c:pt>
                <c:pt idx="12">
                  <c:v>1.0052632036260527</c:v>
                </c:pt>
                <c:pt idx="13">
                  <c:v>0.99318813347794077</c:v>
                </c:pt>
                <c:pt idx="14">
                  <c:v>0.97530511111384532</c:v>
                </c:pt>
                <c:pt idx="15">
                  <c:v>0.94837711185796381</c:v>
                </c:pt>
                <c:pt idx="16">
                  <c:v>0.90606013417424147</c:v>
                </c:pt>
                <c:pt idx="17">
                  <c:v>0.83448271261590934</c:v>
                </c:pt>
                <c:pt idx="18">
                  <c:v>0.70087923318072098</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1.004249870878213</c:v>
                </c:pt>
                <c:pt idx="2">
                  <c:v>1.0080230647762718</c:v>
                </c:pt>
                <c:pt idx="3">
                  <c:v>1.0112273995118763</c:v>
                </c:pt>
                <c:pt idx="4">
                  <c:v>1.0137449932188762</c:v>
                </c:pt>
                <c:pt idx="5">
                  <c:v>1.0154239668590439</c:v>
                </c:pt>
                <c:pt idx="6">
                  <c:v>1.0160648715771121</c:v>
                </c:pt>
                <c:pt idx="7">
                  <c:v>1.0154019581618965</c:v>
                </c:pt>
                <c:pt idx="8">
                  <c:v>1.0130743915967448</c:v>
                </c:pt>
                <c:pt idx="9">
                  <c:v>1.0085823566528165</c:v>
                </c:pt>
                <c:pt idx="10">
                  <c:v>1.0012184684206971</c:v>
                </c:pt>
                <c:pt idx="11">
                  <c:v>0.98995729266618993</c:v>
                </c:pt>
                <c:pt idx="12">
                  <c:v>0.97327681830946478</c:v>
                </c:pt>
                <c:pt idx="13">
                  <c:v>0.94886597612207624</c:v>
                </c:pt>
                <c:pt idx="14">
                  <c:v>0.91315845010011965</c:v>
                </c:pt>
                <c:pt idx="15">
                  <c:v>0.86064510479281042</c:v>
                </c:pt>
                <c:pt idx="16">
                  <c:v>0.78308443651369419</c:v>
                </c:pt>
                <c:pt idx="17">
                  <c:v>0.66923381535936666</c:v>
                </c:pt>
                <c:pt idx="18">
                  <c:v>0.50641930477983665</c:v>
                </c:pt>
                <c:pt idx="19">
                  <c:v>0.28454998951164151</c:v>
                </c:pt>
                <c:pt idx="20">
                  <c:v>0.23263983018000656</c:v>
                </c:pt>
                <c:pt idx="21">
                  <c:v>0.17820712885765266</c:v>
                </c:pt>
                <c:pt idx="22">
                  <c:v>0.12126985806362932</c:v>
                </c:pt>
                <c:pt idx="23">
                  <c:v>6.1855526709774837E-2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0.56583351571019114</c:v>
                </c:pt>
                <c:pt idx="2">
                  <c:v>0.56446534025797324</c:v>
                </c:pt>
                <c:pt idx="3">
                  <c:v>0.56309573285012893</c:v>
                </c:pt>
                <c:pt idx="4">
                  <c:v>0.56172446233977058</c:v>
                </c:pt>
                <c:pt idx="5">
                  <c:v>0.56035125534017094</c:v>
                </c:pt>
                <c:pt idx="6">
                  <c:v>0.55897592496734549</c:v>
                </c:pt>
                <c:pt idx="7">
                  <c:v>0.55759842228121637</c:v>
                </c:pt>
                <c:pt idx="8">
                  <c:v>0.55621902277013557</c:v>
                </c:pt>
                <c:pt idx="9">
                  <c:v>0.55483860839203991</c:v>
                </c:pt>
                <c:pt idx="10">
                  <c:v>0.55345923658819651</c:v>
                </c:pt>
                <c:pt idx="11">
                  <c:v>0.55208511394106374</c:v>
                </c:pt>
                <c:pt idx="12">
                  <c:v>0.55072441661310667</c:v>
                </c:pt>
                <c:pt idx="13">
                  <c:v>0.54939264958775502</c:v>
                </c:pt>
                <c:pt idx="14">
                  <c:v>0.54811888686417864</c:v>
                </c:pt>
                <c:pt idx="15">
                  <c:v>0.54695674011625361</c:v>
                </c:pt>
                <c:pt idx="16">
                  <c:v>0.54599911316804284</c:v>
                </c:pt>
                <c:pt idx="17">
                  <c:v>0.54537189010895037</c:v>
                </c:pt>
                <c:pt idx="18">
                  <c:v>0.54512322430637417</c:v>
                </c:pt>
                <c:pt idx="19">
                  <c:v>0.54508618439241274</c:v>
                </c:pt>
                <c:pt idx="20">
                  <c:v>0.54508562283738093</c:v>
                </c:pt>
                <c:pt idx="21">
                  <c:v>0.54508543940786147</c:v>
                </c:pt>
                <c:pt idx="22">
                  <c:v>0.54508539405790113</c:v>
                </c:pt>
                <c:pt idx="23">
                  <c:v>0.5450853867198282</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0.5627605959256502</c:v>
                </c:pt>
                <c:pt idx="2">
                  <c:v>0.55821361421737137</c:v>
                </c:pt>
                <c:pt idx="3">
                  <c:v>0.55354197950092121</c:v>
                </c:pt>
                <c:pt idx="4">
                  <c:v>0.54872394215565556</c:v>
                </c:pt>
                <c:pt idx="5">
                  <c:v>0.54373224296730671</c:v>
                </c:pt>
                <c:pt idx="6">
                  <c:v>0.53853207906960709</c:v>
                </c:pt>
                <c:pt idx="7">
                  <c:v>0.53307808188570116</c:v>
                </c:pt>
                <c:pt idx="8">
                  <c:v>0.52730955296064852</c:v>
                </c:pt>
                <c:pt idx="9">
                  <c:v>0.52114277516932206</c:v>
                </c:pt>
                <c:pt idx="10">
                  <c:v>0.51445775757259538</c:v>
                </c:pt>
                <c:pt idx="11">
                  <c:v>0.50707451959375316</c:v>
                </c:pt>
                <c:pt idx="12">
                  <c:v>0.49870761776858991</c:v>
                </c:pt>
                <c:pt idx="13">
                  <c:v>0.48887275828055732</c:v>
                </c:pt>
                <c:pt idx="14">
                  <c:v>0.47667860991872518</c:v>
                </c:pt>
                <c:pt idx="15">
                  <c:v>0.46031807345988879</c:v>
                </c:pt>
                <c:pt idx="16">
                  <c:v>0.43569707699162485</c:v>
                </c:pt>
                <c:pt idx="17">
                  <c:v>0.39235472842692298</c:v>
                </c:pt>
                <c:pt idx="18">
                  <c:v>0.29836405249786796</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0.56575140399704549</c:v>
                </c:pt>
                <c:pt idx="2">
                  <c:v>0.56429789774285555</c:v>
                </c:pt>
                <c:pt idx="3">
                  <c:v>0.56283942528978304</c:v>
                </c:pt>
                <c:pt idx="4">
                  <c:v>0.56137544875401135</c:v>
                </c:pt>
                <c:pt idx="5">
                  <c:v>0.55990556859423146</c:v>
                </c:pt>
                <c:pt idx="6">
                  <c:v>0.55842975568364195</c:v>
                </c:pt>
                <c:pt idx="7">
                  <c:v>0.55694863061421596</c:v>
                </c:pt>
                <c:pt idx="8">
                  <c:v>0.55546396227914641</c:v>
                </c:pt>
                <c:pt idx="9">
                  <c:v>0.55397953599429961</c:v>
                </c:pt>
                <c:pt idx="10">
                  <c:v>0.55250252180668813</c:v>
                </c:pt>
                <c:pt idx="11">
                  <c:v>0.55104573013733149</c:v>
                </c:pt>
                <c:pt idx="12">
                  <c:v>0.54963129304834102</c:v>
                </c:pt>
                <c:pt idx="13">
                  <c:v>0.54829641954130037</c:v>
                </c:pt>
                <c:pt idx="14">
                  <c:v>0.54710111204737799</c:v>
                </c:pt>
                <c:pt idx="15">
                  <c:v>0.54613266562770335</c:v>
                </c:pt>
                <c:pt idx="16">
                  <c:v>0.5454848102941362</c:v>
                </c:pt>
                <c:pt idx="17">
                  <c:v>0.54517827513390593</c:v>
                </c:pt>
                <c:pt idx="18">
                  <c:v>0.54509518430626702</c:v>
                </c:pt>
                <c:pt idx="19">
                  <c:v>0.54508561050959248</c:v>
                </c:pt>
                <c:pt idx="20">
                  <c:v>0.5450854594504333</c:v>
                </c:pt>
                <c:pt idx="21">
                  <c:v>0.54508540528681482</c:v>
                </c:pt>
                <c:pt idx="22">
                  <c:v>0.54508538972013176</c:v>
                </c:pt>
                <c:pt idx="23">
                  <c:v>0.54508538652703453</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0.57691007007322948</c:v>
                </c:pt>
                <c:pt idx="2">
                  <c:v>0.58677154766559436</c:v>
                </c:pt>
                <c:pt idx="3">
                  <c:v>0.5968268130282296</c:v>
                </c:pt>
                <c:pt idx="4">
                  <c:v>0.60712663246472731</c:v>
                </c:pt>
                <c:pt idx="5">
                  <c:v>0.61773420939206225</c:v>
                </c:pt>
                <c:pt idx="6">
                  <c:v>0.62873058388889103</c:v>
                </c:pt>
                <c:pt idx="7">
                  <c:v>0.64022270900410805</c:v>
                </c:pt>
                <c:pt idx="8">
                  <c:v>0.65235696137099841</c:v>
                </c:pt>
                <c:pt idx="9">
                  <c:v>0.66534094737369731</c:v>
                </c:pt>
                <c:pt idx="10">
                  <c:v>0.67948239107481778</c:v>
                </c:pt>
                <c:pt idx="11">
                  <c:v>0.69526053858175008</c:v>
                </c:pt>
                <c:pt idx="12">
                  <c:v>0.71346458106980992</c:v>
                </c:pt>
                <c:pt idx="13">
                  <c:v>0.73548054548157915</c:v>
                </c:pt>
                <c:pt idx="14">
                  <c:v>0.76391936006344219</c:v>
                </c:pt>
                <c:pt idx="15">
                  <c:v>0.80403893720438113</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0.57336821404259863</c:v>
                </c:pt>
                <c:pt idx="2">
                  <c:v>0.57956235938619738</c:v>
                </c:pt>
                <c:pt idx="3">
                  <c:v>0.58577463778990924</c:v>
                </c:pt>
                <c:pt idx="4">
                  <c:v>0.59199376900357537</c:v>
                </c:pt>
                <c:pt idx="5">
                  <c:v>0.59820371234875247</c:v>
                </c:pt>
                <c:pt idx="6">
                  <c:v>0.60438152652237842</c:v>
                </c:pt>
                <c:pt idx="7">
                  <c:v>0.61049623863722247</c:v>
                </c:pt>
                <c:pt idx="8">
                  <c:v>0.61650441954595725</c:v>
                </c:pt>
                <c:pt idx="9">
                  <c:v>0.62234502611434261</c:v>
                </c:pt>
                <c:pt idx="10">
                  <c:v>0.62792964332527457</c:v>
                </c:pt>
                <c:pt idx="11">
                  <c:v>0.6331152250500649</c:v>
                </c:pt>
                <c:pt idx="12">
                  <c:v>0.6376307152276719</c:v>
                </c:pt>
                <c:pt idx="13">
                  <c:v>0</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0.5625119912743447</c:v>
                </c:pt>
                <c:pt idx="2">
                  <c:v>0.55774972964741787</c:v>
                </c:pt>
                <c:pt idx="3">
                  <c:v>0.55289479600082436</c:v>
                </c:pt>
                <c:pt idx="4">
                  <c:v>0.54792464737222824</c:v>
                </c:pt>
                <c:pt idx="5">
                  <c:v>0.54281193413252316</c:v>
                </c:pt>
                <c:pt idx="6">
                  <c:v>0.53752263412050316</c:v>
                </c:pt>
                <c:pt idx="7">
                  <c:v>0.53201342580598687</c:v>
                </c:pt>
                <c:pt idx="8">
                  <c:v>0.52622759361541838</c:v>
                </c:pt>
                <c:pt idx="9">
                  <c:v>0.52008859220346493</c:v>
                </c:pt>
                <c:pt idx="10">
                  <c:v>0.51348929286545453</c:v>
                </c:pt>
                <c:pt idx="11">
                  <c:v>0.50627352846232032</c:v>
                </c:pt>
                <c:pt idx="12">
                  <c:v>0.49820264354904087</c:v>
                </c:pt>
                <c:pt idx="13">
                  <c:v>0.48889177382079585</c:v>
                </c:pt>
                <c:pt idx="14">
                  <c:v>0.47768214095328793</c:v>
                </c:pt>
                <c:pt idx="15">
                  <c:v>0.46337516670594192</c:v>
                </c:pt>
                <c:pt idx="16">
                  <c:v>0.44368201393202789</c:v>
                </c:pt>
                <c:pt idx="17">
                  <c:v>0.4142730306659887</c:v>
                </c:pt>
                <c:pt idx="18">
                  <c:v>0.36861383293276201</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0.56686772061502388</c:v>
                </c:pt>
                <c:pt idx="2">
                  <c:v>0.56655035634357431</c:v>
                </c:pt>
                <c:pt idx="3">
                  <c:v>0.56624919389762673</c:v>
                </c:pt>
                <c:pt idx="4">
                  <c:v>0.56596485076564507</c:v>
                </c:pt>
                <c:pt idx="5">
                  <c:v>0.56569766661152998</c:v>
                </c:pt>
                <c:pt idx="6">
                  <c:v>0.56544754098446182</c:v>
                </c:pt>
                <c:pt idx="7">
                  <c:v>0.56521362571256761</c:v>
                </c:pt>
                <c:pt idx="8">
                  <c:v>0.56499387212667695</c:v>
                </c:pt>
                <c:pt idx="9">
                  <c:v>0.56478430210948505</c:v>
                </c:pt>
                <c:pt idx="10">
                  <c:v>0.56457786973632174</c:v>
                </c:pt>
                <c:pt idx="11">
                  <c:v>0.56436268150323843</c:v>
                </c:pt>
                <c:pt idx="12">
                  <c:v>0.56411918218804502</c:v>
                </c:pt>
                <c:pt idx="13">
                  <c:v>0.56381607681821777</c:v>
                </c:pt>
                <c:pt idx="14">
                  <c:v>0.56340487252854687</c:v>
                </c:pt>
                <c:pt idx="15">
                  <c:v>0.56281473239987156</c:v>
                </c:pt>
                <c:pt idx="16">
                  <c:v>0.56195384882686128</c:v>
                </c:pt>
                <c:pt idx="17">
                  <c:v>0.5607301898598287</c:v>
                </c:pt>
                <c:pt idx="18">
                  <c:v>0.55910040744637401</c:v>
                </c:pt>
                <c:pt idx="19">
                  <c:v>0.55711840964748816</c:v>
                </c:pt>
                <c:pt idx="20">
                  <c:v>0.55669127203879476</c:v>
                </c:pt>
                <c:pt idx="21">
                  <c:v>0.55625694249101931</c:v>
                </c:pt>
                <c:pt idx="22">
                  <c:v>0.55581676323203622</c:v>
                </c:pt>
                <c:pt idx="23">
                  <c:v>0.55537204626344583</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0.56745634671623879</c:v>
                </c:pt>
                <c:pt idx="2">
                  <c:v>0.56776757430744196</c:v>
                </c:pt>
                <c:pt idx="3">
                  <c:v>0.5681420200928593</c:v>
                </c:pt>
                <c:pt idx="4">
                  <c:v>0.56858888156246279</c:v>
                </c:pt>
                <c:pt idx="5">
                  <c:v>0.56911896851617805</c:v>
                </c:pt>
                <c:pt idx="6">
                  <c:v>0.5697450588820292</c:v>
                </c:pt>
                <c:pt idx="7">
                  <c:v>0.57048217132849377</c:v>
                </c:pt>
                <c:pt idx="8">
                  <c:v>0.57134782221714808</c:v>
                </c:pt>
                <c:pt idx="9">
                  <c:v>0.57236202157666982</c:v>
                </c:pt>
                <c:pt idx="10">
                  <c:v>0.57354666315439162</c:v>
                </c:pt>
                <c:pt idx="11">
                  <c:v>0.57492343414089886</c:v>
                </c:pt>
                <c:pt idx="12">
                  <c:v>0.57650855901591103</c:v>
                </c:pt>
                <c:pt idx="13">
                  <c:v>0.57830082973761388</c:v>
                </c:pt>
                <c:pt idx="14">
                  <c:v>0.58025614408990178</c:v>
                </c:pt>
                <c:pt idx="15">
                  <c:v>0.58223687764962617</c:v>
                </c:pt>
                <c:pt idx="16">
                  <c:v>0.58392077424165179</c:v>
                </c:pt>
                <c:pt idx="17">
                  <c:v>0.58464005166155208</c:v>
                </c:pt>
                <c:pt idx="18">
                  <c:v>0.58282033695408442</c:v>
                </c:pt>
                <c:pt idx="19">
                  <c:v>0.57201894145792742</c:v>
                </c:pt>
                <c:pt idx="20">
                  <c:v>0.56646659953992651</c:v>
                </c:pt>
                <c:pt idx="21">
                  <c:v>0.55783471590934464</c:v>
                </c:pt>
                <c:pt idx="22">
                  <c:v>0.54293764289410884</c:v>
                </c:pt>
                <c:pt idx="23">
                  <c:v>0.51082197781809291</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6.1000000000000311E-2</c:v>
                </c:pt>
                <c:pt idx="2">
                  <c:v>6.1000000000001144E-2</c:v>
                </c:pt>
                <c:pt idx="3">
                  <c:v>6.0999999999999999E-2</c:v>
                </c:pt>
                <c:pt idx="4">
                  <c:v>6.0999999999999582E-2</c:v>
                </c:pt>
                <c:pt idx="5">
                  <c:v>6.0999999999999999E-2</c:v>
                </c:pt>
                <c:pt idx="6">
                  <c:v>6.0999999999999791E-2</c:v>
                </c:pt>
                <c:pt idx="7">
                  <c:v>6.1000000000000519E-2</c:v>
                </c:pt>
                <c:pt idx="8">
                  <c:v>6.0999999999999791E-2</c:v>
                </c:pt>
                <c:pt idx="9">
                  <c:v>6.1000000000000207E-2</c:v>
                </c:pt>
                <c:pt idx="10">
                  <c:v>6.1000000000000207E-2</c:v>
                </c:pt>
                <c:pt idx="11">
                  <c:v>6.0999999999999582E-2</c:v>
                </c:pt>
                <c:pt idx="12">
                  <c:v>6.0999999999999791E-2</c:v>
                </c:pt>
                <c:pt idx="13">
                  <c:v>6.0999999999999999E-2</c:v>
                </c:pt>
                <c:pt idx="14">
                  <c:v>6.1000000000000519E-2</c:v>
                </c:pt>
                <c:pt idx="15">
                  <c:v>6.0999999999999999E-2</c:v>
                </c:pt>
                <c:pt idx="16">
                  <c:v>6.0999999999998958E-2</c:v>
                </c:pt>
                <c:pt idx="17">
                  <c:v>6.0999999999999582E-2</c:v>
                </c:pt>
                <c:pt idx="18">
                  <c:v>6.0999999999999582E-2</c:v>
                </c:pt>
                <c:pt idx="19">
                  <c:v>6.0999999999999582E-2</c:v>
                </c:pt>
                <c:pt idx="20">
                  <c:v>6.0999999999999582E-2</c:v>
                </c:pt>
                <c:pt idx="21">
                  <c:v>6.1000000000000207E-2</c:v>
                </c:pt>
                <c:pt idx="22">
                  <c:v>6.1000000000000207E-2</c:v>
                </c:pt>
                <c:pt idx="23">
                  <c:v>6.0999999999999791E-2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6.1000000000000519E-2</c:v>
                </c:pt>
                <c:pt idx="2">
                  <c:v>6.0999999999997917E-2</c:v>
                </c:pt>
                <c:pt idx="3">
                  <c:v>6.1000000000004169E-2</c:v>
                </c:pt>
                <c:pt idx="4">
                  <c:v>6.0999999999999582E-2</c:v>
                </c:pt>
                <c:pt idx="5">
                  <c:v>6.0999999999999791E-2</c:v>
                </c:pt>
                <c:pt idx="6">
                  <c:v>6.1000000000000207E-2</c:v>
                </c:pt>
                <c:pt idx="7">
                  <c:v>6.1000000000000519E-2</c:v>
                </c:pt>
                <c:pt idx="8">
                  <c:v>6.0999999999999582E-2</c:v>
                </c:pt>
                <c:pt idx="9">
                  <c:v>6.0999999999999999E-2</c:v>
                </c:pt>
                <c:pt idx="10">
                  <c:v>6.0999999999998958E-2</c:v>
                </c:pt>
                <c:pt idx="11">
                  <c:v>6.0999999999999999E-2</c:v>
                </c:pt>
                <c:pt idx="12">
                  <c:v>6.1000000000000519E-2</c:v>
                </c:pt>
                <c:pt idx="13">
                  <c:v>6.0999999999999999E-2</c:v>
                </c:pt>
                <c:pt idx="14">
                  <c:v>6.1000000000000311E-2</c:v>
                </c:pt>
                <c:pt idx="15">
                  <c:v>6.0999999999999582E-2</c:v>
                </c:pt>
                <c:pt idx="16">
                  <c:v>6.1000000000000311E-2</c:v>
                </c:pt>
                <c:pt idx="17">
                  <c:v>6.0999999999999999E-2</c:v>
                </c:pt>
                <c:pt idx="18">
                  <c:v>6.0999999999999999E-2</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6.1000000000000311E-2</c:v>
                </c:pt>
                <c:pt idx="2">
                  <c:v>6.099999999999875E-2</c:v>
                </c:pt>
                <c:pt idx="3">
                  <c:v>6.1000000000000207E-2</c:v>
                </c:pt>
                <c:pt idx="4">
                  <c:v>6.1000000000000207E-2</c:v>
                </c:pt>
                <c:pt idx="5">
                  <c:v>6.0999999999999582E-2</c:v>
                </c:pt>
                <c:pt idx="6">
                  <c:v>6.0999999999999999E-2</c:v>
                </c:pt>
                <c:pt idx="7">
                  <c:v>6.1000000000000519E-2</c:v>
                </c:pt>
                <c:pt idx="8">
                  <c:v>6.0999999999999791E-2</c:v>
                </c:pt>
                <c:pt idx="9">
                  <c:v>6.0999999999999582E-2</c:v>
                </c:pt>
                <c:pt idx="10">
                  <c:v>6.1000000000000831E-2</c:v>
                </c:pt>
                <c:pt idx="11">
                  <c:v>6.1000000000000207E-2</c:v>
                </c:pt>
                <c:pt idx="12">
                  <c:v>6.0999999999999791E-2</c:v>
                </c:pt>
                <c:pt idx="13">
                  <c:v>6.0999999999999374E-2</c:v>
                </c:pt>
                <c:pt idx="14">
                  <c:v>6.0999999999999582E-2</c:v>
                </c:pt>
                <c:pt idx="15">
                  <c:v>6.0999999999999999E-2</c:v>
                </c:pt>
                <c:pt idx="16">
                  <c:v>6.1000000000000207E-2</c:v>
                </c:pt>
                <c:pt idx="17">
                  <c:v>6.1000000000000207E-2</c:v>
                </c:pt>
                <c:pt idx="18">
                  <c:v>6.0999999999999999E-2</c:v>
                </c:pt>
                <c:pt idx="19">
                  <c:v>6.0999999999999166E-2</c:v>
                </c:pt>
                <c:pt idx="20">
                  <c:v>6.0999999999999791E-2</c:v>
                </c:pt>
                <c:pt idx="21">
                  <c:v>6.0999999999998333E-2</c:v>
                </c:pt>
                <c:pt idx="22">
                  <c:v>6.0999999999999374E-2</c:v>
                </c:pt>
                <c:pt idx="23">
                  <c:v>6.0999999999999999E-2</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4.2349553003800777E-2</c:v>
                </c:pt>
                <c:pt idx="2">
                  <c:v>2.2979156518510978E-2</c:v>
                </c:pt>
                <c:pt idx="3">
                  <c:v>2.7640305738619239E-3</c:v>
                </c:pt>
                <c:pt idx="4">
                  <c:v>-1.8451120849606442E-2</c:v>
                </c:pt>
                <c:pt idx="5">
                  <c:v>-4.0864132379434023E-2</c:v>
                </c:pt>
                <c:pt idx="6">
                  <c:v>-6.4733551544939205E-2</c:v>
                </c:pt>
                <c:pt idx="7">
                  <c:v>-9.040763683507283E-2</c:v>
                </c:pt>
                <c:pt idx="8">
                  <c:v>-0.11837254372755157</c:v>
                </c:pt>
                <c:pt idx="9">
                  <c:v>-0.14933567641810999</c:v>
                </c:pt>
                <c:pt idx="10">
                  <c:v>-0.18437923103679016</c:v>
                </c:pt>
                <c:pt idx="11">
                  <c:v>-0.22526517675326846</c:v>
                </c:pt>
                <c:pt idx="12">
                  <c:v>-0.27508737387808113</c:v>
                </c:pt>
                <c:pt idx="13">
                  <c:v>-0.33983470799570525</c:v>
                </c:pt>
                <c:pt idx="14">
                  <c:v>-0.43270243766573574</c:v>
                </c:pt>
                <c:pt idx="15">
                  <c:v>-0.58875962391755832</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9.1741039642638064E-2</c:v>
                </c:pt>
                <c:pt idx="2">
                  <c:v>0.12368554033120313</c:v>
                </c:pt>
                <c:pt idx="3">
                  <c:v>0.15693448564510393</c:v>
                </c:pt>
                <c:pt idx="4">
                  <c:v>0.19159680233819568</c:v>
                </c:pt>
                <c:pt idx="5">
                  <c:v>0.22778745500089259</c:v>
                </c:pt>
                <c:pt idx="6">
                  <c:v>0.2656229897663398</c:v>
                </c:pt>
                <c:pt idx="7">
                  <c:v>0.30521298538780839</c:v>
                </c:pt>
                <c:pt idx="8">
                  <c:v>0.34664301795020924</c:v>
                </c:pt>
                <c:pt idx="9">
                  <c:v>0.38994093400214341</c:v>
                </c:pt>
                <c:pt idx="10">
                  <c:v>0.4350044704374616</c:v>
                </c:pt>
                <c:pt idx="11">
                  <c:v>0.48142280514610131</c:v>
                </c:pt>
                <c:pt idx="12">
                  <c:v>0.52792323838878175</c:v>
                </c:pt>
                <c:pt idx="13">
                  <c:v>1</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5.427485542500729E-2</c:v>
                </c:pt>
                <c:pt idx="2">
                  <c:v>4.8124783032899285E-2</c:v>
                </c:pt>
                <c:pt idx="3">
                  <c:v>4.2607148245947468E-2</c:v>
                </c:pt>
                <c:pt idx="4">
                  <c:v>3.7797388739149271E-2</c:v>
                </c:pt>
                <c:pt idx="5">
                  <c:v>3.3794302647459272E-2</c:v>
                </c:pt>
                <c:pt idx="6">
                  <c:v>3.072730340543885E-2</c:v>
                </c:pt>
                <c:pt idx="7">
                  <c:v>2.8767093943071316E-2</c:v>
                </c:pt>
                <c:pt idx="8">
                  <c:v>2.8141204698652215E-2</c:v>
                </c:pt>
                <c:pt idx="9">
                  <c:v>2.9157546909233445E-2</c:v>
                </c:pt>
                <c:pt idx="10">
                  <c:v>3.2240902071912977E-2</c:v>
                </c:pt>
                <c:pt idx="11">
                  <c:v>3.7992218433340691E-2</c:v>
                </c:pt>
                <c:pt idx="12">
                  <c:v>4.7289840690448746E-2</c:v>
                </c:pt>
                <c:pt idx="13">
                  <c:v>6.1471997819311883E-2</c:v>
                </c:pt>
                <c:pt idx="14">
                  <c:v>8.2690994053023339E-2</c:v>
                </c:pt>
                <c:pt idx="15">
                  <c:v>0.11465592853962438</c:v>
                </c:pt>
                <c:pt idx="16">
                  <c:v>0.16430689590737668</c:v>
                </c:pt>
                <c:pt idx="17">
                  <c:v>0.24567023458644521</c:v>
                </c:pt>
                <c:pt idx="18">
                  <c:v>0.38735727200631809</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6.3949949727450092E-2</c:v>
                </c:pt>
                <c:pt idx="2">
                  <c:v>6.727235986394467E-2</c:v>
                </c:pt>
                <c:pt idx="3">
                  <c:v>7.1042513438592622E-2</c:v>
                </c:pt>
                <c:pt idx="4">
                  <c:v>7.5357001597851414E-2</c:v>
                </c:pt>
                <c:pt idx="5">
                  <c:v>8.0340917568231529E-2</c:v>
                </c:pt>
                <c:pt idx="6">
                  <c:v>8.6159228787313108E-2</c:v>
                </c:pt>
                <c:pt idx="7">
                  <c:v>9.3032778697653445E-2</c:v>
                </c:pt>
                <c:pt idx="8">
                  <c:v>0.10126276651618378</c:v>
                </c:pt>
                <c:pt idx="9">
                  <c:v>0.11126812967786792</c:v>
                </c:pt>
                <c:pt idx="10">
                  <c:v>0.1236439047330939</c:v>
                </c:pt>
                <c:pt idx="11">
                  <c:v>0.13925466333437886</c:v>
                </c:pt>
                <c:pt idx="12">
                  <c:v>0.15938443913032552</c:v>
                </c:pt>
                <c:pt idx="13">
                  <c:v>0.18597876083465484</c:v>
                </c:pt>
                <c:pt idx="14">
                  <c:v>0.22202157971256184</c:v>
                </c:pt>
                <c:pt idx="15">
                  <c:v>0.27206876964407806</c:v>
                </c:pt>
                <c:pt idx="16">
                  <c:v>0.34280405977701872</c:v>
                </c:pt>
                <c:pt idx="17">
                  <c:v>0.44306952842096675</c:v>
                </c:pt>
                <c:pt idx="18">
                  <c:v>0.58235212865771979</c:v>
                </c:pt>
                <c:pt idx="19">
                  <c:v>0.76750256129979966</c:v>
                </c:pt>
                <c:pt idx="20">
                  <c:v>0.81026825809136538</c:v>
                </c:pt>
                <c:pt idx="21">
                  <c:v>0.85492826054179649</c:v>
                </c:pt>
                <c:pt idx="22">
                  <c:v>0.90145842189357639</c:v>
                </c:pt>
                <c:pt idx="23">
                  <c:v>0.94982786566474964</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6.4847266416408381E-2</c:v>
                </c:pt>
                <c:pt idx="2">
                  <c:v>6.9239190086590602E-2</c:v>
                </c:pt>
                <c:pt idx="3">
                  <c:v>7.4296998780117404E-2</c:v>
                </c:pt>
                <c:pt idx="4">
                  <c:v>8.0178578271892939E-2</c:v>
                </c:pt>
                <c:pt idx="5">
                  <c:v>8.7090668241367603E-2</c:v>
                </c:pt>
                <c:pt idx="6">
                  <c:v>9.5308902344599378E-2</c:v>
                </c:pt>
                <c:pt idx="7">
                  <c:v>0.10520425013275722</c:v>
                </c:pt>
                <c:pt idx="8">
                  <c:v>0.11728215430044134</c:v>
                </c:pt>
                <c:pt idx="9">
                  <c:v>0.13223714877192339</c:v>
                </c:pt>
                <c:pt idx="10">
                  <c:v>0.15102582636173495</c:v>
                </c:pt>
                <c:pt idx="11">
                  <c:v>0.17495577293556558</c:v>
                </c:pt>
                <c:pt idx="12">
                  <c:v>0.20576217580103137</c:v>
                </c:pt>
                <c:pt idx="13">
                  <c:v>0.24558764553279702</c:v>
                </c:pt>
                <c:pt idx="14">
                  <c:v>0.29666062061199178</c:v>
                </c:pt>
                <c:pt idx="15">
                  <c:v>0.3603617810292164</c:v>
                </c:pt>
                <c:pt idx="16">
                  <c:v>0.43571067496926313</c:v>
                </c:pt>
                <c:pt idx="17">
                  <c:v>0.51906337860918716</c:v>
                </c:pt>
                <c:pt idx="18">
                  <c:v>0.60894669850457217</c:v>
                </c:pt>
                <c:pt idx="19">
                  <c:v>0.72007489177573802</c:v>
                </c:pt>
                <c:pt idx="20">
                  <c:v>0.7497885379072784</c:v>
                </c:pt>
                <c:pt idx="21">
                  <c:v>0.78496415547758169</c:v>
                </c:pt>
                <c:pt idx="22">
                  <c:v>0.82879043184179313</c:v>
                </c:pt>
                <c:pt idx="23">
                  <c:v>0.88822420287749004</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11146971" cy="7271657"/>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78" zoomScaleNormal="100" workbookViewId="0">
      <selection activeCell="C107" sqref="C107"/>
    </sheetView>
  </sheetViews>
  <sheetFormatPr baseColWidth="10" defaultColWidth="12" defaultRowHeight="10" x14ac:dyDescent="0.2"/>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999.99999999999909</v>
      </c>
      <c r="K24" s="113">
        <f t="array" ref="K24:L24">H24:I24-pD</f>
        <v>0</v>
      </c>
      <c r="L24" s="113">
        <v>-9.0949470177292824E-13</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27857.010133999949</v>
      </c>
      <c r="I37" s="27">
        <v>1236.7674480000003</v>
      </c>
      <c r="K37" s="113">
        <f t="array" ref="K37:L37">H37:I37-Y</f>
        <v>-4.7293724492192268E-11</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6533.6044688320671</v>
      </c>
      <c r="I41" s="27">
        <f>(bU/pCE)^sigmaU/(aU^sigmaU*pCQ^(1-sigmaU)+bU^sigmaU*pCE^(1-sigmaU))*Revenue</f>
        <v>379.90788307663445</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91.012690000004071</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1.0628046216829141</v>
      </c>
      <c r="D97" s="174">
        <v>1.0389584707528505</v>
      </c>
      <c r="E97" s="59" t="s">
        <v>19</v>
      </c>
      <c r="F97" s="60">
        <f t="array" ref="F97:G97">(aX*D^rhoX+bX*X^rhoX)^(1/rhoX)</f>
        <v>27857.010133999949</v>
      </c>
      <c r="G97" s="61">
        <v>1236.7674480000003</v>
      </c>
    </row>
    <row r="98" spans="2:9" x14ac:dyDescent="0.2">
      <c r="B98" t="s">
        <v>105</v>
      </c>
      <c r="C98" s="175">
        <f t="array" ref="C98:D98">(Y/X)^rhoX*pX*X/(pD*D+pX*X)</f>
        <v>2.9527629608409791</v>
      </c>
      <c r="D98" s="176">
        <v>3.686320128465423</v>
      </c>
      <c r="F98" s="120">
        <f t="array" ref="F98:G98">F97:G97-Y</f>
        <v>-4.7293724492192268E-11</v>
      </c>
      <c r="G98" s="121">
        <v>0</v>
      </c>
    </row>
    <row r="99" spans="2:9" x14ac:dyDescent="0.2">
      <c r="B99" t="s">
        <v>66</v>
      </c>
      <c r="C99" s="170">
        <v>-2</v>
      </c>
      <c r="D99" s="171">
        <v>-2</v>
      </c>
    </row>
    <row r="100" spans="2:9" x14ac:dyDescent="0.2">
      <c r="B100" t="s">
        <v>106</v>
      </c>
      <c r="C100" s="179">
        <f t="array" ref="C100:D100">(sigmaX - 1)/sigmaX</f>
        <v>1.5</v>
      </c>
      <c r="D100" s="180">
        <v>1.5</v>
      </c>
    </row>
    <row r="102" spans="2:9" x14ac:dyDescent="0.2">
      <c r="B102" t="s">
        <v>97</v>
      </c>
      <c r="C102" s="28">
        <v>-0.1</v>
      </c>
    </row>
    <row r="104" spans="2:9" x14ac:dyDescent="0.2">
      <c r="B104" t="s">
        <v>43</v>
      </c>
      <c r="C104" s="63">
        <f>(U/CQ)^rhoU*pCQ*CQ/(pCQ*CQ+pCE*CE)</f>
        <v>0.21869233321420189</v>
      </c>
      <c r="E104" s="59" t="s">
        <v>47</v>
      </c>
      <c r="F104" s="62">
        <f>(aU*CQ^rhoU+bU*CE^rhoU)^(1/rhoU)</f>
        <v>0.99999999999999933</v>
      </c>
    </row>
    <row r="105" spans="2:9" x14ac:dyDescent="0.2">
      <c r="B105" t="s">
        <v>44</v>
      </c>
      <c r="C105" s="64">
        <f>(U/CE)^rhoU*pCE*CE/(pCQ*CQ+pCE*CE)</f>
        <v>2.0226227392714371E-2</v>
      </c>
      <c r="F105" s="114">
        <f t="array" ref="F105">F104-U</f>
        <v>0</v>
      </c>
    </row>
    <row r="106" spans="2:9" x14ac:dyDescent="0.2">
      <c r="B106" t="s">
        <v>45</v>
      </c>
      <c r="C106" s="197">
        <v>1.2</v>
      </c>
    </row>
    <row r="107" spans="2:9" x14ac:dyDescent="0.2">
      <c r="B107" t="s">
        <v>46</v>
      </c>
      <c r="C107" s="65">
        <f>(sigmaU-1)/sigmaU</f>
        <v>0.16666666666666663</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10" priority="28" stopIfTrue="1" operator="notEqual">
      <formula>0</formula>
    </cfRule>
  </conditionalFormatting>
  <conditionalFormatting sqref="K21:L21">
    <cfRule type="cellIs" dxfId="109" priority="27" stopIfTrue="1" operator="notEqual">
      <formula>0</formula>
    </cfRule>
  </conditionalFormatting>
  <conditionalFormatting sqref="K23:L23 K25:L30">
    <cfRule type="cellIs" dxfId="108" priority="26" stopIfTrue="1" operator="notEqual">
      <formula>0</formula>
    </cfRule>
  </conditionalFormatting>
  <conditionalFormatting sqref="K32:L32">
    <cfRule type="cellIs" dxfId="107" priority="25" stopIfTrue="1" operator="notEqual">
      <formula>0</formula>
    </cfRule>
  </conditionalFormatting>
  <conditionalFormatting sqref="K37:L39 K41:L43">
    <cfRule type="cellIs" dxfId="106" priority="24" stopIfTrue="1" operator="notEqual">
      <formula>0</formula>
    </cfRule>
  </conditionalFormatting>
  <conditionalFormatting sqref="K45:L48">
    <cfRule type="cellIs" dxfId="105" priority="23" stopIfTrue="1" operator="notEqual">
      <formula>0</formula>
    </cfRule>
  </conditionalFormatting>
  <conditionalFormatting sqref="K34:L35">
    <cfRule type="cellIs" dxfId="104" priority="22" stopIfTrue="1" operator="notEqual">
      <formula>0</formula>
    </cfRule>
  </conditionalFormatting>
  <conditionalFormatting sqref="K70:L73">
    <cfRule type="cellIs" dxfId="103" priority="21" stopIfTrue="1" operator="notEqual">
      <formula>0</formula>
    </cfRule>
  </conditionalFormatting>
  <conditionalFormatting sqref="K57">
    <cfRule type="cellIs" dxfId="102" priority="20" stopIfTrue="1" operator="notEqual">
      <formula>0</formula>
    </cfRule>
  </conditionalFormatting>
  <conditionalFormatting sqref="K55">
    <cfRule type="cellIs" dxfId="101" priority="19" stopIfTrue="1" operator="notEqual">
      <formula>0</formula>
    </cfRule>
  </conditionalFormatting>
  <conditionalFormatting sqref="F78:G78">
    <cfRule type="cellIs" dxfId="100" priority="18" stopIfTrue="1" operator="notEqual">
      <formula>0</formula>
    </cfRule>
  </conditionalFormatting>
  <conditionalFormatting sqref="F83:G83">
    <cfRule type="cellIs" dxfId="99" priority="17" stopIfTrue="1" operator="notEqual">
      <formula>0</formula>
    </cfRule>
  </conditionalFormatting>
  <conditionalFormatting sqref="F88:G88">
    <cfRule type="cellIs" dxfId="98" priority="16" stopIfTrue="1" operator="notEqual">
      <formula>0</formula>
    </cfRule>
  </conditionalFormatting>
  <conditionalFormatting sqref="F93:G93">
    <cfRule type="cellIs" dxfId="97" priority="15" stopIfTrue="1" operator="notEqual">
      <formula>0</formula>
    </cfRule>
  </conditionalFormatting>
  <conditionalFormatting sqref="F105">
    <cfRule type="cellIs" dxfId="96" priority="14" stopIfTrue="1" operator="notEqual">
      <formula>0</formula>
    </cfRule>
  </conditionalFormatting>
  <conditionalFormatting sqref="K44:L44">
    <cfRule type="cellIs" dxfId="95" priority="11" stopIfTrue="1" operator="notEqual">
      <formula>0</formula>
    </cfRule>
  </conditionalFormatting>
  <conditionalFormatting sqref="L57">
    <cfRule type="cellIs" dxfId="94" priority="8" stopIfTrue="1" operator="notEqual">
      <formula>0</formula>
    </cfRule>
  </conditionalFormatting>
  <conditionalFormatting sqref="K24:L24">
    <cfRule type="cellIs" dxfId="93" priority="6" stopIfTrue="1" operator="notEqual">
      <formula>0</formula>
    </cfRule>
  </conditionalFormatting>
  <conditionalFormatting sqref="K40:L40">
    <cfRule type="cellIs" dxfId="92" priority="5" stopIfTrue="1" operator="notEqual">
      <formula>0</formula>
    </cfRule>
  </conditionalFormatting>
  <conditionalFormatting sqref="F98:G98">
    <cfRule type="cellIs" dxfId="91" priority="3" stopIfTrue="1" operator="notEqual">
      <formula>0</formula>
    </cfRule>
  </conditionalFormatting>
  <conditionalFormatting sqref="K65">
    <cfRule type="cellIs" dxfId="90"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C34"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13356525.921000011</v>
      </c>
      <c r="M3" s="49">
        <v>398781.47400000016</v>
      </c>
      <c r="N3" s="50">
        <f t="array" ref="N3:N4">TRANSPOSE(pC*Consumption)</f>
        <v>6637565.1089999909</v>
      </c>
      <c r="O3" s="51">
        <f t="array" ref="O3:O4">TRANSPOSE(pG*G)</f>
        <v>3330668.2879999997</v>
      </c>
      <c r="P3" s="51">
        <f t="array" ref="P3:P4">TRANSPOSE(pI*I)</f>
        <v>3247244.4950000001</v>
      </c>
      <c r="Q3" s="57">
        <f t="array" ref="Q3:Q4">TRANSPOSE(pX*X)</f>
        <v>3195047.6040000012</v>
      </c>
      <c r="R3" s="9">
        <f t="array" ref="R3">SUM(L3:Q3)</f>
        <v>30165832.891000003</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599670.8820000008</v>
      </c>
      <c r="M4" s="53">
        <v>434900.03099999984</v>
      </c>
      <c r="N4" s="52">
        <v>382100.58199999324</v>
      </c>
      <c r="O4" s="54">
        <v>0</v>
      </c>
      <c r="P4" s="54">
        <v>0</v>
      </c>
      <c r="Q4" s="46">
        <v>91012.690000004397</v>
      </c>
      <c r="R4" s="11">
        <f t="array" ref="R4">SUM(L4:Q4)</f>
        <v>1507684.1849999982</v>
      </c>
    </row>
    <row r="5" spans="2:18" x14ac:dyDescent="0.2">
      <c r="B5" s="12" t="s">
        <v>1</v>
      </c>
      <c r="C5" s="48">
        <v>5036295.3101960644</v>
      </c>
      <c r="D5" s="49">
        <v>74905.331803938272</v>
      </c>
      <c r="E5" s="13"/>
      <c r="F5" s="13"/>
      <c r="G5" s="13"/>
      <c r="H5" s="13"/>
      <c r="I5" s="1"/>
      <c r="K5" s="12" t="s">
        <v>1</v>
      </c>
      <c r="L5" s="48">
        <f t="array" ref="L5:M5">w*Labour</f>
        <v>5036295.3101960644</v>
      </c>
      <c r="M5" s="49">
        <v>74905.331803938272</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2301604.2068039374</v>
      </c>
      <c r="M6" s="55">
        <v>34231.993196061703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137715.65500000006</v>
      </c>
      <c r="M7" s="55">
        <v>20719.463999999996</v>
      </c>
      <c r="N7" s="13"/>
      <c r="O7" s="13"/>
      <c r="P7" s="13"/>
      <c r="Q7" s="13"/>
      <c r="R7" s="1"/>
    </row>
    <row r="8" spans="2:18" x14ac:dyDescent="0.2">
      <c r="B8" s="14" t="s">
        <v>2</v>
      </c>
      <c r="C8" s="50">
        <v>6425198.1590000018</v>
      </c>
      <c r="D8" s="55">
        <v>273229.1540000001</v>
      </c>
      <c r="E8" s="13"/>
      <c r="F8" s="13"/>
      <c r="G8" s="13"/>
      <c r="H8" s="13"/>
      <c r="I8" s="1"/>
      <c r="K8" s="14" t="s">
        <v>2</v>
      </c>
      <c r="L8" s="50">
        <f t="array" ref="L8:M8">pK*kappa*Y</f>
        <v>6425198.1590000419</v>
      </c>
      <c r="M8" s="55">
        <v>273229.15400000027</v>
      </c>
      <c r="N8" s="13"/>
      <c r="O8" s="13"/>
      <c r="P8" s="13"/>
      <c r="Q8" s="13"/>
      <c r="R8" s="1"/>
    </row>
    <row r="9" spans="2:18" x14ac:dyDescent="0.2">
      <c r="B9" s="2" t="s">
        <v>3</v>
      </c>
      <c r="C9" s="118">
        <v>1886393.7399999965</v>
      </c>
      <c r="D9" s="119">
        <v>262787.11299999768</v>
      </c>
      <c r="E9" s="13"/>
      <c r="F9" s="13"/>
      <c r="G9" s="13"/>
      <c r="H9" s="13"/>
      <c r="I9" s="1"/>
      <c r="K9" s="2" t="s">
        <v>3</v>
      </c>
      <c r="L9" s="118">
        <f t="array" ref="L9:M9">pW*M</f>
        <v>1886393.7399999918</v>
      </c>
      <c r="M9" s="119">
        <v>262787.11299999757</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422429.01700000011</v>
      </c>
      <c r="M10" s="57">
        <v>8129.6240000000025</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30165832.891000047</v>
      </c>
      <c r="M12" s="18">
        <f>SUM(M3:M11)</f>
        <v>1507684.184999998</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-4.4703483581542969E-8</v>
      </c>
      <c r="M14" s="200">
        <f t="array" ref="M14">R4-M12</f>
        <v>0</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99.00000000000324</v>
      </c>
    </row>
    <row r="19" spans="2:21" ht="10.5" x14ac:dyDescent="0.25">
      <c r="B19" s="92" t="s">
        <v>79</v>
      </c>
      <c r="C19" s="106" t="s">
        <v>87</v>
      </c>
      <c r="H19" s="92" t="s">
        <v>60</v>
      </c>
      <c r="K19" s="92" t="s">
        <v>59</v>
      </c>
      <c r="Q19" s="92" t="s">
        <v>42</v>
      </c>
    </row>
    <row r="21" spans="2:21" ht="10.5" x14ac:dyDescent="0.25">
      <c r="B21" t="s">
        <v>12</v>
      </c>
      <c r="C21" s="81">
        <f t="array" ref="C21:D21">ABS(C80:D80)</f>
        <v>1000</v>
      </c>
      <c r="D21" s="82">
        <v>1000</v>
      </c>
      <c r="H21" s="60">
        <f t="array" ref="H21:I21">(aY^sigmaY*pKLE^(1-sigmaY)+bY^sigmaY*pMY^(1-sigmaY))^(1/(1-sigmaY))*(1+tauY)</f>
        <v>1000.0000000000014</v>
      </c>
      <c r="I21" s="61">
        <v>999.99999999999898</v>
      </c>
      <c r="J21" s="107" t="s">
        <v>69</v>
      </c>
      <c r="K21" s="113">
        <f t="array" ref="K21:L21">H21:I21/pY-1</f>
        <v>0</v>
      </c>
      <c r="L21" s="113">
        <v>-9.9920072216264089E-16</v>
      </c>
      <c r="N21" s="68">
        <f t="array" ref="N21:O35">PRICES/Calibration!PRICES-1</f>
        <v>0</v>
      </c>
      <c r="O21" s="69">
        <v>0</v>
      </c>
      <c r="Q21" s="113">
        <f t="array" ref="Q21:R21">(pKLE*KLE+pMY*alphaMY*Y)*(1+tauY)/Y-pY</f>
        <v>1.4779288903810084E-12</v>
      </c>
      <c r="R21" s="113">
        <v>0</v>
      </c>
      <c r="T21" s="113">
        <f t="array" ref="T21:U21">(aX^sigmaX*pD^(1-sigmaX)+bX^sigmaX*pW^(1-sigmaX))^(1/(1-sigmaX))-pY</f>
        <v>0</v>
      </c>
      <c r="U21" s="113">
        <v>-2.0463630789890885E-12</v>
      </c>
    </row>
    <row r="22" spans="2:21" x14ac:dyDescent="0.2">
      <c r="B22" t="s">
        <v>103</v>
      </c>
      <c r="C22" s="95">
        <f t="array" ref="C22:D22">Calibration!pW</f>
        <v>1000</v>
      </c>
      <c r="D22" s="96">
        <v>1000</v>
      </c>
      <c r="N22" s="70">
        <v>0</v>
      </c>
      <c r="O22" s="71">
        <v>0</v>
      </c>
    </row>
    <row r="23" spans="2:21" ht="10.5" x14ac:dyDescent="0.25">
      <c r="B23" t="s">
        <v>115</v>
      </c>
      <c r="C23" s="93">
        <f t="array" ref="C23:D23">ABS(C81:D81)</f>
        <v>1000</v>
      </c>
      <c r="D23" s="94">
        <v>1000</v>
      </c>
      <c r="H23" s="60">
        <f t="array" ref="H23:I23">(aS^sigmaS*pD^(1-sigmaS)+bS^sigmaS*pW^(1-sigmaS))^(1/(1-sigmaS))</f>
        <v>999.99999999999864</v>
      </c>
      <c r="I23" s="61">
        <v>999.99999999999977</v>
      </c>
      <c r="J23" s="107" t="s">
        <v>108</v>
      </c>
      <c r="K23" s="113">
        <f t="array" ref="K23:L23">(pY*Y+pW*M)/(pS*S+pW*X)-1</f>
        <v>0</v>
      </c>
      <c r="L23" s="113">
        <v>0</v>
      </c>
      <c r="N23" s="70">
        <v>0</v>
      </c>
      <c r="O23" s="71">
        <v>0</v>
      </c>
      <c r="Q23" s="113">
        <f t="array" ref="Q23:R23">pS*S-pD*D-pW*M</f>
        <v>4.7497451305389404E-8</v>
      </c>
      <c r="R23" s="113">
        <v>-1.862645149230957E-9</v>
      </c>
    </row>
    <row r="24" spans="2:21" x14ac:dyDescent="0.2">
      <c r="B24" t="s">
        <v>77</v>
      </c>
      <c r="C24" s="110">
        <f t="array" ref="C24:D24">aX^(sigmaX/(sigmaX-1))*(pY^(1-sigmaX)-bX^sigmaX*pW^(1-sigmaX))^(1/(1-sigmaX))</f>
        <v>999.99999999999943</v>
      </c>
      <c r="D24" s="164">
        <v>999.99999999999909</v>
      </c>
      <c r="N24" s="70">
        <v>0</v>
      </c>
      <c r="O24" s="71">
        <v>-8.8817841970012523E-16</v>
      </c>
    </row>
    <row r="25" spans="2:21" x14ac:dyDescent="0.2">
      <c r="B25" t="s">
        <v>13</v>
      </c>
      <c r="C25" s="31">
        <f t="array" ref="C25:D26">TRANSPOSE(pS*(1+tauTS))</f>
        <v>1015.9116825427475</v>
      </c>
      <c r="D25" s="32">
        <v>1015.9116825427475</v>
      </c>
      <c r="E25" t="s">
        <v>63</v>
      </c>
      <c r="N25" s="70">
        <v>0</v>
      </c>
      <c r="O25" s="71">
        <v>0</v>
      </c>
    </row>
    <row r="26" spans="2:21" x14ac:dyDescent="0.2">
      <c r="C26" s="33">
        <v>1005.7716594496609</v>
      </c>
      <c r="D26" s="34">
        <v>1005.7716594496609</v>
      </c>
      <c r="E26" t="s">
        <v>41</v>
      </c>
      <c r="N26" s="70">
        <v>0</v>
      </c>
      <c r="O26" s="71">
        <v>0</v>
      </c>
    </row>
    <row r="27" spans="2:21" ht="10.5" x14ac:dyDescent="0.25">
      <c r="B27" t="s">
        <v>14</v>
      </c>
      <c r="C27" s="39">
        <f t="array" ref="C27:D27">pS*(1+tauTS)</f>
        <v>1015.9116825427475</v>
      </c>
      <c r="D27" s="40">
        <v>1005.7716594496609</v>
      </c>
      <c r="J27" s="92"/>
      <c r="N27" s="70">
        <v>0</v>
      </c>
      <c r="O27" s="71">
        <v>0</v>
      </c>
    </row>
    <row r="28" spans="2:21" ht="10.5" x14ac:dyDescent="0.25">
      <c r="B28" t="s">
        <v>15</v>
      </c>
      <c r="C28" s="39">
        <f t="array" ref="C28:D28">pS*(1+tauTS)</f>
        <v>1015.9116825427475</v>
      </c>
      <c r="D28" s="40">
        <v>1005.7716594496609</v>
      </c>
      <c r="J28" s="92"/>
      <c r="N28" s="70">
        <v>0</v>
      </c>
      <c r="O28" s="71">
        <v>0</v>
      </c>
    </row>
    <row r="29" spans="2:21" ht="10.5" x14ac:dyDescent="0.25">
      <c r="B29" t="s">
        <v>29</v>
      </c>
      <c r="C29" s="39">
        <f t="array" ref="C29:D29">pS*(1+tauTS)</f>
        <v>1015.9116825427475</v>
      </c>
      <c r="D29" s="40">
        <v>1005.7716594496609</v>
      </c>
      <c r="J29" s="92"/>
      <c r="N29" s="70">
        <v>0</v>
      </c>
      <c r="O29" s="71">
        <v>0</v>
      </c>
    </row>
    <row r="30" spans="2:21" ht="10.5" x14ac:dyDescent="0.25">
      <c r="B30" t="s">
        <v>16</v>
      </c>
      <c r="C30" s="39">
        <f t="array" ref="C30:D30">pW</f>
        <v>1000</v>
      </c>
      <c r="D30" s="40">
        <v>1000</v>
      </c>
      <c r="J30" s="92"/>
      <c r="N30" s="70">
        <v>0</v>
      </c>
      <c r="O30" s="71">
        <v>0</v>
      </c>
    </row>
    <row r="31" spans="2:21" x14ac:dyDescent="0.2">
      <c r="B31" t="s">
        <v>17</v>
      </c>
      <c r="C31" s="93">
        <f>ABS(C82)</f>
        <v>1000</v>
      </c>
      <c r="D31" s="164">
        <f>wQ</f>
        <v>1000</v>
      </c>
      <c r="N31" s="70">
        <v>0</v>
      </c>
      <c r="O31" s="71">
        <v>0</v>
      </c>
    </row>
    <row r="32" spans="2:21" x14ac:dyDescent="0.2">
      <c r="B32" t="s">
        <v>36</v>
      </c>
      <c r="C32" s="39">
        <f t="array" ref="C32:D32">w*(1+tauL)</f>
        <v>1457.0034251455234</v>
      </c>
      <c r="D32" s="40">
        <v>1457.0034251455236</v>
      </c>
      <c r="N32" s="70">
        <v>0</v>
      </c>
      <c r="O32" s="71">
        <v>0</v>
      </c>
      <c r="Q32" s="113">
        <f t="array" ref="Q32:R32">bKL*(Labour/KL)^(rhoKL-1)*pKL/pL-1</f>
        <v>5.773159728050814E-15</v>
      </c>
      <c r="R32" s="113">
        <v>0</v>
      </c>
      <c r="S32" t="s">
        <v>122</v>
      </c>
    </row>
    <row r="33" spans="2:19" x14ac:dyDescent="0.2">
      <c r="B33" t="s">
        <v>18</v>
      </c>
      <c r="C33" s="144">
        <f>ABS(C83)</f>
        <v>1000</v>
      </c>
      <c r="D33" s="165">
        <f>C33</f>
        <v>1000</v>
      </c>
      <c r="E33" t="s">
        <v>56</v>
      </c>
      <c r="N33" s="70">
        <v>0</v>
      </c>
      <c r="O33" s="71">
        <v>0</v>
      </c>
      <c r="Q33" s="113">
        <f t="array" ref="Q33:R33">aKL*(K/KL)^(rhoKL-1)*pKL/pK-1</f>
        <v>-1.5099033134902129E-14</v>
      </c>
      <c r="R33" s="113">
        <v>-4.8849813083506888E-15</v>
      </c>
      <c r="S33" t="s">
        <v>122</v>
      </c>
    </row>
    <row r="34" spans="2:19" ht="10.5" x14ac:dyDescent="0.25">
      <c r="B34" t="s">
        <v>61</v>
      </c>
      <c r="C34" s="93">
        <f t="array" ref="C34:D34">ABS(C84:D84)</f>
        <v>1000</v>
      </c>
      <c r="D34" s="94">
        <v>1000</v>
      </c>
      <c r="J34" s="107" t="s">
        <v>121</v>
      </c>
      <c r="K34" s="113">
        <f t="array" ref="K34:L34">pKL*KL/(pK*K+pL*Labour)-1</f>
        <v>-1.1102230246251565E-15</v>
      </c>
      <c r="L34" s="113">
        <v>0</v>
      </c>
      <c r="N34" s="70">
        <v>0</v>
      </c>
      <c r="O34" s="71">
        <v>0</v>
      </c>
      <c r="Q34" s="113">
        <f t="array" ref="Q34:R34">(aKL^sigmaKL*pK^(1-sigmaKL)+bKL^sigmaKL*pL^(1-sigmaKL))^((rhoKL-1)/rhoKL)-pKL</f>
        <v>0</v>
      </c>
      <c r="R34" s="113">
        <v>0</v>
      </c>
      <c r="S34" t="s">
        <v>122</v>
      </c>
    </row>
    <row r="35" spans="2:19" x14ac:dyDescent="0.2">
      <c r="B35" t="s">
        <v>62</v>
      </c>
      <c r="C35" s="33">
        <f t="array" ref="C35:D35">(aKLE^sigmaKLE*pKL^(1-sigmaKLE)+bKLE^sigmaKLE*pEY^(1-sigmaKLE))^(1/(1-sigmaKLE))</f>
        <v>1000.0000000000002</v>
      </c>
      <c r="D35" s="34">
        <v>999.99999999999977</v>
      </c>
      <c r="N35" s="72">
        <v>0</v>
      </c>
      <c r="O35" s="73">
        <v>0</v>
      </c>
      <c r="Q35" s="113">
        <f t="array" ref="Q35:R35">(pKL*KL+pEY*alphaEY*Y)/KLE-pKLE</f>
        <v>0</v>
      </c>
      <c r="R35" s="113">
        <v>0</v>
      </c>
    </row>
    <row r="37" spans="2:19" ht="10.5" x14ac:dyDescent="0.25">
      <c r="B37" t="s">
        <v>19</v>
      </c>
      <c r="C37" s="81">
        <f t="array" ref="C37:D37">ABS(C89:D89)</f>
        <v>27857.010133999996</v>
      </c>
      <c r="D37" s="82">
        <v>1236.7674480000003</v>
      </c>
      <c r="H37" s="60">
        <f t="array" ref="H37:I37">(aX*D^rhoX+bX*X^rhoX)^(1/rhoX)</f>
        <v>27857.010133999949</v>
      </c>
      <c r="I37" s="61">
        <v>1236.7674480000046</v>
      </c>
      <c r="J37" s="107" t="s">
        <v>107</v>
      </c>
      <c r="K37" s="113">
        <f t="array" ref="K37:L37">H37:I37/Y-1</f>
        <v>-1.6653345369377348E-15</v>
      </c>
      <c r="L37" s="113">
        <v>3.5527136788005009E-15</v>
      </c>
      <c r="N37" s="68">
        <f t="array" ref="N37:O48">VOLUMES/Calibration!VOLUMES-1</f>
        <v>0</v>
      </c>
      <c r="O37" s="69">
        <v>0</v>
      </c>
      <c r="Q37" s="113">
        <f t="array" ref="Q37:R37">(aY*KLE^rhoY+bY*(alphaMY*Y)^rhoY)^(1/rhoY)-Y</f>
        <v>9.822542779147625E-11</v>
      </c>
      <c r="R37" s="113">
        <v>-2.2737367544323206E-12</v>
      </c>
    </row>
    <row r="38" spans="2:19" x14ac:dyDescent="0.2">
      <c r="B38" t="s">
        <v>3</v>
      </c>
      <c r="C38" s="39">
        <f t="array" ref="C38:D38">(bS/pW)^sigmaS*(aS^sigmaS*pD^(1-sigmaS)+bS^sigmaS*pW^(1-sigmaS))^(-1/rhoS)*S</f>
        <v>1886.3937399999918</v>
      </c>
      <c r="D38" s="40">
        <v>262.78711299999759</v>
      </c>
      <c r="N38" s="70">
        <v>-2.55351295663786E-15</v>
      </c>
      <c r="O38" s="71">
        <v>0</v>
      </c>
      <c r="Q38" s="113">
        <f t="array" ref="Q38:R38">pD*D+pW*M-pS*S</f>
        <v>-4.8428773880004883E-8</v>
      </c>
      <c r="R38" s="113">
        <v>1.862645149230957E-9</v>
      </c>
    </row>
    <row r="39" spans="2:19" ht="10.5" x14ac:dyDescent="0.25">
      <c r="B39" t="s">
        <v>114</v>
      </c>
      <c r="C39" s="79">
        <f t="array" ref="C39:D39">ABS(C85:D85)</f>
        <v>26548.356269999993</v>
      </c>
      <c r="D39" s="80">
        <v>1408.5418709999938</v>
      </c>
      <c r="E39" t="s">
        <v>109</v>
      </c>
      <c r="H39" s="60">
        <f t="array" ref="H39:I39">MMULT(Y,TRANSPOSE(alpha))+Consumption+G+I</f>
        <v>26548.35627</v>
      </c>
      <c r="I39" s="61">
        <v>1408.541870999994</v>
      </c>
      <c r="J39" s="107" t="s">
        <v>72</v>
      </c>
      <c r="K39" s="113">
        <f t="array" ref="K39:L39">H39:I39/S-1</f>
        <v>0</v>
      </c>
      <c r="L39" s="113">
        <v>0</v>
      </c>
      <c r="N39" s="70">
        <v>0</v>
      </c>
      <c r="O39" s="71">
        <v>0</v>
      </c>
    </row>
    <row r="40" spans="2:19" x14ac:dyDescent="0.2">
      <c r="B40" t="s">
        <v>76</v>
      </c>
      <c r="C40" s="39">
        <f t="array" ref="C40:D40">(aS/pD)^sigmaS*(aS^sigmaS*pD^(1-sigmaS)+bS^sigmaS*pW^(1-sigmaS))^(-1/rhoS)*S</f>
        <v>24661.962529999968</v>
      </c>
      <c r="D40" s="40">
        <v>1145.7547579999991</v>
      </c>
      <c r="F40" s="156"/>
      <c r="N40" s="72">
        <v>-9.9920072216264089E-16</v>
      </c>
      <c r="O40" s="73">
        <v>2.6645352591003757E-15</v>
      </c>
    </row>
    <row r="41" spans="2:19" ht="10.5" x14ac:dyDescent="0.25">
      <c r="B41" t="s">
        <v>28</v>
      </c>
      <c r="C41" s="39">
        <f>(aU/pCQ)^sigmaU/(aU^sigmaU*pCQ^(1-sigmaU)+bU^sigmaU*pCE^(1-sigmaU))*Revenue</f>
        <v>6533.604468832059</v>
      </c>
      <c r="D41" s="40">
        <f>(bU/pCE)^sigmaU/(aU^sigmaU*pCQ^(1-sigmaU)+bU^sigmaU*pCE^(1-sigmaU))*Revenue</f>
        <v>379.90788307663331</v>
      </c>
      <c r="E41" t="s">
        <v>57</v>
      </c>
      <c r="H41" s="59" t="s">
        <v>67</v>
      </c>
      <c r="I41" s="91">
        <v>0.99000000000000032</v>
      </c>
      <c r="J41" s="107" t="s">
        <v>73</v>
      </c>
      <c r="K41" s="113">
        <f>Model!SE/(1-I41)/Calibration!SE-1</f>
        <v>99.00000000000324</v>
      </c>
      <c r="N41" s="70">
        <v>-1.5543122344752192E-15</v>
      </c>
      <c r="O41" s="71">
        <v>-1.9984014443252818E-15</v>
      </c>
    </row>
    <row r="42" spans="2:19" x14ac:dyDescent="0.2">
      <c r="B42" t="s">
        <v>7</v>
      </c>
      <c r="C42" s="110">
        <f t="array" ref="C42">omegaG*GDP/pG</f>
        <v>3278.5018080150408</v>
      </c>
      <c r="D42" s="8">
        <v>0</v>
      </c>
      <c r="N42" s="70">
        <v>0</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3195.0476040000012</v>
      </c>
      <c r="D44" s="159">
        <v>91.012690000004397</v>
      </c>
      <c r="N44" s="70">
        <v>0</v>
      </c>
      <c r="O44" s="71">
        <v>3.5527136788005009E-15</v>
      </c>
    </row>
    <row r="45" spans="2:19" x14ac:dyDescent="0.2">
      <c r="B45" t="s">
        <v>27</v>
      </c>
      <c r="C45" s="81">
        <f t="array" ref="C45:D45">ABS(C88:D88)</f>
        <v>5036.2953101960647</v>
      </c>
      <c r="D45" s="82">
        <v>74.905331803938267</v>
      </c>
      <c r="H45" s="27"/>
      <c r="N45" s="70">
        <v>0</v>
      </c>
      <c r="O45" s="71">
        <v>0</v>
      </c>
      <c r="Q45" s="113">
        <f t="array" ref="Q45:R45">(bKL/pL)^sigmaKL*(aKL^sigmaKL*pK^(1-sigmaKL)+bKL^sigmaKL*pL^(1-sigmaKL))^(-1/rhoKL)*KL/Labour-1</f>
        <v>1.7763568394002505E-15</v>
      </c>
      <c r="R45" s="113">
        <v>0</v>
      </c>
      <c r="S45" t="s">
        <v>122</v>
      </c>
    </row>
    <row r="46" spans="2:19" x14ac:dyDescent="0.2">
      <c r="B46" t="s">
        <v>2</v>
      </c>
      <c r="C46" s="33">
        <f t="array" ref="C46:D46">(KL^rhoKL/aKL-bKL*Labour^rhoKL/aKL)^(1/rhoKL)</f>
        <v>6425.1981590000414</v>
      </c>
      <c r="D46" s="34">
        <v>273.22915400000028</v>
      </c>
      <c r="N46" s="70">
        <v>6.2172489379008766E-15</v>
      </c>
      <c r="O46" s="71">
        <v>0</v>
      </c>
      <c r="Q46" s="113">
        <f t="array" ref="Q46:R46">(aKL/pK)^sigmaKL*(aKL^sigmaKL*pK^(1-sigmaKL)+bKL^sigmaKL*pL^(1-sigmaKL))^(-1/rhoKL)*KL/K-1</f>
        <v>-4.6629367034256575E-15</v>
      </c>
      <c r="R46" s="113">
        <v>0</v>
      </c>
      <c r="S46" t="s">
        <v>122</v>
      </c>
    </row>
    <row r="47" spans="2:19" x14ac:dyDescent="0.2">
      <c r="B47" t="s">
        <v>35</v>
      </c>
      <c r="C47" s="39">
        <f t="array" ref="C47:D47">(aKLE/pKL)^sigmaKLE*(aKLE^sigmaKLE*pKL^(1-sigmaKLE)+bKLE^sigmaKLE*pEY^(1-sigmaKLE))^(-1/rhoKLE)*KLE</f>
        <v>13763.097676000029</v>
      </c>
      <c r="D47" s="40">
        <v>382.36647899999997</v>
      </c>
      <c r="N47" s="70">
        <v>1.7763568394002505E-15</v>
      </c>
      <c r="O47" s="71">
        <v>0</v>
      </c>
      <c r="Q47" s="113">
        <f t="array" ref="Q47:R47">(aKL*K^rhoKL+bKL*Labour^rhoKL)^(1/rhoKL)-KL</f>
        <v>3.2741809263825417E-11</v>
      </c>
      <c r="R47" s="113">
        <v>0</v>
      </c>
    </row>
    <row r="48" spans="2:19" x14ac:dyDescent="0.2">
      <c r="B48" t="s">
        <v>53</v>
      </c>
      <c r="C48" s="33">
        <f t="array" ref="C48:D48">(aY/pKLE)^sigmaY*(aY^sigmaY*pKLE^(1-sigmaY)+bY^sigmaY*pMY^(1-sigmaY))^(-1/rhoY)*Y</f>
        <v>14362.768558000025</v>
      </c>
      <c r="D48" s="34">
        <v>817.26650999999993</v>
      </c>
      <c r="N48" s="72">
        <v>0</v>
      </c>
      <c r="O48" s="73">
        <v>0</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5.7716594496607888E-3</v>
      </c>
      <c r="J52" s="27"/>
      <c r="AA52" s="78"/>
    </row>
    <row r="53" spans="2:38" x14ac:dyDescent="0.2">
      <c r="C53" s="27"/>
      <c r="D53" s="27"/>
      <c r="Y53" s="78"/>
      <c r="AA53" s="78"/>
      <c r="AC53" s="78"/>
    </row>
    <row r="54" spans="2:38" ht="10.5" x14ac:dyDescent="0.25">
      <c r="C54" s="27"/>
      <c r="D54" s="27"/>
      <c r="K54" s="184" t="s">
        <v>141</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2924829.9599999995</v>
      </c>
      <c r="J55" s="107" t="s">
        <v>71</v>
      </c>
      <c r="K55" s="113">
        <f t="array" ref="K55">pK/pI/Calibration!pK*Calibration!pI-1</f>
        <v>0</v>
      </c>
      <c r="N55" s="74">
        <f t="array" ref="N55:N59">AGGREGATES/Calibration!AGGREGATES-1</f>
        <v>0</v>
      </c>
      <c r="T55" s="107" t="s">
        <v>124</v>
      </c>
      <c r="U55" s="113">
        <f>SUM(K)/SUM(Calibration!K)-1</f>
        <v>5.9952043329758453E-15</v>
      </c>
      <c r="W55" s="113">
        <f>SUM(K)/SUM(Calibration!K)-1</f>
        <v>5.9952043329758453E-15</v>
      </c>
      <c r="Y55" s="113">
        <f>SUM(K)/SUM(Calibration!K)-1</f>
        <v>5.9952043329758453E-15</v>
      </c>
      <c r="AA55" s="113">
        <f>SUM(K)/SUM(Calibration!K)-1</f>
        <v>5.9952043329758453E-15</v>
      </c>
      <c r="AC55" s="113">
        <f>SUM(K)/SUM(Calibration!K)-1</f>
        <v>5.9952043329758453E-15</v>
      </c>
      <c r="AE55" s="113">
        <f>SUM(K)/SUM(Calibration!K)-1</f>
        <v>5.9952043329758453E-15</v>
      </c>
      <c r="AG55" s="113">
        <f t="array" ref="AG55">pK/pI/Calibration!pK*Calibration!pI*20%^sigmaw*(20%+80%*(SUM(Calibration!K)-SUM(K))/SUM(Calibration!K))^-sigmaw-1</f>
        <v>-2.2204460492503131E-15</v>
      </c>
      <c r="AI55" s="113">
        <f t="array" ref="AI55">pK/pI/Calibration!pK*Calibration!pI-1</f>
        <v>0</v>
      </c>
      <c r="AK55" s="113">
        <f>SUM(K)/SUM(Calibration!K)-1</f>
        <v>5.9952043329758453E-15</v>
      </c>
    </row>
    <row r="56" spans="2:38" ht="10.5" x14ac:dyDescent="0.25">
      <c r="B56" t="s">
        <v>47</v>
      </c>
      <c r="C56" s="77">
        <f>(aU*CQ^rhoU+bU*CE^rhoU)^(1/rhoU)</f>
        <v>0.999999999999998</v>
      </c>
      <c r="J56" s="107" t="s">
        <v>74</v>
      </c>
      <c r="K56" s="113">
        <f t="array" ref="K56">w/CPI/Calibration!w*6.1%^sigmaw*(6.1%+93.9%*(SUM(Calibration!Labour)-SUM(Labour))/SUM(Calibration!Labour))^-sigmaw-1</f>
        <v>0</v>
      </c>
      <c r="N56" s="75">
        <v>-1.9984014443252818E-15</v>
      </c>
      <c r="T56" s="107" t="s">
        <v>125</v>
      </c>
      <c r="U56" s="113">
        <f>SUM(Labour)/SUM(Calibration!Labour)-1</f>
        <v>0</v>
      </c>
      <c r="W56" s="113">
        <f>SUM(Labour)/SUM(Calibration!Labour)-1</f>
        <v>0</v>
      </c>
      <c r="Y56" s="113">
        <f>SUM(Labour)/SUM(Calibration!Labour)-1</f>
        <v>0</v>
      </c>
      <c r="AA56" s="113">
        <f t="array" ref="AA56">omegaI*GDP/SUM(pI*I)-1</f>
        <v>0</v>
      </c>
      <c r="AC56" s="113">
        <f t="array" ref="AC56">w/CPI/Calibration!w-1</f>
        <v>0</v>
      </c>
      <c r="AE56" s="113">
        <f t="array" ref="AE56">w/CPI/Calibration!w-1</f>
        <v>0</v>
      </c>
      <c r="AG56" s="113">
        <f t="array" ref="AG56">w/CPI/Calibration!w*6.1%^sigmaw*(6.1%+93.9%*(SUM(Calibration!Labour)-SUM(Labour))/SUM(Calibration!Labour))^-sigmaw-1</f>
        <v>0</v>
      </c>
      <c r="AI56" s="113">
        <f t="array" ref="AI56">w/CPI/Calibration!w*6.1%^sigmaw*(6.1%+93.9%*(SUM(Calibration!Labour)-SUM(Labour))/SUM(Calibration!Labour))^-sigmaw-1</f>
        <v>0</v>
      </c>
      <c r="AK56" s="113">
        <f t="array" ref="AK56">w/CPI/Calibration!w-1</f>
        <v>0</v>
      </c>
    </row>
    <row r="57" spans="2:38" ht="10.5" x14ac:dyDescent="0.25">
      <c r="B57" t="s">
        <v>64</v>
      </c>
      <c r="C57" s="83">
        <f>ABS(C87)</f>
        <v>14734457.915000005</v>
      </c>
      <c r="J57" s="107" t="s">
        <v>88</v>
      </c>
      <c r="K57" s="113">
        <f t="array" ref="K57">I/SUM(K)/Calibration!I*SUM(K)-1</f>
        <v>0</v>
      </c>
      <c r="N57" s="75">
        <v>0</v>
      </c>
      <c r="Q57" s="113">
        <f t="array" ref="Q57">(SUM(pC*Consumption+pG*G+pI*I)+B)/GDP-1</f>
        <v>0</v>
      </c>
      <c r="R57" s="113">
        <f t="array" ref="R57">SUM(w*Labour,pK*K,T)/GDP-1</f>
        <v>2.6645352591003757E-15</v>
      </c>
      <c r="T57" s="107" t="s">
        <v>126</v>
      </c>
      <c r="U57" s="113">
        <f>B/GDP/Calibration!B*Calibration!GDP-1</f>
        <v>6.4392935428259079E-15</v>
      </c>
      <c r="W57" s="113">
        <f>B/GDP/Calibration!B*Calibration!GDP-1</f>
        <v>6.4392935428259079E-15</v>
      </c>
      <c r="Y57" s="113">
        <f>B/GDP/Calibration!B*Calibration!GDP-1</f>
        <v>6.4392935428259079E-15</v>
      </c>
      <c r="AA57" s="113">
        <f>B/GDP/Calibration!B*Calibration!GDP-1</f>
        <v>6.4392935428259079E-15</v>
      </c>
      <c r="AC57" s="113">
        <f>B/GDP/Calibration!B*Calibration!GDP-1</f>
        <v>6.4392935428259079E-15</v>
      </c>
      <c r="AE57" s="113">
        <f>B/GDP/Calibration!B*Calibration!GDP-1</f>
        <v>6.4392935428259079E-15</v>
      </c>
      <c r="AG57" s="113">
        <f>B/GDP/Calibration!B*Calibration!GDP-1</f>
        <v>6.4392935428259079E-15</v>
      </c>
      <c r="AI57" s="113">
        <f t="array" ref="AI57">I/SUM(K)/Calibration!I*SUM(K)-1</f>
        <v>0</v>
      </c>
      <c r="AK57" s="113">
        <f>B/GDP/Calibration!B*Calibration!GDP-1</f>
        <v>6.4392935428259079E-15</v>
      </c>
    </row>
    <row r="58" spans="2:38" ht="10.5" x14ac:dyDescent="0.25">
      <c r="B58" t="s">
        <v>54</v>
      </c>
      <c r="C58" s="111">
        <f t="array" ref="C58">GDP-SUM(pG*G,pI*I,B)</f>
        <v>7019665.6909999885</v>
      </c>
      <c r="J58" s="107" t="s">
        <v>123</v>
      </c>
      <c r="K58" s="113">
        <f t="array" ref="K58:L58">bKL*(KL/Labour)^(1/sigmaKL)*pKL/pL-1</f>
        <v>5.773159728050814E-15</v>
      </c>
      <c r="L58" s="113">
        <v>0</v>
      </c>
      <c r="N58" s="75">
        <v>-1.2212453270876722E-15</v>
      </c>
      <c r="Q58" s="113">
        <f t="array" ref="Q58">SUM(pC*Consumption)-Revenue</f>
        <v>0</v>
      </c>
      <c r="T58" s="107" t="s">
        <v>127</v>
      </c>
      <c r="U58" s="113">
        <f t="array" ref="U58:V58">bKL*(KL/Labour)^(1/sigmaKL)*pKL/pL-1</f>
        <v>5.773159728050814E-15</v>
      </c>
      <c r="V58" s="113">
        <v>0</v>
      </c>
      <c r="W58" s="113">
        <f t="array" ref="W58:X58">bKL*(KL/Labour)^(1/sigmaKL)*pKL/pL-1</f>
        <v>5.773159728050814E-15</v>
      </c>
      <c r="X58" s="113">
        <v>0</v>
      </c>
      <c r="Y58" s="113">
        <f t="array" ref="Y58">omegaI*GDP/SUM(pI*I)-1</f>
        <v>0</v>
      </c>
      <c r="Z58" s="113">
        <f>Labour_Q/KL_Q/Calibration!Labour_Q*Calibration!KL_Q-Labour_E/KL_E/Calibration!Labour_E*Calibration!KL_E</f>
        <v>-1.8873791418627661E-15</v>
      </c>
      <c r="AA58" s="113">
        <f t="array" ref="AA58:AB58">bKL*(KL/Labour)^(1/sigmaKL)*pKL/pL-1</f>
        <v>5.773159728050814E-15</v>
      </c>
      <c r="AB58" s="113">
        <v>0</v>
      </c>
      <c r="AC58" s="113">
        <f t="array" ref="AC58">omegaI*GDP/SUM(pI*I)-1</f>
        <v>0</v>
      </c>
      <c r="AD58" s="113">
        <f>Labour_Q/KL_Q/Calibration!Labour_Q*Calibration!KL_Q-Labour_E/KL_E/Calibration!Labour_E*Calibration!KL_E</f>
        <v>-1.8873791418627661E-15</v>
      </c>
      <c r="AE58" s="113">
        <f t="array" ref="AE58">omegaI*GDP/SUM(pI*I)-1</f>
        <v>0</v>
      </c>
      <c r="AF58" s="113">
        <f>Labour_Q/KL_Q/Calibration!Labour_Q*Calibration!KL_Q-Labour_E/KL_E/Calibration!Labour_E*Calibration!KL_E</f>
        <v>-1.8873791418627661E-15</v>
      </c>
      <c r="AG58" s="113">
        <f t="array" ref="AG58:AH58">bKL*(KL/Labour)^(1/sigmaKL)*pKL/pL-1</f>
        <v>5.773159728050814E-15</v>
      </c>
      <c r="AH58" s="113">
        <v>0</v>
      </c>
      <c r="AI58" s="113">
        <f t="array" ref="AI58:AJ58">bKL*(KL/Labour)^(1/sigmaKL)*pKL/pL-1</f>
        <v>5.773159728050814E-15</v>
      </c>
      <c r="AJ58" s="113">
        <v>0</v>
      </c>
      <c r="AK58" s="113">
        <f t="array" ref="AK58">(pI*I)/(Calibration!pI*Calibration!I)-1</f>
        <v>0</v>
      </c>
      <c r="AL58" s="113">
        <f>Labour_Q/KL_Q/Calibration!Labour_Q*Calibration!KL_Q-Labour_E/KL_E/Calibration!Labour_E*Calibration!KL_E</f>
        <v>-1.8873791418627661E-15</v>
      </c>
    </row>
    <row r="59" spans="2:38" ht="10.5" x14ac:dyDescent="0.25">
      <c r="B59" t="s">
        <v>75</v>
      </c>
      <c r="C59" s="111">
        <f t="array" ref="C59">SUM(pX*X - pW*M)</f>
        <v>1136879.4410000162</v>
      </c>
      <c r="J59" s="107" t="s">
        <v>70</v>
      </c>
      <c r="K59" s="113">
        <f t="array" ref="K59">(sL*(SUM(w*Labour))+sG*(T-SUM(pG*G))+sK*SUM(pK*K)-B)/SUM(pI*I)-1</f>
        <v>2.6645352591003757E-15</v>
      </c>
      <c r="N59" s="76">
        <v>6.4392935428259079E-15</v>
      </c>
      <c r="T59" s="107" t="s">
        <v>128</v>
      </c>
      <c r="U59" s="113">
        <f t="array" ref="U59">(sL*(SUM(w*Labour))+sG*(T-SUM(pG*G))+sK*SUM(pK*K)-B)/SUM(pI*I)-1</f>
        <v>2.6645352591003757E-15</v>
      </c>
      <c r="W59" s="113">
        <f t="array" ref="W59">omegaI*GDP/SUM(pI*I)-1</f>
        <v>0</v>
      </c>
      <c r="Y59" s="113">
        <f t="array" ref="Y59">(sL*(SUM(w*Labour))+sG*(T-SUM(pG*G))+sK*SUM(pK*K)-B)/SUM(pI*I)-1</f>
        <v>2.6645352591003757E-15</v>
      </c>
      <c r="AA59" s="113">
        <f t="array" ref="AA59">(sL*(SUM(w*Labour))+sG*(T-SUM(pG*G))+sK*SUM(pK*K)-B)/SUM(pI*I)-1</f>
        <v>2.6645352591003757E-15</v>
      </c>
      <c r="AC59" s="113">
        <f t="array" ref="AC59">(sL*(SUM(w*Labour))+sG*(T-SUM(pG*G))+sK*SUM(pK*K)-B)/SUM(pI*I)-1</f>
        <v>2.6645352591003757E-15</v>
      </c>
      <c r="AE59" s="113">
        <f t="array" ref="AE59">(sL*(SUM(w*Labour))+sG*(T-SUM(pG*G))+sK*SUM(pK*K)-B)/SUM(pI*I)-1</f>
        <v>2.6645352591003757E-15</v>
      </c>
      <c r="AG59" s="113">
        <f t="array" ref="AG59">(sL*(SUM(w*Labour))+sG*(T-SUM(pG*G))+sK*SUM(pK*K)-B)/SUM(pI*I)-1</f>
        <v>2.6645352591003757E-15</v>
      </c>
      <c r="AI59" s="113">
        <f t="array" ref="AI59">(sL*(SUM(w*Labour))+sG*(T-SUM(pG*G))+sK*SUM(pK*K)-B)/SUM(pI*I)-1</f>
        <v>2.6645352591003757E-15</v>
      </c>
      <c r="AK59" s="113">
        <f t="array" ref="AK59">(sL*(SUM(w*Labour))+sG*(T-SUM(pG*G))+sK*SUM(pK*K)-B)/SUM(pI*I)-1</f>
        <v>2.6645352591003757E-15</v>
      </c>
    </row>
    <row r="60" spans="2:38" ht="10.5" x14ac:dyDescent="0.25">
      <c r="B60" t="s">
        <v>145</v>
      </c>
      <c r="C60" s="191">
        <f t="array" ref="C60">SQRT(SUM(pC*Calibration!Consumption)*SUM(pC*Consumption)/SUM(Calibration!pC*Calibration!Consumption)/SUM(Calibration!pC*Consumption))</f>
        <v>1</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0.29754226190682465</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0.47195767671988198</v>
      </c>
      <c r="D70" s="36">
        <v>0.31738834428178964</v>
      </c>
      <c r="E70" t="s">
        <v>24</v>
      </c>
      <c r="N70" s="68">
        <f t="array" ref="N70:O73">FACTORS/Calibration!FACTORS-1</f>
        <v>0</v>
      </c>
      <c r="O70" s="69">
        <v>0</v>
      </c>
    </row>
    <row r="71" spans="2:15" x14ac:dyDescent="0.2">
      <c r="C71" s="37">
        <f t="array" ref="C71:D71">(bKLE/pEY)^sigmaKLE*(aKLE^sigmaKLE*pKL^(1-sigmaKLE)+bKLE^sigmaKLE*pEY^(1-sigmaKLE))^(-1/rhoKLE)*KLE/Y</f>
        <v>2.1403217525954466E-2</v>
      </c>
      <c r="D71" s="38">
        <v>0.3496246130199252</v>
      </c>
      <c r="E71" t="s">
        <v>25</v>
      </c>
      <c r="N71" s="70">
        <v>0</v>
      </c>
      <c r="O71" s="71">
        <v>0</v>
      </c>
    </row>
    <row r="72" spans="2:15" x14ac:dyDescent="0.2">
      <c r="B72" t="s">
        <v>22</v>
      </c>
      <c r="C72" s="35">
        <f t="array" ref="C72:D72">Labour/Y</f>
        <v>0.18079094942242827</v>
      </c>
      <c r="D72" s="36">
        <v>6.0565413429233668E-2</v>
      </c>
      <c r="N72" s="70">
        <v>0</v>
      </c>
      <c r="O72" s="71">
        <v>0</v>
      </c>
    </row>
    <row r="73" spans="2:15" x14ac:dyDescent="0.2">
      <c r="B73" t="s">
        <v>23</v>
      </c>
      <c r="C73" s="37">
        <f t="array" ref="C73:D73">K/Y</f>
        <v>0.23064923795098771</v>
      </c>
      <c r="D73" s="38">
        <v>0.22092201281804777</v>
      </c>
      <c r="N73" s="72">
        <v>6.2172489379008766E-15</v>
      </c>
      <c r="O73" s="73">
        <v>0</v>
      </c>
    </row>
    <row r="79" spans="2:15" ht="10.5" x14ac:dyDescent="0.25">
      <c r="B79" s="92" t="s">
        <v>93</v>
      </c>
    </row>
    <row r="80" spans="2:15" x14ac:dyDescent="0.2">
      <c r="B80" t="s">
        <v>12</v>
      </c>
      <c r="C80" s="81">
        <v>1000</v>
      </c>
      <c r="D80" s="82">
        <v>1000</v>
      </c>
    </row>
    <row r="81" spans="2:5" x14ac:dyDescent="0.2">
      <c r="B81" t="s">
        <v>115</v>
      </c>
      <c r="C81" s="93">
        <v>1000</v>
      </c>
      <c r="D81" s="94">
        <v>1000</v>
      </c>
    </row>
    <row r="82" spans="2:5" x14ac:dyDescent="0.2">
      <c r="B82" t="s">
        <v>17</v>
      </c>
      <c r="C82" s="93">
        <v>1000</v>
      </c>
      <c r="D82" s="94">
        <v>1000</v>
      </c>
    </row>
    <row r="83" spans="2:5" x14ac:dyDescent="0.2">
      <c r="B83" t="s">
        <v>18</v>
      </c>
      <c r="C83" s="146">
        <v>1000</v>
      </c>
      <c r="D83" s="147">
        <v>1000</v>
      </c>
    </row>
    <row r="84" spans="2:5" x14ac:dyDescent="0.2">
      <c r="B84" t="s">
        <v>61</v>
      </c>
      <c r="C84" s="146">
        <v>1000</v>
      </c>
      <c r="D84" s="147">
        <v>1000</v>
      </c>
    </row>
    <row r="85" spans="2:5" x14ac:dyDescent="0.2">
      <c r="B85" t="s">
        <v>114</v>
      </c>
      <c r="C85" s="79">
        <v>26548.356269999993</v>
      </c>
      <c r="D85" s="80">
        <v>1408.5418709999938</v>
      </c>
    </row>
    <row r="86" spans="2:5" x14ac:dyDescent="0.2">
      <c r="B86" t="s">
        <v>8</v>
      </c>
      <c r="C86" s="93">
        <v>3196.3846373657216</v>
      </c>
      <c r="D86" s="186">
        <v>5.7716594496607888E-3</v>
      </c>
      <c r="E86" t="s">
        <v>148</v>
      </c>
    </row>
    <row r="87" spans="2:5" x14ac:dyDescent="0.2">
      <c r="B87" t="s">
        <v>64</v>
      </c>
      <c r="C87" s="149">
        <v>14734457.915000005</v>
      </c>
      <c r="D87" s="150">
        <v>0</v>
      </c>
    </row>
    <row r="88" spans="2:5" x14ac:dyDescent="0.2">
      <c r="B88" t="s">
        <v>27</v>
      </c>
      <c r="C88" s="149">
        <v>5036.2953101960647</v>
      </c>
      <c r="D88" s="157">
        <v>74.905331803938267</v>
      </c>
    </row>
    <row r="89" spans="2:5" x14ac:dyDescent="0.2">
      <c r="B89" t="s">
        <v>19</v>
      </c>
      <c r="C89" s="148">
        <v>27857.010133999996</v>
      </c>
      <c r="D89" s="151">
        <v>1236.7674480000003</v>
      </c>
    </row>
  </sheetData>
  <conditionalFormatting sqref="K21:L21">
    <cfRule type="cellIs" dxfId="89" priority="1756" stopIfTrue="1" operator="notEqual">
      <formula>0</formula>
    </cfRule>
  </conditionalFormatting>
  <conditionalFormatting sqref="Q48:R48">
    <cfRule type="cellIs" dxfId="88" priority="1745" stopIfTrue="1" operator="notEqual">
      <formula>0</formula>
    </cfRule>
  </conditionalFormatting>
  <conditionalFormatting sqref="K39:L39">
    <cfRule type="cellIs" dxfId="87" priority="1753" stopIfTrue="1" operator="notEqual">
      <formula>0</formula>
    </cfRule>
  </conditionalFormatting>
  <conditionalFormatting sqref="K41">
    <cfRule type="cellIs" dxfId="86" priority="1752" stopIfTrue="1" operator="notEqual">
      <formula>0</formula>
    </cfRule>
  </conditionalFormatting>
  <conditionalFormatting sqref="Q47:R47">
    <cfRule type="cellIs" dxfId="85" priority="1750" stopIfTrue="1" operator="notEqual">
      <formula>0</formula>
    </cfRule>
  </conditionalFormatting>
  <conditionalFormatting sqref="Q37:R37">
    <cfRule type="cellIs" dxfId="84" priority="1747" stopIfTrue="1" operator="notEqual">
      <formula>0</formula>
    </cfRule>
  </conditionalFormatting>
  <conditionalFormatting sqref="R57">
    <cfRule type="cellIs" dxfId="83" priority="1741" stopIfTrue="1" operator="notEqual">
      <formula>0</formula>
    </cfRule>
  </conditionalFormatting>
  <conditionalFormatting sqref="Q57:Q58">
    <cfRule type="cellIs" dxfId="82" priority="1743" stopIfTrue="1" operator="notEqual">
      <formula>0</formula>
    </cfRule>
  </conditionalFormatting>
  <conditionalFormatting sqref="W59">
    <cfRule type="cellIs" dxfId="81" priority="1688" stopIfTrue="1" operator="notEqual">
      <formula>0</formula>
    </cfRule>
  </conditionalFormatting>
  <conditionalFormatting sqref="K37:L37">
    <cfRule type="cellIs" dxfId="80" priority="1322" stopIfTrue="1" operator="notEqual">
      <formula>0</formula>
    </cfRule>
  </conditionalFormatting>
  <conditionalFormatting sqref="Q21:R21">
    <cfRule type="cellIs" dxfId="79" priority="1305" stopIfTrue="1" operator="notEqual">
      <formula>0</formula>
    </cfRule>
  </conditionalFormatting>
  <conditionalFormatting sqref="Q23:R23">
    <cfRule type="cellIs" dxfId="78" priority="1309" stopIfTrue="1" operator="notEqual">
      <formula>0</formula>
    </cfRule>
  </conditionalFormatting>
  <conditionalFormatting sqref="Q38:R38">
    <cfRule type="cellIs" dxfId="77" priority="1308" stopIfTrue="1" operator="notEqual">
      <formula>0</formula>
    </cfRule>
  </conditionalFormatting>
  <conditionalFormatting sqref="Q34:R34">
    <cfRule type="cellIs" dxfId="76" priority="1307" stopIfTrue="1" operator="notEqual">
      <formula>0</formula>
    </cfRule>
  </conditionalFormatting>
  <conditionalFormatting sqref="Q35:R35">
    <cfRule type="cellIs" dxfId="75" priority="1306" stopIfTrue="1" operator="notEqual">
      <formula>0</formula>
    </cfRule>
  </conditionalFormatting>
  <conditionalFormatting sqref="K23:L23">
    <cfRule type="cellIs" dxfId="74" priority="1304" stopIfTrue="1" operator="notEqual">
      <formula>0</formula>
    </cfRule>
  </conditionalFormatting>
  <conditionalFormatting sqref="K34:L34">
    <cfRule type="cellIs" dxfId="73" priority="1075" stopIfTrue="1" operator="notEqual">
      <formula>0</formula>
    </cfRule>
  </conditionalFormatting>
  <conditionalFormatting sqref="Q33:R33">
    <cfRule type="cellIs" dxfId="72" priority="1069" stopIfTrue="1" operator="notEqual">
      <formula>0</formula>
    </cfRule>
  </conditionalFormatting>
  <conditionalFormatting sqref="Q46:R46">
    <cfRule type="cellIs" dxfId="71" priority="1073" stopIfTrue="1" operator="notEqual">
      <formula>0</formula>
    </cfRule>
  </conditionalFormatting>
  <conditionalFormatting sqref="Q45:R45">
    <cfRule type="cellIs" dxfId="70" priority="1074" stopIfTrue="1" operator="notEqual">
      <formula>0</formula>
    </cfRule>
  </conditionalFormatting>
  <conditionalFormatting sqref="W58">
    <cfRule type="cellIs" dxfId="69" priority="1060" stopIfTrue="1" operator="notEqual">
      <formula>0</formula>
    </cfRule>
  </conditionalFormatting>
  <conditionalFormatting sqref="Q32:R32">
    <cfRule type="cellIs" dxfId="68" priority="1070" stopIfTrue="1" operator="notEqual">
      <formula>0</formula>
    </cfRule>
  </conditionalFormatting>
  <conditionalFormatting sqref="X58">
    <cfRule type="cellIs" dxfId="67" priority="1059" stopIfTrue="1" operator="notEqual">
      <formula>0</formula>
    </cfRule>
  </conditionalFormatting>
  <conditionalFormatting sqref="W55">
    <cfRule type="cellIs" dxfId="66" priority="1018" stopIfTrue="1" operator="notEqual">
      <formula>0</formula>
    </cfRule>
  </conditionalFormatting>
  <conditionalFormatting sqref="W56">
    <cfRule type="cellIs" dxfId="65" priority="1017" stopIfTrue="1" operator="notEqual">
      <formula>0</formula>
    </cfRule>
  </conditionalFormatting>
  <conditionalFormatting sqref="Y55">
    <cfRule type="cellIs" dxfId="64" priority="1015" stopIfTrue="1" operator="notEqual">
      <formula>0</formula>
    </cfRule>
  </conditionalFormatting>
  <conditionalFormatting sqref="Y56">
    <cfRule type="cellIs" dxfId="63" priority="1014" stopIfTrue="1" operator="notEqual">
      <formula>0</formula>
    </cfRule>
  </conditionalFormatting>
  <conditionalFormatting sqref="AA59">
    <cfRule type="cellIs" dxfId="62" priority="1011" stopIfTrue="1" operator="notEqual">
      <formula>0</formula>
    </cfRule>
  </conditionalFormatting>
  <conditionalFormatting sqref="AA55">
    <cfRule type="cellIs" dxfId="61" priority="1009" stopIfTrue="1" operator="notEqual">
      <formula>0</formula>
    </cfRule>
  </conditionalFormatting>
  <conditionalFormatting sqref="AA58">
    <cfRule type="cellIs" dxfId="60" priority="1005" stopIfTrue="1" operator="notEqual">
      <formula>0</formula>
    </cfRule>
  </conditionalFormatting>
  <conditionalFormatting sqref="AB58">
    <cfRule type="cellIs" dxfId="59" priority="1004" stopIfTrue="1" operator="notEqual">
      <formula>0</formula>
    </cfRule>
  </conditionalFormatting>
  <conditionalFormatting sqref="U58">
    <cfRule type="cellIs" dxfId="58" priority="982" stopIfTrue="1" operator="notEqual">
      <formula>0</formula>
    </cfRule>
  </conditionalFormatting>
  <conditionalFormatting sqref="V58">
    <cfRule type="cellIs" dxfId="57" priority="981" stopIfTrue="1" operator="notEqual">
      <formula>0</formula>
    </cfRule>
  </conditionalFormatting>
  <conditionalFormatting sqref="U57">
    <cfRule type="cellIs" dxfId="56" priority="979" stopIfTrue="1" operator="notEqual">
      <formula>0</formula>
    </cfRule>
  </conditionalFormatting>
  <conditionalFormatting sqref="U55">
    <cfRule type="cellIs" dxfId="55" priority="983" stopIfTrue="1" operator="notEqual">
      <formula>0</formula>
    </cfRule>
  </conditionalFormatting>
  <conditionalFormatting sqref="U56">
    <cfRule type="cellIs" dxfId="54" priority="980" stopIfTrue="1" operator="notEqual">
      <formula>0</formula>
    </cfRule>
  </conditionalFormatting>
  <conditionalFormatting sqref="U59">
    <cfRule type="cellIs" dxfId="53" priority="978" stopIfTrue="1" operator="notEqual">
      <formula>0</formula>
    </cfRule>
  </conditionalFormatting>
  <conditionalFormatting sqref="Z58">
    <cfRule type="cellIs" dxfId="52" priority="956" stopIfTrue="1" operator="notEqual">
      <formula>0</formula>
    </cfRule>
  </conditionalFormatting>
  <conditionalFormatting sqref="AC59">
    <cfRule type="cellIs" dxfId="51" priority="949" stopIfTrue="1" operator="notEqual">
      <formula>0</formula>
    </cfRule>
  </conditionalFormatting>
  <conditionalFormatting sqref="AC55">
    <cfRule type="cellIs" dxfId="50" priority="948" stopIfTrue="1" operator="notEqual">
      <formula>0</formula>
    </cfRule>
  </conditionalFormatting>
  <conditionalFormatting sqref="AC56">
    <cfRule type="cellIs" dxfId="49" priority="944" stopIfTrue="1" operator="notEqual">
      <formula>0</formula>
    </cfRule>
  </conditionalFormatting>
  <conditionalFormatting sqref="AD58">
    <cfRule type="cellIs" dxfId="48" priority="942" stopIfTrue="1" operator="notEqual">
      <formula>0</formula>
    </cfRule>
  </conditionalFormatting>
  <conditionalFormatting sqref="AE59">
    <cfRule type="cellIs" dxfId="47" priority="935" stopIfTrue="1" operator="notEqual">
      <formula>0</formula>
    </cfRule>
  </conditionalFormatting>
  <conditionalFormatting sqref="AE55">
    <cfRule type="cellIs" dxfId="46" priority="934" stopIfTrue="1" operator="notEqual">
      <formula>0</formula>
    </cfRule>
  </conditionalFormatting>
  <conditionalFormatting sqref="AE56">
    <cfRule type="cellIs" dxfId="45" priority="932" stopIfTrue="1" operator="notEqual">
      <formula>0</formula>
    </cfRule>
  </conditionalFormatting>
  <conditionalFormatting sqref="AF58">
    <cfRule type="cellIs" dxfId="44" priority="930" stopIfTrue="1" operator="notEqual">
      <formula>0</formula>
    </cfRule>
  </conditionalFormatting>
  <conditionalFormatting sqref="AI59">
    <cfRule type="cellIs" dxfId="43" priority="923" stopIfTrue="1" operator="notEqual">
      <formula>0</formula>
    </cfRule>
  </conditionalFormatting>
  <conditionalFormatting sqref="AI57">
    <cfRule type="cellIs" dxfId="42" priority="921" stopIfTrue="1" operator="notEqual">
      <formula>0</formula>
    </cfRule>
  </conditionalFormatting>
  <conditionalFormatting sqref="AI55">
    <cfRule type="cellIs" dxfId="41" priority="922" stopIfTrue="1" operator="notEqual">
      <formula>0</formula>
    </cfRule>
  </conditionalFormatting>
  <conditionalFormatting sqref="AI58">
    <cfRule type="cellIs" dxfId="40" priority="917" stopIfTrue="1" operator="notEqual">
      <formula>0</formula>
    </cfRule>
  </conditionalFormatting>
  <conditionalFormatting sqref="AJ58">
    <cfRule type="cellIs" dxfId="39" priority="916" stopIfTrue="1" operator="notEqual">
      <formula>0</formula>
    </cfRule>
  </conditionalFormatting>
  <conditionalFormatting sqref="W57">
    <cfRule type="cellIs" dxfId="38" priority="818" stopIfTrue="1" operator="notEqual">
      <formula>0</formula>
    </cfRule>
  </conditionalFormatting>
  <conditionalFormatting sqref="Y57">
    <cfRule type="cellIs" dxfId="37" priority="817" stopIfTrue="1" operator="notEqual">
      <formula>0</formula>
    </cfRule>
  </conditionalFormatting>
  <conditionalFormatting sqref="AA57">
    <cfRule type="cellIs" dxfId="36" priority="816" stopIfTrue="1" operator="notEqual">
      <formula>0</formula>
    </cfRule>
  </conditionalFormatting>
  <conditionalFormatting sqref="AC57">
    <cfRule type="cellIs" dxfId="35" priority="815" stopIfTrue="1" operator="notEqual">
      <formula>0</formula>
    </cfRule>
  </conditionalFormatting>
  <conditionalFormatting sqref="AE57">
    <cfRule type="cellIs" dxfId="34" priority="814" stopIfTrue="1" operator="notEqual">
      <formula>0</formula>
    </cfRule>
  </conditionalFormatting>
  <conditionalFormatting sqref="AK57">
    <cfRule type="cellIs" dxfId="33" priority="714" stopIfTrue="1" operator="notEqual">
      <formula>0</formula>
    </cfRule>
  </conditionalFormatting>
  <conditionalFormatting sqref="AK58">
    <cfRule type="cellIs" dxfId="32" priority="713" stopIfTrue="1" operator="notEqual">
      <formula>0</formula>
    </cfRule>
  </conditionalFormatting>
  <conditionalFormatting sqref="Y58">
    <cfRule type="cellIs" dxfId="31" priority="752" stopIfTrue="1" operator="notEqual">
      <formula>0</formula>
    </cfRule>
  </conditionalFormatting>
  <conditionalFormatting sqref="AA56">
    <cfRule type="cellIs" dxfId="30" priority="745" stopIfTrue="1" operator="notEqual">
      <formula>0</formula>
    </cfRule>
  </conditionalFormatting>
  <conditionalFormatting sqref="AC58">
    <cfRule type="cellIs" dxfId="29" priority="738" stopIfTrue="1" operator="notEqual">
      <formula>0</formula>
    </cfRule>
  </conditionalFormatting>
  <conditionalFormatting sqref="AE58">
    <cfRule type="cellIs" dxfId="28" priority="731" stopIfTrue="1" operator="notEqual">
      <formula>0</formula>
    </cfRule>
  </conditionalFormatting>
  <conditionalFormatting sqref="AK59">
    <cfRule type="cellIs" dxfId="27" priority="718" stopIfTrue="1" operator="notEqual">
      <formula>0</formula>
    </cfRule>
  </conditionalFormatting>
  <conditionalFormatting sqref="AK56">
    <cfRule type="cellIs" dxfId="26" priority="716" stopIfTrue="1" operator="notEqual">
      <formula>0</formula>
    </cfRule>
  </conditionalFormatting>
  <conditionalFormatting sqref="AK55">
    <cfRule type="cellIs" dxfId="25" priority="717" stopIfTrue="1" operator="notEqual">
      <formula>0</formula>
    </cfRule>
  </conditionalFormatting>
  <conditionalFormatting sqref="AL58">
    <cfRule type="cellIs" dxfId="24" priority="715" stopIfTrue="1" operator="notEqual">
      <formula>0</formula>
    </cfRule>
  </conditionalFormatting>
  <conditionalFormatting sqref="T21:U21">
    <cfRule type="cellIs" dxfId="23" priority="675" stopIfTrue="1" operator="notEqual">
      <formula>0</formula>
    </cfRule>
  </conditionalFormatting>
  <conditionalFormatting sqref="AG58">
    <cfRule type="cellIs" dxfId="22" priority="652" stopIfTrue="1" operator="notEqual">
      <formula>0</formula>
    </cfRule>
  </conditionalFormatting>
  <conditionalFormatting sqref="AH58">
    <cfRule type="cellIs" dxfId="21" priority="651" stopIfTrue="1" operator="notEqual">
      <formula>0</formula>
    </cfRule>
  </conditionalFormatting>
  <conditionalFormatting sqref="AG57">
    <cfRule type="cellIs" dxfId="20" priority="648" stopIfTrue="1" operator="notEqual">
      <formula>0</formula>
    </cfRule>
  </conditionalFormatting>
  <conditionalFormatting sqref="AG59">
    <cfRule type="cellIs" dxfId="19" priority="655" stopIfTrue="1" operator="notEqual">
      <formula>0</formula>
    </cfRule>
  </conditionalFormatting>
  <conditionalFormatting sqref="AG56">
    <cfRule type="cellIs" dxfId="18" priority="527" stopIfTrue="1" operator="notEqual">
      <formula>0</formula>
    </cfRule>
  </conditionalFormatting>
  <conditionalFormatting sqref="AG55">
    <cfRule type="cellIs" dxfId="17" priority="526" stopIfTrue="1" operator="notEqual">
      <formula>0</formula>
    </cfRule>
  </conditionalFormatting>
  <conditionalFormatting sqref="Y59">
    <cfRule type="cellIs" dxfId="16" priority="404" stopIfTrue="1" operator="notEqual">
      <formula>0</formula>
    </cfRule>
  </conditionalFormatting>
  <conditionalFormatting sqref="AI56">
    <cfRule type="cellIs" dxfId="15" priority="121" stopIfTrue="1" operator="notEqual">
      <formula>0</formula>
    </cfRule>
  </conditionalFormatting>
  <conditionalFormatting sqref="K59">
    <cfRule type="cellIs" dxfId="14" priority="6" stopIfTrue="1" operator="notEqual">
      <formula>0</formula>
    </cfRule>
  </conditionalFormatting>
  <conditionalFormatting sqref="K57">
    <cfRule type="cellIs" dxfId="13" priority="4" stopIfTrue="1" operator="notEqual">
      <formula>0</formula>
    </cfRule>
  </conditionalFormatting>
  <conditionalFormatting sqref="K55">
    <cfRule type="cellIs" dxfId="12" priority="5" stopIfTrue="1" operator="notEqual">
      <formula>0</formula>
    </cfRule>
  </conditionalFormatting>
  <conditionalFormatting sqref="K58">
    <cfRule type="cellIs" dxfId="11" priority="3" stopIfTrue="1" operator="notEqual">
      <formula>0</formula>
    </cfRule>
  </conditionalFormatting>
  <conditionalFormatting sqref="L58">
    <cfRule type="cellIs" dxfId="10" priority="2" stopIfTrue="1" operator="notEqual">
      <formula>0</formula>
    </cfRule>
  </conditionalFormatting>
  <conditionalFormatting sqref="K56">
    <cfRule type="cellIs" dxfId="9"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2" activePane="bottomRight" state="frozen"/>
      <selection pane="topRight" activeCell="B1" sqref="B1"/>
      <selection pane="bottomLeft" activeCell="A2" sqref="A2"/>
      <selection pane="bottomRight" activeCell="B5"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c r="B2" s="188">
        <v>5.7716594496607888E-3</v>
      </c>
      <c r="C2" s="189"/>
      <c r="D2" s="188">
        <v>3.8435328054305065E-2</v>
      </c>
      <c r="E2" s="189"/>
      <c r="F2" s="188">
        <v>7.3748899408382529E-2</v>
      </c>
      <c r="G2" s="189"/>
      <c r="H2" s="188">
        <v>0.1120598390453192</v>
      </c>
      <c r="I2" s="189"/>
      <c r="J2" s="188">
        <v>0.153776671470743</v>
      </c>
      <c r="K2" s="189"/>
      <c r="L2" s="188">
        <v>0.19938220935562889</v>
      </c>
      <c r="M2" s="189"/>
      <c r="N2" s="188">
        <v>0.24944849825071935</v>
      </c>
      <c r="O2" s="189"/>
      <c r="P2" s="188">
        <v>0.30465539205764075</v>
      </c>
      <c r="Q2" s="189"/>
      <c r="R2" s="188">
        <v>0.36581159899488963</v>
      </c>
      <c r="S2" s="189"/>
      <c r="T2" s="188">
        <v>0.43387929034989597</v>
      </c>
      <c r="U2" s="189"/>
      <c r="V2" s="188">
        <v>0.51000678959503221</v>
      </c>
      <c r="W2" s="189"/>
      <c r="X2" s="188">
        <v>0.59558632520820309</v>
      </c>
      <c r="Y2" s="189"/>
      <c r="Z2" s="188">
        <v>0.69241624785819667</v>
      </c>
      <c r="AA2" s="189"/>
      <c r="AB2" s="188">
        <v>0.80325094597796975</v>
      </c>
      <c r="AC2" s="189"/>
      <c r="AD2" s="188">
        <v>0.93372753018750365</v>
      </c>
      <c r="AE2" s="189"/>
      <c r="AF2" s="188">
        <v>1.098916298120477</v>
      </c>
      <c r="AG2" s="189"/>
      <c r="AH2" s="188">
        <v>1.3449877227712368</v>
      </c>
      <c r="AI2" s="189"/>
      <c r="AJ2" s="188">
        <v>1.8258208718609898</v>
      </c>
      <c r="AK2" s="189"/>
      <c r="AL2" s="188">
        <v>3.16681223693665</v>
      </c>
      <c r="AM2" s="189"/>
      <c r="AN2" s="188">
        <v>9.5035508869806389</v>
      </c>
      <c r="AO2" s="189"/>
      <c r="AP2" s="188">
        <v>13.475356377908708</v>
      </c>
      <c r="AQ2" s="189"/>
      <c r="AR2" s="188">
        <v>20.838181447802533</v>
      </c>
      <c r="AS2" s="189"/>
      <c r="AT2" s="188">
        <v>37.430528592974014</v>
      </c>
      <c r="AU2" s="189"/>
      <c r="AV2" s="188">
        <v>94.795345351745638</v>
      </c>
      <c r="AW2" s="189"/>
    </row>
    <row r="3" spans="1:49" x14ac:dyDescent="0.2">
      <c r="B3" s="81">
        <v>1000</v>
      </c>
      <c r="C3" s="82">
        <v>1000</v>
      </c>
      <c r="D3" s="81">
        <v>998.61111999362117</v>
      </c>
      <c r="E3" s="82">
        <v>1015.166366445087</v>
      </c>
      <c r="F3" s="81">
        <v>997.39682795631916</v>
      </c>
      <c r="G3" s="82">
        <v>1031.9995422285008</v>
      </c>
      <c r="H3" s="81">
        <v>996.39674511164992</v>
      </c>
      <c r="I3" s="82">
        <v>1050.7572547574412</v>
      </c>
      <c r="J3" s="81">
        <v>995.66431216302203</v>
      </c>
      <c r="K3" s="82">
        <v>1071.7517196043621</v>
      </c>
      <c r="L3" s="81">
        <v>995.27237308208942</v>
      </c>
      <c r="M3" s="82">
        <v>1095.3638197507539</v>
      </c>
      <c r="N3" s="81">
        <v>995.32294232778622</v>
      </c>
      <c r="O3" s="82">
        <v>1122.0627521607237</v>
      </c>
      <c r="P3" s="81">
        <v>995.96168862673619</v>
      </c>
      <c r="Q3" s="82">
        <v>1152.4319423232937</v>
      </c>
      <c r="R3" s="81">
        <v>997.40215073664763</v>
      </c>
      <c r="S3" s="82">
        <v>1187.205414677637</v>
      </c>
      <c r="T3" s="81">
        <v>999.96614515532031</v>
      </c>
      <c r="U3" s="82">
        <v>1227.3202749624509</v>
      </c>
      <c r="V3" s="81">
        <v>1004.1532594664556</v>
      </c>
      <c r="W3" s="82">
        <v>1273.9989794908124</v>
      </c>
      <c r="X3" s="81">
        <v>1010.7653850338022</v>
      </c>
      <c r="Y3" s="82">
        <v>1328.8915845753252</v>
      </c>
      <c r="Z3" s="81">
        <v>1021.1349347398701</v>
      </c>
      <c r="AA3" s="82">
        <v>1394.3632418823661</v>
      </c>
      <c r="AB3" s="81">
        <v>1037.5578625022883</v>
      </c>
      <c r="AC3" s="82">
        <v>1474.1649194993781</v>
      </c>
      <c r="AD3" s="81">
        <v>1064.1319842613671</v>
      </c>
      <c r="AE3" s="82">
        <v>1575.1816164611819</v>
      </c>
      <c r="AF3" s="81">
        <v>1108.4242940452405</v>
      </c>
      <c r="AG3" s="82">
        <v>1712.2828609220448</v>
      </c>
      <c r="AH3" s="81">
        <v>1184.9600112428841</v>
      </c>
      <c r="AI3" s="82">
        <v>1922.2946455230153</v>
      </c>
      <c r="AJ3" s="81">
        <v>1324.4134373113093</v>
      </c>
      <c r="AK3" s="82">
        <v>2309.1541294741178</v>
      </c>
      <c r="AL3" s="81">
        <v>1609.6629411532463</v>
      </c>
      <c r="AM3" s="82">
        <v>3244.38373940463</v>
      </c>
      <c r="AN3" s="81">
        <v>2378.6366032062565</v>
      </c>
      <c r="AO3" s="82">
        <v>6912.3376172827539</v>
      </c>
      <c r="AP3" s="81">
        <v>2710.2523514077207</v>
      </c>
      <c r="AQ3" s="82">
        <v>9019.683326000084</v>
      </c>
      <c r="AR3" s="81">
        <v>3206.2031809745545</v>
      </c>
      <c r="AS3" s="82">
        <v>12772.627668842466</v>
      </c>
      <c r="AT3" s="81">
        <v>4051.2382269637974</v>
      </c>
      <c r="AU3" s="82">
        <v>20865.378835470172</v>
      </c>
      <c r="AV3" s="81">
        <v>5963.3571277345527</v>
      </c>
      <c r="AW3" s="82">
        <v>47406.467470663956</v>
      </c>
    </row>
    <row r="4" spans="1:49" x14ac:dyDescent="0.2">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B5" s="39">
        <v>1000</v>
      </c>
      <c r="C5" s="40">
        <v>1000</v>
      </c>
      <c r="D5" s="39">
        <v>998.54223250435427</v>
      </c>
      <c r="E5" s="40">
        <v>1013.2196317888194</v>
      </c>
      <c r="F5" s="39">
        <v>997.26701348930396</v>
      </c>
      <c r="G5" s="40">
        <v>1027.6657596569819</v>
      </c>
      <c r="H5" s="39">
        <v>996.2162594816499</v>
      </c>
      <c r="I5" s="40">
        <v>1043.4851352450669</v>
      </c>
      <c r="J5" s="39">
        <v>995.44643414513007</v>
      </c>
      <c r="K5" s="40">
        <v>1060.8455660331765</v>
      </c>
      <c r="L5" s="39">
        <v>995.03438711859769</v>
      </c>
      <c r="M5" s="40">
        <v>1079.9385712128098</v>
      </c>
      <c r="N5" s="39">
        <v>995.08755456757808</v>
      </c>
      <c r="O5" s="40">
        <v>1100.9819332339632</v>
      </c>
      <c r="P5" s="39">
        <v>995.75902104906299</v>
      </c>
      <c r="Q5" s="40">
        <v>1124.2216757635945</v>
      </c>
      <c r="R5" s="39">
        <v>997.27260438343183</v>
      </c>
      <c r="S5" s="40">
        <v>1149.9331274962271</v>
      </c>
      <c r="T5" s="39">
        <v>999.96447576719561</v>
      </c>
      <c r="U5" s="40">
        <v>1178.4206395986987</v>
      </c>
      <c r="V5" s="39">
        <v>1004.35420628244</v>
      </c>
      <c r="W5" s="40">
        <v>1210.0182515126676</v>
      </c>
      <c r="X5" s="39">
        <v>1011.2708239680486</v>
      </c>
      <c r="Y5" s="40">
        <v>1245.0954814247009</v>
      </c>
      <c r="Z5" s="39">
        <v>1022.0805912258036</v>
      </c>
      <c r="AA5" s="40">
        <v>1284.0923720448816</v>
      </c>
      <c r="AB5" s="39">
        <v>1039.1106426794368</v>
      </c>
      <c r="AC5" s="40">
        <v>1327.6410821502054</v>
      </c>
      <c r="AD5" s="39">
        <v>1066.44530945512</v>
      </c>
      <c r="AE5" s="40">
        <v>1376.9051256238088</v>
      </c>
      <c r="AF5" s="39">
        <v>1111.4429419232083</v>
      </c>
      <c r="AG5" s="40">
        <v>1434.300438834048</v>
      </c>
      <c r="AH5" s="39">
        <v>1187.7308599583423</v>
      </c>
      <c r="AI5" s="40">
        <v>1504.2955746214784</v>
      </c>
      <c r="AJ5" s="39">
        <v>1322.7382082637871</v>
      </c>
      <c r="AK5" s="40">
        <v>1591.3639677287426</v>
      </c>
      <c r="AL5" s="39">
        <v>1586.370504517429</v>
      </c>
      <c r="AM5" s="40">
        <v>1685.9288082036876</v>
      </c>
      <c r="AN5" s="39">
        <v>2236.5256837847064</v>
      </c>
      <c r="AO5" s="40">
        <v>1742.9910236030573</v>
      </c>
      <c r="AP5" s="39">
        <v>2494.9964097865841</v>
      </c>
      <c r="AQ5" s="40">
        <v>1746.8695771386463</v>
      </c>
      <c r="AR5" s="39">
        <v>2860.555522207218</v>
      </c>
      <c r="AS5" s="40">
        <v>1748.9398673995809</v>
      </c>
      <c r="AT5" s="39">
        <v>3432.2267995162724</v>
      </c>
      <c r="AU5" s="40">
        <v>1749.8099335547179</v>
      </c>
      <c r="AV5" s="39">
        <v>4531.888727588821</v>
      </c>
      <c r="AW5" s="40">
        <v>1750.0471286267646</v>
      </c>
    </row>
    <row r="6" spans="1:49" x14ac:dyDescent="0.2">
      <c r="B6" s="39">
        <v>999.99999999999943</v>
      </c>
      <c r="C6" s="40">
        <v>999.99999999999909</v>
      </c>
      <c r="D6" s="39">
        <v>998.4309026075839</v>
      </c>
      <c r="E6" s="40">
        <v>1016.3518085941031</v>
      </c>
      <c r="F6" s="39">
        <v>997.05858180614746</v>
      </c>
      <c r="G6" s="40">
        <v>1034.457555177853</v>
      </c>
      <c r="H6" s="39">
        <v>995.92801960478641</v>
      </c>
      <c r="I6" s="40">
        <v>1054.5835659745139</v>
      </c>
      <c r="J6" s="39">
        <v>995.09983843106704</v>
      </c>
      <c r="K6" s="40">
        <v>1077.0519805345518</v>
      </c>
      <c r="L6" s="39">
        <v>994.65659684622608</v>
      </c>
      <c r="M6" s="40">
        <v>1102.2552016554762</v>
      </c>
      <c r="N6" s="39">
        <v>994.71378788736229</v>
      </c>
      <c r="O6" s="40">
        <v>1130.6759581758979</v>
      </c>
      <c r="P6" s="39">
        <v>995.43610909792051</v>
      </c>
      <c r="Q6" s="40">
        <v>1162.9137430493529</v>
      </c>
      <c r="R6" s="39">
        <v>997.0645982479823</v>
      </c>
      <c r="S6" s="40">
        <v>1199.7219656014618</v>
      </c>
      <c r="T6" s="39">
        <v>999.96175896841862</v>
      </c>
      <c r="U6" s="40">
        <v>1242.0616300164147</v>
      </c>
      <c r="V6" s="39">
        <v>1004.6888213235188</v>
      </c>
      <c r="W6" s="40">
        <v>1291.1856862252298</v>
      </c>
      <c r="X6" s="39">
        <v>1012.1433987793738</v>
      </c>
      <c r="Y6" s="40">
        <v>1348.7852528383482</v>
      </c>
      <c r="Z6" s="39">
        <v>1023.8097493124483</v>
      </c>
      <c r="AA6" s="40">
        <v>1417.2858698072089</v>
      </c>
      <c r="AB6" s="39">
        <v>1042.2285568321938</v>
      </c>
      <c r="AC6" s="40">
        <v>1500.5393271918583</v>
      </c>
      <c r="AD6" s="39">
        <v>1071.8931045876229</v>
      </c>
      <c r="AE6" s="40">
        <v>1605.6258872137919</v>
      </c>
      <c r="AF6" s="39">
        <v>1120.9986412501019</v>
      </c>
      <c r="AG6" s="40">
        <v>1747.8462913096162</v>
      </c>
      <c r="AH6" s="39">
        <v>1205.0345974292318</v>
      </c>
      <c r="AI6" s="40">
        <v>1965.0691995723191</v>
      </c>
      <c r="AJ6" s="39">
        <v>1356.2181470635724</v>
      </c>
      <c r="AK6" s="40">
        <v>2364.0169247115728</v>
      </c>
      <c r="AL6" s="39">
        <v>1660.8626618652809</v>
      </c>
      <c r="AM6" s="40">
        <v>3325.7177757656445</v>
      </c>
      <c r="AN6" s="39">
        <v>2470.1578065796007</v>
      </c>
      <c r="AO6" s="40">
        <v>7090.1943852323202</v>
      </c>
      <c r="AP6" s="39">
        <v>2817.1431812608621</v>
      </c>
      <c r="AQ6" s="40">
        <v>9252.1407369074077</v>
      </c>
      <c r="AR6" s="39">
        <v>3335.2010159212437</v>
      </c>
      <c r="AS6" s="40">
        <v>13102.090611456129</v>
      </c>
      <c r="AT6" s="39">
        <v>4216.7074905413801</v>
      </c>
      <c r="AU6" s="40">
        <v>21403.784039508781</v>
      </c>
      <c r="AV6" s="39">
        <v>6209.3783847712393</v>
      </c>
      <c r="AW6" s="40">
        <v>48629.852645389372</v>
      </c>
    </row>
    <row r="7" spans="1:49" x14ac:dyDescent="0.2">
      <c r="B7" s="31">
        <v>1015.9116825427475</v>
      </c>
      <c r="C7" s="32">
        <v>1015.9116825427475</v>
      </c>
      <c r="D7" s="31">
        <v>1014.4307195134899</v>
      </c>
      <c r="E7" s="32">
        <v>1014.4307195134899</v>
      </c>
      <c r="F7" s="31">
        <v>1013.1352096182995</v>
      </c>
      <c r="G7" s="32">
        <v>1013.1352096182995</v>
      </c>
      <c r="H7" s="31">
        <v>1012.0677363464453</v>
      </c>
      <c r="I7" s="32">
        <v>1012.0677363464453</v>
      </c>
      <c r="J7" s="31">
        <v>1011.2856617935573</v>
      </c>
      <c r="K7" s="32">
        <v>1011.2856617935573</v>
      </c>
      <c r="L7" s="31">
        <v>1010.8670584055461</v>
      </c>
      <c r="M7" s="32">
        <v>1010.8670584055461</v>
      </c>
      <c r="N7" s="31">
        <v>1010.9210718380963</v>
      </c>
      <c r="O7" s="32">
        <v>1010.9210718380963</v>
      </c>
      <c r="P7" s="31">
        <v>1011.6032224810726</v>
      </c>
      <c r="Q7" s="32">
        <v>1011.6032224810726</v>
      </c>
      <c r="R7" s="31">
        <v>1013.14088947296</v>
      </c>
      <c r="S7" s="32">
        <v>1013.14088947296</v>
      </c>
      <c r="T7" s="31">
        <v>1015.875593059628</v>
      </c>
      <c r="U7" s="32">
        <v>1015.875593059628</v>
      </c>
      <c r="V7" s="31">
        <v>1020.3351715732792</v>
      </c>
      <c r="W7" s="32">
        <v>1020.3351715732792</v>
      </c>
      <c r="X7" s="31">
        <v>1027.3618442837708</v>
      </c>
      <c r="Y7" s="32">
        <v>1027.3618442837708</v>
      </c>
      <c r="Z7" s="31">
        <v>1038.3436131264921</v>
      </c>
      <c r="AA7" s="32">
        <v>1038.3436131264921</v>
      </c>
      <c r="AB7" s="31">
        <v>1055.6446413525423</v>
      </c>
      <c r="AC7" s="32">
        <v>1055.6446413525423</v>
      </c>
      <c r="AD7" s="31">
        <v>1083.4142486683718</v>
      </c>
      <c r="AE7" s="32">
        <v>1083.4142486683718</v>
      </c>
      <c r="AF7" s="31">
        <v>1129.1278691794678</v>
      </c>
      <c r="AG7" s="32">
        <v>1129.1278691794678</v>
      </c>
      <c r="AH7" s="31">
        <v>1206.6296563482238</v>
      </c>
      <c r="AI7" s="32">
        <v>1206.6296563482238</v>
      </c>
      <c r="AJ7" s="31">
        <v>1343.785198720843</v>
      </c>
      <c r="AK7" s="32">
        <v>1343.785198720843</v>
      </c>
      <c r="AL7" s="31">
        <v>1611.6123283804884</v>
      </c>
      <c r="AM7" s="32">
        <v>1611.6123283804884</v>
      </c>
      <c r="AN7" s="31">
        <v>2272.1125704637898</v>
      </c>
      <c r="AO7" s="32">
        <v>2272.1125704637898</v>
      </c>
      <c r="AP7" s="31">
        <v>2534.6960006044028</v>
      </c>
      <c r="AQ7" s="32">
        <v>2534.6960006044028</v>
      </c>
      <c r="AR7" s="31">
        <v>2906.0717735724825</v>
      </c>
      <c r="AS7" s="32">
        <v>2906.0717735724825</v>
      </c>
      <c r="AT7" s="31">
        <v>3486.8393027648854</v>
      </c>
      <c r="AU7" s="32">
        <v>3486.8393027648854</v>
      </c>
      <c r="AV7" s="31">
        <v>4603.9987023412696</v>
      </c>
      <c r="AW7" s="32">
        <v>4603.9987023412696</v>
      </c>
    </row>
    <row r="8" spans="1:49" x14ac:dyDescent="0.2">
      <c r="B8" s="33">
        <v>1005.7716594496609</v>
      </c>
      <c r="C8" s="34">
        <v>1005.7716594496609</v>
      </c>
      <c r="D8" s="33">
        <v>1052.1630607276848</v>
      </c>
      <c r="E8" s="34">
        <v>1052.1630607276848</v>
      </c>
      <c r="F8" s="33">
        <v>1103.4549783913637</v>
      </c>
      <c r="G8" s="34">
        <v>1103.4549783913637</v>
      </c>
      <c r="H8" s="33">
        <v>1160.4179115468121</v>
      </c>
      <c r="I8" s="34">
        <v>1160.4179115468121</v>
      </c>
      <c r="J8" s="33">
        <v>1223.9788661222547</v>
      </c>
      <c r="K8" s="34">
        <v>1223.9788661222547</v>
      </c>
      <c r="L8" s="33">
        <v>1295.2591095095809</v>
      </c>
      <c r="M8" s="34">
        <v>1295.2591095095809</v>
      </c>
      <c r="N8" s="33">
        <v>1375.6202230803492</v>
      </c>
      <c r="O8" s="34">
        <v>1375.6202230803492</v>
      </c>
      <c r="P8" s="33">
        <v>1466.7218711530502</v>
      </c>
      <c r="Q8" s="34">
        <v>1466.7218711530502</v>
      </c>
      <c r="R8" s="33">
        <v>1570.5920036028162</v>
      </c>
      <c r="S8" s="34">
        <v>1570.5920036028162</v>
      </c>
      <c r="T8" s="33">
        <v>1689.7129504414527</v>
      </c>
      <c r="U8" s="34">
        <v>1689.7129504414527</v>
      </c>
      <c r="V8" s="33">
        <v>1827.1357753180373</v>
      </c>
      <c r="W8" s="34">
        <v>1827.1357753180373</v>
      </c>
      <c r="X8" s="33">
        <v>1986.6573237397768</v>
      </c>
      <c r="Y8" s="34">
        <v>1986.6573237397768</v>
      </c>
      <c r="Z8" s="33">
        <v>2173.2187941995303</v>
      </c>
      <c r="AA8" s="34">
        <v>2173.2187941995303</v>
      </c>
      <c r="AB8" s="33">
        <v>2394.0700373065733</v>
      </c>
      <c r="AC8" s="34">
        <v>2394.0700373065733</v>
      </c>
      <c r="AD8" s="33">
        <v>2662.559347875042</v>
      </c>
      <c r="AE8" s="34">
        <v>2662.559347875042</v>
      </c>
      <c r="AF8" s="33">
        <v>3010.4765674701353</v>
      </c>
      <c r="AG8" s="34">
        <v>3010.4765674701353</v>
      </c>
      <c r="AH8" s="33">
        <v>3527.5546539064699</v>
      </c>
      <c r="AI8" s="34">
        <v>3527.5546539064699</v>
      </c>
      <c r="AJ8" s="33">
        <v>4496.9095147354001</v>
      </c>
      <c r="AK8" s="34">
        <v>4496.9095147354001</v>
      </c>
      <c r="AL8" s="33">
        <v>7024.9487886271481</v>
      </c>
      <c r="AM8" s="34">
        <v>7024.9487886271481</v>
      </c>
      <c r="AN8" s="33">
        <v>18307.594911965185</v>
      </c>
      <c r="AO8" s="34">
        <v>18307.594911965185</v>
      </c>
      <c r="AP8" s="33">
        <v>25286.559674808592</v>
      </c>
      <c r="AQ8" s="34">
        <v>25286.559674808592</v>
      </c>
      <c r="AR8" s="33">
        <v>38193.666165567753</v>
      </c>
      <c r="AS8" s="34">
        <v>38193.666165567753</v>
      </c>
      <c r="AT8" s="33">
        <v>67246.12068374455</v>
      </c>
      <c r="AU8" s="34">
        <v>67246.12068374455</v>
      </c>
      <c r="AV8" s="33">
        <v>167646.36906863173</v>
      </c>
      <c r="AW8" s="34">
        <v>167646.36906863173</v>
      </c>
    </row>
    <row r="9" spans="1:49" x14ac:dyDescent="0.2">
      <c r="B9" s="39">
        <v>1015.9116825427475</v>
      </c>
      <c r="C9" s="40">
        <v>1005.7716594496609</v>
      </c>
      <c r="D9" s="39">
        <v>1014.4307195134899</v>
      </c>
      <c r="E9" s="40">
        <v>1052.1630607276848</v>
      </c>
      <c r="F9" s="39">
        <v>1013.1352096182995</v>
      </c>
      <c r="G9" s="40">
        <v>1103.4549783913637</v>
      </c>
      <c r="H9" s="39">
        <v>1012.0677363464453</v>
      </c>
      <c r="I9" s="40">
        <v>1160.4179115468121</v>
      </c>
      <c r="J9" s="39">
        <v>1011.2856617935573</v>
      </c>
      <c r="K9" s="40">
        <v>1223.9788661222547</v>
      </c>
      <c r="L9" s="39">
        <v>1010.8670584055461</v>
      </c>
      <c r="M9" s="40">
        <v>1295.2591095095809</v>
      </c>
      <c r="N9" s="39">
        <v>1010.9210718380963</v>
      </c>
      <c r="O9" s="40">
        <v>1375.6202230803492</v>
      </c>
      <c r="P9" s="39">
        <v>1011.6032224810726</v>
      </c>
      <c r="Q9" s="40">
        <v>1466.7218711530502</v>
      </c>
      <c r="R9" s="39">
        <v>1013.14088947296</v>
      </c>
      <c r="S9" s="40">
        <v>1570.5920036028162</v>
      </c>
      <c r="T9" s="39">
        <v>1015.875593059628</v>
      </c>
      <c r="U9" s="40">
        <v>1689.7129504414527</v>
      </c>
      <c r="V9" s="39">
        <v>1020.3351715732792</v>
      </c>
      <c r="W9" s="40">
        <v>1827.1357753180373</v>
      </c>
      <c r="X9" s="39">
        <v>1027.3618442837708</v>
      </c>
      <c r="Y9" s="40">
        <v>1986.6573237397768</v>
      </c>
      <c r="Z9" s="39">
        <v>1038.3436131264921</v>
      </c>
      <c r="AA9" s="40">
        <v>2173.2187941995303</v>
      </c>
      <c r="AB9" s="39">
        <v>1055.6446413525423</v>
      </c>
      <c r="AC9" s="40">
        <v>2394.0700373065733</v>
      </c>
      <c r="AD9" s="39">
        <v>1083.4142486683718</v>
      </c>
      <c r="AE9" s="40">
        <v>2662.559347875042</v>
      </c>
      <c r="AF9" s="39">
        <v>1129.1278691794678</v>
      </c>
      <c r="AG9" s="40">
        <v>3010.4765674701353</v>
      </c>
      <c r="AH9" s="39">
        <v>1206.6296563482238</v>
      </c>
      <c r="AI9" s="40">
        <v>3527.5546539064699</v>
      </c>
      <c r="AJ9" s="39">
        <v>1343.785198720843</v>
      </c>
      <c r="AK9" s="40">
        <v>4496.9095147354001</v>
      </c>
      <c r="AL9" s="39">
        <v>1611.6123283804884</v>
      </c>
      <c r="AM9" s="40">
        <v>7024.9487886271481</v>
      </c>
      <c r="AN9" s="39">
        <v>2272.1125704637898</v>
      </c>
      <c r="AO9" s="40">
        <v>18307.594911965185</v>
      </c>
      <c r="AP9" s="39">
        <v>2534.6960006044028</v>
      </c>
      <c r="AQ9" s="40">
        <v>25286.559674808592</v>
      </c>
      <c r="AR9" s="39">
        <v>2906.0717735724825</v>
      </c>
      <c r="AS9" s="40">
        <v>38193.666165567753</v>
      </c>
      <c r="AT9" s="39">
        <v>3486.8393027648854</v>
      </c>
      <c r="AU9" s="40">
        <v>67246.12068374455</v>
      </c>
      <c r="AV9" s="39">
        <v>4603.9987023412696</v>
      </c>
      <c r="AW9" s="40">
        <v>167646.36906863173</v>
      </c>
    </row>
    <row r="10" spans="1:49" x14ac:dyDescent="0.2">
      <c r="B10" s="39">
        <v>1015.9116825427475</v>
      </c>
      <c r="C10" s="40">
        <v>1005.7716594496609</v>
      </c>
      <c r="D10" s="39">
        <v>1014.4307195134899</v>
      </c>
      <c r="E10" s="40">
        <v>1052.1630607276848</v>
      </c>
      <c r="F10" s="39">
        <v>1013.1352096182995</v>
      </c>
      <c r="G10" s="40">
        <v>1103.4549783913637</v>
      </c>
      <c r="H10" s="39">
        <v>1012.0677363464453</v>
      </c>
      <c r="I10" s="40">
        <v>1160.4179115468121</v>
      </c>
      <c r="J10" s="39">
        <v>1011.2856617935573</v>
      </c>
      <c r="K10" s="40">
        <v>1223.9788661222547</v>
      </c>
      <c r="L10" s="39">
        <v>1010.8670584055461</v>
      </c>
      <c r="M10" s="40">
        <v>1295.2591095095809</v>
      </c>
      <c r="N10" s="39">
        <v>1010.9210718380963</v>
      </c>
      <c r="O10" s="40">
        <v>1375.6202230803492</v>
      </c>
      <c r="P10" s="39">
        <v>1011.6032224810726</v>
      </c>
      <c r="Q10" s="40">
        <v>1466.7218711530502</v>
      </c>
      <c r="R10" s="39">
        <v>1013.14088947296</v>
      </c>
      <c r="S10" s="40">
        <v>1570.5920036028162</v>
      </c>
      <c r="T10" s="39">
        <v>1015.875593059628</v>
      </c>
      <c r="U10" s="40">
        <v>1689.7129504414527</v>
      </c>
      <c r="V10" s="39">
        <v>1020.3351715732792</v>
      </c>
      <c r="W10" s="40">
        <v>1827.1357753180373</v>
      </c>
      <c r="X10" s="39">
        <v>1027.3618442837708</v>
      </c>
      <c r="Y10" s="40">
        <v>1986.6573237397768</v>
      </c>
      <c r="Z10" s="39">
        <v>1038.3436131264921</v>
      </c>
      <c r="AA10" s="40">
        <v>2173.2187941995303</v>
      </c>
      <c r="AB10" s="39">
        <v>1055.6446413525423</v>
      </c>
      <c r="AC10" s="40">
        <v>2394.0700373065733</v>
      </c>
      <c r="AD10" s="39">
        <v>1083.4142486683718</v>
      </c>
      <c r="AE10" s="40">
        <v>2662.559347875042</v>
      </c>
      <c r="AF10" s="39">
        <v>1129.1278691794678</v>
      </c>
      <c r="AG10" s="40">
        <v>3010.4765674701353</v>
      </c>
      <c r="AH10" s="39">
        <v>1206.6296563482238</v>
      </c>
      <c r="AI10" s="40">
        <v>3527.5546539064699</v>
      </c>
      <c r="AJ10" s="39">
        <v>1343.785198720843</v>
      </c>
      <c r="AK10" s="40">
        <v>4496.9095147354001</v>
      </c>
      <c r="AL10" s="39">
        <v>1611.6123283804884</v>
      </c>
      <c r="AM10" s="40">
        <v>7024.9487886271481</v>
      </c>
      <c r="AN10" s="39">
        <v>2272.1125704637898</v>
      </c>
      <c r="AO10" s="40">
        <v>18307.594911965185</v>
      </c>
      <c r="AP10" s="39">
        <v>2534.6960006044028</v>
      </c>
      <c r="AQ10" s="40">
        <v>25286.559674808592</v>
      </c>
      <c r="AR10" s="39">
        <v>2906.0717735724825</v>
      </c>
      <c r="AS10" s="40">
        <v>38193.666165567753</v>
      </c>
      <c r="AT10" s="39">
        <v>3486.8393027648854</v>
      </c>
      <c r="AU10" s="40">
        <v>67246.12068374455</v>
      </c>
      <c r="AV10" s="39">
        <v>4603.9987023412696</v>
      </c>
      <c r="AW10" s="40">
        <v>167646.36906863173</v>
      </c>
    </row>
    <row r="11" spans="1:49" x14ac:dyDescent="0.2">
      <c r="B11" s="39">
        <v>1015.9116825427475</v>
      </c>
      <c r="C11" s="40">
        <v>1005.7716594496609</v>
      </c>
      <c r="D11" s="39">
        <v>1014.4307195134899</v>
      </c>
      <c r="E11" s="40">
        <v>1052.1630607276848</v>
      </c>
      <c r="F11" s="39">
        <v>1013.1352096182995</v>
      </c>
      <c r="G11" s="40">
        <v>1103.4549783913637</v>
      </c>
      <c r="H11" s="39">
        <v>1012.0677363464453</v>
      </c>
      <c r="I11" s="40">
        <v>1160.4179115468121</v>
      </c>
      <c r="J11" s="39">
        <v>1011.2856617935573</v>
      </c>
      <c r="K11" s="40">
        <v>1223.9788661222547</v>
      </c>
      <c r="L11" s="39">
        <v>1010.8670584055461</v>
      </c>
      <c r="M11" s="40">
        <v>1295.2591095095809</v>
      </c>
      <c r="N11" s="39">
        <v>1010.9210718380963</v>
      </c>
      <c r="O11" s="40">
        <v>1375.6202230803492</v>
      </c>
      <c r="P11" s="39">
        <v>1011.6032224810726</v>
      </c>
      <c r="Q11" s="40">
        <v>1466.7218711530502</v>
      </c>
      <c r="R11" s="39">
        <v>1013.14088947296</v>
      </c>
      <c r="S11" s="40">
        <v>1570.5920036028162</v>
      </c>
      <c r="T11" s="39">
        <v>1015.875593059628</v>
      </c>
      <c r="U11" s="40">
        <v>1689.7129504414527</v>
      </c>
      <c r="V11" s="39">
        <v>1020.3351715732792</v>
      </c>
      <c r="W11" s="40">
        <v>1827.1357753180373</v>
      </c>
      <c r="X11" s="39">
        <v>1027.3618442837708</v>
      </c>
      <c r="Y11" s="40">
        <v>1986.6573237397768</v>
      </c>
      <c r="Z11" s="39">
        <v>1038.3436131264921</v>
      </c>
      <c r="AA11" s="40">
        <v>2173.2187941995303</v>
      </c>
      <c r="AB11" s="39">
        <v>1055.6446413525423</v>
      </c>
      <c r="AC11" s="40">
        <v>2394.0700373065733</v>
      </c>
      <c r="AD11" s="39">
        <v>1083.4142486683718</v>
      </c>
      <c r="AE11" s="40">
        <v>2662.559347875042</v>
      </c>
      <c r="AF11" s="39">
        <v>1129.1278691794678</v>
      </c>
      <c r="AG11" s="40">
        <v>3010.4765674701353</v>
      </c>
      <c r="AH11" s="39">
        <v>1206.6296563482238</v>
      </c>
      <c r="AI11" s="40">
        <v>3527.5546539064699</v>
      </c>
      <c r="AJ11" s="39">
        <v>1343.785198720843</v>
      </c>
      <c r="AK11" s="40">
        <v>4496.9095147354001</v>
      </c>
      <c r="AL11" s="39">
        <v>1611.6123283804884</v>
      </c>
      <c r="AM11" s="40">
        <v>7024.9487886271481</v>
      </c>
      <c r="AN11" s="39">
        <v>2272.1125704637898</v>
      </c>
      <c r="AO11" s="40">
        <v>18307.594911965185</v>
      </c>
      <c r="AP11" s="39">
        <v>2534.6960006044028</v>
      </c>
      <c r="AQ11" s="40">
        <v>25286.559674808592</v>
      </c>
      <c r="AR11" s="39">
        <v>2906.0717735724825</v>
      </c>
      <c r="AS11" s="40">
        <v>38193.666165567753</v>
      </c>
      <c r="AT11" s="39">
        <v>3486.8393027648854</v>
      </c>
      <c r="AU11" s="40">
        <v>67246.12068374455</v>
      </c>
      <c r="AV11" s="39">
        <v>4603.9987023412696</v>
      </c>
      <c r="AW11" s="40">
        <v>167646.36906863173</v>
      </c>
    </row>
    <row r="12" spans="1:49" x14ac:dyDescent="0.2">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B13" s="93">
        <v>1000</v>
      </c>
      <c r="C13" s="94">
        <v>1000</v>
      </c>
      <c r="D13" s="93">
        <v>994.96173008283074</v>
      </c>
      <c r="E13" s="94">
        <v>994.96173008283074</v>
      </c>
      <c r="F13" s="93">
        <v>989.80297419287217</v>
      </c>
      <c r="G13" s="94">
        <v>989.80297419287217</v>
      </c>
      <c r="H13" s="93">
        <v>984.52366641413141</v>
      </c>
      <c r="I13" s="94">
        <v>984.52366641413141</v>
      </c>
      <c r="J13" s="93">
        <v>979.13049460151876</v>
      </c>
      <c r="K13" s="94">
        <v>979.13049460151876</v>
      </c>
      <c r="L13" s="93">
        <v>973.64091768903518</v>
      </c>
      <c r="M13" s="94">
        <v>973.64091768903518</v>
      </c>
      <c r="N13" s="93">
        <v>968.09098086221638</v>
      </c>
      <c r="O13" s="94">
        <v>968.09098086221638</v>
      </c>
      <c r="P13" s="93">
        <v>962.54734396003619</v>
      </c>
      <c r="Q13" s="94">
        <v>962.54734396003619</v>
      </c>
      <c r="R13" s="93">
        <v>957.12842211434793</v>
      </c>
      <c r="S13" s="94">
        <v>957.12842211434793</v>
      </c>
      <c r="T13" s="93">
        <v>952.04091328843674</v>
      </c>
      <c r="U13" s="94">
        <v>952.04091328843674</v>
      </c>
      <c r="V13" s="93">
        <v>947.64412701286165</v>
      </c>
      <c r="W13" s="94">
        <v>947.64412701286165</v>
      </c>
      <c r="X13" s="93">
        <v>944.56736739064331</v>
      </c>
      <c r="Y13" s="94">
        <v>944.56736739064331</v>
      </c>
      <c r="Z13" s="93">
        <v>943.92599534740202</v>
      </c>
      <c r="AA13" s="94">
        <v>943.92599534740202</v>
      </c>
      <c r="AB13" s="93">
        <v>947.72944842555819</v>
      </c>
      <c r="AC13" s="94">
        <v>947.72944842555819</v>
      </c>
      <c r="AD13" s="93">
        <v>959.65910581804496</v>
      </c>
      <c r="AE13" s="94">
        <v>959.65910581804496</v>
      </c>
      <c r="AF13" s="93">
        <v>986.58306579886175</v>
      </c>
      <c r="AG13" s="94">
        <v>986.58306579886175</v>
      </c>
      <c r="AH13" s="93">
        <v>1041.6604126892194</v>
      </c>
      <c r="AI13" s="94">
        <v>1041.6604126892194</v>
      </c>
      <c r="AJ13" s="93">
        <v>1152.5066883011948</v>
      </c>
      <c r="AK13" s="94">
        <v>1152.5066883011948</v>
      </c>
      <c r="AL13" s="93">
        <v>1394.3777854097259</v>
      </c>
      <c r="AM13" s="94">
        <v>1394.3777854097259</v>
      </c>
      <c r="AN13" s="93">
        <v>2092.7370532854015</v>
      </c>
      <c r="AO13" s="94">
        <v>2092.7370532854015</v>
      </c>
      <c r="AP13" s="93">
        <v>2411.2964893999742</v>
      </c>
      <c r="AQ13" s="94">
        <v>2411.2964893999742</v>
      </c>
      <c r="AR13" s="93">
        <v>2906.6063969536763</v>
      </c>
      <c r="AS13" s="94">
        <v>2906.6063969536763</v>
      </c>
      <c r="AT13" s="93">
        <v>3800.6948831979557</v>
      </c>
      <c r="AU13" s="94">
        <v>3800.6948831979557</v>
      </c>
      <c r="AV13" s="93">
        <v>6032.8976488304888</v>
      </c>
      <c r="AW13" s="94">
        <v>6032.8976488304888</v>
      </c>
    </row>
    <row r="14" spans="1:49" x14ac:dyDescent="0.2">
      <c r="B14" s="39">
        <v>1457.0034251455234</v>
      </c>
      <c r="C14" s="40">
        <v>1457.0034251455236</v>
      </c>
      <c r="D14" s="39">
        <v>1449.6626486194</v>
      </c>
      <c r="E14" s="40">
        <v>1449.6626486194002</v>
      </c>
      <c r="F14" s="39">
        <v>1442.1463236182408</v>
      </c>
      <c r="G14" s="40">
        <v>1442.146323618241</v>
      </c>
      <c r="H14" s="39">
        <v>1434.4543541022181</v>
      </c>
      <c r="I14" s="40">
        <v>1434.4543541022183</v>
      </c>
      <c r="J14" s="39">
        <v>1426.5964842988431</v>
      </c>
      <c r="K14" s="40">
        <v>1426.5964842988433</v>
      </c>
      <c r="L14" s="39">
        <v>1418.5981519347547</v>
      </c>
      <c r="M14" s="40">
        <v>1418.5981519347549</v>
      </c>
      <c r="N14" s="39">
        <v>1410.5118749687385</v>
      </c>
      <c r="O14" s="40">
        <v>1410.5118749687388</v>
      </c>
      <c r="P14" s="39">
        <v>1402.4347770144989</v>
      </c>
      <c r="Q14" s="40">
        <v>1402.4347770144991</v>
      </c>
      <c r="R14" s="39">
        <v>1394.5393893247351</v>
      </c>
      <c r="S14" s="40">
        <v>1394.5393893247353</v>
      </c>
      <c r="T14" s="39">
        <v>1387.1268715399244</v>
      </c>
      <c r="U14" s="40">
        <v>1387.1268715399247</v>
      </c>
      <c r="V14" s="39">
        <v>1380.7207388767788</v>
      </c>
      <c r="W14" s="40">
        <v>1380.720738876779</v>
      </c>
      <c r="X14" s="39">
        <v>1376.2378895688571</v>
      </c>
      <c r="Y14" s="40">
        <v>1376.2378895688573</v>
      </c>
      <c r="Z14" s="39">
        <v>1375.303408305062</v>
      </c>
      <c r="AA14" s="40">
        <v>1375.3034083050622</v>
      </c>
      <c r="AB14" s="39">
        <v>1380.8450524673158</v>
      </c>
      <c r="AC14" s="40">
        <v>1380.845052467316</v>
      </c>
      <c r="AD14" s="39">
        <v>1398.2266041489818</v>
      </c>
      <c r="AE14" s="40">
        <v>1398.2266041489818</v>
      </c>
      <c r="AF14" s="39">
        <v>1437.4549060595127</v>
      </c>
      <c r="AG14" s="40">
        <v>1437.454906059513</v>
      </c>
      <c r="AH14" s="39">
        <v>1517.7027891266919</v>
      </c>
      <c r="AI14" s="40">
        <v>1517.7027891266921</v>
      </c>
      <c r="AJ14" s="39">
        <v>1679.2061923579647</v>
      </c>
      <c r="AK14" s="40">
        <v>1679.2061923579652</v>
      </c>
      <c r="AL14" s="39">
        <v>2031.6132092888001</v>
      </c>
      <c r="AM14" s="40">
        <v>2031.6132092888004</v>
      </c>
      <c r="AN14" s="39">
        <v>3049.1250545657795</v>
      </c>
      <c r="AO14" s="40">
        <v>3049.1250545657799</v>
      </c>
      <c r="AP14" s="39">
        <v>3513.2672440971382</v>
      </c>
      <c r="AQ14" s="40">
        <v>3513.2672440971392</v>
      </c>
      <c r="AR14" s="39">
        <v>4234.9354759113949</v>
      </c>
      <c r="AS14" s="40">
        <v>4234.9354759113958</v>
      </c>
      <c r="AT14" s="39">
        <v>5537.6254627524859</v>
      </c>
      <c r="AU14" s="40">
        <v>5537.6254627524868</v>
      </c>
      <c r="AV14" s="39">
        <v>8789.9525378983963</v>
      </c>
      <c r="AW14" s="40">
        <v>8789.9525378983981</v>
      </c>
    </row>
    <row r="15" spans="1:49" x14ac:dyDescent="0.2">
      <c r="B15" s="144">
        <v>1000</v>
      </c>
      <c r="C15" s="145">
        <v>1000</v>
      </c>
      <c r="D15" s="144">
        <v>998.54223250435427</v>
      </c>
      <c r="E15" s="145">
        <v>998.54223250435427</v>
      </c>
      <c r="F15" s="144">
        <v>997.26701348930396</v>
      </c>
      <c r="G15" s="145">
        <v>997.26701348930396</v>
      </c>
      <c r="H15" s="144">
        <v>996.2162594816499</v>
      </c>
      <c r="I15" s="145">
        <v>996.2162594816499</v>
      </c>
      <c r="J15" s="144">
        <v>995.44643414513007</v>
      </c>
      <c r="K15" s="145">
        <v>995.44643414513007</v>
      </c>
      <c r="L15" s="144">
        <v>995.03438711859769</v>
      </c>
      <c r="M15" s="145">
        <v>995.03438711859769</v>
      </c>
      <c r="N15" s="144">
        <v>995.08755456757808</v>
      </c>
      <c r="O15" s="145">
        <v>995.08755456757808</v>
      </c>
      <c r="P15" s="144">
        <v>995.75902104906299</v>
      </c>
      <c r="Q15" s="145">
        <v>995.75902104906299</v>
      </c>
      <c r="R15" s="144">
        <v>997.27260438343183</v>
      </c>
      <c r="S15" s="145">
        <v>997.27260438343183</v>
      </c>
      <c r="T15" s="144">
        <v>999.96447576719561</v>
      </c>
      <c r="U15" s="145">
        <v>999.96447576719561</v>
      </c>
      <c r="V15" s="144">
        <v>1004.35420628244</v>
      </c>
      <c r="W15" s="145">
        <v>1004.35420628244</v>
      </c>
      <c r="X15" s="144">
        <v>1011.2708239680486</v>
      </c>
      <c r="Y15" s="145">
        <v>1011.2708239680486</v>
      </c>
      <c r="Z15" s="144">
        <v>1022.0805912258036</v>
      </c>
      <c r="AA15" s="145">
        <v>1022.0805912258036</v>
      </c>
      <c r="AB15" s="144">
        <v>1039.1106426794368</v>
      </c>
      <c r="AC15" s="145">
        <v>1039.1106426794368</v>
      </c>
      <c r="AD15" s="144">
        <v>1066.44530945512</v>
      </c>
      <c r="AE15" s="145">
        <v>1066.44530945512</v>
      </c>
      <c r="AF15" s="144">
        <v>1111.4429419232083</v>
      </c>
      <c r="AG15" s="145">
        <v>1111.4429419232083</v>
      </c>
      <c r="AH15" s="144">
        <v>1187.7308599583423</v>
      </c>
      <c r="AI15" s="145">
        <v>1187.7308599583423</v>
      </c>
      <c r="AJ15" s="144">
        <v>1322.7382082637871</v>
      </c>
      <c r="AK15" s="145">
        <v>1322.7382082637871</v>
      </c>
      <c r="AL15" s="144">
        <v>1586.370504517429</v>
      </c>
      <c r="AM15" s="145">
        <v>1586.370504517429</v>
      </c>
      <c r="AN15" s="144">
        <v>2236.5256837847064</v>
      </c>
      <c r="AO15" s="145">
        <v>2236.5256837847064</v>
      </c>
      <c r="AP15" s="144">
        <v>2494.9964097865841</v>
      </c>
      <c r="AQ15" s="145">
        <v>2494.9964097865841</v>
      </c>
      <c r="AR15" s="144">
        <v>2860.555522207218</v>
      </c>
      <c r="AS15" s="145">
        <v>2860.555522207218</v>
      </c>
      <c r="AT15" s="144">
        <v>3432.2267995162724</v>
      </c>
      <c r="AU15" s="145">
        <v>3432.2267995162724</v>
      </c>
      <c r="AV15" s="144">
        <v>4531.888727588821</v>
      </c>
      <c r="AW15" s="145">
        <v>4531.888727588821</v>
      </c>
    </row>
    <row r="16" spans="1:49" s="27" customFormat="1" x14ac:dyDescent="0.2">
      <c r="A16"/>
      <c r="B16" s="39">
        <v>1000</v>
      </c>
      <c r="C16" s="40">
        <v>1000</v>
      </c>
      <c r="D16" s="39">
        <v>996.63278036514782</v>
      </c>
      <c r="E16" s="40">
        <v>997.52006739321882</v>
      </c>
      <c r="F16" s="39">
        <v>993.28541089319708</v>
      </c>
      <c r="G16" s="40">
        <v>995.13572534037746</v>
      </c>
      <c r="H16" s="39">
        <v>989.97711086699155</v>
      </c>
      <c r="I16" s="40">
        <v>992.87677926883771</v>
      </c>
      <c r="J16" s="39">
        <v>986.73739986088583</v>
      </c>
      <c r="K16" s="40">
        <v>990.78531993996944</v>
      </c>
      <c r="L16" s="39">
        <v>983.61093568473859</v>
      </c>
      <c r="M16" s="40">
        <v>988.92103034262936</v>
      </c>
      <c r="N16" s="39">
        <v>980.66640203212194</v>
      </c>
      <c r="O16" s="40">
        <v>987.37068870240319</v>
      </c>
      <c r="P16" s="39">
        <v>978.0098974718187</v>
      </c>
      <c r="Q16" s="40">
        <v>986.26234204433581</v>
      </c>
      <c r="R16" s="39">
        <v>975.8078418526818</v>
      </c>
      <c r="S16" s="40">
        <v>985.78923473284362</v>
      </c>
      <c r="T16" s="39">
        <v>974.32578068969406</v>
      </c>
      <c r="U16" s="40">
        <v>986.24993446220071</v>
      </c>
      <c r="V16" s="39">
        <v>973.99572032671244</v>
      </c>
      <c r="W16" s="40">
        <v>988.11740914749407</v>
      </c>
      <c r="X16" s="39">
        <v>975.53740829898243</v>
      </c>
      <c r="Y16" s="40">
        <v>992.16254724906651</v>
      </c>
      <c r="Z16" s="39">
        <v>980.17972203283148</v>
      </c>
      <c r="AA16" s="40">
        <v>999.67853463705183</v>
      </c>
      <c r="AB16" s="39">
        <v>990.07595737320355</v>
      </c>
      <c r="AC16" s="40">
        <v>1012.9000275264838</v>
      </c>
      <c r="AD16" s="39">
        <v>1009.090719276292</v>
      </c>
      <c r="AE16" s="40">
        <v>1035.7943720180647</v>
      </c>
      <c r="AF16" s="39">
        <v>1044.3173583011951</v>
      </c>
      <c r="AG16" s="40">
        <v>1075.578536490025</v>
      </c>
      <c r="AH16" s="39">
        <v>1109.1365480684681</v>
      </c>
      <c r="AI16" s="40">
        <v>1145.7474117436086</v>
      </c>
      <c r="AJ16" s="39">
        <v>1231.102318193344</v>
      </c>
      <c r="AK16" s="40">
        <v>1273.7936400161875</v>
      </c>
      <c r="AL16" s="39">
        <v>1483.0833349032857</v>
      </c>
      <c r="AM16" s="40">
        <v>1531.194563902051</v>
      </c>
      <c r="AN16" s="39">
        <v>2159.5068941297632</v>
      </c>
      <c r="AO16" s="40">
        <v>2195.3390192960237</v>
      </c>
      <c r="AP16" s="39">
        <v>2450.2645204373775</v>
      </c>
      <c r="AQ16" s="40">
        <v>2471.0626656701857</v>
      </c>
      <c r="AR16" s="39">
        <v>2885.0804380835275</v>
      </c>
      <c r="AS16" s="40">
        <v>2873.6883790506522</v>
      </c>
      <c r="AT16" s="39">
        <v>3627.2765191058265</v>
      </c>
      <c r="AU16" s="40">
        <v>3536.8196326115672</v>
      </c>
      <c r="AV16" s="39">
        <v>5316.1855281651615</v>
      </c>
      <c r="AW16" s="40">
        <v>4953.6688324578208</v>
      </c>
    </row>
    <row r="17" spans="2:49" x14ac:dyDescent="0.2">
      <c r="B17" s="33">
        <v>1000.0000000000002</v>
      </c>
      <c r="C17" s="34">
        <v>999.99999999999977</v>
      </c>
      <c r="D17" s="33">
        <v>998.67518440337551</v>
      </c>
      <c r="E17" s="34">
        <v>1023.3128410723698</v>
      </c>
      <c r="F17" s="33">
        <v>997.51755853321572</v>
      </c>
      <c r="G17" s="34">
        <v>1049.0976593545163</v>
      </c>
      <c r="H17" s="33">
        <v>996.56460649720952</v>
      </c>
      <c r="I17" s="34">
        <v>1077.7377085296089</v>
      </c>
      <c r="J17" s="33">
        <v>995.86695580626599</v>
      </c>
      <c r="K17" s="34">
        <v>1109.6953509120756</v>
      </c>
      <c r="L17" s="33">
        <v>995.49372141716367</v>
      </c>
      <c r="M17" s="34">
        <v>1145.532046734626</v>
      </c>
      <c r="N17" s="33">
        <v>995.54187346501669</v>
      </c>
      <c r="O17" s="34">
        <v>1185.9341435873046</v>
      </c>
      <c r="P17" s="33">
        <v>996.15018279574463</v>
      </c>
      <c r="Q17" s="34">
        <v>1231.7464558688387</v>
      </c>
      <c r="R17" s="33">
        <v>997.52263175921382</v>
      </c>
      <c r="S17" s="34">
        <v>1284.0165734918226</v>
      </c>
      <c r="T17" s="33">
        <v>999.96769675076314</v>
      </c>
      <c r="U17" s="34">
        <v>1344.0552178855869</v>
      </c>
      <c r="V17" s="33">
        <v>1003.9664160137095</v>
      </c>
      <c r="W17" s="34">
        <v>1413.5260520236295</v>
      </c>
      <c r="X17" s="33">
        <v>1010.295515454097</v>
      </c>
      <c r="Y17" s="34">
        <v>1494.5965122146549</v>
      </c>
      <c r="Z17" s="33">
        <v>1020.2560795713991</v>
      </c>
      <c r="AA17" s="34">
        <v>1590.2541873251332</v>
      </c>
      <c r="AB17" s="33">
        <v>1036.1153236210303</v>
      </c>
      <c r="AC17" s="34">
        <v>1705.1054438952624</v>
      </c>
      <c r="AD17" s="33">
        <v>1061.9838827077826</v>
      </c>
      <c r="AE17" s="34">
        <v>1847.6474631207291</v>
      </c>
      <c r="AF17" s="33">
        <v>1105.6222834179237</v>
      </c>
      <c r="AG17" s="34">
        <v>2037.0273528274888</v>
      </c>
      <c r="AH17" s="33">
        <v>1182.3873478902444</v>
      </c>
      <c r="AI17" s="34">
        <v>2323.4930896268838</v>
      </c>
      <c r="AJ17" s="33">
        <v>1325.9726332471548</v>
      </c>
      <c r="AK17" s="34">
        <v>2856.3991190449915</v>
      </c>
      <c r="AL17" s="33">
        <v>1631.5373890543112</v>
      </c>
      <c r="AM17" s="34">
        <v>4193.2493990384537</v>
      </c>
      <c r="AN17" s="33">
        <v>2516.3549434450542</v>
      </c>
      <c r="AO17" s="34">
        <v>9786.8755493049357</v>
      </c>
      <c r="AP17" s="33">
        <v>2921.7928701990354</v>
      </c>
      <c r="AQ17" s="34">
        <v>13128.036408410071</v>
      </c>
      <c r="AR17" s="33">
        <v>3552.9371098783495</v>
      </c>
      <c r="AS17" s="34">
        <v>19202.127614073652</v>
      </c>
      <c r="AT17" s="33">
        <v>4693.3726404160852</v>
      </c>
      <c r="AU17" s="34">
        <v>32618.663240063986</v>
      </c>
      <c r="AV17" s="33">
        <v>7554.0352288831727</v>
      </c>
      <c r="AW17" s="34">
        <v>77971.489154998169</v>
      </c>
    </row>
    <row r="18" spans="2:49" x14ac:dyDescent="0.2">
      <c r="B18" s="31">
        <v>27857.010133999996</v>
      </c>
      <c r="C18" s="32">
        <v>1236.7674480000003</v>
      </c>
      <c r="D18" s="31">
        <v>27724.963722948618</v>
      </c>
      <c r="E18" s="32">
        <v>1157.8069960322678</v>
      </c>
      <c r="F18" s="31">
        <v>27573.336115135855</v>
      </c>
      <c r="G18" s="32">
        <v>1078.9994754395725</v>
      </c>
      <c r="H18" s="31">
        <v>27398.150628078911</v>
      </c>
      <c r="I18" s="32">
        <v>1000.3934324339476</v>
      </c>
      <c r="J18" s="31">
        <v>27194.307829434296</v>
      </c>
      <c r="K18" s="32">
        <v>922.05155257830972</v>
      </c>
      <c r="L18" s="31">
        <v>26955.23110587856</v>
      </c>
      <c r="M18" s="32">
        <v>844.05228135553523</v>
      </c>
      <c r="N18" s="31">
        <v>26672.290393666492</v>
      </c>
      <c r="O18" s="32">
        <v>766.50002662947259</v>
      </c>
      <c r="P18" s="31">
        <v>26334.055529538793</v>
      </c>
      <c r="Q18" s="32">
        <v>689.5325105928307</v>
      </c>
      <c r="R18" s="31">
        <v>25925.20854541158</v>
      </c>
      <c r="S18" s="32">
        <v>613.33495052398325</v>
      </c>
      <c r="T18" s="31">
        <v>25425.059583741015</v>
      </c>
      <c r="U18" s="32">
        <v>538.15700479261955</v>
      </c>
      <c r="V18" s="31">
        <v>24805.623046731322</v>
      </c>
      <c r="W18" s="32">
        <v>464.33529308347534</v>
      </c>
      <c r="X18" s="31">
        <v>24029.396118086002</v>
      </c>
      <c r="Y18" s="32">
        <v>392.31372179438398</v>
      </c>
      <c r="Z18" s="31">
        <v>23047.745422769673</v>
      </c>
      <c r="AA18" s="32">
        <v>322.65632422167323</v>
      </c>
      <c r="AB18" s="31">
        <v>21802.420866787634</v>
      </c>
      <c r="AC18" s="32">
        <v>256.02773089444707</v>
      </c>
      <c r="AD18" s="31">
        <v>20235.977827983428</v>
      </c>
      <c r="AE18" s="32">
        <v>193.11703086430285</v>
      </c>
      <c r="AF18" s="31">
        <v>18319.366045768922</v>
      </c>
      <c r="AG18" s="32">
        <v>134.56130917881325</v>
      </c>
      <c r="AH18" s="31">
        <v>16094.127652245084</v>
      </c>
      <c r="AI18" s="32">
        <v>81.287443528038992</v>
      </c>
      <c r="AJ18" s="31">
        <v>13676.956353872354</v>
      </c>
      <c r="AK18" s="32">
        <v>36.346257805258212</v>
      </c>
      <c r="AL18" s="31">
        <v>11121.266190530465</v>
      </c>
      <c r="AM18" s="32">
        <v>7.7731477431199654</v>
      </c>
      <c r="AN18" s="31">
        <v>8045.0312369172143</v>
      </c>
      <c r="AO18" s="32">
        <v>0.21465450977789263</v>
      </c>
      <c r="AP18" s="31">
        <v>7236.4766205337501</v>
      </c>
      <c r="AQ18" s="32">
        <v>5.9747427275053742E-2</v>
      </c>
      <c r="AR18" s="31">
        <v>6282.9324291972034</v>
      </c>
      <c r="AS18" s="32">
        <v>1.1195043086596601E-2</v>
      </c>
      <c r="AT18" s="31">
        <v>5094.1207461097074</v>
      </c>
      <c r="AU18" s="32">
        <v>1.050004281282663E-3</v>
      </c>
      <c r="AV18" s="31">
        <v>3460.1782132238263</v>
      </c>
      <c r="AW18" s="32">
        <v>1.971262164932927E-5</v>
      </c>
    </row>
    <row r="19" spans="2:49" x14ac:dyDescent="0.2">
      <c r="B19" s="39">
        <v>1886.3937399999918</v>
      </c>
      <c r="C19" s="40">
        <v>262.78711299999759</v>
      </c>
      <c r="D19" s="39">
        <v>1870.8893091102084</v>
      </c>
      <c r="E19" s="40">
        <v>263.11286328102534</v>
      </c>
      <c r="F19" s="39">
        <v>1854.9572167348251</v>
      </c>
      <c r="G19" s="40">
        <v>263.78747936351522</v>
      </c>
      <c r="H19" s="39">
        <v>1838.5112733310095</v>
      </c>
      <c r="I19" s="40">
        <v>264.83054052393959</v>
      </c>
      <c r="J19" s="39">
        <v>1821.4472336582401</v>
      </c>
      <c r="K19" s="40">
        <v>266.25804819859457</v>
      </c>
      <c r="L19" s="39">
        <v>1803.6392397890538</v>
      </c>
      <c r="M19" s="40">
        <v>268.07823791681272</v>
      </c>
      <c r="N19" s="39">
        <v>1784.9361141328136</v>
      </c>
      <c r="O19" s="40">
        <v>270.28560148260419</v>
      </c>
      <c r="P19" s="39">
        <v>1765.1592274591571</v>
      </c>
      <c r="Q19" s="40">
        <v>272.85082972672689</v>
      </c>
      <c r="R19" s="39">
        <v>1744.105244993598</v>
      </c>
      <c r="S19" s="40">
        <v>275.70564371280335</v>
      </c>
      <c r="T19" s="39">
        <v>1721.5625083951638</v>
      </c>
      <c r="U19" s="40">
        <v>278.72002554952081</v>
      </c>
      <c r="V19" s="39">
        <v>1697.3611576568155</v>
      </c>
      <c r="W19" s="40">
        <v>281.6707294377166</v>
      </c>
      <c r="X19" s="39">
        <v>1671.5068742950682</v>
      </c>
      <c r="Y19" s="40">
        <v>284.20198252436302</v>
      </c>
      <c r="Z19" s="39">
        <v>1644.5120759181834</v>
      </c>
      <c r="AA19" s="40">
        <v>285.79140844956061</v>
      </c>
      <c r="AB19" s="39">
        <v>1618.1909337731004</v>
      </c>
      <c r="AC19" s="40">
        <v>285.75603067345878</v>
      </c>
      <c r="AD19" s="39">
        <v>1597.4855983465338</v>
      </c>
      <c r="AE19" s="40">
        <v>283.3618457145181</v>
      </c>
      <c r="AF19" s="39">
        <v>1594.4707452863861</v>
      </c>
      <c r="AG19" s="40">
        <v>278.03840709631896</v>
      </c>
      <c r="AH19" s="39">
        <v>1636.6505437592768</v>
      </c>
      <c r="AI19" s="40">
        <v>269.13299997645345</v>
      </c>
      <c r="AJ19" s="39">
        <v>1786.3162659172438</v>
      </c>
      <c r="AK19" s="40">
        <v>252.79791028866973</v>
      </c>
      <c r="AL19" s="39">
        <v>2211.653444343402</v>
      </c>
      <c r="AM19" s="40">
        <v>212.30539674692554</v>
      </c>
      <c r="AN19" s="39">
        <v>3584.8268214209356</v>
      </c>
      <c r="AO19" s="40">
        <v>121.27035861738268</v>
      </c>
      <c r="AP19" s="39">
        <v>4201.8566322929364</v>
      </c>
      <c r="AQ19" s="40">
        <v>97.882708897742887</v>
      </c>
      <c r="AR19" s="39">
        <v>5121.1348249852517</v>
      </c>
      <c r="AS19" s="40">
        <v>73.760665931378213</v>
      </c>
      <c r="AT19" s="39">
        <v>6644.8535989554621</v>
      </c>
      <c r="AU19" s="40">
        <v>49.271702602342387</v>
      </c>
      <c r="AV19" s="39">
        <v>9795.0617069390992</v>
      </c>
      <c r="AW19" s="40">
        <v>24.649212063738904</v>
      </c>
    </row>
    <row r="20" spans="2:49" x14ac:dyDescent="0.2">
      <c r="B20" s="79">
        <v>26548.356269999993</v>
      </c>
      <c r="C20" s="80">
        <v>1408.5418709999938</v>
      </c>
      <c r="D20" s="79">
        <v>26407.087748887021</v>
      </c>
      <c r="E20" s="80">
        <v>1338.1147774499941</v>
      </c>
      <c r="F20" s="79">
        <v>26249.212574128906</v>
      </c>
      <c r="G20" s="80">
        <v>1267.6876838999945</v>
      </c>
      <c r="H20" s="79">
        <v>26071.399014951243</v>
      </c>
      <c r="I20" s="80">
        <v>1197.2605903499946</v>
      </c>
      <c r="J20" s="79">
        <v>25869.384432937368</v>
      </c>
      <c r="K20" s="80">
        <v>1126.8334967999949</v>
      </c>
      <c r="L20" s="79">
        <v>25637.683772522261</v>
      </c>
      <c r="M20" s="80">
        <v>1056.4064032499953</v>
      </c>
      <c r="N20" s="79">
        <v>25369.118550086361</v>
      </c>
      <c r="O20" s="80">
        <v>985.97930969999561</v>
      </c>
      <c r="P20" s="79">
        <v>25054.208003210315</v>
      </c>
      <c r="Q20" s="80">
        <v>915.55221614999596</v>
      </c>
      <c r="R20" s="79">
        <v>24680.286727283019</v>
      </c>
      <c r="S20" s="80">
        <v>845.12512259999642</v>
      </c>
      <c r="T20" s="79">
        <v>24230.308463166639</v>
      </c>
      <c r="U20" s="80">
        <v>774.69802904999653</v>
      </c>
      <c r="V20" s="79">
        <v>23681.311174548842</v>
      </c>
      <c r="W20" s="80">
        <v>704.27093549999688</v>
      </c>
      <c r="X20" s="79">
        <v>23002.683392913754</v>
      </c>
      <c r="Y20" s="80">
        <v>633.84384194999734</v>
      </c>
      <c r="Z20" s="79">
        <v>22155.016341418752</v>
      </c>
      <c r="AA20" s="80">
        <v>563.41674839999746</v>
      </c>
      <c r="AB20" s="79">
        <v>21091.693899670834</v>
      </c>
      <c r="AC20" s="80">
        <v>492.98965484999781</v>
      </c>
      <c r="AD20" s="79">
        <v>19768.106081566428</v>
      </c>
      <c r="AE20" s="80">
        <v>422.56256129999809</v>
      </c>
      <c r="AF20" s="79">
        <v>18165.506002697384</v>
      </c>
      <c r="AG20" s="80">
        <v>352.13546774999827</v>
      </c>
      <c r="AH20" s="79">
        <v>16327.705857878107</v>
      </c>
      <c r="AI20" s="80">
        <v>281.70837419999856</v>
      </c>
      <c r="AJ20" s="79">
        <v>14368.646018781339</v>
      </c>
      <c r="AK20" s="80">
        <v>211.28128064999879</v>
      </c>
      <c r="AL20" s="79">
        <v>12368.388370112574</v>
      </c>
      <c r="AM20" s="80">
        <v>140.85418709999902</v>
      </c>
      <c r="AN20" s="79">
        <v>10086.156227945905</v>
      </c>
      <c r="AO20" s="80">
        <v>70.42709354999927</v>
      </c>
      <c r="AP20" s="79">
        <v>9499.6295695759836</v>
      </c>
      <c r="AQ20" s="80">
        <v>56.341674839999328</v>
      </c>
      <c r="AR20" s="79">
        <v>8807.8667738168515</v>
      </c>
      <c r="AS20" s="80">
        <v>42.256256129999379</v>
      </c>
      <c r="AT20" s="79">
        <v>7938.5055206290517</v>
      </c>
      <c r="AU20" s="80">
        <v>28.170837419999433</v>
      </c>
      <c r="AV20" s="79">
        <v>6712.0315751151256</v>
      </c>
      <c r="AW20" s="80">
        <v>14.08541870999948</v>
      </c>
    </row>
    <row r="21" spans="2:49" x14ac:dyDescent="0.2">
      <c r="B21" s="79">
        <v>24661.962529999968</v>
      </c>
      <c r="C21" s="80">
        <v>1145.7547579999991</v>
      </c>
      <c r="D21" s="79">
        <v>24536.202732193356</v>
      </c>
      <c r="E21" s="80">
        <v>1075.1113063522096</v>
      </c>
      <c r="F21" s="79">
        <v>24394.270354107426</v>
      </c>
      <c r="G21" s="80">
        <v>1004.3638674220971</v>
      </c>
      <c r="H21" s="79">
        <v>24232.916291990718</v>
      </c>
      <c r="I21" s="80">
        <v>933.5373010719386</v>
      </c>
      <c r="J21" s="79">
        <v>24047.978228576449</v>
      </c>
      <c r="K21" s="80">
        <v>862.66801310597486</v>
      </c>
      <c r="L21" s="79">
        <v>23834.092886378658</v>
      </c>
      <c r="M21" s="80">
        <v>791.80918990817997</v>
      </c>
      <c r="N21" s="79">
        <v>23584.229263949073</v>
      </c>
      <c r="O21" s="80">
        <v>721.03755506263826</v>
      </c>
      <c r="P21" s="79">
        <v>23289.083243872323</v>
      </c>
      <c r="Q21" s="80">
        <v>650.46341170841549</v>
      </c>
      <c r="R21" s="79">
        <v>22936.195525007897</v>
      </c>
      <c r="S21" s="80">
        <v>580.24421649563817</v>
      </c>
      <c r="T21" s="79">
        <v>22508.745957110332</v>
      </c>
      <c r="U21" s="80">
        <v>510.60280475379557</v>
      </c>
      <c r="V21" s="79">
        <v>21983.98435912123</v>
      </c>
      <c r="W21" s="80">
        <v>441.84964710441187</v>
      </c>
      <c r="X21" s="79">
        <v>21331.400027396525</v>
      </c>
      <c r="Y21" s="80">
        <v>374.40658058328199</v>
      </c>
      <c r="Z21" s="79">
        <v>20511.330490225926</v>
      </c>
      <c r="AA21" s="80">
        <v>308.82108561760862</v>
      </c>
      <c r="AB21" s="79">
        <v>19475.970745113398</v>
      </c>
      <c r="AC21" s="80">
        <v>245.74997453059817</v>
      </c>
      <c r="AD21" s="79">
        <v>18177.296208717817</v>
      </c>
      <c r="AE21" s="80">
        <v>185.88807585846197</v>
      </c>
      <c r="AF21" s="79">
        <v>16588.291942201708</v>
      </c>
      <c r="AG21" s="80">
        <v>129.89111594423278</v>
      </c>
      <c r="AH21" s="79">
        <v>14735.070366528058</v>
      </c>
      <c r="AI21" s="80">
        <v>78.694279553964122</v>
      </c>
      <c r="AJ21" s="79">
        <v>12696.807566760579</v>
      </c>
      <c r="AK21" s="80">
        <v>35.290577024558239</v>
      </c>
      <c r="AL21" s="79">
        <v>10482.018444806179</v>
      </c>
      <c r="AM21" s="80">
        <v>7.5667097064726851</v>
      </c>
      <c r="AN21" s="79">
        <v>7680.9346305590907</v>
      </c>
      <c r="AO21" s="80">
        <v>0.20922313225044606</v>
      </c>
      <c r="AP21" s="79">
        <v>6921.7940954666528</v>
      </c>
      <c r="AQ21" s="80">
        <v>5.8240442272037667E-2</v>
      </c>
      <c r="AR21" s="79">
        <v>6018.9047130687586</v>
      </c>
      <c r="AS21" s="80">
        <v>1.0913147881693883E-2</v>
      </c>
      <c r="AT21" s="79">
        <v>4885.7782642202101</v>
      </c>
      <c r="AU21" s="80">
        <v>1.0235826926287439E-3</v>
      </c>
      <c r="AV21" s="79">
        <v>3321.2855216127095</v>
      </c>
      <c r="AW21" s="80">
        <v>1.9216700983093715E-5</v>
      </c>
    </row>
    <row r="22" spans="2:49" x14ac:dyDescent="0.2">
      <c r="B22" s="39">
        <v>6533.604468832059</v>
      </c>
      <c r="C22" s="40">
        <v>379.90788307663331</v>
      </c>
      <c r="D22" s="39">
        <v>6490.6118007244131</v>
      </c>
      <c r="E22" s="40">
        <v>356.90319681506969</v>
      </c>
      <c r="F22" s="39">
        <v>6442.866627915404</v>
      </c>
      <c r="G22" s="40">
        <v>334.09662040003815</v>
      </c>
      <c r="H22" s="39">
        <v>6389.4254962140458</v>
      </c>
      <c r="I22" s="40">
        <v>311.51114644948842</v>
      </c>
      <c r="J22" s="39">
        <v>6329.0849236958666</v>
      </c>
      <c r="K22" s="40">
        <v>289.17346089553826</v>
      </c>
      <c r="L22" s="39">
        <v>6260.3004289887094</v>
      </c>
      <c r="M22" s="40">
        <v>267.11460517984204</v>
      </c>
      <c r="N22" s="39">
        <v>6181.0571345784556</v>
      </c>
      <c r="O22" s="40">
        <v>245.37074851217398</v>
      </c>
      <c r="P22" s="39">
        <v>6088.7024848757619</v>
      </c>
      <c r="Q22" s="40">
        <v>223.98414101701897</v>
      </c>
      <c r="R22" s="39">
        <v>5979.7051965542496</v>
      </c>
      <c r="S22" s="40">
        <v>203.00424530917934</v>
      </c>
      <c r="T22" s="39">
        <v>5849.3302888274866</v>
      </c>
      <c r="U22" s="40">
        <v>182.48906676566099</v>
      </c>
      <c r="V22" s="39">
        <v>5691.2244055911433</v>
      </c>
      <c r="W22" s="40">
        <v>162.50612945153304</v>
      </c>
      <c r="X22" s="39">
        <v>5496.9553368117267</v>
      </c>
      <c r="Y22" s="40">
        <v>143.13319468869932</v>
      </c>
      <c r="Z22" s="39">
        <v>5255.7222902122012</v>
      </c>
      <c r="AA22" s="40">
        <v>124.45580967997905</v>
      </c>
      <c r="AB22" s="39">
        <v>4954.8337537437992</v>
      </c>
      <c r="AC22" s="40">
        <v>106.5574344931138</v>
      </c>
      <c r="AD22" s="39">
        <v>4582.2772292762011</v>
      </c>
      <c r="AE22" s="40">
        <v>89.489740514559827</v>
      </c>
      <c r="AF22" s="39">
        <v>4133.2795774446613</v>
      </c>
      <c r="AG22" s="40">
        <v>73.20181105400566</v>
      </c>
      <c r="AH22" s="39">
        <v>3620.2247678414833</v>
      </c>
      <c r="AI22" s="40">
        <v>57.405489018194011</v>
      </c>
      <c r="AJ22" s="39">
        <v>3074.3104710920916</v>
      </c>
      <c r="AK22" s="40">
        <v>41.451873323238104</v>
      </c>
      <c r="AL22" s="39">
        <v>2516.3448714246665</v>
      </c>
      <c r="AM22" s="40">
        <v>24.706353834123316</v>
      </c>
      <c r="AN22" s="39">
        <v>1878.0424301601438</v>
      </c>
      <c r="AO22" s="40">
        <v>8.821882173435025</v>
      </c>
      <c r="AP22" s="39">
        <v>1714.2552723609663</v>
      </c>
      <c r="AQ22" s="40">
        <v>6.2318421879015391</v>
      </c>
      <c r="AR22" s="39">
        <v>1521.5572328239389</v>
      </c>
      <c r="AS22" s="40">
        <v>3.973414495614775</v>
      </c>
      <c r="AT22" s="39">
        <v>1280.3571154596693</v>
      </c>
      <c r="AU22" s="40">
        <v>2.1103104453711627</v>
      </c>
      <c r="AV22" s="39">
        <v>942.36488853122614</v>
      </c>
      <c r="AW22" s="40">
        <v>0.72444586551945833</v>
      </c>
    </row>
    <row r="23" spans="2:49" x14ac:dyDescent="0.2">
      <c r="B23" s="110">
        <v>3278.5018080150408</v>
      </c>
      <c r="C23" s="8">
        <v>0</v>
      </c>
      <c r="D23" s="110">
        <v>3264.8457707920934</v>
      </c>
      <c r="E23" s="8">
        <v>0</v>
      </c>
      <c r="F23" s="110">
        <v>3248.7379686575596</v>
      </c>
      <c r="G23" s="8">
        <v>0</v>
      </c>
      <c r="H23" s="110">
        <v>3229.6892819756204</v>
      </c>
      <c r="I23" s="8">
        <v>0</v>
      </c>
      <c r="J23" s="110">
        <v>3207.0740733340858</v>
      </c>
      <c r="K23" s="8">
        <v>0</v>
      </c>
      <c r="L23" s="110">
        <v>3180.0879088032698</v>
      </c>
      <c r="M23" s="8">
        <v>0</v>
      </c>
      <c r="N23" s="110">
        <v>3147.6784676770631</v>
      </c>
      <c r="O23" s="8">
        <v>0</v>
      </c>
      <c r="P23" s="110">
        <v>3108.4570497786999</v>
      </c>
      <c r="Q23" s="8">
        <v>0</v>
      </c>
      <c r="R23" s="110">
        <v>3060.5700841033417</v>
      </c>
      <c r="S23" s="8">
        <v>0</v>
      </c>
      <c r="T23" s="110">
        <v>3001.5255184085959</v>
      </c>
      <c r="U23" s="8">
        <v>0</v>
      </c>
      <c r="V23" s="110">
        <v>2927.9711792524122</v>
      </c>
      <c r="W23" s="8">
        <v>0</v>
      </c>
      <c r="X23" s="110">
        <v>2835.4466902864324</v>
      </c>
      <c r="Y23" s="8">
        <v>0</v>
      </c>
      <c r="Z23" s="110">
        <v>2718.2273431665285</v>
      </c>
      <c r="AA23" s="8">
        <v>0</v>
      </c>
      <c r="AB23" s="110">
        <v>2569.580565859188</v>
      </c>
      <c r="AC23" s="8">
        <v>0</v>
      </c>
      <c r="AD23" s="110">
        <v>2383.1672976866894</v>
      </c>
      <c r="AE23" s="8">
        <v>0</v>
      </c>
      <c r="AF23" s="110">
        <v>2156.6383086277624</v>
      </c>
      <c r="AG23" s="8">
        <v>0</v>
      </c>
      <c r="AH23" s="110">
        <v>1897.2225991349762</v>
      </c>
      <c r="AI23" s="8">
        <v>0</v>
      </c>
      <c r="AJ23" s="110">
        <v>1623.2650424395324</v>
      </c>
      <c r="AK23" s="8">
        <v>0</v>
      </c>
      <c r="AL23" s="110">
        <v>1349.8940314801252</v>
      </c>
      <c r="AM23" s="8">
        <v>0</v>
      </c>
      <c r="AN23" s="110">
        <v>1047.3990342691843</v>
      </c>
      <c r="AO23" s="8">
        <v>0</v>
      </c>
      <c r="AP23" s="110">
        <v>969.96410729929494</v>
      </c>
      <c r="AQ23" s="8">
        <v>0</v>
      </c>
      <c r="AR23" s="110">
        <v>878.1528412065835</v>
      </c>
      <c r="AS23" s="8">
        <v>0</v>
      </c>
      <c r="AT23" s="110">
        <v>761.65876908863459</v>
      </c>
      <c r="AU23" s="8">
        <v>0</v>
      </c>
      <c r="AV23" s="110">
        <v>594.26456322425111</v>
      </c>
      <c r="AW23" s="8">
        <v>0</v>
      </c>
    </row>
    <row r="24" spans="2:49" x14ac:dyDescent="0.2">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2:49" x14ac:dyDescent="0.2">
      <c r="B25" s="39">
        <v>3195.0476040000012</v>
      </c>
      <c r="C25" s="40">
        <v>91.012690000004397</v>
      </c>
      <c r="D25" s="39">
        <v>3188.7540409861576</v>
      </c>
      <c r="E25" s="40">
        <v>82.675272074989621</v>
      </c>
      <c r="F25" s="39">
        <v>3179.0413768570238</v>
      </c>
      <c r="G25" s="40">
        <v>74.554889173175567</v>
      </c>
      <c r="H25" s="39">
        <v>3165.1877750891608</v>
      </c>
      <c r="I25" s="40">
        <v>66.677597367515901</v>
      </c>
      <c r="J25" s="39">
        <v>3146.2625331299814</v>
      </c>
      <c r="K25" s="40">
        <v>59.071871483637551</v>
      </c>
      <c r="L25" s="39">
        <v>3121.0591013859857</v>
      </c>
      <c r="M25" s="40">
        <v>51.768605788544185</v>
      </c>
      <c r="N25" s="39">
        <v>3087.9845050841905</v>
      </c>
      <c r="O25" s="40">
        <v>44.801420821691373</v>
      </c>
      <c r="P25" s="39">
        <v>3044.9159724017613</v>
      </c>
      <c r="Q25" s="40">
        <v>38.20657237901392</v>
      </c>
      <c r="R25" s="39">
        <v>2988.9901847206452</v>
      </c>
      <c r="S25" s="40">
        <v>32.022842601626351</v>
      </c>
      <c r="T25" s="39">
        <v>2916.3135577260091</v>
      </c>
      <c r="U25" s="40">
        <v>26.290998770596754</v>
      </c>
      <c r="V25" s="39">
        <v>2821.5838844115897</v>
      </c>
      <c r="W25" s="40">
        <v>21.052682418506134</v>
      </c>
      <c r="X25" s="39">
        <v>2697.6460505640721</v>
      </c>
      <c r="Y25" s="40">
        <v>16.348138217700711</v>
      </c>
      <c r="Z25" s="39">
        <v>2535.1578787362532</v>
      </c>
      <c r="AA25" s="40">
        <v>12.212434172598172</v>
      </c>
      <c r="AB25" s="39">
        <v>2322.8592667965886</v>
      </c>
      <c r="AC25" s="40">
        <v>8.6697937833124694</v>
      </c>
      <c r="AD25" s="39">
        <v>2049.6326577657555</v>
      </c>
      <c r="AE25" s="40">
        <v>5.7276069985834512</v>
      </c>
      <c r="AF25" s="39">
        <v>1710.1775449076501</v>
      </c>
      <c r="AG25" s="40">
        <v>3.377404590018577</v>
      </c>
      <c r="AH25" s="39">
        <v>1314.6280173458276</v>
      </c>
      <c r="AI25" s="40">
        <v>1.6188158857009987</v>
      </c>
      <c r="AJ25" s="39">
        <v>894.30392177230476</v>
      </c>
      <c r="AK25" s="40">
        <v>0.50161182247949709</v>
      </c>
      <c r="AL25" s="39">
        <v>492.29698480447479</v>
      </c>
      <c r="AM25" s="40">
        <v>5.4343348482436771E-2</v>
      </c>
      <c r="AN25" s="39">
        <v>163.08513235972194</v>
      </c>
      <c r="AO25" s="40">
        <v>3.3060090470340389E-4</v>
      </c>
      <c r="AP25" s="39">
        <v>112.99273856502631</v>
      </c>
      <c r="AQ25" s="40">
        <v>5.404437936591722E-5</v>
      </c>
      <c r="AR25" s="39">
        <v>70.100826562532092</v>
      </c>
      <c r="AS25" s="40">
        <v>5.0498580379771777E-6</v>
      </c>
      <c r="AT25" s="39">
        <v>35.598893721546894</v>
      </c>
      <c r="AU25" s="40">
        <v>1.7748122845896285E-7</v>
      </c>
      <c r="AV25" s="39">
        <v>11.159883498381978</v>
      </c>
      <c r="AW25" s="40">
        <v>6.4548046273554192E-10</v>
      </c>
    </row>
    <row r="26" spans="2:49" x14ac:dyDescent="0.2">
      <c r="B26" s="31">
        <v>5036.2953101960647</v>
      </c>
      <c r="C26" s="32">
        <v>74.905331803938267</v>
      </c>
      <c r="D26" s="31">
        <v>5019.8570700149494</v>
      </c>
      <c r="E26" s="32">
        <v>70.401984575585104</v>
      </c>
      <c r="F26" s="31">
        <v>5000.4609381003465</v>
      </c>
      <c r="G26" s="32">
        <v>65.891829927194124</v>
      </c>
      <c r="H26" s="31">
        <v>4977.4461912538236</v>
      </c>
      <c r="I26" s="32">
        <v>61.37571943456134</v>
      </c>
      <c r="J26" s="31">
        <v>4949.9521059635072</v>
      </c>
      <c r="K26" s="32">
        <v>56.854966733038616</v>
      </c>
      <c r="L26" s="31">
        <v>4916.8514697416094</v>
      </c>
      <c r="M26" s="32">
        <v>52.331450995894471</v>
      </c>
      <c r="N26" s="31">
        <v>4876.6410268592572</v>
      </c>
      <c r="O26" s="32">
        <v>47.808088314301088</v>
      </c>
      <c r="P26" s="31">
        <v>4827.2971248904587</v>
      </c>
      <c r="Q26" s="32">
        <v>43.289255493275363</v>
      </c>
      <c r="R26" s="31">
        <v>4766.0618956016397</v>
      </c>
      <c r="S26" s="32">
        <v>38.781575798194794</v>
      </c>
      <c r="T26" s="31">
        <v>4689.1449198685459</v>
      </c>
      <c r="U26" s="32">
        <v>34.294954786085626</v>
      </c>
      <c r="V26" s="31">
        <v>4591.3245945177541</v>
      </c>
      <c r="W26" s="32">
        <v>29.844033108787563</v>
      </c>
      <c r="X26" s="31">
        <v>4465.4624595241376</v>
      </c>
      <c r="Y26" s="32">
        <v>25.449769496239139</v>
      </c>
      <c r="Z26" s="31">
        <v>4302.0847598537175</v>
      </c>
      <c r="AA26" s="32">
        <v>21.140881196819784</v>
      </c>
      <c r="AB26" s="31">
        <v>4089.4922701872151</v>
      </c>
      <c r="AC26" s="32">
        <v>16.953853865502722</v>
      </c>
      <c r="AD26" s="31">
        <v>3815.5135891731184</v>
      </c>
      <c r="AE26" s="32">
        <v>12.93016745294301</v>
      </c>
      <c r="AF26" s="31">
        <v>3472.5890978966663</v>
      </c>
      <c r="AG26" s="32">
        <v>9.1140708479638555</v>
      </c>
      <c r="AH26" s="31">
        <v>3065.9841597547897</v>
      </c>
      <c r="AI26" s="32">
        <v>5.5770333984058524</v>
      </c>
      <c r="AJ26" s="31">
        <v>2615.3142069363403</v>
      </c>
      <c r="AK26" s="32">
        <v>2.5383681584785505</v>
      </c>
      <c r="AL26" s="31">
        <v>2128.0348181487375</v>
      </c>
      <c r="AM26" s="32">
        <v>0.56143920978356376</v>
      </c>
      <c r="AN26" s="31">
        <v>1523.6821873624715</v>
      </c>
      <c r="AO26" s="32">
        <v>1.6846575514606166E-2</v>
      </c>
      <c r="AP26" s="31">
        <v>1361.9557459281721</v>
      </c>
      <c r="AQ26" s="32">
        <v>4.8352050309874561E-3</v>
      </c>
      <c r="AR26" s="31">
        <v>1170.4903733643375</v>
      </c>
      <c r="AS26" s="32">
        <v>9.4354300868021489E-4</v>
      </c>
      <c r="AT26" s="31">
        <v>931.93436277328146</v>
      </c>
      <c r="AU26" s="32">
        <v>9.376215054100646E-5</v>
      </c>
      <c r="AV26" s="31">
        <v>608.42228348371134</v>
      </c>
      <c r="AW26" s="32">
        <v>1.9397558726720161E-6</v>
      </c>
    </row>
    <row r="27" spans="2:49" x14ac:dyDescent="0.2">
      <c r="B27" s="33">
        <v>6425.1981590000414</v>
      </c>
      <c r="C27" s="34">
        <v>273.22915400000028</v>
      </c>
      <c r="D27" s="33">
        <v>6397.3288136832361</v>
      </c>
      <c r="E27" s="34">
        <v>256.66415535688662</v>
      </c>
      <c r="F27" s="33">
        <v>6365.1196429315351</v>
      </c>
      <c r="G27" s="34">
        <v>240.08029830942061</v>
      </c>
      <c r="H27" s="33">
        <v>6327.6678348165988</v>
      </c>
      <c r="I27" s="34">
        <v>223.48160039981755</v>
      </c>
      <c r="J27" s="33">
        <v>6283.8114094525245</v>
      </c>
      <c r="K27" s="34">
        <v>206.87411450618333</v>
      </c>
      <c r="L27" s="33">
        <v>6232.0459502610265</v>
      </c>
      <c r="M27" s="34">
        <v>190.26599309696624</v>
      </c>
      <c r="N27" s="33">
        <v>6170.3896793714557</v>
      </c>
      <c r="O27" s="34">
        <v>173.66963166112541</v>
      </c>
      <c r="P27" s="33">
        <v>6096.2072927815743</v>
      </c>
      <c r="Q27" s="34">
        <v>157.10303141447773</v>
      </c>
      <c r="R27" s="33">
        <v>6005.952787790764</v>
      </c>
      <c r="S27" s="34">
        <v>140.59284051517901</v>
      </c>
      <c r="T27" s="33">
        <v>5894.8167305311908</v>
      </c>
      <c r="U27" s="34">
        <v>124.17813934438549</v>
      </c>
      <c r="V27" s="33">
        <v>5756.2659098898139</v>
      </c>
      <c r="W27" s="34">
        <v>107.91594031929105</v>
      </c>
      <c r="X27" s="33">
        <v>5581.5062998746025</v>
      </c>
      <c r="Y27" s="34">
        <v>91.886784510931847</v>
      </c>
      <c r="Z27" s="33">
        <v>5359.0788017481427</v>
      </c>
      <c r="AA27" s="34">
        <v>76.200053072167321</v>
      </c>
      <c r="AB27" s="33">
        <v>5075.1807746566938</v>
      </c>
      <c r="AC27" s="34">
        <v>60.993849241811752</v>
      </c>
      <c r="AD27" s="33">
        <v>4716.0875851357014</v>
      </c>
      <c r="AE27" s="34">
        <v>46.424287023048727</v>
      </c>
      <c r="AF27" s="33">
        <v>4274.6708787234529</v>
      </c>
      <c r="AG27" s="34">
        <v>32.656048798060326</v>
      </c>
      <c r="AH27" s="33">
        <v>3760.5180877662815</v>
      </c>
      <c r="AI27" s="34">
        <v>19.946591109581529</v>
      </c>
      <c r="AJ27" s="33">
        <v>3201.4747313350867</v>
      </c>
      <c r="AK27" s="34">
        <v>9.0697293949594116</v>
      </c>
      <c r="AL27" s="33">
        <v>2611.8414906310218</v>
      </c>
      <c r="AM27" s="34">
        <v>2.0086921229669739</v>
      </c>
      <c r="AN27" s="33">
        <v>1905.5131983081733</v>
      </c>
      <c r="AO27" s="34">
        <v>6.0841106241665485E-2</v>
      </c>
      <c r="AP27" s="33">
        <v>1719.857804508091</v>
      </c>
      <c r="AQ27" s="34">
        <v>1.7547138868803661E-2</v>
      </c>
      <c r="AR27" s="33">
        <v>1500.4583262595017</v>
      </c>
      <c r="AS27" s="34">
        <v>3.4499785294980559E-3</v>
      </c>
      <c r="AT27" s="33">
        <v>1225.8766490586124</v>
      </c>
      <c r="AU27" s="34">
        <v>3.4728415454670557E-4</v>
      </c>
      <c r="AV27" s="33">
        <v>845.77426445282481</v>
      </c>
      <c r="AW27" s="34">
        <v>7.3858139127045732E-6</v>
      </c>
    </row>
    <row r="28" spans="2:49" x14ac:dyDescent="0.2">
      <c r="B28" s="39">
        <v>13763.097676000029</v>
      </c>
      <c r="C28" s="40">
        <v>382.36647899999997</v>
      </c>
      <c r="D28" s="39">
        <v>13711.271152709403</v>
      </c>
      <c r="E28" s="40">
        <v>359.24001715119101</v>
      </c>
      <c r="F28" s="39">
        <v>13650.779590621452</v>
      </c>
      <c r="G28" s="40">
        <v>336.08463032433548</v>
      </c>
      <c r="H28" s="39">
        <v>13579.753304820546</v>
      </c>
      <c r="I28" s="40">
        <v>312.9055674170196</v>
      </c>
      <c r="J28" s="39">
        <v>13495.770945679975</v>
      </c>
      <c r="K28" s="40">
        <v>289.71078747333297</v>
      </c>
      <c r="L28" s="39">
        <v>13395.679076889221</v>
      </c>
      <c r="M28" s="40">
        <v>266.51117471988238</v>
      </c>
      <c r="N28" s="39">
        <v>13275.297316413851</v>
      </c>
      <c r="O28" s="40">
        <v>243.32337197041736</v>
      </c>
      <c r="P28" s="39">
        <v>13129.031522281848</v>
      </c>
      <c r="Q28" s="40">
        <v>220.17176250557441</v>
      </c>
      <c r="R28" s="39">
        <v>12949.304854799459</v>
      </c>
      <c r="S28" s="40">
        <v>197.09266078725742</v>
      </c>
      <c r="T28" s="39">
        <v>12725.770466630094</v>
      </c>
      <c r="U28" s="40">
        <v>174.13961243817511</v>
      </c>
      <c r="V28" s="39">
        <v>12444.271276422942</v>
      </c>
      <c r="W28" s="40">
        <v>151.39102159892226</v>
      </c>
      <c r="X28" s="39">
        <v>12085.598159798355</v>
      </c>
      <c r="Y28" s="40">
        <v>128.95806408181107</v>
      </c>
      <c r="Z28" s="39">
        <v>11624.4827422611</v>
      </c>
      <c r="AA28" s="40">
        <v>106.99211551897302</v>
      </c>
      <c r="AB28" s="39">
        <v>11030.092632583192</v>
      </c>
      <c r="AC28" s="40">
        <v>85.684668569159768</v>
      </c>
      <c r="AD28" s="39">
        <v>10271.031033623316</v>
      </c>
      <c r="AE28" s="40">
        <v>65.252591727039245</v>
      </c>
      <c r="AF28" s="39">
        <v>9329.2933755300619</v>
      </c>
      <c r="AG28" s="40">
        <v>45.925424435870532</v>
      </c>
      <c r="AH28" s="39">
        <v>8222.3745207910979</v>
      </c>
      <c r="AI28" s="40">
        <v>28.065052232293063</v>
      </c>
      <c r="AJ28" s="39">
        <v>7007.0250325240895</v>
      </c>
      <c r="AK28" s="40">
        <v>12.76448604290783</v>
      </c>
      <c r="AL28" s="39">
        <v>5708.8443719450352</v>
      </c>
      <c r="AM28" s="40">
        <v>2.8260009233011911</v>
      </c>
      <c r="AN28" s="39">
        <v>4124.842928548198</v>
      </c>
      <c r="AO28" s="40">
        <v>8.5380895881871366E-2</v>
      </c>
      <c r="AP28" s="39">
        <v>3704.0709204937698</v>
      </c>
      <c r="AQ28" s="40">
        <v>2.4591612660326962E-2</v>
      </c>
      <c r="AR28" s="39">
        <v>3205.8362863323673</v>
      </c>
      <c r="AS28" s="40">
        <v>4.824705070889182E-3</v>
      </c>
      <c r="AT28" s="39">
        <v>2582.7063625237611</v>
      </c>
      <c r="AU28" s="40">
        <v>4.8381818480171826E-4</v>
      </c>
      <c r="AV28" s="39">
        <v>1726.9822133443156</v>
      </c>
      <c r="AW28" s="40">
        <v>1.0198915304939863E-5</v>
      </c>
    </row>
    <row r="29" spans="2:49" x14ac:dyDescent="0.2">
      <c r="B29" s="33">
        <v>14362.768558000025</v>
      </c>
      <c r="C29" s="34">
        <v>817.26650999999993</v>
      </c>
      <c r="D29" s="33">
        <v>14294.044975950859</v>
      </c>
      <c r="E29" s="34">
        <v>762.95145157140269</v>
      </c>
      <c r="F29" s="33">
        <v>14215.304880518272</v>
      </c>
      <c r="G29" s="34">
        <v>708.92312415075492</v>
      </c>
      <c r="H29" s="33">
        <v>14124.520001536741</v>
      </c>
      <c r="I29" s="34">
        <v>655.22845592923113</v>
      </c>
      <c r="J29" s="33">
        <v>14019.089312093021</v>
      </c>
      <c r="K29" s="34">
        <v>601.92517348791023</v>
      </c>
      <c r="L29" s="33">
        <v>13895.657989508418</v>
      </c>
      <c r="M29" s="34">
        <v>549.08288482896046</v>
      </c>
      <c r="N29" s="33">
        <v>13749.82304829766</v>
      </c>
      <c r="O29" s="34">
        <v>496.78975556401895</v>
      </c>
      <c r="P29" s="33">
        <v>13575.751405860736</v>
      </c>
      <c r="Q29" s="34">
        <v>445.15708745850765</v>
      </c>
      <c r="R29" s="33">
        <v>13365.622741699166</v>
      </c>
      <c r="S29" s="34">
        <v>394.32807972514712</v>
      </c>
      <c r="T29" s="33">
        <v>13108.86731462474</v>
      </c>
      <c r="U29" s="34">
        <v>344.48786934617863</v>
      </c>
      <c r="V29" s="33">
        <v>12791.17296934526</v>
      </c>
      <c r="W29" s="34">
        <v>295.87631010256484</v>
      </c>
      <c r="X29" s="33">
        <v>12393.325937210211</v>
      </c>
      <c r="Y29" s="34">
        <v>248.79813002800563</v>
      </c>
      <c r="Z29" s="33">
        <v>11890.328915592532</v>
      </c>
      <c r="AA29" s="34">
        <v>203.62641741445196</v>
      </c>
      <c r="AB29" s="33">
        <v>11252.041850745614</v>
      </c>
      <c r="AC29" s="34">
        <v>160.783266472733</v>
      </c>
      <c r="AD29" s="33">
        <v>10448.216299279396</v>
      </c>
      <c r="AE29" s="34">
        <v>120.68276889713336</v>
      </c>
      <c r="AF29" s="33">
        <v>9462.0138076504099</v>
      </c>
      <c r="AG29" s="34">
        <v>83.675513486871353</v>
      </c>
      <c r="AH29" s="33">
        <v>8310.5897883791313</v>
      </c>
      <c r="AI29" s="34">
        <v>50.267422913322271</v>
      </c>
      <c r="AJ29" s="33">
        <v>7045.8831001506605</v>
      </c>
      <c r="AK29" s="34">
        <v>22.294989392663268</v>
      </c>
      <c r="AL29" s="33">
        <v>5680.0797873535021</v>
      </c>
      <c r="AM29" s="34">
        <v>4.6954380127680722</v>
      </c>
      <c r="AN29" s="33">
        <v>3987.6839749407823</v>
      </c>
      <c r="AO29" s="34">
        <v>0.12559113374600028</v>
      </c>
      <c r="AP29" s="33">
        <v>3539.8351457377285</v>
      </c>
      <c r="AQ29" s="34">
        <v>3.4621182492955066E-2</v>
      </c>
      <c r="AR29" s="33">
        <v>3014.7306304822787</v>
      </c>
      <c r="AS29" s="34">
        <v>6.4139746835978843E-3</v>
      </c>
      <c r="AT29" s="33">
        <v>2369.4350924555724</v>
      </c>
      <c r="AU29" s="34">
        <v>5.9340713923827131E-4</v>
      </c>
      <c r="AV29" s="33">
        <v>1511.8907028772799</v>
      </c>
      <c r="AW29" s="34">
        <v>1.0944241335465789E-5</v>
      </c>
    </row>
    <row r="30" spans="2:49" x14ac:dyDescent="0.2">
      <c r="B30" s="112">
        <v>2924829.9599999995</v>
      </c>
      <c r="D30" s="112">
        <v>2942788.2369945315</v>
      </c>
      <c r="F30" s="112">
        <v>2958948.938753888</v>
      </c>
      <c r="H30" s="112">
        <v>2972959.1243137699</v>
      </c>
      <c r="J30" s="112">
        <v>2984363.0160681987</v>
      </c>
      <c r="L30" s="112">
        <v>2992569.2914751531</v>
      </c>
      <c r="N30" s="112">
        <v>2996799.8517731386</v>
      </c>
      <c r="P30" s="112">
        <v>2996023.9458339131</v>
      </c>
      <c r="R30" s="112">
        <v>2988865.6797525524</v>
      </c>
      <c r="T30" s="112">
        <v>2973484.5984487254</v>
      </c>
      <c r="V30" s="112">
        <v>2947438.5452775429</v>
      </c>
      <c r="X30" s="112">
        <v>2907571.5647115987</v>
      </c>
      <c r="Z30" s="112">
        <v>2850083.6601228612</v>
      </c>
      <c r="AB30" s="112">
        <v>2771189.3191898372</v>
      </c>
      <c r="AD30" s="112">
        <v>2669295.873713444</v>
      </c>
      <c r="AF30" s="112">
        <v>2550329.2579543772</v>
      </c>
      <c r="AH30" s="112">
        <v>2437634.1693823189</v>
      </c>
      <c r="AJ30" s="112">
        <v>2386081.0789702749</v>
      </c>
      <c r="AL30" s="112">
        <v>2509562.3555327747</v>
      </c>
      <c r="AN30" s="112">
        <v>3077407.0793232895</v>
      </c>
      <c r="AP30" s="112">
        <v>3301205.1884959256</v>
      </c>
      <c r="AR30" s="112">
        <v>3595305.7214808534</v>
      </c>
      <c r="AT30" s="112">
        <v>3999358.2205380904</v>
      </c>
      <c r="AV30" s="112">
        <v>4600186.1440801453</v>
      </c>
    </row>
    <row r="31" spans="2:49" x14ac:dyDescent="0.2">
      <c r="B31" s="77">
        <v>0.999999999999998</v>
      </c>
      <c r="D31" s="77">
        <v>0.99041683689647653</v>
      </c>
      <c r="F31" s="77">
        <v>0.98003933355201367</v>
      </c>
      <c r="H31" s="77">
        <v>0.96872705258166925</v>
      </c>
      <c r="J31" s="77">
        <v>0.95630301674708107</v>
      </c>
      <c r="L31" s="77">
        <v>0.94254274599272103</v>
      </c>
      <c r="N31" s="77">
        <v>0.92715670383282989</v>
      </c>
      <c r="P31" s="77">
        <v>0.90976786863890913</v>
      </c>
      <c r="R31" s="77">
        <v>0.88987956996681827</v>
      </c>
      <c r="T31" s="77">
        <v>0.86683254052946146</v>
      </c>
      <c r="V31" s="77">
        <v>0.83975070474116031</v>
      </c>
      <c r="X31" s="77">
        <v>0.80748234120879492</v>
      </c>
      <c r="Z31" s="77">
        <v>0.76856623237725619</v>
      </c>
      <c r="AB31" s="77">
        <v>0.7213031606995971</v>
      </c>
      <c r="AD31" s="77">
        <v>0.66410714125562453</v>
      </c>
      <c r="AF31" s="77">
        <v>0.59637832936067359</v>
      </c>
      <c r="AH31" s="77">
        <v>0.51977669614987954</v>
      </c>
      <c r="AJ31" s="77">
        <v>0.43827736395726002</v>
      </c>
      <c r="AL31" s="77">
        <v>0.35397456545479883</v>
      </c>
      <c r="AN31" s="77">
        <v>0.25675115660235215</v>
      </c>
      <c r="AP31" s="77">
        <v>0.23222310151628486</v>
      </c>
      <c r="AR31" s="77">
        <v>0.20380828104289822</v>
      </c>
      <c r="AT31" s="77">
        <v>0.16899465190055271</v>
      </c>
      <c r="AV31" s="77">
        <v>0.12166363668124569</v>
      </c>
    </row>
    <row r="32" spans="2:49" x14ac:dyDescent="0.2">
      <c r="B32" s="83">
        <v>14734457.915000005</v>
      </c>
      <c r="D32" s="83">
        <v>14651694.111595953</v>
      </c>
      <c r="F32" s="83">
        <v>14560787.823060878</v>
      </c>
      <c r="H32" s="83">
        <v>14460160.156238539</v>
      </c>
      <c r="J32" s="83">
        <v>14347810.14316153</v>
      </c>
      <c r="L32" s="83">
        <v>14221190.380247274</v>
      </c>
      <c r="N32" s="83">
        <v>14077009.151635122</v>
      </c>
      <c r="P32" s="83">
        <v>13910984.148393113</v>
      </c>
      <c r="R32" s="83">
        <v>13717499.496520163</v>
      </c>
      <c r="T32" s="83">
        <v>13489173.693371622</v>
      </c>
      <c r="V32" s="83">
        <v>13216377.515830679</v>
      </c>
      <c r="X32" s="83">
        <v>12886877.471418671</v>
      </c>
      <c r="Z32" s="83">
        <v>12486181.779700432</v>
      </c>
      <c r="AB32" s="83">
        <v>12000042.027247507</v>
      </c>
      <c r="AD32" s="83">
        <v>11422255.075016672</v>
      </c>
      <c r="AF32" s="83">
        <v>10772666.688670943</v>
      </c>
      <c r="AH32" s="83">
        <v>10127332.40631726</v>
      </c>
      <c r="AJ32" s="83">
        <v>9649883.4910077527</v>
      </c>
      <c r="AL32" s="83">
        <v>9624164.5257112645</v>
      </c>
      <c r="AN32" s="83">
        <v>10527973.768196512</v>
      </c>
      <c r="AP32" s="83">
        <v>10876378.783881035</v>
      </c>
      <c r="AR32" s="83">
        <v>11289617.490505569</v>
      </c>
      <c r="AT32" s="83">
        <v>11748844.606664732</v>
      </c>
      <c r="AV32" s="83">
        <v>12103690.407914259</v>
      </c>
    </row>
    <row r="33" spans="1:49 16319:16384" x14ac:dyDescent="0.2">
      <c r="B33" s="111">
        <v>7019665.6909999885</v>
      </c>
      <c r="D33" s="111">
        <v>6959796.3590360675</v>
      </c>
      <c r="F33" s="111">
        <v>6896155.6106599802</v>
      </c>
      <c r="H33" s="111">
        <v>6828014.51249409</v>
      </c>
      <c r="J33" s="111">
        <v>6754455.040386972</v>
      </c>
      <c r="L33" s="111">
        <v>6674314.1050290391</v>
      </c>
      <c r="N33" s="111">
        <v>6586097.8673862852</v>
      </c>
      <c r="P33" s="111">
        <v>6487873.4928499218</v>
      </c>
      <c r="R33" s="111">
        <v>6377120.6860030899</v>
      </c>
      <c r="T33" s="111">
        <v>6250546.0155921737</v>
      </c>
      <c r="V33" s="111">
        <v>6103877.1931702411</v>
      </c>
      <c r="X33" s="111">
        <v>5931718.7822709875</v>
      </c>
      <c r="Z33" s="111">
        <v>5727715.3770522308</v>
      </c>
      <c r="AB33" s="111">
        <v>5485649.6621045666</v>
      </c>
      <c r="AD33" s="111">
        <v>5202776.1866924176</v>
      </c>
      <c r="AF33" s="111">
        <v>4887373.4988775589</v>
      </c>
      <c r="AH33" s="111">
        <v>4570771.5674697999</v>
      </c>
      <c r="AJ33" s="111">
        <v>4317618.2308769319</v>
      </c>
      <c r="AL33" s="111">
        <v>4228933.287683432</v>
      </c>
      <c r="AN33" s="111">
        <v>4428631.2586235572</v>
      </c>
      <c r="AP33" s="111">
        <v>4502697.8322367165</v>
      </c>
      <c r="AR33" s="111">
        <v>4573513.7929676408</v>
      </c>
      <c r="AT33" s="111">
        <v>4606309.7026490476</v>
      </c>
      <c r="AV33" s="111">
        <v>4460097.4428708646</v>
      </c>
    </row>
    <row r="34" spans="1:49 16319:16384" x14ac:dyDescent="0.2">
      <c r="B34" s="111">
        <v>1136879.4410000162</v>
      </c>
      <c r="D34" s="111">
        <v>1137427.1406699135</v>
      </c>
      <c r="F34" s="111">
        <v>1134851.5699318589</v>
      </c>
      <c r="H34" s="111">
        <v>1128523.5586017277</v>
      </c>
      <c r="J34" s="111">
        <v>1117629.1227567841</v>
      </c>
      <c r="L34" s="111">
        <v>1101110.2294686637</v>
      </c>
      <c r="N34" s="111">
        <v>1077564.2102904641</v>
      </c>
      <c r="P34" s="111">
        <v>1045112.4875948913</v>
      </c>
      <c r="R34" s="111">
        <v>1001202.1386158701</v>
      </c>
      <c r="T34" s="111">
        <v>942322.02255192143</v>
      </c>
      <c r="V34" s="111">
        <v>863604.6797355637</v>
      </c>
      <c r="X34" s="111">
        <v>758285.33196234156</v>
      </c>
      <c r="Z34" s="111">
        <v>617066.82854110748</v>
      </c>
      <c r="AB34" s="111">
        <v>427582.09613334178</v>
      </c>
      <c r="AD34" s="111">
        <v>174512.82070328709</v>
      </c>
      <c r="AF34" s="111">
        <v>-158954.20288503618</v>
      </c>
      <c r="AH34" s="111">
        <v>-589536.71050420171</v>
      </c>
      <c r="AJ34" s="111">
        <v>-1144308.6426111292</v>
      </c>
      <c r="AL34" s="111">
        <v>-1931607.5129373705</v>
      </c>
      <c r="AN34" s="111">
        <v>-3543011.7170776911</v>
      </c>
      <c r="AP34" s="111">
        <v>-4186746.5485812738</v>
      </c>
      <c r="AR34" s="111">
        <v>-5124794.6593042398</v>
      </c>
      <c r="AT34" s="111">
        <v>-6658526.4076587763</v>
      </c>
      <c r="AV34" s="111">
        <v>-9808551.0355038103</v>
      </c>
    </row>
    <row r="35" spans="1:49 16319:16384" x14ac:dyDescent="0.2">
      <c r="B35" s="192">
        <v>1</v>
      </c>
      <c r="D35" s="192">
        <v>1.001065579386079</v>
      </c>
      <c r="F35" s="192">
        <v>1.0024227118043427</v>
      </c>
      <c r="H35" s="192">
        <v>1.0041308173805614</v>
      </c>
      <c r="J35" s="192">
        <v>1.0062673579319572</v>
      </c>
      <c r="L35" s="192">
        <v>1.0089345201422741</v>
      </c>
      <c r="N35" s="192">
        <v>1.0122703474892676</v>
      </c>
      <c r="P35" s="192">
        <v>1.0164649886511297</v>
      </c>
      <c r="R35" s="192">
        <v>1.0217871171661068</v>
      </c>
      <c r="T35" s="192">
        <v>1.0286270923033058</v>
      </c>
      <c r="V35" s="192">
        <v>1.0375700121342375</v>
      </c>
      <c r="X35" s="192">
        <v>1.0495249781853815</v>
      </c>
      <c r="Z35" s="192">
        <v>1.0659614940377073</v>
      </c>
      <c r="AB35" s="192">
        <v>1.0893614663833988</v>
      </c>
      <c r="AD35" s="192">
        <v>1.1241130698618147</v>
      </c>
      <c r="AF35" s="192">
        <v>1.1783506523265717</v>
      </c>
      <c r="AH35" s="192">
        <v>1.2679817284205546</v>
      </c>
      <c r="AJ35" s="192">
        <v>1.4276853718468863</v>
      </c>
      <c r="AL35" s="192">
        <v>1.7551142788160663</v>
      </c>
      <c r="AN35" s="192">
        <v>2.6786714407389351</v>
      </c>
      <c r="AP35" s="192">
        <v>3.0989281715487347</v>
      </c>
      <c r="AR35" s="192">
        <v>3.7526514111890483</v>
      </c>
      <c r="AT35" s="192">
        <v>4.933719966901716</v>
      </c>
      <c r="AV35" s="192">
        <v>7.8857904828642464</v>
      </c>
    </row>
    <row r="36" spans="1:49 16319:16384" x14ac:dyDescent="0.2">
      <c r="B36" s="35">
        <v>0.47195767671988198</v>
      </c>
      <c r="C36" s="36">
        <v>0.31738834428178964</v>
      </c>
      <c r="D36" s="35">
        <v>0.47198046811689737</v>
      </c>
      <c r="E36" s="36">
        <v>0.31922783045770814</v>
      </c>
      <c r="F36" s="35">
        <v>0.4720006802955995</v>
      </c>
      <c r="G36" s="36">
        <v>0.32121423885705602</v>
      </c>
      <c r="H36" s="35">
        <v>0.47201752864784202</v>
      </c>
      <c r="I36" s="36">
        <v>0.32336502400855949</v>
      </c>
      <c r="J36" s="35">
        <v>0.47202998405697782</v>
      </c>
      <c r="K36" s="36">
        <v>0.32569993742553338</v>
      </c>
      <c r="L36" s="35">
        <v>0.47203668970808138</v>
      </c>
      <c r="M36" s="36">
        <v>0.32824119078052061</v>
      </c>
      <c r="N36" s="35">
        <v>0.47203582289923335</v>
      </c>
      <c r="O36" s="36">
        <v>0.33101335923768532</v>
      </c>
      <c r="P36" s="35">
        <v>0.47202491509146327</v>
      </c>
      <c r="Q36" s="36">
        <v>0.33404297046206993</v>
      </c>
      <c r="R36" s="35">
        <v>0.47200059120790527</v>
      </c>
      <c r="S36" s="36">
        <v>0.33735734231237635</v>
      </c>
      <c r="T36" s="35">
        <v>0.47195822811215676</v>
      </c>
      <c r="U36" s="36">
        <v>0.3409821475928293</v>
      </c>
      <c r="V36" s="35">
        <v>0.47189157566240342</v>
      </c>
      <c r="W36" s="36">
        <v>0.34493696381988331</v>
      </c>
      <c r="X36" s="35">
        <v>0.47179254334614612</v>
      </c>
      <c r="Y36" s="36">
        <v>0.34922771367491612</v>
      </c>
      <c r="Z36" s="35">
        <v>0.47165196666722126</v>
      </c>
      <c r="AA36" s="36">
        <v>0.35383659550546243</v>
      </c>
      <c r="AB36" s="35">
        <v>0.47146388118269567</v>
      </c>
      <c r="AC36" s="36">
        <v>0.35871576542051603</v>
      </c>
      <c r="AD36" s="35">
        <v>0.47124080636487153</v>
      </c>
      <c r="AE36" s="36">
        <v>0.36381298020433034</v>
      </c>
      <c r="AF36" s="35">
        <v>0.47106003394209761</v>
      </c>
      <c r="AG36" s="36">
        <v>0.36921717094213963</v>
      </c>
      <c r="AH36" s="35">
        <v>0.47118668792311791</v>
      </c>
      <c r="AI36" s="36">
        <v>0.3756441612909327</v>
      </c>
      <c r="AJ36" s="35">
        <v>0.47237600660035728</v>
      </c>
      <c r="AK36" s="36">
        <v>0.3857301902620775</v>
      </c>
      <c r="AL36" s="35">
        <v>0.4767978384707281</v>
      </c>
      <c r="AM36" s="36">
        <v>0.4077046170507384</v>
      </c>
      <c r="AN36" s="35">
        <v>0.49275495501596606</v>
      </c>
      <c r="AO36" s="36">
        <v>0.47109537693380066</v>
      </c>
      <c r="AP36" s="35">
        <v>0.50010467916825052</v>
      </c>
      <c r="AQ36" s="36">
        <v>0.49766082081687879</v>
      </c>
      <c r="AR36" s="35">
        <v>0.51118901881037626</v>
      </c>
      <c r="AS36" s="36">
        <v>0.53583543280696178</v>
      </c>
      <c r="AT36" s="35">
        <v>0.53004326118879874</v>
      </c>
      <c r="AU36" s="36">
        <v>0.59695085350399413</v>
      </c>
      <c r="AV36" s="35">
        <v>0.57194090876694847</v>
      </c>
      <c r="AW36" s="36">
        <v>0.72183244455793572</v>
      </c>
    </row>
    <row r="37" spans="1:49 16319:16384" x14ac:dyDescent="0.2">
      <c r="B37" s="37">
        <v>2.1403217525954466E-2</v>
      </c>
      <c r="C37" s="38">
        <v>0.3496246130199252</v>
      </c>
      <c r="D37" s="37">
        <v>2.0911243725005541E-2</v>
      </c>
      <c r="E37" s="38">
        <v>0.34673147568581408</v>
      </c>
      <c r="F37" s="37">
        <v>2.0406801085718629E-2</v>
      </c>
      <c r="G37" s="38">
        <v>0.34375135955950581</v>
      </c>
      <c r="H37" s="37">
        <v>1.9889463509046332E-2</v>
      </c>
      <c r="I37" s="38">
        <v>0.3406808893747697</v>
      </c>
      <c r="J37" s="37">
        <v>1.9358896456523191E-2</v>
      </c>
      <c r="K37" s="38">
        <v>0.33751723567333242</v>
      </c>
      <c r="L37" s="37">
        <v>1.8814907774122026E-2</v>
      </c>
      <c r="M37" s="38">
        <v>0.3342584508844692</v>
      </c>
      <c r="N37" s="37">
        <v>1.8257545445398007E-2</v>
      </c>
      <c r="O37" s="38">
        <v>0.33090410359954026</v>
      </c>
      <c r="P37" s="37">
        <v>1.768722731600832E-2</v>
      </c>
      <c r="Q37" s="38">
        <v>0.32745612904577032</v>
      </c>
      <c r="R37" s="37">
        <v>1.7104946889068329E-2</v>
      </c>
      <c r="S37" s="38">
        <v>0.32392017079867319</v>
      </c>
      <c r="T37" s="37">
        <v>1.6512575239111347E-2</v>
      </c>
      <c r="U37" s="38">
        <v>0.3203075466067915</v>
      </c>
      <c r="V37" s="37">
        <v>1.5913273106097064E-2</v>
      </c>
      <c r="W37" s="38">
        <v>0.31663793072920748</v>
      </c>
      <c r="X37" s="37">
        <v>1.5312032715575115E-2</v>
      </c>
      <c r="Y37" s="38">
        <v>0.31294286499850299</v>
      </c>
      <c r="Z37" s="37">
        <v>1.4716122420252916E-2</v>
      </c>
      <c r="AA37" s="38">
        <v>0.30926865300070994</v>
      </c>
      <c r="AB37" s="37">
        <v>1.4134724395225833E-2</v>
      </c>
      <c r="AC37" s="38">
        <v>0.30567409015111974</v>
      </c>
      <c r="AD37" s="37">
        <v>1.3575391921128886E-2</v>
      </c>
      <c r="AE37" s="38">
        <v>0.30220791460107349</v>
      </c>
      <c r="AF37" s="37">
        <v>1.3031187843176818E-2</v>
      </c>
      <c r="AG37" s="38">
        <v>0.29882695890756239</v>
      </c>
      <c r="AH37" s="37">
        <v>1.2446077986493755E-2</v>
      </c>
      <c r="AI37" s="38">
        <v>0.29517614340454756</v>
      </c>
      <c r="AJ37" s="37">
        <v>1.1646120531957837E-2</v>
      </c>
      <c r="AK37" s="38">
        <v>0.29015158221565202</v>
      </c>
      <c r="AL37" s="37">
        <v>1.0247129781762315E-2</v>
      </c>
      <c r="AM37" s="38">
        <v>0.28132430997307478</v>
      </c>
      <c r="AN37" s="37">
        <v>7.6504750569754681E-3</v>
      </c>
      <c r="AO37" s="38">
        <v>0.26507779360349337</v>
      </c>
      <c r="AP37" s="37">
        <v>6.9224657424441349E-3</v>
      </c>
      <c r="AQ37" s="38">
        <v>0.26061618608670639</v>
      </c>
      <c r="AR37" s="37">
        <v>6.0926932455276873E-3</v>
      </c>
      <c r="AS37" s="38">
        <v>0.25561843017372821</v>
      </c>
      <c r="AT37" s="37">
        <v>5.1157531984915789E-3</v>
      </c>
      <c r="AU37" s="38">
        <v>0.24989790679531693</v>
      </c>
      <c r="AV37" s="37">
        <v>3.8613525756029357E-3</v>
      </c>
      <c r="AW37" s="38">
        <v>0.24292817330024419</v>
      </c>
    </row>
    <row r="38" spans="1:49 16319:16384" x14ac:dyDescent="0.2">
      <c r="B38" s="35">
        <v>0.18079094942242827</v>
      </c>
      <c r="C38" s="36">
        <v>6.0565413429233668E-2</v>
      </c>
      <c r="D38" s="35">
        <v>0.18105910327521521</v>
      </c>
      <c r="E38" s="36">
        <v>6.0806321620829988E-2</v>
      </c>
      <c r="F38" s="35">
        <v>0.18135132133523152</v>
      </c>
      <c r="G38" s="36">
        <v>6.1067527303801994E-2</v>
      </c>
      <c r="H38" s="35">
        <v>0.18167088205408663</v>
      </c>
      <c r="I38" s="36">
        <v>6.135158173243381E-2</v>
      </c>
      <c r="J38" s="35">
        <v>0.18202162515075412</v>
      </c>
      <c r="K38" s="36">
        <v>6.166137519540691E-2</v>
      </c>
      <c r="L38" s="35">
        <v>0.18240806210967017</v>
      </c>
      <c r="M38" s="36">
        <v>6.2000248268805042E-2</v>
      </c>
      <c r="N38" s="35">
        <v>0.18283548037619024</v>
      </c>
      <c r="O38" s="36">
        <v>6.2371933011571311E-2</v>
      </c>
      <c r="P38" s="35">
        <v>0.18331005338223355</v>
      </c>
      <c r="Q38" s="36">
        <v>6.2780586597805374E-2</v>
      </c>
      <c r="R38" s="35">
        <v>0.18383890286757865</v>
      </c>
      <c r="S38" s="36">
        <v>6.3230663383951932E-2</v>
      </c>
      <c r="T38" s="35">
        <v>0.18443004644391045</v>
      </c>
      <c r="U38" s="36">
        <v>6.3726671734582907E-2</v>
      </c>
      <c r="V38" s="35">
        <v>0.18509208923590253</v>
      </c>
      <c r="W38" s="36">
        <v>6.427259257120993E-2</v>
      </c>
      <c r="X38" s="35">
        <v>0.1858333200543128</v>
      </c>
      <c r="Y38" s="36">
        <v>6.4870964440998186E-2</v>
      </c>
      <c r="Z38" s="35">
        <v>0.18665967889438495</v>
      </c>
      <c r="AA38" s="36">
        <v>6.5521360065750489E-2</v>
      </c>
      <c r="AB38" s="35">
        <v>0.18757055902984046</v>
      </c>
      <c r="AC38" s="36">
        <v>6.6218818587633038E-2</v>
      </c>
      <c r="AD38" s="35">
        <v>0.18855098684170404</v>
      </c>
      <c r="AE38" s="36">
        <v>6.6955086224521676E-2</v>
      </c>
      <c r="AF38" s="35">
        <v>0.18955836622407043</v>
      </c>
      <c r="AG38" s="36">
        <v>6.7731734356511974E-2</v>
      </c>
      <c r="AH38" s="35">
        <v>0.19050328330949293</v>
      </c>
      <c r="AI38" s="36">
        <v>6.8608793146288719E-2</v>
      </c>
      <c r="AJ38" s="35">
        <v>0.19122048351027068</v>
      </c>
      <c r="AK38" s="36">
        <v>6.983850090094626E-2</v>
      </c>
      <c r="AL38" s="35">
        <v>0.19134824953301779</v>
      </c>
      <c r="AM38" s="36">
        <v>7.2228037898867309E-2</v>
      </c>
      <c r="AN38" s="35">
        <v>0.18939419158132856</v>
      </c>
      <c r="AO38" s="36">
        <v>7.8482280815053262E-2</v>
      </c>
      <c r="AP38" s="35">
        <v>0.1882070263398041</v>
      </c>
      <c r="AQ38" s="36">
        <v>8.0927418158577222E-2</v>
      </c>
      <c r="AR38" s="35">
        <v>0.18629682660997454</v>
      </c>
      <c r="AS38" s="36">
        <v>8.4282213242205653E-2</v>
      </c>
      <c r="AT38" s="35">
        <v>0.18294312389139653</v>
      </c>
      <c r="AU38" s="36">
        <v>8.9296922129182749E-2</v>
      </c>
      <c r="AV38" s="35">
        <v>0.17583553389200959</v>
      </c>
      <c r="AW38" s="36">
        <v>9.8401719831010759E-2</v>
      </c>
    </row>
    <row r="39" spans="1:49 16319:16384" x14ac:dyDescent="0.2">
      <c r="B39" s="37">
        <v>0.23064923795098771</v>
      </c>
      <c r="C39" s="38">
        <v>0.22092201281804777</v>
      </c>
      <c r="D39" s="37">
        <v>0.23074254948034481</v>
      </c>
      <c r="E39" s="38">
        <v>0.22168129596423122</v>
      </c>
      <c r="F39" s="37">
        <v>0.23084329064692047</v>
      </c>
      <c r="G39" s="38">
        <v>0.22250270159919636</v>
      </c>
      <c r="H39" s="37">
        <v>0.23095237049801851</v>
      </c>
      <c r="I39" s="38">
        <v>0.22339371006873662</v>
      </c>
      <c r="J39" s="37">
        <v>0.23107083470795742</v>
      </c>
      <c r="K39" s="38">
        <v>0.22436285035007686</v>
      </c>
      <c r="L39" s="37">
        <v>0.23119987084443525</v>
      </c>
      <c r="M39" s="38">
        <v>0.22541967754817502</v>
      </c>
      <c r="N39" s="37">
        <v>0.23134082556467123</v>
      </c>
      <c r="O39" s="38">
        <v>0.22657485404769281</v>
      </c>
      <c r="P39" s="37">
        <v>0.23149519396826235</v>
      </c>
      <c r="Q39" s="38">
        <v>0.22783991907706749</v>
      </c>
      <c r="R39" s="37">
        <v>0.23166458920746996</v>
      </c>
      <c r="S39" s="38">
        <v>0.22922685295378648</v>
      </c>
      <c r="T39" s="37">
        <v>0.2318506554966285</v>
      </c>
      <c r="U39" s="38">
        <v>0.23074704637959309</v>
      </c>
      <c r="V39" s="37">
        <v>0.23205488122775964</v>
      </c>
      <c r="W39" s="38">
        <v>0.23240951512141592</v>
      </c>
      <c r="X39" s="37">
        <v>0.23227825919743431</v>
      </c>
      <c r="Y39" s="38">
        <v>0.23421761566395258</v>
      </c>
      <c r="Z39" s="37">
        <v>0.23252073916322077</v>
      </c>
      <c r="AA39" s="38">
        <v>0.23616475906982662</v>
      </c>
      <c r="AB39" s="37">
        <v>0.23278060751445673</v>
      </c>
      <c r="AC39" s="38">
        <v>0.23823141746687501</v>
      </c>
      <c r="AD39" s="37">
        <v>0.23305459341895676</v>
      </c>
      <c r="AE39" s="38">
        <v>0.24039457739835274</v>
      </c>
      <c r="AF39" s="37">
        <v>0.23334163791714504</v>
      </c>
      <c r="AG39" s="38">
        <v>0.2426852785347457</v>
      </c>
      <c r="AH39" s="37">
        <v>0.23365777686258751</v>
      </c>
      <c r="AI39" s="38">
        <v>0.24538342262788995</v>
      </c>
      <c r="AJ39" s="37">
        <v>0.23407801037755405</v>
      </c>
      <c r="AK39" s="38">
        <v>0.2495368145891293</v>
      </c>
      <c r="AL39" s="37">
        <v>0.23485109032413526</v>
      </c>
      <c r="AM39" s="38">
        <v>0.25841424727130302</v>
      </c>
      <c r="AN39" s="37">
        <v>0.23685591046111951</v>
      </c>
      <c r="AO39" s="38">
        <v>0.28343735384185037</v>
      </c>
      <c r="AP39" s="37">
        <v>0.23766508132257841</v>
      </c>
      <c r="AQ39" s="38">
        <v>0.29368861002204344</v>
      </c>
      <c r="AR39" s="37">
        <v>0.23881497106140637</v>
      </c>
      <c r="AS39" s="38">
        <v>0.30817018771714988</v>
      </c>
      <c r="AT39" s="37">
        <v>0.24064538517167922</v>
      </c>
      <c r="AU39" s="38">
        <v>0.33074546526845644</v>
      </c>
      <c r="AV39" s="37">
        <v>0.24443083920374789</v>
      </c>
      <c r="AW39" s="38">
        <v>0.3746743606249795</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6.4847266416408381E-2</v>
      </c>
      <c r="E42" s="126"/>
      <c r="F42" s="167">
        <f>6.1%+(1-6.1%)*(1-SUM(F26:G26)/SUM($B$26:$C$26))</f>
        <v>6.9239190086590602E-2</v>
      </c>
      <c r="G42" s="126"/>
      <c r="H42" s="167">
        <f>6.1%+(1-6.1%)*(1-SUM(H26:I26)/SUM($B$26:$C$26))</f>
        <v>7.4296998780117404E-2</v>
      </c>
      <c r="I42" s="126"/>
      <c r="J42" s="167">
        <f>6.1%+(1-6.1%)*(1-SUM(J26:K26)/SUM($B$26:$C$26))</f>
        <v>8.0178578271892939E-2</v>
      </c>
      <c r="K42" s="126"/>
      <c r="L42" s="167">
        <f>6.1%+(1-6.1%)*(1-SUM(L26:M26)/SUM($B$26:$C$26))</f>
        <v>8.7090668241367603E-2</v>
      </c>
      <c r="M42" s="126"/>
      <c r="N42" s="167">
        <f>6.1%+(1-6.1%)*(1-SUM(N26:O26)/SUM($B$26:$C$26))</f>
        <v>9.5308902344599378E-2</v>
      </c>
      <c r="O42" s="126"/>
      <c r="P42" s="167">
        <f>6.1%+(1-6.1%)*(1-SUM(P26:Q26)/SUM($B$26:$C$26))</f>
        <v>0.10520425013275722</v>
      </c>
      <c r="Q42" s="126"/>
      <c r="R42" s="167">
        <f>6.1%+(1-6.1%)*(1-SUM(R26:S26)/SUM($B$26:$C$26))</f>
        <v>0.11728215430044134</v>
      </c>
      <c r="S42" s="126"/>
      <c r="T42" s="167">
        <f>6.1%+(1-6.1%)*(1-SUM(T26:U26)/SUM($B$26:$C$26))</f>
        <v>0.13223714877192339</v>
      </c>
      <c r="U42" s="126"/>
      <c r="V42" s="167">
        <f>6.1%+(1-6.1%)*(1-SUM(V26:W26)/SUM($B$26:$C$26))</f>
        <v>0.15102582636173495</v>
      </c>
      <c r="W42" s="126"/>
      <c r="X42" s="167">
        <f>6.1%+(1-6.1%)*(1-SUM(X26:Y26)/SUM($B$26:$C$26))</f>
        <v>0.17495577293556558</v>
      </c>
      <c r="Y42" s="152"/>
      <c r="Z42" s="167">
        <f>6.1%+(1-6.1%)*(1-SUM(Z26:AA26)/SUM($B$26:$C$26))</f>
        <v>0.20576217580103137</v>
      </c>
      <c r="AA42" s="126"/>
      <c r="AB42" s="167">
        <f>6.1%+(1-6.1%)*(1-SUM(AB26:AC26)/SUM($B$26:$C$26))</f>
        <v>0.24558764553279702</v>
      </c>
      <c r="AC42" s="126"/>
      <c r="AD42" s="167">
        <f>6.1%+(1-6.1%)*(1-SUM(AD26:AE26)/SUM($B$26:$C$26))</f>
        <v>0.29666062061199178</v>
      </c>
      <c r="AE42" s="126"/>
      <c r="AF42" s="167">
        <f>6.1%+(1-6.1%)*(1-SUM(AF26:AG26)/SUM($B$26:$C$26))</f>
        <v>0.3603617810292164</v>
      </c>
      <c r="AG42" s="126"/>
      <c r="AH42" s="167">
        <f>6.1%+(1-6.1%)*(1-SUM(AH26:AI26)/SUM($B$26:$C$26))</f>
        <v>0.43571067496926313</v>
      </c>
      <c r="AI42" s="126"/>
      <c r="AJ42" s="167">
        <f>6.1%+(1-6.1%)*(1-SUM(AJ26:AK26)/SUM($B$26:$C$26))</f>
        <v>0.51906337860918716</v>
      </c>
      <c r="AK42" s="126"/>
      <c r="AL42" s="167">
        <f>6.1%+(1-6.1%)*(1-SUM(AL26:AM26)/SUM($B$26:$C$26))</f>
        <v>0.60894669850457217</v>
      </c>
      <c r="AM42" s="126"/>
      <c r="AN42" s="167">
        <f>6.1%+(1-6.1%)*(1-SUM(AN26:AO26)/SUM($B$26:$C$26))</f>
        <v>0.72007489177573802</v>
      </c>
      <c r="AO42" s="126"/>
      <c r="AP42" s="167">
        <f>6.1%+(1-6.1%)*(1-SUM(AP26:AQ26)/SUM($B$26:$C$26))</f>
        <v>0.7497885379072784</v>
      </c>
      <c r="AQ42" s="126"/>
      <c r="AR42" s="167">
        <f>6.1%+(1-6.1%)*(1-SUM(AR26:AS26)/SUM($B$26:$C$26))</f>
        <v>0.78496415547758169</v>
      </c>
      <c r="AS42" s="126"/>
      <c r="AT42" s="167">
        <f>6.1%+(1-6.1%)*(1-SUM(AT26:AU26)/SUM($B$26:$C$26))</f>
        <v>0.82879043184179313</v>
      </c>
      <c r="AU42" s="126"/>
      <c r="AV42" s="167">
        <f>6.1%+(1-6.1%)*(1-SUM(AV26:AW26)/SUM($B$26:$C$26))</f>
        <v>0.88822420287749004</v>
      </c>
      <c r="XFD42" s="167"/>
    </row>
    <row r="43" spans="1:49 16319:16384" x14ac:dyDescent="0.2">
      <c r="A43" t="s">
        <v>95</v>
      </c>
      <c r="B43" s="152">
        <f>SUM(B15:C15*B27:C27)/SUM(B15:C15*B27:C27,B13:C13*B26:C26)</f>
        <v>0.56058995943839207</v>
      </c>
      <c r="C43" s="126"/>
      <c r="D43" s="152">
        <f t="array" ref="D43">SUM(D15:E15*D27:E27)/SUM(D15:E15*D27:E27,D13:E13*D26:E26)</f>
        <v>0.56745634671623879</v>
      </c>
      <c r="E43" s="126"/>
      <c r="F43" s="152">
        <f t="array" ref="F43">SUM(F15:G15*F27:G27)/SUM(F15:G15*F27:G27,F13:G13*F26:G26)</f>
        <v>0.56776757430744196</v>
      </c>
      <c r="G43" s="126"/>
      <c r="H43" s="152">
        <f t="array" ref="H43">SUM(H15:I15*H27:I27)/SUM(H15:I15*H27:I27,H13:I13*H26:I26)</f>
        <v>0.5681420200928593</v>
      </c>
      <c r="I43" s="126"/>
      <c r="J43" s="152">
        <f t="array" ref="J43">SUM(J15:K15*J27:K27)/SUM(J15:K15*J27:K27,J13:K13*J26:K26)</f>
        <v>0.56858888156246279</v>
      </c>
      <c r="K43" s="126"/>
      <c r="L43" s="152">
        <f t="array" ref="L43">SUM(L15:M15*L27:M27)/SUM(L15:M15*L27:M27,L13:M13*L26:M26)</f>
        <v>0.56911896851617805</v>
      </c>
      <c r="M43" s="126"/>
      <c r="N43" s="152">
        <f t="array" ref="N43">SUM(N15:O15*N27:O27)/SUM(N15:O15*N27:O27,N13:O13*N26:O26)</f>
        <v>0.5697450588820292</v>
      </c>
      <c r="O43" s="126"/>
      <c r="P43" s="152">
        <f t="array" ref="P43">SUM(P15:Q15*P27:Q27)/SUM(P15:Q15*P27:Q27,P13:Q13*P26:Q26)</f>
        <v>0.57048217132849377</v>
      </c>
      <c r="Q43" s="126"/>
      <c r="R43" s="152">
        <f t="array" ref="R43">SUM(R15:S15*R27:S27)/SUM(R15:S15*R27:S27,R13:S13*R26:S26)</f>
        <v>0.57134782221714808</v>
      </c>
      <c r="S43" s="126"/>
      <c r="T43" s="152">
        <f t="array" ref="T43">SUM(T15:U15*T27:U27)/SUM(T15:U15*T27:U27,T13:U13*T26:U26)</f>
        <v>0.57236202157666982</v>
      </c>
      <c r="U43" s="126"/>
      <c r="V43" s="152">
        <f t="array" ref="V43">SUM(V15:W15*V27:W27)/SUM(V15:W15*V27:W27,V13:W13*V26:W26)</f>
        <v>0.57354666315439162</v>
      </c>
      <c r="W43" s="126"/>
      <c r="X43" s="152">
        <f t="array" ref="X43">SUM(X15:Y15*X27:Y27)/SUM(X15:Y15*X27:Y27,X13:Y13*X26:Y26)</f>
        <v>0.57492343414089886</v>
      </c>
      <c r="Y43" s="126"/>
      <c r="Z43" s="152">
        <f t="array" ref="Z43">SUM(Z15:AA15*Z27:AA27)/SUM(Z15:AA15*Z27:AA27,Z13:AA13*Z26:AA26)</f>
        <v>0.57650855901591103</v>
      </c>
      <c r="AA43" s="126"/>
      <c r="AB43" s="152">
        <f t="array" ref="AB43">SUM(AB15:AC15*AB27:AC27)/SUM(AB15:AC15*AB27:AC27,AB13:AC13*AB26:AC26)</f>
        <v>0.57830082973761388</v>
      </c>
      <c r="AC43" s="126"/>
      <c r="AD43" s="152">
        <f t="array" ref="AD43">SUM(AD15:AE15*AD27:AE27)/SUM(AD15:AE15*AD27:AE27,AD13:AE13*AD26:AE26)</f>
        <v>0.58025614408990178</v>
      </c>
      <c r="AE43" s="126"/>
      <c r="AF43" s="152">
        <f t="array" ref="AF43">SUM(AF15:AG15*AF27:AG27)/SUM(AF15:AG15*AF27:AG27,AF13:AG13*AF26:AG26)</f>
        <v>0.58223687764962617</v>
      </c>
      <c r="AG43" s="126"/>
      <c r="AH43" s="152">
        <f t="array" ref="AH43">SUM(AH15:AI15*AH27:AI27)/SUM(AH15:AI15*AH27:AI27,AH13:AI13*AH26:AI26)</f>
        <v>0.58392077424165179</v>
      </c>
      <c r="AI43" s="126"/>
      <c r="AJ43" s="152">
        <f t="array" ref="AJ43">SUM(AJ15:AK15*AJ27:AK27)/SUM(AJ15:AK15*AJ27:AK27,AJ13:AK13*AJ26:AK26)</f>
        <v>0.58464005166155208</v>
      </c>
      <c r="AK43" s="126"/>
      <c r="AL43" s="152">
        <f t="array" ref="AL43">SUM(AL15:AM15*AL27:AM27)/SUM(AL15:AM15*AL27:AM27,AL13:AM13*AL26:AM26)</f>
        <v>0.58282033695408442</v>
      </c>
      <c r="AM43" s="126"/>
      <c r="AN43" s="152">
        <f t="array" ref="AN43">SUM(AN15:AO15*AN27:AO27)/SUM(AN15:AO15*AN27:AO27,AN13:AO13*AN26:AO26)</f>
        <v>0.57201894145792742</v>
      </c>
      <c r="AO43" s="126"/>
      <c r="AP43" s="152">
        <f t="array" ref="AP43">SUM(AP15:AQ15*AP27:AQ27)/SUM(AP15:AQ15*AP27:AQ27,AP13:AQ13*AP26:AQ26)</f>
        <v>0.56646659953992651</v>
      </c>
      <c r="AQ43" s="126"/>
      <c r="AR43" s="152">
        <f t="array" ref="AR43">SUM(AR15:AS15*AR27:AS27)/SUM(AR15:AS15*AR27:AS27,AR13:AS13*AR26:AS26)</f>
        <v>0.55783471590934464</v>
      </c>
      <c r="AS43" s="126"/>
      <c r="AT43" s="152">
        <f t="array" ref="AT43">SUM(AT15:AU15*AT27:AU27)/SUM(AT15:AU15*AT27:AU27,AT13:AU13*AT26:AU26)</f>
        <v>0.54293764289410884</v>
      </c>
      <c r="AU43" s="126"/>
      <c r="AV43" s="152">
        <f t="array" ref="AV43">SUM(AV15:AW15*AV27:AW27)/SUM(AV15:AW15*AV27:AW27,AV13:AW13*AV26:AW26)</f>
        <v>0.51082197781809291</v>
      </c>
    </row>
    <row r="44" spans="1:49 16319:16384" x14ac:dyDescent="0.2">
      <c r="A44" t="s">
        <v>129</v>
      </c>
      <c r="B44" s="183">
        <f>(SUM(B11:C11*B24:C24)+B34)/B32</f>
        <v>0.29754226190682465</v>
      </c>
      <c r="D44" s="183">
        <f>(SUM(D11:E11*D24:E24)+D34)/D32</f>
        <v>0.29893730205084096</v>
      </c>
      <c r="F44" s="183">
        <f>(SUM(F11:G11*F24:G24)+F34)/F32</f>
        <v>0.30034236077555732</v>
      </c>
      <c r="H44" s="183">
        <f>(SUM(H11:I11*H24:I24)+H34)/H32</f>
        <v>0.30175885162312482</v>
      </c>
      <c r="J44" s="183">
        <f>(SUM(J11:K11*J24:K24)+J34)/J32</f>
        <v>0.30318822403537876</v>
      </c>
      <c r="L44" s="183">
        <f>(SUM(L11:M11*L24:M24)+L34)/L32</f>
        <v>0.30463203498017594</v>
      </c>
      <c r="N44" s="183">
        <f>(SUM(N11:O11*N24:O24)+N34)/N32</f>
        <v>0.30609178039800777</v>
      </c>
      <c r="P44" s="183">
        <f>(SUM(P11:Q11*P24:Q24)+P34)/P32</f>
        <v>0.30756885648074572</v>
      </c>
      <c r="R44" s="183">
        <f>(SUM(R11:S11*R24:S24)+R34)/R32</f>
        <v>0.30906435347708783</v>
      </c>
      <c r="T44" s="183">
        <f>(SUM(T11:U11*T24:U24)+T34)/T32</f>
        <v>0.31057878391329052</v>
      </c>
      <c r="V44" s="183">
        <f>(SUM(V11:W11*V24:W24)+V34)/V32</f>
        <v>0.31211187348237956</v>
      </c>
      <c r="X44" s="183">
        <f>(SUM(X11:Y11*X24:Y24)+X34)/X32</f>
        <v>0.3136624024719401</v>
      </c>
      <c r="Z44" s="183">
        <f>(SUM(Z11:AA11*Z24:AA24)+Z34)/Z32</f>
        <v>0.31522946496297732</v>
      </c>
      <c r="AB44" s="183">
        <f>(SUM(AB11:AC11*AB24:AC24)+AB34)/AB32</f>
        <v>0.31681792460706021</v>
      </c>
      <c r="AD44" s="183">
        <f>(SUM(AD11:AE11*AD24:AE24)+AD34)/AD32</f>
        <v>0.31845913588518659</v>
      </c>
      <c r="AF44" s="183">
        <f>(SUM(AF11:AG11*AF24:AG24)+AF34)/AF32</f>
        <v>0.32027100359561622</v>
      </c>
      <c r="AH44" s="183">
        <f>(SUM(AH11:AI11*AH24:AI24)+AH34)/AH32</f>
        <v>0.32262353549282569</v>
      </c>
      <c r="AJ44" s="183">
        <f>(SUM(AJ11:AK11*AJ24:AK24)+AJ34)/AJ32</f>
        <v>0.32652681510982245</v>
      </c>
      <c r="AL44" s="183">
        <f>(SUM(AL11:AM11*AL24:AM24)+AL34)/AL32</f>
        <v>0.33454596149989163</v>
      </c>
      <c r="AN44" s="183">
        <f>(SUM(AN11:AO11*AN24:AO24)+AN34)/AN32</f>
        <v>0.3533000821824312</v>
      </c>
      <c r="AP44" s="183">
        <f>(SUM(AP11:AQ11*AP24:AQ24)+AP34)/AP32</f>
        <v>0.35996510290219391</v>
      </c>
      <c r="AR44" s="183">
        <f>(SUM(AR11:AS11*AR24:AS24)+AR34)/AR32</f>
        <v>0.36884584586917846</v>
      </c>
      <c r="AT44" s="183">
        <f>(SUM(AT11:AU11*AT24:AU24)+AT34)/AT32</f>
        <v>0.38188888549234201</v>
      </c>
      <c r="AV44" s="183">
        <f>(SUM(AV11:AW11*AV24:AW24)+AV34)/AV32</f>
        <v>0.40546308784489415</v>
      </c>
    </row>
    <row r="45" spans="1:49 16319:16384" x14ac:dyDescent="0.2">
      <c r="A45" t="s">
        <v>82</v>
      </c>
      <c r="B45" s="183">
        <f>SUM(B11:C11*B24:C24)/B32</f>
        <v>0.22038438833194082</v>
      </c>
      <c r="D45" s="183">
        <f>SUM(D11:E11*D24:E24)/D32</f>
        <v>0.22130620137356799</v>
      </c>
      <c r="F45" s="183">
        <f>SUM(F11:G11*F24:G24)/F32</f>
        <v>0.22240347561890941</v>
      </c>
      <c r="H45" s="183">
        <f>SUM(H11:I11*H24:I24)/H32</f>
        <v>0.22371520989244528</v>
      </c>
      <c r="J45" s="183">
        <f>SUM(J11:K11*J24:K24)/J32</f>
        <v>0.22529277437406095</v>
      </c>
      <c r="L45" s="183">
        <f>SUM(L11:M11*L24:M24)/L32</f>
        <v>0.22720460450304325</v>
      </c>
      <c r="N45" s="183">
        <f>SUM(N11:O11*N24:O24)/N32</f>
        <v>0.22954397122326567</v>
      </c>
      <c r="P45" s="183">
        <f>SUM(P11:Q11*P24:Q24)/P32</f>
        <v>0.23244027632808884</v>
      </c>
      <c r="R45" s="183">
        <f>SUM(R11:S11*R24:S24)/R32</f>
        <v>0.23607713456960008</v>
      </c>
      <c r="T45" s="183">
        <f>SUM(T11:U11*T24:U24)/T32</f>
        <v>0.24072113036295006</v>
      </c>
      <c r="V45" s="183">
        <f>SUM(V11:W11*V24:W24)/V32</f>
        <v>0.24676834960822183</v>
      </c>
      <c r="X45" s="183">
        <f>SUM(X11:Y11*X24:Y24)/X32</f>
        <v>0.25482073709224556</v>
      </c>
      <c r="Z45" s="183">
        <f>SUM(Z11:AA11*Z24:AA24)/Z32</f>
        <v>0.26580948698826035</v>
      </c>
      <c r="AB45" s="183">
        <f>SUM(AB11:AC11*AB24:AC24)/AB32</f>
        <v>0.28118620805452932</v>
      </c>
      <c r="AD45" s="183">
        <f>SUM(AD11:AE11*AD24:AE24)/AD32</f>
        <v>0.30318082003974639</v>
      </c>
      <c r="AF45" s="183">
        <f>SUM(AF11:AG11*AF24:AG24)/AF32</f>
        <v>0.33502632903905544</v>
      </c>
      <c r="AH45" s="183">
        <f>SUM(AH11:AI11*AH24:AI24)/AH32</f>
        <v>0.38083597356155729</v>
      </c>
      <c r="AJ45" s="183">
        <f>SUM(AJ11:AK11*AJ24:AK24)/AJ32</f>
        <v>0.44510945330203</v>
      </c>
      <c r="AL45" s="183">
        <f>SUM(AL11:AM11*AL24:AM24)/AL32</f>
        <v>0.53524987795695333</v>
      </c>
      <c r="AN45" s="183">
        <f>SUM(AN11:AO11*AN24:AO24)/AN32</f>
        <v>0.68983318865545618</v>
      </c>
      <c r="AP45" s="183">
        <f>SUM(AP11:AQ11*AP24:AQ24)/AP32</f>
        <v>0.74490448684366706</v>
      </c>
      <c r="AR45" s="183">
        <f>SUM(AR11:AS11*AR24:AS24)/AR32</f>
        <v>0.82278457883458933</v>
      </c>
      <c r="AT45" s="183">
        <f>SUM(AT11:AU11*AT24:AU24)/AT32</f>
        <v>0.94862771220910813</v>
      </c>
      <c r="AV45" s="183">
        <f>SUM(AV11:AW11*AV24:AW24)/AV32</f>
        <v>1.2158399815805665</v>
      </c>
      <c r="XCQ45" s="183"/>
    </row>
    <row r="46" spans="1:49 16319:16384" x14ac:dyDescent="0.2">
      <c r="A46" t="s">
        <v>126</v>
      </c>
      <c r="B46" s="183">
        <f>B34/B32</f>
        <v>7.7157873574883795E-2</v>
      </c>
      <c r="D46" s="183">
        <f>D34/D32</f>
        <v>7.763110067727301E-2</v>
      </c>
      <c r="F46" s="183">
        <f>F34/F32</f>
        <v>7.7938885156647902E-2</v>
      </c>
      <c r="H46" s="183">
        <f>H34/H32</f>
        <v>7.8043641730679542E-2</v>
      </c>
      <c r="J46" s="183">
        <f>J34/J32</f>
        <v>7.7895449661317812E-2</v>
      </c>
      <c r="L46" s="183">
        <f>L34/L32</f>
        <v>7.7427430477132658E-2</v>
      </c>
      <c r="N46" s="183">
        <f>N34/N32</f>
        <v>7.6547809174742146E-2</v>
      </c>
      <c r="P46" s="183">
        <f>P34/P32</f>
        <v>7.5128580152656887E-2</v>
      </c>
      <c r="R46" s="183">
        <f>R34/R32</f>
        <v>7.2987218907487744E-2</v>
      </c>
      <c r="T46" s="183">
        <f>T34/T32</f>
        <v>6.9857653550340473E-2</v>
      </c>
      <c r="V46" s="183">
        <f>V34/V32</f>
        <v>6.5343523874157747E-2</v>
      </c>
      <c r="X46" s="183">
        <f>X34/X32</f>
        <v>5.8841665379694541E-2</v>
      </c>
      <c r="Z46" s="183">
        <f>Z34/Z32</f>
        <v>4.941997797471695E-2</v>
      </c>
      <c r="AB46" s="183">
        <f>AB34/AB32</f>
        <v>3.5631716552530925E-2</v>
      </c>
      <c r="AD46" s="183">
        <f>AD34/AD32</f>
        <v>1.5278315845440212E-2</v>
      </c>
      <c r="AF46" s="183">
        <f>AF34/AF32</f>
        <v>-1.4755325443439191E-2</v>
      </c>
      <c r="AH46" s="183">
        <f>AH34/AH32</f>
        <v>-5.821243806873156E-2</v>
      </c>
      <c r="AJ46" s="183">
        <f>AJ34/AJ32</f>
        <v>-0.11858263819220756</v>
      </c>
      <c r="AL46" s="183">
        <f>AL34/AL32</f>
        <v>-0.2007039164570617</v>
      </c>
      <c r="AN46" s="183">
        <f>AN34/AN32</f>
        <v>-0.33653310647302503</v>
      </c>
      <c r="AP46" s="183">
        <f>AP34/AP32</f>
        <v>-0.38493938394147309</v>
      </c>
      <c r="AR46" s="183">
        <f>AR34/AR32</f>
        <v>-0.45393873296541093</v>
      </c>
      <c r="AT46" s="183">
        <f>AT34/AT32</f>
        <v>-0.56673882671676612</v>
      </c>
      <c r="AV46" s="183">
        <f>AV34/AV32</f>
        <v>-0.81037689373567234</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0.99390264790944916</v>
      </c>
      <c r="E49" s="181"/>
      <c r="F49" s="181">
        <f>F13/F35/$B$13*$B$35</f>
        <v>0.98741076248286996</v>
      </c>
      <c r="G49" s="181"/>
      <c r="H49" s="181">
        <f>H13/H35/$B$13*$B$35</f>
        <v>0.98047350940032052</v>
      </c>
      <c r="I49" s="181"/>
      <c r="J49" s="181">
        <f>J13/J35/$B$13*$B$35</f>
        <v>0.97303215381426156</v>
      </c>
      <c r="K49" s="181"/>
      <c r="L49" s="181">
        <f>L13/L35/$B$13*$B$35</f>
        <v>0.96501893656264026</v>
      </c>
      <c r="M49" s="181"/>
      <c r="N49" s="181">
        <f>N13/N35/$B$13*$B$35</f>
        <v>0.95635615847423638</v>
      </c>
      <c r="O49" s="181"/>
      <c r="P49" s="181">
        <f>P13/P35/$B$13*$B$35</f>
        <v>0.9469557286349396</v>
      </c>
      <c r="Q49" s="181"/>
      <c r="R49" s="181">
        <f>R13/R35/$B$13*$B$35</f>
        <v>0.93671999385636451</v>
      </c>
      <c r="S49" s="181"/>
      <c r="T49" s="181">
        <f>T13/T35/$B$13*$B$35</f>
        <v>0.92554524415317796</v>
      </c>
      <c r="U49" s="181"/>
      <c r="V49" s="181">
        <f>V13/V35/$B$13*$B$35</f>
        <v>0.91333029668388144</v>
      </c>
      <c r="W49" s="181"/>
      <c r="X49" s="181">
        <f>X13/X35/$B$13*$B$35</f>
        <v>0.89999512829488937</v>
      </c>
      <c r="Y49" s="181"/>
      <c r="Z49" s="181">
        <f>Z13/Z35/$B$13*$B$35</f>
        <v>0.8855160347039811</v>
      </c>
      <c r="AA49" s="181"/>
      <c r="AB49" s="181">
        <f>AB13/AB35/$B$13*$B$35</f>
        <v>0.86998620537951588</v>
      </c>
      <c r="AC49" s="181"/>
      <c r="AD49" s="181">
        <f>AD13/AD35/$B$13*$B$35</f>
        <v>0.85370336094038501</v>
      </c>
      <c r="AE49" s="181"/>
      <c r="AF49" s="181">
        <f>AF13/AF35/$B$13*$B$35</f>
        <v>0.83725762263628567</v>
      </c>
      <c r="AG49" s="181"/>
      <c r="AH49" s="181">
        <f>AH13/AH35/$B$13*$B$35</f>
        <v>0.82151058595043835</v>
      </c>
      <c r="AI49" s="181"/>
      <c r="AJ49" s="181">
        <f>AJ13/AJ35/$B$13*$B$35</f>
        <v>0.80725537364740663</v>
      </c>
      <c r="AK49" s="181"/>
      <c r="AL49" s="181">
        <f>AL13/AL35/$B$13*$B$35</f>
        <v>0.79446552411978577</v>
      </c>
      <c r="AM49" s="181"/>
      <c r="AN49" s="181">
        <f>AN13/AN35/$B$13*$B$35</f>
        <v>0.78125932932935638</v>
      </c>
      <c r="AO49" s="181"/>
      <c r="AP49" s="181">
        <f>AP13/AP35/$B$13*$B$35</f>
        <v>0.77810660845194535</v>
      </c>
      <c r="AQ49" s="181"/>
      <c r="AR49" s="181">
        <f>AR13/AR35/$B$13*$B$35</f>
        <v>0.77454740088227436</v>
      </c>
      <c r="AS49" s="181"/>
      <c r="AT49" s="181">
        <f>AT13/AT35/$B$13*$B$35</f>
        <v>0.77035075129825847</v>
      </c>
      <c r="AU49" s="181"/>
      <c r="AV49" s="181">
        <f>AV13/AV35/$B$13*$B$35</f>
        <v>0.76503397623103508</v>
      </c>
    </row>
    <row r="51" spans="1:48 16321:16384" x14ac:dyDescent="0.2">
      <c r="A51" t="s">
        <v>150</v>
      </c>
      <c r="B51" s="27">
        <f>B30-B10*B23</f>
        <v>-405838.32800000021</v>
      </c>
      <c r="D51" s="27">
        <f>D30-D10*D23</f>
        <v>-369171.60737066623</v>
      </c>
      <c r="F51" s="27">
        <f>F30-F10*F23</f>
        <v>-332461.88411691738</v>
      </c>
      <c r="H51" s="27">
        <f>H30-H10*H23</f>
        <v>-295705.19639767241</v>
      </c>
      <c r="J51" s="27">
        <f>J30-J10*J23</f>
        <v>-258905.01060442207</v>
      </c>
      <c r="L51" s="27">
        <f>L30-L10*L23</f>
        <v>-222076.81836785283</v>
      </c>
      <c r="N51" s="27">
        <f>N30-N10*N23</f>
        <v>-185254.63857265469</v>
      </c>
      <c r="P51" s="27">
        <f>P30-P10*P23</f>
        <v>-148501.22266622772</v>
      </c>
      <c r="R51" s="27">
        <f>R30-R10*R23</f>
        <v>-111923.01755023934</v>
      </c>
      <c r="T51" s="27">
        <f>T30-T10*T23</f>
        <v>-75691.917648214381</v>
      </c>
      <c r="V51" s="27">
        <f>V30-V10*V23</f>
        <v>-40073.430266583804</v>
      </c>
      <c r="X51" s="27">
        <f>X30-X10*X23</f>
        <v>-5458.1763893840834</v>
      </c>
      <c r="Z51" s="27">
        <f>Z30-Z10*Z23</f>
        <v>27629.659320103005</v>
      </c>
      <c r="AB51" s="27">
        <f>AB30-AB10*AB23</f>
        <v>58625.364316951949</v>
      </c>
      <c r="AD51" s="27">
        <f>AD30-AD10*AD23</f>
        <v>87338.466439185664</v>
      </c>
      <c r="AF51" s="27">
        <f>AF30-AF10*AF23</f>
        <v>115208.83994270023</v>
      </c>
      <c r="AH51" s="27">
        <f>AH30-AH10*AH23</f>
        <v>148389.11657199869</v>
      </c>
      <c r="AJ51" s="27">
        <f>AJ30-AJ10*AJ23</f>
        <v>204761.54133907007</v>
      </c>
      <c r="AL51" s="27">
        <f>AL30-AL10*AL23</f>
        <v>334056.49239216559</v>
      </c>
      <c r="AN51" s="27">
        <f>AN30-AN10*AN23</f>
        <v>697598.56726864213</v>
      </c>
      <c r="AP51" s="27">
        <f>AP30-AP10*AP23</f>
        <v>842641.04499458289</v>
      </c>
      <c r="AQ51" s="27"/>
      <c r="AR51" s="27">
        <f>AR30-AR10*AR23</f>
        <v>1043330.5367679228</v>
      </c>
      <c r="AT51" s="27">
        <f>AT30-AT10*AT23</f>
        <v>1343576.4891843149</v>
      </c>
      <c r="AV51" s="27">
        <f>AV30-AV10*AV23</f>
        <v>1864192.8661482916</v>
      </c>
      <c r="XFD51" s="27"/>
    </row>
    <row r="52" spans="1:48 16321:16384" x14ac:dyDescent="0.2">
      <c r="A52" t="s">
        <v>151</v>
      </c>
      <c r="B52" s="27">
        <f t="array" ref="B52">Calibration!sL*SUM(B13:C13*B26:C26)</f>
        <v>2073093.0976150823</v>
      </c>
      <c r="D52" s="27">
        <f t="array" ref="D52">Calibration!sL*SUM(D13:E13*D26:E26)</f>
        <v>2054197.222060686</v>
      </c>
      <c r="F52" s="27">
        <f t="array" ref="F52">Calibration!sL*SUM(F13:G13*F26:G26)</f>
        <v>2033948.9888813302</v>
      </c>
      <c r="H52" s="27">
        <f t="array" ref="H52">Calibration!sL*SUM(H13:I13*H26:I26)</f>
        <v>2012106.8774816114</v>
      </c>
      <c r="J52" s="27">
        <f t="array" ref="J52">Calibration!sL*SUM(J13:K13*J26:K26)</f>
        <v>1988370.4932107467</v>
      </c>
      <c r="L52" s="27">
        <f t="array" ref="L52">Calibration!sL*SUM(L13:M13*L26:M26)</f>
        <v>1962364.4917132321</v>
      </c>
      <c r="N52" s="27">
        <f t="array" ref="N52">Calibration!sL*SUM(N13:O13*N26:O26)</f>
        <v>1933613.6545224381</v>
      </c>
      <c r="P52" s="27">
        <f t="array" ref="P52">Calibration!sL*SUM(P13:Q13*P26:Q26)</f>
        <v>1901512.6806690369</v>
      </c>
      <c r="R52" s="27">
        <f t="array" ref="R52">Calibration!sL*SUM(R13:S13*R26:S26)</f>
        <v>1865285.5805894793</v>
      </c>
      <c r="T52" s="27">
        <f t="array" ref="T52">Calibration!sL*SUM(T13:U13*T26:U26)</f>
        <v>1823937.1947071827</v>
      </c>
      <c r="V52" s="27">
        <f t="array" ref="V52">Calibration!sL*SUM(V13:W13*V26:W26)</f>
        <v>1776204.5070352734</v>
      </c>
      <c r="X52" s="27">
        <f t="array" ref="X52">Calibration!sL*SUM(X13:Y13*X26:Y26)</f>
        <v>1720534.4816563698</v>
      </c>
      <c r="Z52" s="27">
        <f t="array" ref="Z52">Calibration!sL*SUM(Z13:AA13*Z26:AA26)</f>
        <v>1655166.6444524187</v>
      </c>
      <c r="AB52" s="27">
        <f t="array" ref="AB52">Calibration!sL*SUM(AB13:AC13*AB26:AC26)</f>
        <v>1578506.5226043421</v>
      </c>
      <c r="AD52" s="27">
        <f t="array" ref="AD52">Calibration!sL*SUM(AD13:AE13*AD26:AE26)</f>
        <v>1490167.6660939779</v>
      </c>
      <c r="AF52" s="27">
        <f t="array" ref="AF52">Calibration!sL*SUM(AF13:AG13*AF26:AG26)</f>
        <v>1393225.053396733</v>
      </c>
      <c r="AH52" s="27">
        <f t="array" ref="AH52">Calibration!sL*SUM(AH13:AI13*AH26:AI26)</f>
        <v>1297720.626294005</v>
      </c>
      <c r="AJ52" s="27">
        <f t="array" ref="AJ52">Calibration!sL*SUM(AJ13:AK13*AJ26:AK26)</f>
        <v>1223726.9255732056</v>
      </c>
      <c r="AL52" s="27">
        <f t="array" ref="AL52">Calibration!sL*SUM(AL13:AM13*AL26:AM26)</f>
        <v>1203842.3723077404</v>
      </c>
      <c r="AN52" s="27">
        <f t="array" ref="AN52">Calibration!sL*SUM(AN13:AO13*AN26:AO26)</f>
        <v>1293331.133013644</v>
      </c>
      <c r="AP52" s="27">
        <f t="array" ref="AP52">Calibration!sL*SUM(AP13:AQ13*AP26:AQ26)</f>
        <v>1332020.865530442</v>
      </c>
      <c r="AQ52" s="27"/>
      <c r="AR52" s="27">
        <f t="array" ref="AR52">Calibration!sL*SUM(AR13:AS13*AR26:AS26)</f>
        <v>1379908.5237429503</v>
      </c>
      <c r="AT52" s="27">
        <f t="array" ref="AT52">Calibration!sL*SUM(AT13:AU13*AT26:AU26)</f>
        <v>1436627.7512426479</v>
      </c>
      <c r="AV52" s="27">
        <f t="array" ref="AV52">Calibration!sL*SUM(AV13:AW13*AV26:AW26)</f>
        <v>1488767.7293884407</v>
      </c>
    </row>
    <row r="53" spans="1:48 16321:16384" x14ac:dyDescent="0.2">
      <c r="A53" t="s">
        <v>152</v>
      </c>
      <c r="B53" s="27">
        <f t="array" ref="B53">Calibration!sK*SUM(B15:C15*B27:C27)</f>
        <v>2716869.1663849424</v>
      </c>
      <c r="D53" s="27">
        <f t="array" ref="D53">Calibration!sK*SUM(D15:E15*D27:E27)</f>
        <v>2694912.3914216622</v>
      </c>
      <c r="F53" s="27">
        <f t="array" ref="F53">Calibration!sK*SUM(F15:G15*F27:G27)</f>
        <v>2671734.4998628828</v>
      </c>
      <c r="H53" s="27">
        <f t="array" ref="H53">Calibration!sK*SUM(H15:I15*H27:I27)</f>
        <v>2647079.640072749</v>
      </c>
      <c r="J53" s="27">
        <f t="array" ref="J53">Calibration!sK*SUM(J15:K15*J27:K27)</f>
        <v>2620621.7377083949</v>
      </c>
      <c r="L53" s="27">
        <f t="array" ref="L53">Calibration!sK*SUM(L15:M15*L27:M27)</f>
        <v>2591942.494035135</v>
      </c>
      <c r="N53" s="27">
        <f t="array" ref="N53">Calibration!sK*SUM(N15:O15*N27:O27)</f>
        <v>2560497.7890281067</v>
      </c>
      <c r="P53" s="27">
        <f t="array" ref="P53">Calibration!sK*SUM(P15:Q15*P27:Q27)</f>
        <v>2525574.0517965155</v>
      </c>
      <c r="R53" s="27">
        <f t="array" ref="R53">Calibration!sK*SUM(R15:S15*R27:S27)</f>
        <v>2486227.5511935628</v>
      </c>
      <c r="T53" s="27">
        <f t="array" ref="T53">Calibration!sK*SUM(T15:U15*T27:U27)</f>
        <v>2441205.9561231188</v>
      </c>
      <c r="V53" s="27">
        <f t="array" ref="V53">Calibration!sK*SUM(V15:W15*V27:W27)</f>
        <v>2388857.3029472902</v>
      </c>
      <c r="X53" s="27">
        <f t="array" ref="X53">Calibration!sK*SUM(X15:Y15*X27:Y27)</f>
        <v>2327052.7528435681</v>
      </c>
      <c r="Z53" s="27">
        <f t="array" ref="Z53">Calibration!sK*SUM(Z15:AA15*Z27:AA27)</f>
        <v>2253216.1096505262</v>
      </c>
      <c r="AB53" s="27">
        <f t="array" ref="AB53">Calibration!sK*SUM(AB15:AC15*AB27:AC27)</f>
        <v>2164698.667062446</v>
      </c>
      <c r="AD53" s="27">
        <f t="array" ref="AD53">Calibration!sK*SUM(AD15:AE15*AD27:AE27)</f>
        <v>2060015.7257819129</v>
      </c>
      <c r="AF53" s="27">
        <f t="array" ref="AF53">Calibration!sK*SUM(AF15:AG15*AF27:AG27)</f>
        <v>1941739.1376939518</v>
      </c>
      <c r="AH53" s="27">
        <f t="array" ref="AH53">Calibration!sK*SUM(AH15:AI15*AH27:AI27)</f>
        <v>1821206.1211992698</v>
      </c>
      <c r="AJ53" s="27">
        <f t="array" ref="AJ53">Calibration!sK*SUM(AJ15:AK15*AJ27:AK27)</f>
        <v>1722457.2948082837</v>
      </c>
      <c r="AL53" s="27">
        <f t="array" ref="AL53">Calibration!sK*SUM(AL15:AM15*AL27:AM27)</f>
        <v>1681826.5107778744</v>
      </c>
      <c r="AN53" s="27">
        <f t="array" ref="AN53">Calibration!sK*SUM(AN15:AO15*AN27:AO27)</f>
        <v>1728604.3176331832</v>
      </c>
      <c r="AP53" s="27">
        <f t="array" ref="AP53">Calibration!sK*SUM(AP15:AQ15*AP27:AQ27)</f>
        <v>1740454.8978522115</v>
      </c>
      <c r="AQ53" s="27"/>
      <c r="AR53" s="27">
        <f t="array" ref="AR53">Calibration!sK*SUM(AR15:AS15*AR27:AS27)</f>
        <v>1740889.4524727343</v>
      </c>
      <c r="AT53" s="27">
        <f t="array" ref="AT53">Calibration!sK*SUM(AT15:AU15*AT27:AU27)</f>
        <v>1706548.9486268044</v>
      </c>
      <c r="AV53" s="27">
        <f t="array" ref="AV53">Calibration!sK*SUM(AV15:AW15*AV27:AW27)</f>
        <v>1554639.0916048856</v>
      </c>
      <c r="XFD53" s="27"/>
    </row>
    <row r="55" spans="1:48 16321:16384" x14ac:dyDescent="0.2">
      <c r="A55" t="s">
        <v>153</v>
      </c>
      <c r="B55" s="183">
        <f>B30/B32</f>
        <v>0.19850271905982084</v>
      </c>
      <c r="D55" s="183">
        <f>D30/D32</f>
        <v>0.20084969114018617</v>
      </c>
      <c r="F55" s="183">
        <f>F30/F32</f>
        <v>0.20321351939952081</v>
      </c>
      <c r="H55" s="183">
        <f>H30/H32</f>
        <v>0.20559655579133732</v>
      </c>
      <c r="J55" s="183">
        <f>J30/J32</f>
        <v>0.2080012898338085</v>
      </c>
      <c r="L55" s="183">
        <f>L30/L32</f>
        <v>0.21043029531703092</v>
      </c>
      <c r="N55" s="183">
        <f>N30/N32</f>
        <v>0.2128861194513782</v>
      </c>
      <c r="P55" s="183">
        <f>P30/P32</f>
        <v>0.21537109911666386</v>
      </c>
      <c r="R55" s="183">
        <f>R30/R32</f>
        <v>0.21788706320060472</v>
      </c>
      <c r="T55" s="183">
        <f>T30/T32</f>
        <v>0.2204348958683697</v>
      </c>
      <c r="V55" s="183">
        <f>V30/V32</f>
        <v>0.22301410062984947</v>
      </c>
      <c r="X55" s="183">
        <f>X30/X32</f>
        <v>0.225622659264061</v>
      </c>
      <c r="Z55" s="183">
        <f>Z30/Z32</f>
        <v>0.22825902348758215</v>
      </c>
      <c r="AB55" s="183">
        <f>AB30/AB32</f>
        <v>0.23093163448073981</v>
      </c>
      <c r="AD55" s="183">
        <f>AD30/AD32</f>
        <v>0.23369254636519732</v>
      </c>
      <c r="AF55" s="183">
        <f>AF30/AF32</f>
        <v>0.23674075618030835</v>
      </c>
      <c r="AH55" s="183">
        <f>AH30/AH32</f>
        <v>0.24069854445201813</v>
      </c>
      <c r="AJ55" s="183">
        <f>AJ30/AJ32</f>
        <v>0.24726527332622672</v>
      </c>
      <c r="AL55" s="183">
        <f>AL30/AL32</f>
        <v>0.26075638553646902</v>
      </c>
      <c r="AN55" s="183">
        <f>AN30/AN32</f>
        <v>0.29230763175148589</v>
      </c>
      <c r="AP55" s="183">
        <f>AP30/AP32</f>
        <v>0.30352061601498875</v>
      </c>
      <c r="AR55" s="183">
        <f>AR30/AR32</f>
        <v>0.31846125207558734</v>
      </c>
      <c r="AT55" s="183">
        <f>AT30/AT32</f>
        <v>0.34040438480813562</v>
      </c>
      <c r="AV55" s="183">
        <f>AV30/AV32</f>
        <v>0.38006475620627361</v>
      </c>
      <c r="XCS55" s="183"/>
      <c r="XFD55" s="183"/>
    </row>
    <row r="56" spans="1:48 16321:16384" x14ac:dyDescent="0.2">
      <c r="A56" t="s">
        <v>154</v>
      </c>
      <c r="B56" s="183">
        <f>(Model!$C$52*B5*B20+B2*C5*C20)/B32</f>
        <v>2.9221206744340551E-2</v>
      </c>
      <c r="D56" s="183">
        <f>(Model!$C$52*D5*D20+D2*E5*E20)/D32</f>
        <v>3.2192826631676656E-2</v>
      </c>
      <c r="F56" s="183">
        <f>(Model!$C$52*F5*F20+F2*G5*G20)/F32</f>
        <v>3.5204462749475009E-2</v>
      </c>
      <c r="H56" s="183">
        <f>(Model!$C$52*H5*H20+H2*I5*I20)/H32</f>
        <v>3.8261622079333868E-2</v>
      </c>
      <c r="J56" s="183">
        <f>(Model!$C$52*J5*J20+J2*K5*K20)/J32</f>
        <v>4.1370434248796238E-2</v>
      </c>
      <c r="L56" s="183">
        <f>(Model!$C$52*L5*L20+L2*M5*M20)/L32</f>
        <v>4.4537693273325643E-2</v>
      </c>
      <c r="N56" s="183">
        <f>(Model!$C$52*N5*N20+N2*O5*O20)/N32</f>
        <v>4.7770804216777304E-2</v>
      </c>
      <c r="P56" s="183">
        <f>(Model!$C$52*P5*P20+P2*Q5*Q20)/P32</f>
        <v>5.1077675286189804E-2</v>
      </c>
      <c r="R56" s="183">
        <f>(Model!$C$52*R5*R20+R2*S5*S20)/R32</f>
        <v>5.4466428835059748E-2</v>
      </c>
      <c r="T56" s="183">
        <f>(Model!$C$52*T5*T20+T2*U5*U20)/T32</f>
        <v>5.7944870696686593E-2</v>
      </c>
      <c r="V56" s="183">
        <f>(Model!$C$52*V5*V20+V2*W5*W20)/V32</f>
        <v>6.1519742966783496E-2</v>
      </c>
      <c r="X56" s="183">
        <f>(Model!$C$52*X5*X20+X2*Y5*Y20)/X32</f>
        <v>6.5195859495940187E-2</v>
      </c>
      <c r="Z56" s="183">
        <f>(Model!$C$52*Z5*Z20+Z2*AA5*AA20)/Z32</f>
        <v>6.8976749566284717E-2</v>
      </c>
      <c r="AB56" s="183">
        <f>(Model!$C$52*AB5*AB20+AB2*AC5*AC20)/AB32</f>
        <v>7.287211823839479E-2</v>
      </c>
      <c r="AD56" s="183">
        <f>(Model!$C$52*AD5*AD20+AD2*AE5*AE20)/AD32</f>
        <v>7.6929916709864182E-2</v>
      </c>
      <c r="AF56" s="183">
        <f>(Model!$C$52*AF5*AF20+AF2*AG5*AG20)/AF32</f>
        <v>8.1343199030379301E-2</v>
      </c>
      <c r="AH56" s="183">
        <f>(Model!$C$52*AH5*AH20+AH2*AI5*AI20)/AH32</f>
        <v>8.6749696670828783E-2</v>
      </c>
      <c r="AJ56" s="183">
        <f>(Model!$C$52*AJ5*AJ20+AJ2*AK5*AK20)/AJ32</f>
        <v>9.4954943305837092E-2</v>
      </c>
      <c r="AL56" s="183">
        <f>(Model!$C$52*AL5*AL20+AL2*AM5*AM20)/AL32</f>
        <v>0.11057832574644647</v>
      </c>
      <c r="AN56" s="183">
        <f>(Model!$C$52*AN5*AN20+AN2*AO5*AO20)/AN32</f>
        <v>0.1449026982745926</v>
      </c>
      <c r="AP56" s="183">
        <f>(Model!$C$52*AP5*AP20+AP2*AQ5*AQ20)/AP32</f>
        <v>0.15661434802866125</v>
      </c>
      <c r="AR56" s="183">
        <f>(Model!$C$52*AR5*AR20+AR2*AS5*AS20)/AR32</f>
        <v>0.17192068453552276</v>
      </c>
      <c r="AT56" s="183">
        <f>(Model!$C$52*AT5*AT20+AT2*AU5*AU20)/AT32</f>
        <v>0.19394482236961891</v>
      </c>
      <c r="AV56" s="183">
        <f>(Model!$C$52*AV5*AV20+AV2*AW5*AW20)/AV32</f>
        <v>0.23304657417118391</v>
      </c>
      <c r="XFD56" s="183"/>
    </row>
    <row r="57" spans="1:48 16321:16384" x14ac:dyDescent="0.2">
      <c r="A57" t="s">
        <v>155</v>
      </c>
      <c r="B57" s="183">
        <f t="array" ref="B57">SUM(Model!tauL*B13:C13*B26:C26)/B32</f>
        <v>0.15852881819439493</v>
      </c>
      <c r="D57" s="183">
        <f t="array" ref="D57">SUM(Model!tauL*D13:E13*D26:E26)/D32</f>
        <v>0.15797118408850608</v>
      </c>
      <c r="F57" s="183">
        <f t="array" ref="F57">SUM(Model!tauL*F13:G13*F26:G26)/F32</f>
        <v>0.15739058959642968</v>
      </c>
      <c r="H57" s="183">
        <f t="array" ref="H57">SUM(Model!tauL*H13:I13*H26:I26)/H32</f>
        <v>0.15678392098829705</v>
      </c>
      <c r="J57" s="183">
        <f t="array" ref="J57">SUM(Model!tauL*J13:K13*J26:K26)/J32</f>
        <v>0.15614758347464849</v>
      </c>
      <c r="L57" s="183">
        <f t="array" ref="L57">SUM(Model!tauL*L13:M13*L26:M26)/L32</f>
        <v>0.1554774129135863</v>
      </c>
      <c r="N57" s="183">
        <f t="array" ref="N57">SUM(Model!tauL*N13:O13*N26:O26)/N32</f>
        <v>0.15476861292400965</v>
      </c>
      <c r="P57" s="183">
        <f t="array" ref="P57">SUM(Model!tauL*P13:Q13*P26:Q26)/P32</f>
        <v>0.15401568411567154</v>
      </c>
      <c r="R57" s="183">
        <f t="array" ref="R57">SUM(Model!tauL*R13:S13*R26:S26)/R32</f>
        <v>0.15321241532778407</v>
      </c>
      <c r="T57" s="183">
        <f t="array" ref="T57">SUM(Model!tauL*T13:U13*T26:U26)/T32</f>
        <v>0.15235198321430499</v>
      </c>
      <c r="V57" s="183">
        <f t="array" ref="V57">SUM(Model!tauL*V13:W13*V26:W26)/V32</f>
        <v>0.15142727647626089</v>
      </c>
      <c r="X57" s="183">
        <f t="array" ref="X57">SUM(Model!tauL*X13:Y13*X26:Y26)/X32</f>
        <v>0.15043166440103814</v>
      </c>
      <c r="Y57" s="183"/>
      <c r="Z57" s="183">
        <f t="array" ref="Z57">SUM(Model!tauL*Z13:AA13*Z26:AA26)/Z32</f>
        <v>0.1493604630761147</v>
      </c>
      <c r="AB57" s="183">
        <f t="array" ref="AB57">SUM(Model!tauL*AB13:AC13*AB26:AC26)/AB32</f>
        <v>0.14821330537389657</v>
      </c>
      <c r="AD57" s="183">
        <f t="array" ref="AD57">SUM(Model!tauL*AD13:AE13*AD26:AE26)/AD32</f>
        <v>0.14699645471205122</v>
      </c>
      <c r="AF57" s="183">
        <f t="array" ref="AF57">SUM(Model!tauL*AF13:AG13*AF26:AG26)/AF32</f>
        <v>0.14572082849125101</v>
      </c>
      <c r="AH57" s="183">
        <f t="array" ref="AH57">SUM(Model!tauL*AH13:AI13*AH26:AI26)/AH32</f>
        <v>0.14438089233149634</v>
      </c>
      <c r="AJ57" s="183">
        <f t="array" ref="AJ57">SUM(Model!tauL*AJ13:AK13*AJ26:AK26)/AJ32</f>
        <v>0.14288479796476661</v>
      </c>
      <c r="AL57" s="183">
        <f t="array" ref="AL57">SUM(Model!tauL*AL13:AM13*AL26:AM26)/AL32</f>
        <v>0.14093866898280435</v>
      </c>
      <c r="AN57" s="183">
        <f t="array" ref="AN57">SUM(Model!tauL*AN13:AO13*AN26:AO26)/AN32</f>
        <v>0.13841670825804367</v>
      </c>
      <c r="AP57" s="183">
        <f t="array" ref="AP57">SUM(Model!tauL*AP13:AQ13*AP26:AQ26)/AP32</f>
        <v>0.13799084780712251</v>
      </c>
      <c r="AR57" s="183">
        <f t="array" ref="AR57">SUM(Model!tauL*AR13:AS13*AR26:AS26)/AR32</f>
        <v>0.13771924994120555</v>
      </c>
      <c r="AT57" s="183">
        <f t="array" ref="AT57">SUM(Model!tauL*AT13:AU13*AT26:AU26)/AT32</f>
        <v>0.13777571411393816</v>
      </c>
      <c r="AV57" s="183">
        <f t="array" ref="AV57">SUM(Model!tauL*AV13:AW13*AV26:AW26)/AV32</f>
        <v>0.13859026297862026</v>
      </c>
      <c r="XFD57" s="183"/>
    </row>
    <row r="58" spans="1:48 16321:16384" x14ac:dyDescent="0.2">
      <c r="A58" t="s">
        <v>156</v>
      </c>
      <c r="B58" s="183">
        <f t="array" ref="B58">SUM(Model!tauY/(1+Model!tauY)*B3:C3*B18:C18)/B32</f>
        <v>1.075269412108535E-2</v>
      </c>
      <c r="D58" s="183">
        <f t="array" ref="D58">SUM(Model!tauY/(1+Model!tauY)*D3:E3*D18:E18)/D32</f>
        <v>1.0685680420003427E-2</v>
      </c>
      <c r="F58" s="183">
        <f t="array" ref="F58">SUM(Model!tauY/(1+Model!tauY)*F3:G3*F18:G18)/F32</f>
        <v>1.0618467053616101E-2</v>
      </c>
      <c r="H58" s="183">
        <f t="array" ref="H58">SUM(Model!tauY/(1+Model!tauY)*H3:I3*H18:I18)/H32</f>
        <v>1.0551012723706446E-2</v>
      </c>
      <c r="J58" s="183">
        <f t="array" ref="J58">SUM(Model!tauY/(1+Model!tauY)*J3:K3*J18:K18)/J32</f>
        <v>1.0483272110363772E-2</v>
      </c>
      <c r="L58" s="183">
        <f t="array" ref="L58">SUM(Model!tauY/(1+Model!tauY)*L3:M3*L18:M18)/L32</f>
        <v>1.041518913011895E-2</v>
      </c>
      <c r="N58" s="183">
        <f t="array" ref="N58">SUM(Model!tauY/(1+Model!tauY)*N3:O3*N18:O18)/N32</f>
        <v>1.0346702310591274E-2</v>
      </c>
      <c r="P58" s="183">
        <f t="array" ref="P58">SUM(Model!tauY/(1+Model!tauY)*P3:Q3*P18:Q18)/P32</f>
        <v>1.0277739714802524E-2</v>
      </c>
      <c r="R58" s="183">
        <f t="array" ref="R58">SUM(Model!tauY/(1+Model!tauY)*R3:S3*R18:S18)/R32</f>
        <v>1.0208219037760903E-2</v>
      </c>
      <c r="T58" s="183">
        <f t="array" ref="T58">SUM(Model!tauY/(1+Model!tauY)*T3:U3*T18:U18)/T32</f>
        <v>1.0138041957378106E-2</v>
      </c>
      <c r="V58" s="183">
        <f t="array" ref="V58">SUM(Model!tauY/(1+Model!tauY)*V3:W3*V18:W18)/V32</f>
        <v>1.006708118680506E-2</v>
      </c>
      <c r="X58" s="183">
        <f t="array" ref="X58">SUM(Model!tauY/(1+Model!tauY)*X3:Y3*X18:Y18)/X32</f>
        <v>9.9951353670826477E-3</v>
      </c>
      <c r="Y58" s="183"/>
      <c r="Z58" s="183">
        <f t="array" ref="Z58">SUM(Model!tauY/(1+Model!tauY)*Z3:AA3*Z18:AA18)/Z32</f>
        <v>9.9218108451827446E-3</v>
      </c>
      <c r="AB58" s="183">
        <f t="array" ref="AB58">SUM(Model!tauY/(1+Model!tauY)*AB3:AC3*AB18:AC18)/AB32</f>
        <v>9.8462108684484653E-3</v>
      </c>
      <c r="AD58" s="183">
        <f t="array" ref="AD58">SUM(Model!tauY/(1+Model!tauY)*AD3:AE3*AD18:AE18)/AD32</f>
        <v>9.7661749432819429E-3</v>
      </c>
      <c r="AF58" s="183">
        <f t="array" ref="AF58">SUM(Model!tauY/(1+Model!tauY)*AF3:AG3*AF18:AG18)/AF32</f>
        <v>9.6767286586780209E-3</v>
      </c>
      <c r="AH58" s="183">
        <f t="array" ref="AH58">SUM(Model!tauY/(1+Model!tauY)*AH3:AI3*AH18:AI18)/AH32</f>
        <v>9.5679554496929994E-3</v>
      </c>
      <c r="AJ58" s="183">
        <f t="array" ref="AJ58">SUM(Model!tauY/(1+Model!tauY)*AJ3:AK3*AJ18:AK18)/AJ32</f>
        <v>9.42553205562301E-3</v>
      </c>
      <c r="AL58" s="183">
        <f t="array" ref="AL58">SUM(Model!tauY/(1+Model!tauY)*AL3:AM3*AL18:AM18)/AL32</f>
        <v>9.2393908072181397E-3</v>
      </c>
      <c r="AN58" s="183">
        <f t="array" ref="AN58">SUM(Model!tauY/(1+Model!tauY)*AN3:AO3*AN18:AO18)/AN32</f>
        <v>8.9882252188496492E-3</v>
      </c>
      <c r="AP58" s="183">
        <f t="array" ref="AP58">SUM(Model!tauY/(1+Model!tauY)*AP3:AQ3*AP18:AQ18)/AP32</f>
        <v>8.9154201792049689E-3</v>
      </c>
      <c r="AR58" s="183">
        <f t="array" ref="AR58">SUM(Model!tauY/(1+Model!tauY)*AR3:AS3*AR18:AS18)/AR32</f>
        <v>8.8213175988589975E-3</v>
      </c>
      <c r="AT58" s="183">
        <f t="array" ref="AT58">SUM(Model!tauY/(1+Model!tauY)*AT3:AU3*AT18:AU18)/AT32</f>
        <v>8.6838483245785508E-3</v>
      </c>
      <c r="AV58" s="183">
        <f t="array" ref="AV58">SUM(Model!tauY/(1+Model!tauY)*AV3:AW3*AV18:AW18)/AV32</f>
        <v>8.4279190564695312E-3</v>
      </c>
      <c r="XFD58" s="183"/>
    </row>
    <row r="59" spans="1:48 16321:16384" x14ac:dyDescent="0.2">
      <c r="A59" t="s">
        <v>157</v>
      </c>
      <c r="B59" s="183">
        <f>(B2*C5*C20)/B32</f>
        <v>5.5174232040962052E-4</v>
      </c>
      <c r="D59" s="183">
        <f>(D2*E5*E20)/D32</f>
        <v>3.5566383894424197E-3</v>
      </c>
      <c r="F59" s="183">
        <f>(F2*G5*G20)/F32</f>
        <v>6.5983420903788555E-3</v>
      </c>
      <c r="H59" s="183">
        <f>(H2*I5*I20)/H32</f>
        <v>9.6817049931422639E-3</v>
      </c>
      <c r="J59" s="183">
        <f>(J2*K5*K20)/J32</f>
        <v>1.2811994663277123E-2</v>
      </c>
      <c r="L59" s="183">
        <f>(L2*M5*M20)/L32</f>
        <v>1.5994863251664718E-2</v>
      </c>
      <c r="N59" s="183">
        <f>(N2*O5*O20)/N32</f>
        <v>1.9236165049198208E-2</v>
      </c>
      <c r="P59" s="183">
        <f>(P2*Q5*Q20)/P32</f>
        <v>2.2541669918935591E-2</v>
      </c>
      <c r="R59" s="183">
        <f>(R2*S5*S20)/R32</f>
        <v>2.5916486042703555E-2</v>
      </c>
      <c r="T59" s="183">
        <f>(T2*U5*U20)/T32</f>
        <v>2.9364077776901625E-2</v>
      </c>
      <c r="V59" s="183">
        <f>(V2*W5*W20)/V32</f>
        <v>3.288480033831212E-2</v>
      </c>
      <c r="X59" s="183">
        <f>(X2*Y5*Y20)/X32</f>
        <v>3.6473878813465706E-2</v>
      </c>
      <c r="Z59" s="183">
        <f>(Z2*AA5*AA20)/Z32</f>
        <v>4.0120248649696835E-2</v>
      </c>
      <c r="AB59" s="183">
        <f>(AB2*AC5*AC20)/AB32</f>
        <v>4.3811383437727183E-2</v>
      </c>
      <c r="AD59" s="183">
        <f>(AD2*AE5*AE20)/AD32</f>
        <v>4.7562354152719297E-2</v>
      </c>
      <c r="AF59" s="183">
        <f>(AF2*AG5*AG20)/AF32</f>
        <v>5.1521831534743753E-2</v>
      </c>
      <c r="AH59" s="183">
        <f>(AH2*AI5*AI20)/AH32</f>
        <v>5.6280272330670594E-2</v>
      </c>
      <c r="AJ59" s="183">
        <f>(AJ2*AK5*AK20)/AJ32</f>
        <v>6.3616041036196849E-2</v>
      </c>
      <c r="AL59" s="183">
        <f>(AL2*AM5*AM20)/AL32</f>
        <v>7.8139075578367856E-2</v>
      </c>
      <c r="AN59" s="183">
        <f>(AN2*AO5*AO20)/AN32</f>
        <v>0.11080925288667436</v>
      </c>
      <c r="AP59" s="183">
        <f>(AP2*AQ5*AQ20)/AP32</f>
        <v>0.12193999415346023</v>
      </c>
      <c r="AR59" s="183">
        <f>(AR2*AS5*AS20)/AR32</f>
        <v>0.13641008566838111</v>
      </c>
      <c r="AT59" s="183">
        <f>(AT2*AU5*AU20)/AT32</f>
        <v>0.15704403143664888</v>
      </c>
      <c r="AV59" s="183">
        <f>(AV2*AW5*AW20)/AV32</f>
        <v>0.19305840435623911</v>
      </c>
      <c r="XFD59" s="183"/>
    </row>
    <row r="60" spans="1:48 16321:16384" x14ac:dyDescent="0.2">
      <c r="A60" t="s">
        <v>158</v>
      </c>
      <c r="B60" s="183">
        <f>Model!$C$52*B5*B20/B32</f>
        <v>2.8669464423930927E-2</v>
      </c>
      <c r="D60" s="183">
        <f>Model!$C$52*D5*D20/D32</f>
        <v>2.863618824223424E-2</v>
      </c>
      <c r="F60" s="183">
        <f>Model!$C$52*F5*F20/F32</f>
        <v>2.8606120659096151E-2</v>
      </c>
      <c r="H60" s="183">
        <f>Model!$C$52*H5*H20/H32</f>
        <v>2.8579917086191602E-2</v>
      </c>
      <c r="J60" s="183">
        <f>Model!$C$52*J5*J20/J32</f>
        <v>2.855843958551911E-2</v>
      </c>
      <c r="L60" s="183">
        <f>Model!$C$52*L5*L20/L32</f>
        <v>2.8542830021660925E-2</v>
      </c>
      <c r="N60" s="183">
        <f>Model!$C$52*N5*N20/N32</f>
        <v>2.85346391675791E-2</v>
      </c>
      <c r="P60" s="183">
        <f>Model!$C$52*P5*P20/P32</f>
        <v>2.853600536725422E-2</v>
      </c>
      <c r="R60" s="183">
        <f>Model!$C$52*R5*R20/R32</f>
        <v>2.85499427923562E-2</v>
      </c>
      <c r="T60" s="183">
        <f>Model!$C$52*T5*T20/T32</f>
        <v>2.8580792919784975E-2</v>
      </c>
      <c r="V60" s="183">
        <f>Model!$C$52*V5*V20/V32</f>
        <v>2.8634942628471372E-2</v>
      </c>
      <c r="X60" s="183">
        <f>Model!$C$52*X5*X20/X32</f>
        <v>2.8721980682474491E-2</v>
      </c>
      <c r="Z60" s="183">
        <f>Model!$C$52*Z5*Z20/Z32</f>
        <v>2.8856500916587886E-2</v>
      </c>
      <c r="AB60" s="183">
        <f>Model!$C$52*AB5*AB20/AB32</f>
        <v>2.9060734800667617E-2</v>
      </c>
      <c r="AD60" s="183">
        <f>Model!$C$52*AD5*AD20/AD32</f>
        <v>2.9367562557144882E-2</v>
      </c>
      <c r="AF60" s="183">
        <f>Model!$C$52*AF5*AF20/AF32</f>
        <v>2.9821367495635544E-2</v>
      </c>
      <c r="AH60" s="183">
        <f>Model!$C$52*AH5*AH20/AH32</f>
        <v>3.0469424340158195E-2</v>
      </c>
      <c r="AJ60" s="183">
        <f>Model!$C$52*AJ5*AJ20/AJ32</f>
        <v>3.1338902269640236E-2</v>
      </c>
      <c r="AL60" s="183">
        <f>Model!$C$52*AL5*AL20/AL32</f>
        <v>3.2439250168078623E-2</v>
      </c>
      <c r="AN60" s="183">
        <f>Model!$C$52*AN5*AN20/AN32</f>
        <v>3.4093445387918232E-2</v>
      </c>
      <c r="AP60" s="183">
        <f>Model!$C$52*AP5*AP20/AP32</f>
        <v>3.4674353875201021E-2</v>
      </c>
      <c r="AR60" s="183">
        <f>Model!$C$52*AR5*AR20/AR32</f>
        <v>3.5510598867141648E-2</v>
      </c>
      <c r="AT60" s="183">
        <f>Model!$C$52*AT5*AT20/AT32</f>
        <v>3.6900790932970051E-2</v>
      </c>
      <c r="AV60" s="183">
        <f>Model!$C$52*AV5*AV20/AV32</f>
        <v>3.9988169814944796E-2</v>
      </c>
      <c r="XFD60" s="183"/>
    </row>
    <row r="62" spans="1:48 16321:16384" x14ac:dyDescent="0.2">
      <c r="A62" t="s">
        <v>159</v>
      </c>
      <c r="B62">
        <f>B13/B15</f>
        <v>1</v>
      </c>
      <c r="D62">
        <f>D13/D15</f>
        <v>0.99641427041844433</v>
      </c>
      <c r="F62">
        <f>F13/F15</f>
        <v>0.99251550568155655</v>
      </c>
      <c r="H62">
        <f>H13/H15</f>
        <v>0.98826299715926902</v>
      </c>
      <c r="J62">
        <f>J13/J15</f>
        <v>0.98360942489324088</v>
      </c>
      <c r="L62">
        <f>L13/L15</f>
        <v>0.97849976874516531</v>
      </c>
      <c r="N62">
        <f>N13/N15</f>
        <v>0.972870152398707</v>
      </c>
      <c r="P62">
        <f>P13/P15</f>
        <v>0.96664687300142427</v>
      </c>
      <c r="R62">
        <f>R13/R15</f>
        <v>0.95974602922748165</v>
      </c>
      <c r="T62">
        <f>T13/T15</f>
        <v>0.95207473501297057</v>
      </c>
      <c r="V62">
        <f>V13/V15</f>
        <v>0.94353577760231866</v>
      </c>
      <c r="X62">
        <f>X13/X15</f>
        <v>0.93403996733963646</v>
      </c>
      <c r="Z62">
        <f>Z13/Z15</f>
        <v>0.92353382252893679</v>
      </c>
      <c r="AB62">
        <f>AB13/AB15</f>
        <v>0.91205826357600939</v>
      </c>
      <c r="AD62">
        <f>AD13/AD15</f>
        <v>0.89986715428319963</v>
      </c>
      <c r="AF62">
        <f>AF13/AF15</f>
        <v>0.88765966167521593</v>
      </c>
      <c r="AH62">
        <f>AH13/AH15</f>
        <v>0.87701721644729669</v>
      </c>
      <c r="AJ62">
        <f>AJ13/AJ15</f>
        <v>0.87130369494199722</v>
      </c>
      <c r="AL62">
        <f>AL13/AL15</f>
        <v>0.87897359503282813</v>
      </c>
      <c r="AN62">
        <f>AN13/AN15</f>
        <v>0.93570892946063466</v>
      </c>
      <c r="AP62">
        <f>AP13/AP15</f>
        <v>0.966452889447737</v>
      </c>
      <c r="AR62">
        <f>AR13/AR15</f>
        <v>1.016098577492712</v>
      </c>
      <c r="AT62">
        <f>AT13/AT15</f>
        <v>1.1073554007950797</v>
      </c>
      <c r="AV62">
        <f>AV13/AV15</f>
        <v>1.3312104536247684</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0.99867426341621712</v>
      </c>
      <c r="E65" s="181"/>
      <c r="F65" s="181">
        <f t="array" ref="F65">SQRT((F9:G9*$B$22:$C$22+F10:G10*$B$23:$C$23+F11:G11*$B$24:$C$24+F4:G4*($B$25:$C$25-$B$19:$C$19))/($B$9:$C$9*$B$22:$C$22+$B$10:$C$10*$B$23:$C$23+$B$11:$C$11*$B$24:$C$24+$B$4:$C$4*($B$25:$C$25-$B$19:$C$19))*(F9:G9*F22:G22+F10:G10*F23:G23+F11:G11*F24:G24+F4:G4*(F25:G25-F19:G19))/($B$9:$C$9*F22:G22+$B$10:$C$10*F23:G23+$B$11:$C$11*F24:G24+$B$4:$C$4*(F25:G25-F19:G19)))</f>
        <v>0.99751563735665472</v>
      </c>
      <c r="G65" s="181"/>
      <c r="H65" s="181">
        <f t="array" ref="H65">SQRT((H9:I9*$B$22:$C$22+H10:I10*$B$23:$C$23+H11:I11*$B$24:$C$24+H4:I4*($B$25:$C$25-$B$19:$C$19))/($B$9:$C$9*$B$22:$C$22+$B$10:$C$10*$B$23:$C$23+$B$11:$C$11*$B$24:$C$24+$B$4:$C$4*($B$25:$C$25-$B$19:$C$19))*(H9:I9*H22:I22+H10:I10*H23:I23+H11:I11*H24:I24+H4:I4*(H25:I25-H19:I19))/($B$9:$C$9*H22:I22+$B$10:$C$10*H23:I23+$B$11:$C$11*H24:I24+$B$4:$C$4*(H25:I25-H19:I19)))</f>
        <v>0.99656167439211885</v>
      </c>
      <c r="I65" s="181"/>
      <c r="J65" s="181">
        <f t="array" ref="J65">SQRT((J9:K9*$B$22:$C$22+J10:K10*$B$23:$C$23+J11:K11*$B$24:$C$24+J4:K4*($B$25:$C$25-$B$19:$C$19))/($B$9:$C$9*$B$22:$C$22+$B$10:$C$10*$B$23:$C$23+$B$11:$C$11*$B$24:$C$24+$B$4:$C$4*($B$25:$C$25-$B$19:$C$19))*(J9:K9*J22:K22+J10:K10*J23:K23+J11:K11*J24:K24+J4:K4*(J25:K25-J19:K19))/($B$9:$C$9*J22:K22+$B$10:$C$10*J23:K23+$B$11:$C$11*J24:K24+$B$4:$C$4*(J25:K25-J19:K19)))</f>
        <v>0.99586310049217108</v>
      </c>
      <c r="K65" s="181"/>
      <c r="L65" s="181">
        <f t="array" ref="L65">SQRT((L9:M9*$B$22:$C$22+L10:M10*$B$23:$C$23+L11:M11*$B$24:$C$24+L4:M4*($B$25:$C$25-$B$19:$C$19))/($B$9:$C$9*$B$22:$C$22+$B$10:$C$10*$B$23:$C$23+$B$11:$C$11*$B$24:$C$24+$B$4:$C$4*($B$25:$C$25-$B$19:$C$19))*(L9:M9*L22:M22+L10:M10*L23:M23+L11:M11*L24:M24+L4:M4*(L25:M25-L19:M19))/($B$9:$C$9*L22:M22+$B$10:$C$10*L23:M23+$B$11:$C$11*L24:M24+$B$4:$C$4*(L25:M25-L19:M19)))</f>
        <v>0.99548916593488657</v>
      </c>
      <c r="M65" s="181"/>
      <c r="N65" s="181">
        <f t="array" ref="N65">SQRT((N9:O9*$B$22:$C$22+N10:O10*$B$23:$C$23+N11:O11*$B$24:$C$24+N4:O4*($B$25:$C$25-$B$19:$C$19))/($B$9:$C$9*$B$22:$C$22+$B$10:$C$10*$B$23:$C$23+$B$11:$C$11*$B$24:$C$24+$B$4:$C$4*($B$25:$C$25-$B$19:$C$19))*(N9:O9*N22:O22+N10:O10*N23:O23+N11:O11*N24:O24+N4:O4*(N25:O25-N19:O19))/($B$9:$C$9*N22:O22+$B$10:$C$10*N23:O23+$B$11:$C$11*N24:O24+$B$4:$C$4*(N25:O25-N19:O19)))</f>
        <v>0.99553703026163332</v>
      </c>
      <c r="O65" s="181"/>
      <c r="P65" s="181">
        <f t="array" ref="P65">SQRT((P9:Q9*$B$22:$C$22+P10:Q10*$B$23:$C$23+P11:Q11*$B$24:$C$24+P4:Q4*($B$25:$C$25-$B$19:$C$19))/($B$9:$C$9*$B$22:$C$22+$B$10:$C$10*$B$23:$C$23+$B$11:$C$11*$B$24:$C$24+$B$4:$C$4*($B$25:$C$25-$B$19:$C$19))*(P9:Q9*P22:Q22+P10:Q10*P23:Q23+P11:Q11*P24:Q24+P4:Q4*(P25:Q25-P19:Q19))/($B$9:$C$9*P22:Q22+$B$10:$C$10*P23:Q23+$B$11:$C$11*P24:Q24+$B$4:$C$4*(P25:Q25-P19:Q19)))</f>
        <v>0.99614572762421194</v>
      </c>
      <c r="Q65" s="181"/>
      <c r="R65" s="181">
        <f t="array" ref="R65">SQRT((R9:S9*$B$22:$C$22+R10:S10*$B$23:$C$23+R11:S11*$B$24:$C$24+R4:S4*($B$25:$C$25-$B$19:$C$19))/($B$9:$C$9*$B$22:$C$22+$B$10:$C$10*$B$23:$C$23+$B$11:$C$11*$B$24:$C$24+$B$4:$C$4*($B$25:$C$25-$B$19:$C$19))*(R9:S9*R22:S22+R10:S10*R23:S23+R11:S11*R24:S24+R4:S4*(R25:S25-R19:S19))/($B$9:$C$9*R22:S22+$B$10:$C$10*R23:S23+$B$11:$C$11*R24:S24+$B$4:$C$4*(R25:S25-R19:S19)))</f>
        <v>0.99751960734739631</v>
      </c>
      <c r="S65" s="181"/>
      <c r="T65" s="181">
        <f t="array" ref="T65">SQRT((T9:U9*$B$22:$C$22+T10:U10*$B$23:$C$23+T11:U11*$B$24:$C$24+T4:U4*($B$25:$C$25-$B$19:$C$19))/($B$9:$C$9*$B$22:$C$22+$B$10:$C$10*$B$23:$C$23+$B$11:$C$11*$B$24:$C$24+$B$4:$C$4*($B$25:$C$25-$B$19:$C$19))*(T9:U9*T22:U22+T10:U10*T23:U23+T11:U11*T24:U24+T4:U4*(T25:U25-T19:U19))/($B$9:$C$9*T22:U22+$B$10:$C$10*T23:U23+$B$11:$C$11*T24:U24+$B$4:$C$4*(T25:U25-T19:U19)))</f>
        <v>0.99996765587882797</v>
      </c>
      <c r="U65" s="181"/>
      <c r="V65" s="181">
        <f t="array" ref="V65">SQRT((V9:W9*$B$22:$C$22+V10:W10*$B$23:$C$23+V11:W11*$B$24:$C$24+V4:W4*($B$25:$C$25-$B$19:$C$19))/($B$9:$C$9*$B$22:$C$22+$B$10:$C$10*$B$23:$C$23+$B$11:$C$11*$B$24:$C$24+$B$4:$C$4*($B$25:$C$25-$B$19:$C$19))*(V9:W9*V22:W22+V10:W10*V23:W23+V11:W11*V24:W24+V4:W4*(V25:W25-V19:W19))/($B$9:$C$9*V22:W22+$B$10:$C$10*V23:W23+$B$11:$C$11*V24:W24+$B$4:$C$4*(V25:W25-V19:W19)))</f>
        <v>1.0039716047932787</v>
      </c>
      <c r="W65" s="181"/>
      <c r="X65" s="181">
        <f t="array" ref="X65">SQRT((X9:Y9*$B$22:$C$22+X10:Y10*$B$23:$C$23+X11:Y11*$B$24:$C$24+X4:Y4*($B$25:$C$25-$B$19:$C$19))/($B$9:$C$9*$B$22:$C$22+$B$10:$C$10*$B$23:$C$23+$B$11:$C$11*$B$24:$C$24+$B$4:$C$4*($B$25:$C$25-$B$19:$C$19))*(X9:Y9*X22:Y22+X10:Y10*X23:Y23+X11:Y11*X24:Y24+X4:Y4*(X25:Y25-X19:Y19))/($B$9:$C$9*X22:Y22+$B$10:$C$10*X23:Y23+$B$11:$C$11*X24:Y24+$B$4:$C$4*(X25:Y25-X19:Y19)))</f>
        <v>1.0103090998552748</v>
      </c>
      <c r="Y65" s="181"/>
      <c r="Z65" s="181">
        <f t="array" ref="Z65">SQRT((Z9:AA9*$B$22:$C$22+Z10:AA10*$B$23:$C$23+Z11:AA11*$B$24:$C$24+Z4:AA4*($B$25:$C$25-$B$19:$C$19))/($B$9:$C$9*$B$22:$C$22+$B$10:$C$10*$B$23:$C$23+$B$11:$C$11*$B$24:$C$24+$B$4:$C$4*($B$25:$C$25-$B$19:$C$19))*(Z9:AA9*Z22:AA22+Z10:AA10*Z23:AA23+Z11:AA11*Z24:AA24+Z4:AA4*(Z25:AA25-Z19:AA19))/($B$9:$C$9*Z22:AA22+$B$10:$C$10*Z23:AA23+$B$11:$C$11*Z24:AA24+$B$4:$C$4*(Z25:AA25-Z19:AA19)))</f>
        <v>1.0202823869693065</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1.0361601728903713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1.0620566535773657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1.1057526630791259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1.1827559052785352</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1.3279396378351449</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1.6480744891345414</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2.822586832884328</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3.6799220239965043</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6.9002574683028435</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0.99854223250435414</v>
      </c>
      <c r="E66" s="181"/>
      <c r="F66" s="181">
        <f t="array" ref="F66">SQRT((F9:G9*$B$22:$C$22)/($B$9:$C$9*$B$22:$C$22)*(F9:G9*F22:G22)/($B$9:$C$9*F22:G22))</f>
        <v>0.99726701348930391</v>
      </c>
      <c r="G66" s="181"/>
      <c r="H66" s="181">
        <f t="array" ref="H66">SQRT((H9:I9*$B$22:$C$22)/($B$9:$C$9*$B$22:$C$22)*(H9:I9*H22:I22)/($B$9:$C$9*H22:I22))</f>
        <v>0.99621625948164982</v>
      </c>
      <c r="I66" s="181"/>
      <c r="J66" s="181">
        <f t="array" ref="J66">SQRT((J9:K9*$B$22:$C$22)/($B$9:$C$9*$B$22:$C$22)*(J9:K9*J22:K22)/($B$9:$C$9*J22:K22))</f>
        <v>0.99544643414513012</v>
      </c>
      <c r="K66" s="181"/>
      <c r="L66" s="181">
        <f t="array" ref="L66">SQRT((L9:M9*$B$22:$C$22)/($B$9:$C$9*$B$22:$C$22)*(L9:M9*L22:M22)/($B$9:$C$9*L22:M22))</f>
        <v>0.99503438711859771</v>
      </c>
      <c r="M66" s="181"/>
      <c r="N66" s="181">
        <f t="array" ref="N66">SQRT((N9:O9*$B$22:$C$22)/($B$9:$C$9*$B$22:$C$22)*(N9:O9*N22:O22)/($B$9:$C$9*N22:O22))</f>
        <v>0.99508755456757814</v>
      </c>
      <c r="O66" s="181"/>
      <c r="P66" s="181">
        <f t="array" ref="P66">SQRT((P9:Q9*$B$22:$C$22)/($B$9:$C$9*$B$22:$C$22)*(P9:Q9*P22:Q22)/($B$9:$C$9*P22:Q22))</f>
        <v>0.995759021049063</v>
      </c>
      <c r="Q66" s="181"/>
      <c r="R66" s="181">
        <f t="array" ref="R66">SQRT((R9:S9*$B$22:$C$22)/($B$9:$C$9*$B$22:$C$22)*(R9:S9*R22:S22)/($B$9:$C$9*R22:S22))</f>
        <v>0.99727260438343179</v>
      </c>
      <c r="S66" s="181"/>
      <c r="T66" s="181">
        <f t="array" ref="T66">SQRT((T9:U9*$B$22:$C$22)/($B$9:$C$9*$B$22:$C$22)*(T9:U9*T22:U22)/($B$9:$C$9*T22:U22))</f>
        <v>0.99996447576719549</v>
      </c>
      <c r="U66" s="181"/>
      <c r="V66" s="181">
        <f t="array" ref="V66">SQRT((V9:W9*$B$22:$C$22)/($B$9:$C$9*$B$22:$C$22)*(V9:W9*V22:W22)/($B$9:$C$9*V22:W22))</f>
        <v>1.00435420628244</v>
      </c>
      <c r="W66" s="181"/>
      <c r="X66" s="181">
        <f t="array" ref="X66">SQRT((X9:Y9*$B$22:$C$22)/($B$9:$C$9*$B$22:$C$22)*(X9:Y9*X22:Y22)/($B$9:$C$9*X22:Y22))</f>
        <v>1.0112708239680486</v>
      </c>
      <c r="Y66" s="181"/>
      <c r="Z66" s="181">
        <f t="array" ref="Z66">SQRT((Z9:AA9*$B$22:$C$22)/($B$9:$C$9*$B$22:$C$22)*(Z9:AA9*Z22:AA22)/($B$9:$C$9*Z22:AA22))</f>
        <v>1.0220805912258035</v>
      </c>
      <c r="AA66" s="181"/>
      <c r="AB66" s="181">
        <f t="array" ref="AB66">SQRT((AB9:AC9*$B$22:$C$22)/($B$9:$C$9*$B$22:$C$22)*(AB9:AC9*AB22:AC22)/($B$9:$C$9*AB22:AC22))</f>
        <v>1.0391106426794368</v>
      </c>
      <c r="AC66" s="181"/>
      <c r="AD66" s="181">
        <f t="array" ref="AD66">SQRT((AD9:AE9*$B$22:$C$22)/($B$9:$C$9*$B$22:$C$22)*(AD9:AE9*AD22:AE22)/($B$9:$C$9*AD22:AE22))</f>
        <v>1.0664453094551196</v>
      </c>
      <c r="AE66" s="181"/>
      <c r="AF66" s="181">
        <f t="array" ref="AF66">SQRT((AF9:AG9*$B$22:$C$22)/($B$9:$C$9*$B$22:$C$22)*(AF9:AG9*AF22:AG22)/($B$9:$C$9*AF22:AG22))</f>
        <v>1.1114429419232084</v>
      </c>
      <c r="AG66" s="181"/>
      <c r="AH66" s="181">
        <f t="array" ref="AH66">SQRT((AH9:AI9*$B$22:$C$22)/($B$9:$C$9*$B$22:$C$22)*(AH9:AI9*AH22:AI22)/($B$9:$C$9*AH22:AI22))</f>
        <v>1.187730859958342</v>
      </c>
      <c r="AI66" s="181"/>
      <c r="AJ66" s="181">
        <f t="array" ref="AJ66">SQRT((AJ9:AK9*$B$22:$C$22)/($B$9:$C$9*$B$22:$C$22)*(AJ9:AK9*AJ22:AK22)/($B$9:$C$9*AJ22:AK22))</f>
        <v>1.3227382082637871</v>
      </c>
      <c r="AK66" s="181"/>
      <c r="AL66" s="181">
        <f t="array" ref="AL66">SQRT((AL9:AM9*$B$22:$C$22)/($B$9:$C$9*$B$22:$C$22)*(AL9:AM9*AL22:AM22)/($B$9:$C$9*AL22:AM22))</f>
        <v>1.5863705045174288</v>
      </c>
      <c r="AM66" s="181"/>
      <c r="AN66" s="181">
        <f t="array" ref="AN66">SQRT((AN9:AO9*$B$22:$C$22)/($B$9:$C$9*$B$22:$C$22)*(AN9:AO9*AN22:AO22)/($B$9:$C$9*AN22:AO22))</f>
        <v>2.2365256837847065</v>
      </c>
      <c r="AO66" s="181"/>
      <c r="AP66" s="181">
        <f t="array" ref="AP66">SQRT((AP9:AQ9*$B$22:$C$22)/($B$9:$C$9*$B$22:$C$22)*(AP9:AQ9*AP22:AQ22)/($B$9:$C$9*AP22:AQ22))</f>
        <v>2.4949964097865842</v>
      </c>
      <c r="AQ66" s="181"/>
      <c r="AR66" s="181">
        <f t="array" ref="AR66">SQRT((AR9:AS9*$B$22:$C$22)/($B$9:$C$9*$B$22:$C$22)*(AR9:AS9*AR22:AS22)/($B$9:$C$9*AR22:AS22))</f>
        <v>2.8605555222072176</v>
      </c>
      <c r="AS66" s="181"/>
      <c r="AT66" s="181">
        <f t="array" ref="AT66">SQRT((AT9:AU9*$B$22:$C$22)/($B$9:$C$9*$B$22:$C$22)*(AT9:AU9*AT22:AU22)/($B$9:$C$9*AT22:AU22))</f>
        <v>3.4322267995162719</v>
      </c>
      <c r="AU66" s="181"/>
      <c r="AV66" s="181">
        <f t="array" ref="AV66">SQRT((AV9:AW9*$B$22:$C$22)/($B$9:$C$9*$B$22:$C$22)*(AV9:AW9*AV22:AW22)/($B$9:$C$9*AV22:AW22))</f>
        <v>4.5318887275888207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0.99854223250435414</v>
      </c>
      <c r="E68" s="181"/>
      <c r="F68" s="181">
        <f>F66/F67</f>
        <v>0.99726701348930391</v>
      </c>
      <c r="G68" s="181"/>
      <c r="H68" s="181">
        <f>H66/H67</f>
        <v>0.99621625948164982</v>
      </c>
      <c r="I68" s="181"/>
      <c r="J68" s="181">
        <f>J66/J67</f>
        <v>0.99544643414513012</v>
      </c>
      <c r="K68" s="181"/>
      <c r="L68" s="181">
        <f>L66/L67</f>
        <v>0.99503438711859771</v>
      </c>
      <c r="M68" s="181"/>
      <c r="N68" s="181">
        <f>N66/N67</f>
        <v>0.99508755456757814</v>
      </c>
      <c r="O68" s="181"/>
      <c r="P68" s="181">
        <f>P66/P67</f>
        <v>0.995759021049063</v>
      </c>
      <c r="Q68" s="181"/>
      <c r="R68" s="181">
        <f>R66/R67</f>
        <v>0.99727260438343179</v>
      </c>
      <c r="S68" s="181"/>
      <c r="T68" s="181">
        <f>T66/T67</f>
        <v>0.99996447576719549</v>
      </c>
      <c r="U68" s="181"/>
      <c r="V68" s="181">
        <f>V66/V67</f>
        <v>1.00435420628244</v>
      </c>
      <c r="W68" s="181"/>
      <c r="X68" s="181">
        <f>X66/X67</f>
        <v>1.0112708239680486</v>
      </c>
      <c r="Y68" s="181"/>
      <c r="Z68" s="181">
        <f>Z66/Z67</f>
        <v>1.0220805912258035</v>
      </c>
      <c r="AA68" s="181"/>
      <c r="AB68" s="181">
        <f>AB66/AB67</f>
        <v>1.0391106426794368</v>
      </c>
      <c r="AC68" s="181"/>
      <c r="AD68" s="181">
        <f>AD66/AD67</f>
        <v>1.0664453094551196</v>
      </c>
      <c r="AE68" s="181"/>
      <c r="AF68" s="181">
        <f>AF66/AF67</f>
        <v>1.1114429419232084</v>
      </c>
      <c r="AG68" s="181"/>
      <c r="AH68" s="181">
        <f>AH66/AH67</f>
        <v>1.187730859958342</v>
      </c>
      <c r="AI68" s="181"/>
      <c r="AJ68" s="181">
        <f>AJ66/AJ67</f>
        <v>1.3227382082637871</v>
      </c>
      <c r="AK68" s="181"/>
      <c r="AL68" s="181">
        <f>AL66/AL67</f>
        <v>1.5863705045174288</v>
      </c>
      <c r="AM68" s="181"/>
      <c r="AN68" s="181">
        <f>AN66/AN67</f>
        <v>2.2365256837847065</v>
      </c>
      <c r="AO68" s="181"/>
      <c r="AP68" s="181">
        <f>AP66/AP67</f>
        <v>2.4949964097865842</v>
      </c>
      <c r="AQ68" s="181"/>
      <c r="AR68" s="181">
        <f>AR66/AR67</f>
        <v>2.8605555222072176</v>
      </c>
      <c r="AS68" s="181"/>
      <c r="AT68" s="181">
        <f>AT66/AT67</f>
        <v>3.4322267995162719</v>
      </c>
      <c r="AU68" s="181"/>
      <c r="AV68" s="181">
        <f>AV66/AV67</f>
        <v>4.5318887275888207</v>
      </c>
      <c r="XFD68" s="181"/>
    </row>
    <row r="69" spans="1:48 16384:16384" x14ac:dyDescent="0.2">
      <c r="A69" t="s">
        <v>161</v>
      </c>
      <c r="B69" s="181">
        <f>B32/B65/($B$32)</f>
        <v>1</v>
      </c>
      <c r="C69" s="181"/>
      <c r="D69" s="181">
        <f>D32/D65/($B$32)</f>
        <v>0.99570301593730881</v>
      </c>
      <c r="E69" s="181"/>
      <c r="F69" s="181">
        <f>F32/F65/($B$32)</f>
        <v>0.99067453166194008</v>
      </c>
      <c r="G69" s="181"/>
      <c r="H69" s="181">
        <f>H32/H65/($B$32)</f>
        <v>0.98476988552436706</v>
      </c>
      <c r="I69" s="181"/>
      <c r="J69" s="181">
        <f>J32/J65/($B$32)</f>
        <v>0.97780401848146115</v>
      </c>
      <c r="K69" s="181"/>
      <c r="L69" s="181">
        <f>L32/L65/($B$32)</f>
        <v>0.96953892510393147</v>
      </c>
      <c r="M69" s="181"/>
      <c r="N69" s="181">
        <f>N32/N65/($B$32)</f>
        <v>0.95966313408249648</v>
      </c>
      <c r="O69" s="181"/>
      <c r="P69" s="181">
        <f>P32/P65/($B$32)</f>
        <v>0.94776532695719196</v>
      </c>
      <c r="Q69" s="181"/>
      <c r="R69" s="181">
        <f>R32/R65/($B$32)</f>
        <v>0.9332958813614336</v>
      </c>
      <c r="S69" s="181"/>
      <c r="T69" s="181">
        <f>T32/T65/($B$32)</f>
        <v>0.91551450896740483</v>
      </c>
      <c r="U69" s="181"/>
      <c r="V69" s="181">
        <f>V32/V65/($B$32)</f>
        <v>0.89342241222821572</v>
      </c>
      <c r="W69" s="181"/>
      <c r="X69" s="181">
        <f>X32/X65/($B$32)</f>
        <v>0.86568376311065076</v>
      </c>
      <c r="Y69" s="181"/>
      <c r="Z69" s="181">
        <f>Z32/Z65/($B$32)</f>
        <v>0.83056782108257132</v>
      </c>
      <c r="AA69" s="181"/>
      <c r="AB69" s="181">
        <f>AB32/AB65/($B$32)</f>
        <v>0.78599848546317186</v>
      </c>
      <c r="AC69" s="181"/>
      <c r="AD69" s="181">
        <f>AD32/AD65/($B$32)</f>
        <v>0.72991116633845521</v>
      </c>
      <c r="AE69" s="181"/>
      <c r="AF69" s="181">
        <f>AF32/AF65/($B$32)</f>
        <v>0.6611972918822161</v>
      </c>
      <c r="AG69" s="181"/>
      <c r="AH69" s="181">
        <f>AH32/AH65/($B$32)</f>
        <v>0.58111993936675888</v>
      </c>
      <c r="AI69" s="181"/>
      <c r="AJ69" s="181">
        <f>AJ32/AJ65/($B$32)</f>
        <v>0.4931846747092028</v>
      </c>
      <c r="AK69" s="181"/>
      <c r="AL69" s="181">
        <f>AL32/AL65/($B$32)</f>
        <v>0.39632552092090217</v>
      </c>
      <c r="AM69" s="181"/>
      <c r="AN69" s="181">
        <f>AN32/AN65/($B$32)</f>
        <v>0.253141483126822</v>
      </c>
      <c r="AO69" s="181"/>
      <c r="AP69" s="181">
        <f>AP32/AP65/($B$32)</f>
        <v>0.20059104696387919</v>
      </c>
      <c r="AQ69" s="181"/>
      <c r="AR69" s="181">
        <f>AR32/AR65/($B$32)</f>
        <v>0.11104008080406128</v>
      </c>
      <c r="AS69" s="181"/>
      <c r="AT69" s="181" t="e">
        <f>AT32/AT65/($B$32)</f>
        <v>#NUM!</v>
      </c>
      <c r="AU69" s="181"/>
      <c r="AV69" s="181" t="e">
        <f>AV32/AV65/($B$32)</f>
        <v>#NUM!</v>
      </c>
    </row>
    <row r="70" spans="1:48 16384:16384" x14ac:dyDescent="0.2">
      <c r="A70" t="s">
        <v>162</v>
      </c>
      <c r="B70" s="129">
        <f>B18/$B$18</f>
        <v>1</v>
      </c>
      <c r="C70" s="129"/>
      <c r="D70" s="129">
        <f>D18/$B$18</f>
        <v>0.99525984983972804</v>
      </c>
      <c r="E70" s="129"/>
      <c r="F70" s="129">
        <f>F18/$B$18</f>
        <v>0.9898167815749217</v>
      </c>
      <c r="G70" s="129"/>
      <c r="H70" s="129">
        <f>H18/$B$18</f>
        <v>0.98352804182093323</v>
      </c>
      <c r="I70" s="129"/>
      <c r="J70" s="129">
        <f>J18/$B$18</f>
        <v>0.97621057315993653</v>
      </c>
      <c r="K70" s="129"/>
      <c r="L70" s="129">
        <f>L18/$B$18</f>
        <v>0.96762829091192382</v>
      </c>
      <c r="M70" s="129"/>
      <c r="N70" s="129">
        <f>N18/$B$18</f>
        <v>0.95747139644079993</v>
      </c>
      <c r="O70" s="129"/>
      <c r="P70" s="129">
        <f>P18/$B$18</f>
        <v>0.94532957423875119</v>
      </c>
      <c r="Q70" s="129"/>
      <c r="R70" s="129">
        <f>R18/$B$18</f>
        <v>0.93065294590855552</v>
      </c>
      <c r="S70" s="129"/>
      <c r="T70" s="129">
        <f>T18/$B$18</f>
        <v>0.91269879507669271</v>
      </c>
      <c r="U70" s="129"/>
      <c r="V70" s="129">
        <f>V18/$B$18</f>
        <v>0.89046250575382457</v>
      </c>
      <c r="W70" s="129"/>
      <c r="X70" s="129">
        <f>X18/$B$18</f>
        <v>0.862597816581819</v>
      </c>
      <c r="Y70" s="129"/>
      <c r="Z70" s="129">
        <f>Z18/$B$18</f>
        <v>0.82735890578003823</v>
      </c>
      <c r="AA70" s="129"/>
      <c r="AB70" s="129">
        <f>AB18/$B$18</f>
        <v>0.78265473437069888</v>
      </c>
      <c r="AC70" s="129"/>
      <c r="AD70" s="129">
        <f>AD18/$B$18</f>
        <v>0.72642317788745903</v>
      </c>
      <c r="AE70" s="129"/>
      <c r="AF70" s="129">
        <f>AF18/$B$18</f>
        <v>0.65762140149454862</v>
      </c>
      <c r="AG70" s="129"/>
      <c r="AH70" s="129">
        <f>AH18/$B$18</f>
        <v>0.57774066832110971</v>
      </c>
      <c r="AI70" s="129"/>
      <c r="AJ70" s="129">
        <f>AJ18/$B$18</f>
        <v>0.49097000317271577</v>
      </c>
      <c r="AK70" s="129"/>
      <c r="AL70" s="129">
        <f>AL18/$B$18</f>
        <v>0.39922684225744504</v>
      </c>
      <c r="AM70" s="129"/>
      <c r="AN70" s="129">
        <f>AN18/$B$18</f>
        <v>0.28879736907221443</v>
      </c>
      <c r="AO70" s="129"/>
      <c r="AP70" s="129">
        <f>AP18/$B$18</f>
        <v>0.25977219327287016</v>
      </c>
      <c r="AQ70" s="129"/>
      <c r="AR70" s="129">
        <f>AR18/$B$18</f>
        <v>0.22554223870309642</v>
      </c>
      <c r="AS70" s="129"/>
      <c r="AT70" s="129">
        <f>AT18/$B$18</f>
        <v>0.18286674419133872</v>
      </c>
      <c r="AU70" s="129"/>
      <c r="AV70" s="129">
        <f>AV18/$B$18</f>
        <v>0.1242121174016667</v>
      </c>
    </row>
    <row r="71" spans="1:48 16384:16384" x14ac:dyDescent="0.2">
      <c r="A71" t="s">
        <v>163</v>
      </c>
      <c r="B71" s="129">
        <f>C18/$C$18</f>
        <v>1</v>
      </c>
      <c r="D71" s="129">
        <f>E18/$C$18</f>
        <v>0.93615578086614348</v>
      </c>
      <c r="E71" s="129"/>
      <c r="F71" s="129">
        <f>G18/$C$18</f>
        <v>0.8724352158398434</v>
      </c>
      <c r="G71" s="129"/>
      <c r="H71" s="129">
        <f>I18/$C$18</f>
        <v>0.80887755741930512</v>
      </c>
      <c r="I71" s="129"/>
      <c r="J71" s="129">
        <f>K18/$C$18</f>
        <v>0.74553349060842156</v>
      </c>
      <c r="K71" s="129"/>
      <c r="L71" s="129">
        <f>M18/$C$18</f>
        <v>0.6824664432432046</v>
      </c>
      <c r="M71" s="129"/>
      <c r="N71" s="129">
        <f>O18/$C$18</f>
        <v>0.61976083528798731</v>
      </c>
      <c r="O71" s="129"/>
      <c r="P71" s="129">
        <f>Q18/$C$18</f>
        <v>0.55752802332232032</v>
      </c>
      <c r="Q71" s="129"/>
      <c r="R71" s="129">
        <f>S18/$C$18</f>
        <v>0.49591776652580777</v>
      </c>
      <c r="S71" s="129"/>
      <c r="T71" s="129">
        <f>U18/$C$18</f>
        <v>0.43513192853101307</v>
      </c>
      <c r="U71" s="129"/>
      <c r="V71" s="129">
        <f>W18/$C$18</f>
        <v>0.37544268636303502</v>
      </c>
      <c r="W71" s="129"/>
      <c r="X71" s="129">
        <f>Y18/$C$18</f>
        <v>0.31720896473205357</v>
      </c>
      <c r="Y71" s="129"/>
      <c r="Z71" s="129">
        <f>AA18/$C$18</f>
        <v>0.26088681808649378</v>
      </c>
      <c r="AA71" s="129"/>
      <c r="AB71" s="129">
        <f>AC18/$C$18</f>
        <v>0.20701363971737313</v>
      </c>
      <c r="AC71" s="129"/>
      <c r="AD71" s="129">
        <f>AE18/$C$18</f>
        <v>0.15614659908505515</v>
      </c>
      <c r="AE71" s="129"/>
      <c r="AF71" s="129">
        <f>AG18/$C$18</f>
        <v>0.10880081732132815</v>
      </c>
      <c r="AG71" s="129"/>
      <c r="AH71" s="129">
        <f>AI18/$C$18</f>
        <v>6.5725730135839544E-2</v>
      </c>
      <c r="AI71" s="129"/>
      <c r="AJ71" s="129">
        <f>AK18/$C$18</f>
        <v>2.9388109999203507E-2</v>
      </c>
      <c r="AK71" s="129"/>
      <c r="AL71" s="129">
        <f>AM18/$C$18</f>
        <v>6.2850520166018824E-3</v>
      </c>
      <c r="AM71" s="129"/>
      <c r="AN71" s="129">
        <f>AO18/$C$18</f>
        <v>1.735609310586355E-4</v>
      </c>
      <c r="AO71" s="129"/>
      <c r="AP71" s="129">
        <f>AQ18/$C$18</f>
        <v>4.8309346572528591E-5</v>
      </c>
      <c r="AQ71" s="129"/>
      <c r="AR71" s="129">
        <f>AS18/$C$18</f>
        <v>9.0518578126391621E-6</v>
      </c>
      <c r="AS71" s="129"/>
      <c r="AT71" s="129">
        <f>AU18/$C$18</f>
        <v>8.4899087777629054E-7</v>
      </c>
      <c r="AU71" s="129"/>
      <c r="AV71" s="129">
        <f>AW18/$C$18</f>
        <v>1.5938826398776033E-8</v>
      </c>
      <c r="XFD71" s="129"/>
    </row>
    <row r="72" spans="1:48 16384:16384" x14ac:dyDescent="0.2">
      <c r="A72" t="s">
        <v>164</v>
      </c>
      <c r="B72" s="129">
        <f>C19/$C$19</f>
        <v>1</v>
      </c>
      <c r="D72" s="129">
        <f>E19/$C$19</f>
        <v>1.0012395976245143</v>
      </c>
      <c r="E72" s="129"/>
      <c r="F72" s="129">
        <f>G19/$C$19</f>
        <v>1.0038067557883541</v>
      </c>
      <c r="G72" s="129"/>
      <c r="H72" s="129">
        <f>I19/$C$19</f>
        <v>1.0077759807191993</v>
      </c>
      <c r="I72" s="129"/>
      <c r="J72" s="129">
        <f>K19/$C$19</f>
        <v>1.0132081636689583</v>
      </c>
      <c r="K72" s="129"/>
      <c r="L72" s="129">
        <f>M19/$C$19</f>
        <v>1.0201346438050605</v>
      </c>
      <c r="M72" s="129"/>
      <c r="N72" s="129">
        <f>O19/$C$19</f>
        <v>1.0285344604497659</v>
      </c>
      <c r="O72" s="129"/>
      <c r="P72" s="129">
        <f>Q19/$C$19</f>
        <v>1.038296081614662</v>
      </c>
      <c r="Q72" s="129"/>
      <c r="R72" s="129">
        <f>S19/$C$19</f>
        <v>1.049159681254255</v>
      </c>
      <c r="S72" s="129"/>
      <c r="T72" s="129">
        <f>U19/$C$19</f>
        <v>1.0606304942720817</v>
      </c>
      <c r="U72" s="129"/>
      <c r="V72" s="129">
        <f>W19/$C$19</f>
        <v>1.0718589896671196</v>
      </c>
      <c r="W72" s="129"/>
      <c r="X72" s="129">
        <f>Y19/$C$19</f>
        <v>1.0814913230709515</v>
      </c>
      <c r="Y72" s="129"/>
      <c r="Z72" s="129">
        <f>AA19/$C$19</f>
        <v>1.0875396635205747</v>
      </c>
      <c r="AA72" s="129"/>
      <c r="AB72" s="129">
        <f>AC19/$C$19</f>
        <v>1.0874050382883935</v>
      </c>
      <c r="AC72" s="129"/>
      <c r="AD72" s="129">
        <f>AE19/$C$19</f>
        <v>1.0782942986801667</v>
      </c>
      <c r="AE72" s="129"/>
      <c r="AF72" s="129">
        <f>AG19/$C$19</f>
        <v>1.0580366895553266</v>
      </c>
      <c r="AG72" s="129"/>
      <c r="AH72" s="129">
        <f>AI19/$C$19</f>
        <v>1.0241483948889682</v>
      </c>
      <c r="AI72" s="129"/>
      <c r="AJ72" s="129">
        <f>AK19/$C$19</f>
        <v>0.9619874711613885</v>
      </c>
      <c r="AK72" s="129"/>
      <c r="AL72" s="129">
        <f>AM19/$C$19</f>
        <v>0.80789881331405888</v>
      </c>
      <c r="AM72" s="129"/>
      <c r="AN72" s="129">
        <f>AO19/$C$19</f>
        <v>0.4614775710762643</v>
      </c>
      <c r="AO72" s="129"/>
      <c r="AP72" s="129">
        <f>AQ19/$C$19</f>
        <v>0.37247910592078304</v>
      </c>
      <c r="AQ72" s="129"/>
      <c r="AR72" s="129">
        <f>AS19/$C$19</f>
        <v>0.28068600887357398</v>
      </c>
      <c r="AS72" s="129"/>
      <c r="AT72" s="129">
        <f>AU19/$C$19</f>
        <v>0.18749664715233902</v>
      </c>
      <c r="AU72" s="129"/>
      <c r="AV72" s="129">
        <f>AW19/$C$19</f>
        <v>9.3799166109561585E-2</v>
      </c>
      <c r="XFD72" s="129"/>
    </row>
    <row r="73" spans="1:48 16384:16384" x14ac:dyDescent="0.2">
      <c r="A73" t="s">
        <v>168</v>
      </c>
      <c r="B73" s="183">
        <f t="array" ref="B73">SUM(B9:C9*B22:C22)/B32</f>
        <v>0.47641153352875021</v>
      </c>
      <c r="D73" s="183">
        <f t="array" ref="D73">SUM(D9:E9*D22:E22)/D32</f>
        <v>0.47501649338473317</v>
      </c>
      <c r="E73" s="129"/>
      <c r="F73" s="183">
        <f t="array" ref="F73">SUM(F9:G9*F22:G22)/F32</f>
        <v>0.47361143466001726</v>
      </c>
      <c r="G73" s="129"/>
      <c r="H73" s="183">
        <f t="array" ref="H73">SUM(H9:I9*H22:I22)/H32</f>
        <v>0.4721949438124497</v>
      </c>
      <c r="I73" s="129"/>
      <c r="J73" s="183">
        <f t="array" ref="J73">SUM(J9:K9*J22:K22)/J32</f>
        <v>0.47076557140019631</v>
      </c>
      <c r="K73" s="129"/>
      <c r="L73" s="183">
        <f t="array" ref="L73">SUM(L9:M9*L22:M22)/L32</f>
        <v>0.46932176045539936</v>
      </c>
      <c r="M73" s="129"/>
      <c r="N73" s="183">
        <f t="array" ref="N73">SUM(N9:O9*N22:O22)/N32</f>
        <v>0.46786201503756653</v>
      </c>
      <c r="O73" s="129"/>
      <c r="P73" s="183">
        <f t="array" ref="P73">SUM(P9:Q9*P22:Q22)/P32</f>
        <v>0.46638493895482974</v>
      </c>
      <c r="Q73" s="129"/>
      <c r="R73" s="183">
        <f t="array" ref="R73">SUM(R9:S9*R22:S22)/R32</f>
        <v>0.4648894419584863</v>
      </c>
      <c r="S73" s="129"/>
      <c r="T73" s="183">
        <f t="array" ref="T73">SUM(T9:U9*T22:U22)/T32</f>
        <v>0.46337501152228516</v>
      </c>
      <c r="U73" s="129"/>
      <c r="V73" s="183">
        <f t="array" ref="V73">SUM(V9:W9*V22:W22)/V32</f>
        <v>0.46184192195319501</v>
      </c>
      <c r="W73" s="129"/>
      <c r="X73" s="183">
        <f t="array" ref="X73">SUM(X9:Y9*X22:Y22)/X32</f>
        <v>0.46029139296363514</v>
      </c>
      <c r="Y73" s="129"/>
      <c r="Z73" s="183">
        <f t="array" ref="Z73">SUM(Z9:AA9*Z22:AA22)/Z32</f>
        <v>0.4587243304725977</v>
      </c>
      <c r="AA73" s="129"/>
      <c r="AB73" s="183">
        <f t="array" ref="AB73">SUM(AB9:AC9*AB22:AC22)/AB32</f>
        <v>0.45713587082851481</v>
      </c>
      <c r="AC73" s="129"/>
      <c r="AD73" s="183">
        <f t="array" ref="AD73">SUM(AD9:AE9*AD22:AE22)/AD32</f>
        <v>0.45549465955038854</v>
      </c>
      <c r="AE73" s="129"/>
      <c r="AF73" s="183">
        <f t="array" ref="AF73">SUM(AF9:AG9*AF22:AG22)/AF32</f>
        <v>0.4536827918399593</v>
      </c>
      <c r="AG73" s="129"/>
      <c r="AH73" s="183">
        <f t="array" ref="AH73">SUM(AH9:AI9*AH22:AI22)/AH32</f>
        <v>0.45133025994274989</v>
      </c>
      <c r="AI73" s="129"/>
      <c r="AJ73" s="183">
        <f t="array" ref="AJ73">SUM(AJ9:AK9*AJ22:AK22)/AJ32</f>
        <v>0.44742698032575262</v>
      </c>
      <c r="AK73" s="129"/>
      <c r="AL73" s="183">
        <f t="array" ref="AL73">SUM(AL9:AM9*AL22:AM22)/AL32</f>
        <v>0.43940783393568289</v>
      </c>
      <c r="AM73" s="129"/>
      <c r="AN73" s="183">
        <f t="array" ref="AN73">SUM(AN9:AO9*AN22:AO22)/AN32</f>
        <v>0.42065371325314443</v>
      </c>
      <c r="AO73" s="129"/>
      <c r="AP73" s="183">
        <f t="array" ref="AP73">SUM(AP9:AQ9*AP22:AQ22)/AP32</f>
        <v>0.41398869253338105</v>
      </c>
      <c r="AQ73" s="129"/>
      <c r="AR73" s="183">
        <f t="array" ref="AR73">SUM(AR9:AS9*AR22:AS22)/AR32</f>
        <v>0.40510794956639679</v>
      </c>
      <c r="AS73" s="129"/>
      <c r="AT73" s="183">
        <f t="array" ref="AT73">SUM(AT9:AU9*AT22:AU22)/AT32</f>
        <v>0.39206490994323323</v>
      </c>
      <c r="AU73" s="129"/>
      <c r="AV73" s="183">
        <f t="array" ref="AV73">SUM(AV9:AW9*AV22:AW22)/AV32</f>
        <v>0.3684907075906807</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0.22604620456442487</v>
      </c>
      <c r="AK74" s="129"/>
      <c r="AL74" s="183">
        <f t="array" ref="AL74">SUM(AL10:AM10*AL23:AM23)/AL32</f>
        <v>0.22604620456442481</v>
      </c>
      <c r="AM74" s="129"/>
      <c r="AN74" s="183">
        <f t="array" ref="AN74">SUM(AN10:AO10*AN23:AO23)/AN32</f>
        <v>0.22604620456442484</v>
      </c>
      <c r="AO74" s="129"/>
      <c r="AP74" s="183">
        <f t="array" ref="AP74">SUM(AP10:AQ10*AP23:AQ23)/AP32</f>
        <v>0.22604620456442484</v>
      </c>
      <c r="AQ74" s="129"/>
      <c r="AR74" s="183">
        <f t="array" ref="AR74">SUM(AR10:AS10*AR23:AS23)/AR32</f>
        <v>0.22604620456442487</v>
      </c>
      <c r="AS74" s="129"/>
      <c r="AT74" s="183">
        <f t="array" ref="AT74">SUM(AT10:AU10*AT23:AU23)/AT32</f>
        <v>0.22604620456442484</v>
      </c>
      <c r="AU74" s="129"/>
      <c r="AV74" s="183">
        <f t="array" ref="AV74">SUM(AV10:AW10*AV23:AW23)/AV32</f>
        <v>0.22604620456442487</v>
      </c>
      <c r="XFD74" s="183"/>
    </row>
    <row r="75" spans="1:48 16384:16384" x14ac:dyDescent="0.2">
      <c r="A75" t="s">
        <v>170</v>
      </c>
      <c r="B75" s="183">
        <f t="array" ref="B75">SUM(B11:C11*B24:C24)/B32</f>
        <v>0.22038438833194082</v>
      </c>
      <c r="D75" s="183">
        <f t="array" ref="D75">SUM(D11:E11*D24:E24)/D32</f>
        <v>0.22130620137356799</v>
      </c>
      <c r="E75" s="129"/>
      <c r="F75" s="183">
        <f t="array" ref="F75">SUM(F11:G11*F24:G24)/F32</f>
        <v>0.22240347561890941</v>
      </c>
      <c r="G75" s="129"/>
      <c r="H75" s="183">
        <f t="array" ref="H75">SUM(H11:I11*H24:I24)/H32</f>
        <v>0.22371520989244528</v>
      </c>
      <c r="I75" s="129"/>
      <c r="J75" s="183">
        <f t="array" ref="J75">SUM(J11:K11*J24:K24)/J32</f>
        <v>0.22529277437406095</v>
      </c>
      <c r="K75" s="129"/>
      <c r="L75" s="183">
        <f t="array" ref="L75">SUM(L11:M11*L24:M24)/L32</f>
        <v>0.22720460450304325</v>
      </c>
      <c r="M75" s="129"/>
      <c r="N75" s="183">
        <f t="array" ref="N75">SUM(N11:O11*N24:O24)/N32</f>
        <v>0.22954397122326567</v>
      </c>
      <c r="O75" s="129"/>
      <c r="P75" s="183">
        <f t="array" ref="P75">SUM(P11:Q11*P24:Q24)/P32</f>
        <v>0.23244027632808884</v>
      </c>
      <c r="Q75" s="129"/>
      <c r="R75" s="183">
        <f t="array" ref="R75">SUM(R11:S11*R24:S24)/R32</f>
        <v>0.23607713456960008</v>
      </c>
      <c r="S75" s="129"/>
      <c r="T75" s="183">
        <f t="array" ref="T75">SUM(T11:U11*T24:U24)/T32</f>
        <v>0.24072113036295006</v>
      </c>
      <c r="U75" s="129"/>
      <c r="V75" s="183">
        <f t="array" ref="V75">SUM(V11:W11*V24:W24)/V32</f>
        <v>0.24676834960822183</v>
      </c>
      <c r="W75" s="129"/>
      <c r="X75" s="183">
        <f t="array" ref="X75">SUM(X11:Y11*X24:Y24)/X32</f>
        <v>0.25482073709224556</v>
      </c>
      <c r="Y75" s="129"/>
      <c r="Z75" s="183">
        <f t="array" ref="Z75">SUM(Z11:AA11*Z24:AA24)/Z32</f>
        <v>0.26580948698826035</v>
      </c>
      <c r="AA75" s="129"/>
      <c r="AB75" s="183">
        <f t="array" ref="AB75">SUM(AB11:AC11*AB24:AC24)/AB32</f>
        <v>0.28118620805452932</v>
      </c>
      <c r="AC75" s="129"/>
      <c r="AD75" s="183">
        <f t="array" ref="AD75">SUM(AD11:AE11*AD24:AE24)/AD32</f>
        <v>0.30318082003974639</v>
      </c>
      <c r="AE75" s="129"/>
      <c r="AF75" s="183">
        <f t="array" ref="AF75">SUM(AF11:AG11*AF24:AG24)/AF32</f>
        <v>0.33502632903905544</v>
      </c>
      <c r="AG75" s="129"/>
      <c r="AH75" s="183">
        <f t="array" ref="AH75">SUM(AH11:AI11*AH24:AI24)/AH32</f>
        <v>0.38083597356155729</v>
      </c>
      <c r="AI75" s="129"/>
      <c r="AJ75" s="183">
        <f t="array" ref="AJ75">SUM(AJ11:AK11*AJ24:AK24)/AJ32</f>
        <v>0.44510945330203</v>
      </c>
      <c r="AK75" s="129"/>
      <c r="AL75" s="183">
        <f t="array" ref="AL75">SUM(AL11:AM11*AL24:AM24)/AL32</f>
        <v>0.53524987795695333</v>
      </c>
      <c r="AM75" s="129"/>
      <c r="AN75" s="183">
        <f t="array" ref="AN75">SUM(AN11:AO11*AN24:AO24)/AN32</f>
        <v>0.68983318865545618</v>
      </c>
      <c r="AO75" s="129"/>
      <c r="AP75" s="183">
        <f t="array" ref="AP75">SUM(AP11:AQ11*AP24:AQ24)/AP32</f>
        <v>0.74490448684366706</v>
      </c>
      <c r="AQ75" s="129"/>
      <c r="AR75" s="183">
        <f t="array" ref="AR75">SUM(AR11:AS11*AR24:AS24)/AR32</f>
        <v>0.82278457883458933</v>
      </c>
      <c r="AS75" s="129"/>
      <c r="AT75" s="183">
        <f t="array" ref="AT75">SUM(AT11:AU11*AT24:AU24)/AT32</f>
        <v>0.94862771220910813</v>
      </c>
      <c r="AU75" s="129"/>
      <c r="AV75" s="183">
        <f t="array" ref="AV75">SUM(AV11:AW11*AV24:AW24)/AV32</f>
        <v>1.2158399815805665</v>
      </c>
      <c r="XFD75" s="183"/>
    </row>
    <row r="76" spans="1:48 16384:16384" x14ac:dyDescent="0.2">
      <c r="A76" t="s">
        <v>171</v>
      </c>
      <c r="B76" s="183">
        <f t="array" ref="B76">SUM(B12:C12*B25:C25)/B32</f>
        <v>0.22301874374724867</v>
      </c>
      <c r="D76" s="183">
        <f t="array" ref="D76">SUM(D12:E12*D25:E25)/D32</f>
        <v>0.22327993528557244</v>
      </c>
      <c r="E76" s="129"/>
      <c r="F76" s="183">
        <f t="array" ref="F76">SUM(F12:G12*F25:G25)/F32</f>
        <v>0.22344919145633485</v>
      </c>
      <c r="G76" s="129"/>
      <c r="H76" s="183">
        <f t="array" ref="H76">SUM(H12:I12*H25:I25)/H32</f>
        <v>0.22350135389491899</v>
      </c>
      <c r="I76" s="129"/>
      <c r="J76" s="183">
        <f t="array" ref="J76">SUM(J12:K12*J25:K25)/J32</f>
        <v>0.22340234311933302</v>
      </c>
      <c r="K76" s="129"/>
      <c r="L76" s="183">
        <f t="array" ref="L76">SUM(L12:M12*L25:M25)/L32</f>
        <v>0.22310563478437603</v>
      </c>
      <c r="M76" s="129"/>
      <c r="N76" s="183">
        <f t="array" ref="N76">SUM(N12:O12*N25:O25)/N32</f>
        <v>0.22254627329996385</v>
      </c>
      <c r="O76" s="129"/>
      <c r="P76" s="183">
        <f t="array" ref="P76">SUM(P12:Q12*P25:Q25)/P32</f>
        <v>0.22163223765422185</v>
      </c>
      <c r="Q76" s="129"/>
      <c r="R76" s="183">
        <f t="array" ref="R76">SUM(R12:S12*R25:S25)/R32</f>
        <v>0.22023059144916593</v>
      </c>
      <c r="S76" s="129"/>
      <c r="T76" s="183">
        <f t="array" ref="T76">SUM(T12:U12*T25:U25)/T32</f>
        <v>0.21814564949538445</v>
      </c>
      <c r="U76" s="129"/>
      <c r="V76" s="183">
        <f t="array" ref="V76">SUM(V12:W12*V25:W25)/V32</f>
        <v>0.21508439535910379</v>
      </c>
      <c r="W76" s="129"/>
      <c r="X76" s="183">
        <f t="array" ref="X76">SUM(X12:Y12*X25:Y25)/X32</f>
        <v>0.21060138073020715</v>
      </c>
      <c r="Y76" s="129"/>
      <c r="Z76" s="183">
        <f t="array" ref="Z76">SUM(Z12:AA12*Z25:AA25)/Z32</f>
        <v>0.20401515514136365</v>
      </c>
      <c r="AA76" s="129"/>
      <c r="AB76" s="183">
        <f t="array" ref="AB76">SUM(AB12:AC12*AB25:AC25)/AB32</f>
        <v>0.19429340791356314</v>
      </c>
      <c r="AC76" s="129"/>
      <c r="AD76" s="183">
        <f t="array" ref="AD76">SUM(AD12:AE12*AD25:AE25)/AD32</f>
        <v>0.17994347449479794</v>
      </c>
      <c r="AE76" s="129"/>
      <c r="AF76" s="183">
        <f t="array" ref="AF76">SUM(AF12:AG12*AF25:AG25)/AF32</f>
        <v>0.15906506708313237</v>
      </c>
      <c r="AG76" s="129"/>
      <c r="AH76" s="183">
        <f t="array" ref="AH76">SUM(AH12:AI12*AH25:AI25)/AH32</f>
        <v>0.12996974725649132</v>
      </c>
      <c r="AI76" s="129"/>
      <c r="AJ76" s="183">
        <f t="array" ref="AJ76">SUM(AJ12:AK12*AJ25:AK25)/AJ32</f>
        <v>9.2727081568249936E-2</v>
      </c>
      <c r="AK76" s="129"/>
      <c r="AL76" s="183">
        <f t="array" ref="AL76">SUM(AL12:AM12*AL25:AM25)/AL32</f>
        <v>5.1157825371503665E-2</v>
      </c>
      <c r="AM76" s="129"/>
      <c r="AN76" s="183">
        <f t="array" ref="AN76">SUM(AN12:AO12*AN25:AO25)/AN32</f>
        <v>1.549067907571011E-2</v>
      </c>
      <c r="AO76" s="129"/>
      <c r="AP76" s="183">
        <f t="array" ref="AP76">SUM(AP12:AQ12*AP25:AQ25)/AP32</f>
        <v>1.0388824704860664E-2</v>
      </c>
      <c r="AQ76" s="129"/>
      <c r="AR76" s="183">
        <f t="array" ref="AR76">SUM(AR12:AS12*AR25:AS25)/AR32</f>
        <v>6.2093185771213309E-3</v>
      </c>
      <c r="AS76" s="129"/>
      <c r="AT76" s="183">
        <f t="array" ref="AT76">SUM(AT12:AU12*AT25:AU25)/AT32</f>
        <v>3.0299910408921435E-3</v>
      </c>
      <c r="AU76" s="129"/>
      <c r="AV76" s="183">
        <f t="array" ref="AV76">SUM(AV12:AW12*AV25:AW25)/AV32</f>
        <v>9.220232113447258E-4</v>
      </c>
      <c r="XFD76" s="183"/>
    </row>
    <row r="77" spans="1:48 16384:16384" x14ac:dyDescent="0.2">
      <c r="A77" t="s">
        <v>172</v>
      </c>
      <c r="B77" s="183">
        <f t="array" ref="B77">SUM(B4:C4*B19:C19)/B32</f>
        <v>0.14586087017236485</v>
      </c>
      <c r="D77" s="183">
        <f t="array" ref="D77">SUM(D4:E4*D19:E19)/D32</f>
        <v>0.14564883460829944</v>
      </c>
      <c r="E77" s="129"/>
      <c r="F77" s="183">
        <f t="array" ref="F77">SUM(F4:G4*F19:G19)/F32</f>
        <v>0.14551030629968695</v>
      </c>
      <c r="G77" s="129"/>
      <c r="H77" s="183">
        <f t="array" ref="H77">SUM(H4:I4*H19:I19)/H32</f>
        <v>0.14545771216423944</v>
      </c>
      <c r="I77" s="129"/>
      <c r="J77" s="183">
        <f t="array" ref="J77">SUM(J4:K4*J19:K19)/J32</f>
        <v>0.14550689345801521</v>
      </c>
      <c r="K77" s="129"/>
      <c r="L77" s="183">
        <f t="array" ref="L77">SUM(L4:M4*L19:M19)/L32</f>
        <v>0.14567820430724338</v>
      </c>
      <c r="M77" s="129"/>
      <c r="N77" s="183">
        <f t="array" ref="N77">SUM(N4:O4*N19:O19)/N32</f>
        <v>0.14599846412522169</v>
      </c>
      <c r="O77" s="129"/>
      <c r="P77" s="183">
        <f t="array" ref="P77">SUM(P4:Q4*P19:Q19)/P32</f>
        <v>0.14650365750156497</v>
      </c>
      <c r="Q77" s="129"/>
      <c r="R77" s="183">
        <f t="array" ref="R77">SUM(R4:S4*R19:S19)/R32</f>
        <v>0.14724337254167819</v>
      </c>
      <c r="S77" s="129"/>
      <c r="T77" s="183">
        <f t="array" ref="T77">SUM(T4:U4*T19:U19)/T32</f>
        <v>0.14828799594504394</v>
      </c>
      <c r="U77" s="129"/>
      <c r="V77" s="183">
        <f t="array" ref="V77">SUM(V4:W4*V19:W19)/V32</f>
        <v>0.14974087148494605</v>
      </c>
      <c r="W77" s="129"/>
      <c r="X77" s="183">
        <f t="array" ref="X77">SUM(X4:Y4*X19:Y19)/X32</f>
        <v>0.15175971535051261</v>
      </c>
      <c r="Y77" s="129"/>
      <c r="Z77" s="183">
        <f t="array" ref="Z77">SUM(Z4:AA4*Z19:AA19)/Z32</f>
        <v>0.1545951771666467</v>
      </c>
      <c r="AA77" s="129"/>
      <c r="AB77" s="183">
        <f t="array" ref="AB77">SUM(AB4:AC4*AB19:AC19)/AB32</f>
        <v>0.1586616913610322</v>
      </c>
      <c r="AC77" s="129"/>
      <c r="AD77" s="183">
        <f t="array" ref="AD77">SUM(AD4:AE4*AD19:AE19)/AD32</f>
        <v>0.16466515864935774</v>
      </c>
      <c r="AE77" s="129"/>
      <c r="AF77" s="183">
        <f t="array" ref="AF77">SUM(AF4:AG4*AF19:AG19)/AF32</f>
        <v>0.17382039252657155</v>
      </c>
      <c r="AG77" s="129"/>
      <c r="AH77" s="183">
        <f t="array" ref="AH77">SUM(AH4:AI4*AH19:AI19)/AH32</f>
        <v>0.18818218532522291</v>
      </c>
      <c r="AI77" s="129"/>
      <c r="AJ77" s="183">
        <f t="array" ref="AJ77">SUM(AJ4:AK4*AJ19:AK19)/AJ32</f>
        <v>0.21130971976045748</v>
      </c>
      <c r="AK77" s="129"/>
      <c r="AL77" s="183">
        <f t="array" ref="AL77">SUM(AL4:AM4*AL19:AM19)/AL32</f>
        <v>0.25186174182856536</v>
      </c>
      <c r="AM77" s="129"/>
      <c r="AN77" s="183">
        <f t="array" ref="AN77">SUM(AN4:AO4*AN19:AO19)/AN32</f>
        <v>0.35202378554873515</v>
      </c>
      <c r="AO77" s="129"/>
      <c r="AP77" s="183">
        <f t="array" ref="AP77">SUM(AP4:AQ4*AP19:AQ19)/AP32</f>
        <v>0.39532820864633372</v>
      </c>
      <c r="AQ77" s="129"/>
      <c r="AR77" s="183">
        <f t="array" ref="AR77">SUM(AR4:AS4*AR19:AS19)/AR32</f>
        <v>0.46014805154253224</v>
      </c>
      <c r="AS77" s="129"/>
      <c r="AT77" s="183">
        <f t="array" ref="AT77">SUM(AT4:AU4*AT19:AU19)/AT32</f>
        <v>0.56976881775765831</v>
      </c>
      <c r="AU77" s="129"/>
      <c r="AV77" s="183">
        <f t="array" ref="AV77">SUM(AV4:AW4*AV19:AW19)/AV32</f>
        <v>0.81129891694701717</v>
      </c>
      <c r="XFD77" s="183"/>
    </row>
    <row r="78" spans="1:48 16384:16384" x14ac:dyDescent="0.2">
      <c r="A78" t="s">
        <v>173</v>
      </c>
      <c r="B78" s="183">
        <f t="array" ref="B78">SUM(B13:C13*B26:C26)/B32</f>
        <v>0.346887593115773</v>
      </c>
      <c r="D78" s="183">
        <f t="array" ref="D78">SUM(D13:E13*D26:E26)/D32</f>
        <v>0.34566739633998028</v>
      </c>
      <c r="E78" s="129"/>
      <c r="F78" s="183">
        <f t="array" ref="F78">SUM(F13:G13*F26:G26)/F32</f>
        <v>0.34439695839546908</v>
      </c>
      <c r="G78" s="129"/>
      <c r="H78" s="183">
        <f t="array" ref="H78">SUM(H13:I13*H26:I26)/H32</f>
        <v>0.34306946592002541</v>
      </c>
      <c r="I78" s="129"/>
      <c r="J78" s="183">
        <f t="array" ref="J78">SUM(J13:K13*J26:K26)/J32</f>
        <v>0.3416770529125171</v>
      </c>
      <c r="K78" s="129"/>
      <c r="L78" s="183">
        <f t="array" ref="L78">SUM(L13:M13*L26:M26)/L32</f>
        <v>0.34021060753336307</v>
      </c>
      <c r="M78" s="129"/>
      <c r="N78" s="183">
        <f t="array" ref="N78">SUM(N13:O13*N26:O26)/N32</f>
        <v>0.33865963449776498</v>
      </c>
      <c r="O78" s="129"/>
      <c r="P78" s="183">
        <f t="array" ref="P78">SUM(P13:Q13*P26:Q26)/P32</f>
        <v>0.33701210021922356</v>
      </c>
      <c r="Q78" s="129"/>
      <c r="R78" s="183">
        <f t="array" ref="R78">SUM(R13:S13*R26:S26)/R32</f>
        <v>0.33525441363814018</v>
      </c>
      <c r="S78" s="129"/>
      <c r="T78" s="183">
        <f t="array" ref="T78">SUM(T13:U13*T26:U26)/T32</f>
        <v>0.33337164413109516</v>
      </c>
      <c r="U78" s="129"/>
      <c r="V78" s="183">
        <f t="array" ref="V78">SUM(V13:W13*V26:W26)/V32</f>
        <v>0.33134823098545052</v>
      </c>
      <c r="W78" s="129"/>
      <c r="X78" s="183">
        <f t="array" ref="X78">SUM(X13:Y13*X26:Y26)/X32</f>
        <v>0.32916966509197665</v>
      </c>
      <c r="Y78" s="129"/>
      <c r="Z78" s="183">
        <f t="array" ref="Z78">SUM(Z13:AA13*Z26:AA26)/Z32</f>
        <v>0.32682569726595356</v>
      </c>
      <c r="AA78" s="129"/>
      <c r="AB78" s="183">
        <f t="array" ref="AB78">SUM(AB13:AC13*AB26:AC26)/AB32</f>
        <v>0.32431552417074572</v>
      </c>
      <c r="AC78" s="129"/>
      <c r="AD78" s="183">
        <f t="array" ref="AD78">SUM(AD13:AE13*AD26:AE26)/AD32</f>
        <v>0.32165285121275239</v>
      </c>
      <c r="AE78" s="129"/>
      <c r="AF78" s="183">
        <f t="array" ref="AF78">SUM(AF13:AG13*AF26:AG26)/AF32</f>
        <v>0.31886156749229883</v>
      </c>
      <c r="AG78" s="129"/>
      <c r="AH78" s="183">
        <f t="array" ref="AH78">SUM(AH13:AI13*AH26:AI26)/AH32</f>
        <v>0.31592956285944951</v>
      </c>
      <c r="AI78" s="129"/>
      <c r="AJ78" s="183">
        <f t="array" ref="AJ78">SUM(AJ13:AK13*AJ26:AK26)/AJ32</f>
        <v>0.31265585792769041</v>
      </c>
      <c r="AK78" s="129"/>
      <c r="AL78" s="183">
        <f t="array" ref="AL78">SUM(AL13:AM13*AL26:AM26)/AL32</f>
        <v>0.30839740191865161</v>
      </c>
      <c r="AM78" s="129"/>
      <c r="AN78" s="183">
        <f t="array" ref="AN78">SUM(AN13:AO13*AN26:AO26)/AN32</f>
        <v>0.30287892965784169</v>
      </c>
      <c r="AO78" s="129"/>
      <c r="AP78" s="183">
        <f t="array" ref="AP78">SUM(AP13:AQ13*AP26:AQ26)/AP32</f>
        <v>0.30194707569901075</v>
      </c>
      <c r="AQ78" s="129"/>
      <c r="AR78" s="183">
        <f t="array" ref="AR78">SUM(AR13:AS13*AR26:AS26)/AR32</f>
        <v>0.30135277410087619</v>
      </c>
      <c r="AS78" s="129"/>
      <c r="AT78" s="183">
        <f t="array" ref="AT78">SUM(AT13:AU13*AT26:AU26)/AT32</f>
        <v>0.30147632716333872</v>
      </c>
      <c r="AU78" s="129"/>
      <c r="AV78" s="183">
        <f t="array" ref="AV78">SUM(AV13:AW13*AV26:AW26)/AV32</f>
        <v>0.30325869644081777</v>
      </c>
      <c r="XFD78" s="183"/>
    </row>
    <row r="79" spans="1:48 16384:16384" x14ac:dyDescent="0.2">
      <c r="A79" t="s">
        <v>174</v>
      </c>
      <c r="B79" s="183">
        <f t="array" ref="B79">SUM(B15:C15*B27:C27)/B32</f>
        <v>0.45460968782440875</v>
      </c>
      <c r="D79" s="183">
        <f t="array" ref="D79">SUM(D15:E15*D27:E27)/D32</f>
        <v>0.45348291765899168</v>
      </c>
      <c r="F79" s="183">
        <f t="array" ref="F79">SUM(F15:G15*F27:G27)/F32</f>
        <v>0.45238953406549842</v>
      </c>
      <c r="H79" s="183">
        <f t="array" ref="H79">SUM(H15:I15*H27:I27)/H32</f>
        <v>0.45133397660474445</v>
      </c>
      <c r="J79" s="183">
        <f t="array" ref="J79">SUM(J15:K15*J27:K27)/J32</f>
        <v>0.45032166550249636</v>
      </c>
      <c r="L79" s="183">
        <f t="array" ref="L79">SUM(L15:M15*L27:M27)/L32</f>
        <v>0.44935909425133191</v>
      </c>
      <c r="N79" s="183">
        <f t="array" ref="N79">SUM(N15:O15*N27:O27)/N32</f>
        <v>0.44845424179565929</v>
      </c>
      <c r="P79" s="183">
        <f t="array" ref="P79">SUM(P15:Q15*P27:Q27)/P32</f>
        <v>0.44761679693645035</v>
      </c>
      <c r="R79" s="183">
        <f t="array" ref="R79">SUM(R15:S15*R27:S27)/R32</f>
        <v>0.44685852317743913</v>
      </c>
      <c r="T79" s="183">
        <f t="array" ref="T79">SUM(T15:U15*T27:U27)/T32</f>
        <v>0.44619345754722611</v>
      </c>
      <c r="V79" s="183">
        <f t="array" ref="V79">SUM(V15:W15*V27:W27)/V32</f>
        <v>0.44563767194209675</v>
      </c>
      <c r="X79" s="183">
        <f t="array" ref="X79">SUM(X15:Y15*X27:Y27)/X32</f>
        <v>0.44520768602524663</v>
      </c>
      <c r="Z79" s="183">
        <f t="array" ref="Z79">SUM(Z15:AA15*Z27:AA27)/Z32</f>
        <v>0.44491527701794625</v>
      </c>
      <c r="AB79" s="183">
        <f t="array" ref="AB79">SUM(AB15:AC15*AB27:AC27)/AB32</f>
        <v>0.44475291855100024</v>
      </c>
      <c r="AD79" s="183">
        <f t="array" ref="AD79">SUM(AD15:AE15*AD27:AE27)/AD32</f>
        <v>0.44465461626723551</v>
      </c>
      <c r="AF79" s="183">
        <f t="array" ref="AF79">SUM(AF15:AG15*AF27:AG27)/AF32</f>
        <v>0.44439768262617568</v>
      </c>
      <c r="AH79" s="183">
        <f t="array" ref="AH79">SUM(AH15:AI15*AH27:AI27)/AH32</f>
        <v>0.44337189537518013</v>
      </c>
      <c r="AJ79" s="183">
        <f t="array" ref="AJ79">SUM(AJ15:AK15*AJ27:AK27)/AJ32</f>
        <v>0.44007887053709871</v>
      </c>
      <c r="AL79" s="183">
        <f t="array" ref="AL79">SUM(AL15:AM15*AL27:AM27)/AL32</f>
        <v>0.43084621237207843</v>
      </c>
      <c r="AN79" s="183">
        <f t="array" ref="AN79">SUM(AN15:AO15*AN27:AO27)/AN32</f>
        <v>0.40481344039611777</v>
      </c>
      <c r="AP79" s="183">
        <f t="array" ref="AP79">SUM(AP15:AQ15*AP27:AQ27)/AP32</f>
        <v>0.39453230830826302</v>
      </c>
      <c r="AR79" s="183">
        <f t="array" ref="AR79">SUM(AR15:AS15*AR27:AS27)/AR32</f>
        <v>0.38018597383730673</v>
      </c>
      <c r="AT79" s="183">
        <f t="array" ref="AT79">SUM(AT15:AU15*AT27:AU27)/AT32</f>
        <v>0.35811928922537511</v>
      </c>
      <c r="AV79" s="183">
        <f t="array" ref="AV79">SUM(AV15:AW15*AV27:AW27)/AV32</f>
        <v>0.31667654735483897</v>
      </c>
      <c r="XFD79" s="183"/>
    </row>
    <row r="80" spans="1:48 16384:16384" x14ac:dyDescent="0.2">
      <c r="A80" t="s">
        <v>153</v>
      </c>
      <c r="B80" s="195">
        <f>B55</f>
        <v>0.19850271905982084</v>
      </c>
      <c r="D80" s="195">
        <f>D55</f>
        <v>0.20084969114018617</v>
      </c>
      <c r="F80" s="195">
        <f>F55</f>
        <v>0.20321351939952081</v>
      </c>
      <c r="H80" s="195">
        <f>H55</f>
        <v>0.20559655579133732</v>
      </c>
      <c r="J80" s="195">
        <f>J55</f>
        <v>0.2080012898338085</v>
      </c>
      <c r="L80" s="195">
        <f>L55</f>
        <v>0.21043029531703092</v>
      </c>
      <c r="N80" s="195">
        <f>N55</f>
        <v>0.2128861194513782</v>
      </c>
      <c r="P80" s="195">
        <f>P55</f>
        <v>0.21537109911666386</v>
      </c>
      <c r="R80" s="195">
        <f>R55</f>
        <v>0.21788706320060472</v>
      </c>
      <c r="T80" s="195">
        <f>T55</f>
        <v>0.2204348958683697</v>
      </c>
      <c r="V80" s="195">
        <f>V55</f>
        <v>0.22301410062984947</v>
      </c>
      <c r="X80" s="195">
        <f>X55</f>
        <v>0.225622659264061</v>
      </c>
      <c r="Z80" s="195">
        <f>Z55</f>
        <v>0.22825902348758215</v>
      </c>
      <c r="AB80" s="195">
        <f>AB55</f>
        <v>0.23093163448073981</v>
      </c>
      <c r="AD80" s="195">
        <f>AD55</f>
        <v>0.23369254636519732</v>
      </c>
      <c r="AF80" s="195">
        <f>AF55</f>
        <v>0.23674075618030835</v>
      </c>
      <c r="AH80" s="195">
        <f>AH55</f>
        <v>0.24069854445201813</v>
      </c>
      <c r="AJ80" s="195">
        <f>AJ55</f>
        <v>0.24726527332622672</v>
      </c>
      <c r="AL80" s="195">
        <f>AL55</f>
        <v>0.26075638553646902</v>
      </c>
      <c r="AN80" s="195">
        <f>AN55</f>
        <v>0.29230763175148589</v>
      </c>
      <c r="AP80" s="195">
        <f>AP55</f>
        <v>0.30352061601498875</v>
      </c>
      <c r="AR80" s="195">
        <f>AR55</f>
        <v>0.31846125207558734</v>
      </c>
      <c r="AT80" s="195">
        <f>AT55</f>
        <v>0.34040438480813562</v>
      </c>
      <c r="AV80" s="195">
        <f>AV55</f>
        <v>0.38006475620627361</v>
      </c>
      <c r="XFD80" s="195"/>
    </row>
    <row r="81" spans="1:48 16384:16384" x14ac:dyDescent="0.2">
      <c r="A81" t="s">
        <v>175</v>
      </c>
      <c r="B81" s="195">
        <f>B51/B$32</f>
        <v>-2.7543485504603994E-2</v>
      </c>
      <c r="D81" s="195">
        <f>D51/D$32</f>
        <v>-2.5196513424238679E-2</v>
      </c>
      <c r="F81" s="195">
        <f>F51/F$32</f>
        <v>-2.2832685164904033E-2</v>
      </c>
      <c r="H81" s="195">
        <f>H51/H$32</f>
        <v>-2.0449648773087515E-2</v>
      </c>
      <c r="J81" s="195">
        <f>J51/J$32</f>
        <v>-1.8044914730616344E-2</v>
      </c>
      <c r="L81" s="195">
        <f>L51/L$32</f>
        <v>-1.5615909247393917E-2</v>
      </c>
      <c r="N81" s="195">
        <f>N51/N$32</f>
        <v>-1.3160085113046642E-2</v>
      </c>
      <c r="P81" s="195">
        <f>P51/P$32</f>
        <v>-1.0675105447760963E-2</v>
      </c>
      <c r="R81" s="195">
        <f>R51/R$32</f>
        <v>-8.1591413638201198E-3</v>
      </c>
      <c r="T81" s="195">
        <f>T51/T$32</f>
        <v>-5.6113086960551378E-3</v>
      </c>
      <c r="V81" s="195">
        <f>V51/V$32</f>
        <v>-3.032103934575381E-3</v>
      </c>
      <c r="X81" s="195">
        <f>X51/X$32</f>
        <v>-4.2354530036384463E-4</v>
      </c>
      <c r="Z81" s="195">
        <f>Z51/Z$32</f>
        <v>2.2128189231572998E-3</v>
      </c>
      <c r="AB81" s="195">
        <f>AB51/AB$32</f>
        <v>4.8854299163149728E-3</v>
      </c>
      <c r="AD81" s="195">
        <f>AD51/AD$32</f>
        <v>7.6463418007724875E-3</v>
      </c>
      <c r="AF81" s="195">
        <f>AF51/AF$32</f>
        <v>1.0694551615883504E-2</v>
      </c>
      <c r="AH81" s="195">
        <f>AH51/AH$32</f>
        <v>1.4652339887593306E-2</v>
      </c>
      <c r="AJ81" s="195">
        <f>AJ51/AJ$32</f>
        <v>2.1219068761801858E-2</v>
      </c>
      <c r="AL81" s="195">
        <f>AL51/AL$32</f>
        <v>3.4710180972044168E-2</v>
      </c>
      <c r="AN81" s="195">
        <f>AN51/AN$32</f>
        <v>6.6261427187061073E-2</v>
      </c>
      <c r="AP81" s="195">
        <f>AP51/AP$32</f>
        <v>7.7474411450563885E-2</v>
      </c>
      <c r="AR81" s="195">
        <f>AR51/AR$32</f>
        <v>9.241504751116246E-2</v>
      </c>
      <c r="AT81" s="195">
        <f>AT51/AT$32</f>
        <v>0.11435818024371079</v>
      </c>
      <c r="AV81" s="195">
        <f>AV51/AV$32</f>
        <v>0.15401855164184874</v>
      </c>
      <c r="XFD81" s="195"/>
    </row>
    <row r="82" spans="1:48 16384:16384" x14ac:dyDescent="0.2">
      <c r="A82" t="s">
        <v>176</v>
      </c>
      <c r="B82" s="195">
        <f>B52/B$32</f>
        <v>0.14069693704202227</v>
      </c>
      <c r="D82" s="195">
        <f>D52/D$32</f>
        <v>0.14020202758907654</v>
      </c>
      <c r="F82" s="195">
        <f>F52/F$32</f>
        <v>0.13968674041524259</v>
      </c>
      <c r="H82" s="195">
        <f>H52/H$32</f>
        <v>0.13914831203398043</v>
      </c>
      <c r="J82" s="195">
        <f>J52/J$32</f>
        <v>0.13858355201044015</v>
      </c>
      <c r="L82" s="195">
        <f>L52/L$32</f>
        <v>0.13798876460010592</v>
      </c>
      <c r="N82" s="195">
        <f>N52/N$32</f>
        <v>0.13735969293575676</v>
      </c>
      <c r="P82" s="195">
        <f>P52/P$32</f>
        <v>0.1366914562179761</v>
      </c>
      <c r="R82" s="195">
        <f>R52/R$32</f>
        <v>0.13597854193926978</v>
      </c>
      <c r="T82" s="195">
        <f>T52/T$32</f>
        <v>0.13521489426764799</v>
      </c>
      <c r="V82" s="195">
        <f>V52/V$32</f>
        <v>0.1343942018081522</v>
      </c>
      <c r="X82" s="195">
        <f>X52/X$32</f>
        <v>0.13351057969413302</v>
      </c>
      <c r="Z82" s="195">
        <f>Z52/Z$32</f>
        <v>0.13255987087608534</v>
      </c>
      <c r="AB82" s="195">
        <f>AB52/AB$32</f>
        <v>0.13154174952222311</v>
      </c>
      <c r="AD82" s="195">
        <f>AD52/AD$32</f>
        <v>0.13046177451888175</v>
      </c>
      <c r="AF82" s="195">
        <f>AF52/AF$32</f>
        <v>0.12932963523896232</v>
      </c>
      <c r="AH82" s="195">
        <f>AH52/AH$32</f>
        <v>0.1281404198290666</v>
      </c>
      <c r="AJ82" s="195">
        <f>AJ52/AJ$32</f>
        <v>0.12681261143862887</v>
      </c>
      <c r="AL82" s="195">
        <f>AL52/AL$32</f>
        <v>0.12508538991531543</v>
      </c>
      <c r="AN82" s="195">
        <f>AN52/AN$32</f>
        <v>0.12284710823659255</v>
      </c>
      <c r="AP82" s="195">
        <f>AP52/AP$32</f>
        <v>0.12246915007268025</v>
      </c>
      <c r="AR82" s="195">
        <f>AR52/AR$32</f>
        <v>0.12222810249359083</v>
      </c>
      <c r="AT82" s="195">
        <f>AT52/AT$32</f>
        <v>0.12227821537682916</v>
      </c>
      <c r="AV82" s="195">
        <f>AV52/AV$32</f>
        <v>0.12300114090946823</v>
      </c>
    </row>
    <row r="83" spans="1:48 16384:16384" x14ac:dyDescent="0.2">
      <c r="A83" t="s">
        <v>177</v>
      </c>
      <c r="B83" s="195">
        <f>B53/B$32</f>
        <v>0.18438881036940691</v>
      </c>
      <c r="D83" s="195">
        <f>D53/D$32</f>
        <v>0.1839317945689842</v>
      </c>
      <c r="F83" s="195">
        <f>F53/F$32</f>
        <v>0.18348832029757903</v>
      </c>
      <c r="H83" s="195">
        <f>H53/H$32</f>
        <v>0.18306018823247411</v>
      </c>
      <c r="J83" s="195">
        <f>J53/J$32</f>
        <v>0.18264959680675999</v>
      </c>
      <c r="L83" s="195">
        <f>L53/L$32</f>
        <v>0.18225917976847075</v>
      </c>
      <c r="N83" s="195">
        <f>N53/N$32</f>
        <v>0.18189217336203059</v>
      </c>
      <c r="P83" s="195">
        <f>P53/P$32</f>
        <v>0.18155250734637993</v>
      </c>
      <c r="R83" s="195">
        <f>R53/R$32</f>
        <v>0.18124495297588789</v>
      </c>
      <c r="T83" s="195">
        <f>T53/T$32</f>
        <v>0.18097520364221353</v>
      </c>
      <c r="V83" s="195">
        <f>V53/V$32</f>
        <v>0.18074977807541429</v>
      </c>
      <c r="X83" s="195">
        <f>X53/X$32</f>
        <v>0.18057537661894066</v>
      </c>
      <c r="Z83" s="195">
        <f>Z53/Z$32</f>
        <v>0.18045677609096808</v>
      </c>
      <c r="AB83" s="195">
        <f>AB53/AB$32</f>
        <v>0.18039092381070357</v>
      </c>
      <c r="AD83" s="195">
        <f>AD53/AD$32</f>
        <v>0.18035105259448131</v>
      </c>
      <c r="AF83" s="195">
        <f>AF53/AF$32</f>
        <v>0.18024684080646239</v>
      </c>
      <c r="AH83" s="195">
        <f>AH53/AH$32</f>
        <v>0.1798307834808732</v>
      </c>
      <c r="AJ83" s="195">
        <f>AJ53/AJ$32</f>
        <v>0.17849513897378722</v>
      </c>
      <c r="AL83" s="195">
        <f>AL53/AL$32</f>
        <v>0.17475039067389392</v>
      </c>
      <c r="AN83" s="195">
        <f>AN53/AN$32</f>
        <v>0.16419154869620278</v>
      </c>
      <c r="AP83" s="195">
        <f>AP53/AP$32</f>
        <v>0.1600215414004883</v>
      </c>
      <c r="AR83" s="195">
        <f>AR53/AR$32</f>
        <v>0.15420269587847429</v>
      </c>
      <c r="AT83" s="195">
        <f>AT53/AT$32</f>
        <v>0.14525249126699108</v>
      </c>
      <c r="AV83" s="195">
        <f>AV53/AV$32</f>
        <v>0.12844339529606205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4.2804577648347795E-2</v>
      </c>
      <c r="E2" s="189"/>
      <c r="F2" s="188">
        <v>8.3342102831293022E-2</v>
      </c>
      <c r="G2" s="189"/>
      <c r="H2" s="188">
        <v>0.12795703565120103</v>
      </c>
      <c r="I2" s="189"/>
      <c r="J2" s="188">
        <v>0.17736411382330258</v>
      </c>
      <c r="K2" s="189"/>
      <c r="L2" s="188">
        <v>0.23246766553234077</v>
      </c>
      <c r="M2" s="189"/>
      <c r="N2" s="188">
        <v>0.29443517211798176</v>
      </c>
      <c r="O2" s="189"/>
      <c r="P2" s="188">
        <v>0.3648062370424589</v>
      </c>
      <c r="Q2" s="189"/>
      <c r="R2" s="188">
        <v>0.44566493052258627</v>
      </c>
      <c r="S2" s="189"/>
      <c r="T2" s="188">
        <v>0.53992106346696778</v>
      </c>
      <c r="U2" s="189"/>
      <c r="V2" s="188">
        <v>0.65179258536205542</v>
      </c>
      <c r="W2" s="189"/>
      <c r="X2" s="188">
        <v>0.78767926175228897</v>
      </c>
      <c r="Y2" s="189"/>
      <c r="Z2" s="188">
        <v>0.95785351428430521</v>
      </c>
      <c r="AA2" s="189"/>
      <c r="AB2" s="188">
        <v>1.1800052950839341</v>
      </c>
      <c r="AC2" s="189"/>
      <c r="AD2" s="188">
        <v>1.4874210775012866</v>
      </c>
      <c r="AE2" s="189"/>
      <c r="AF2" s="188">
        <v>1.9502138890305662</v>
      </c>
      <c r="AG2" s="189"/>
      <c r="AH2" s="188">
        <v>2.7385963094319736</v>
      </c>
      <c r="AI2" s="189"/>
      <c r="AJ2" s="188">
        <v>4.3430696226282688</v>
      </c>
      <c r="AK2" s="189"/>
      <c r="AL2" s="188">
        <v>8.5198105663695998</v>
      </c>
      <c r="AM2" s="189"/>
      <c r="AN2" s="188">
        <v>25.113983030193388</v>
      </c>
      <c r="AO2" s="189"/>
      <c r="AP2" s="188">
        <v>34.297001763448897</v>
      </c>
      <c r="AQ2" s="189"/>
      <c r="AR2" s="188">
        <v>49.656911200709729</v>
      </c>
      <c r="AS2" s="189"/>
      <c r="AT2" s="188">
        <v>78.32468847610906</v>
      </c>
      <c r="AU2" s="189"/>
      <c r="AV2" s="188">
        <v>141.75178397083008</v>
      </c>
      <c r="AW2" s="189"/>
    </row>
    <row r="3" spans="1:49" x14ac:dyDescent="0.2">
      <c r="A3" t="s">
        <v>12</v>
      </c>
      <c r="B3" s="81">
        <v>1000</v>
      </c>
      <c r="C3" s="82">
        <v>1000</v>
      </c>
      <c r="D3" s="81">
        <v>999.10164669579535</v>
      </c>
      <c r="E3" s="82">
        <v>1016.7671290641516</v>
      </c>
      <c r="F3" s="81">
        <v>998.18667396052319</v>
      </c>
      <c r="G3" s="82">
        <v>1035.4519245661463</v>
      </c>
      <c r="H3" s="81">
        <v>997.25167858176758</v>
      </c>
      <c r="I3" s="82">
        <v>1056.3922003039561</v>
      </c>
      <c r="J3" s="81">
        <v>996.29261207006721</v>
      </c>
      <c r="K3" s="82">
        <v>1080.0117631537571</v>
      </c>
      <c r="L3" s="81">
        <v>995.30464594285399</v>
      </c>
      <c r="M3" s="82">
        <v>1106.8486305111974</v>
      </c>
      <c r="N3" s="81">
        <v>994.28215263449249</v>
      </c>
      <c r="O3" s="82">
        <v>1137.5984441506712</v>
      </c>
      <c r="P3" s="81">
        <v>993.21873119310692</v>
      </c>
      <c r="Q3" s="82">
        <v>1173.177402050517</v>
      </c>
      <c r="R3" s="81">
        <v>992.10746253981836</v>
      </c>
      <c r="S3" s="82">
        <v>1214.8200806229427</v>
      </c>
      <c r="T3" s="81">
        <v>990.94160878879836</v>
      </c>
      <c r="U3" s="82">
        <v>1264.2352252297383</v>
      </c>
      <c r="V3" s="81">
        <v>989.71626635281484</v>
      </c>
      <c r="W3" s="82">
        <v>1323.8667072781327</v>
      </c>
      <c r="X3" s="81">
        <v>988.43202649731677</v>
      </c>
      <c r="Y3" s="82">
        <v>1397.3524946989146</v>
      </c>
      <c r="Z3" s="81">
        <v>987.10294317756495</v>
      </c>
      <c r="AA3" s="82">
        <v>1490.3865004566326</v>
      </c>
      <c r="AB3" s="81">
        <v>985.77396560203385</v>
      </c>
      <c r="AC3" s="82">
        <v>1612.4663095461788</v>
      </c>
      <c r="AD3" s="81">
        <v>984.55956183583021</v>
      </c>
      <c r="AE3" s="82">
        <v>1780.7849764325954</v>
      </c>
      <c r="AF3" s="81">
        <v>983.7292976585984</v>
      </c>
      <c r="AG3" s="82">
        <v>2029.9486675874296</v>
      </c>
      <c r="AH3" s="81">
        <v>983.88131220953869</v>
      </c>
      <c r="AI3" s="82">
        <v>2439.7636226215477</v>
      </c>
      <c r="AJ3" s="81">
        <v>986.14378590361571</v>
      </c>
      <c r="AK3" s="82">
        <v>3228.1755585974061</v>
      </c>
      <c r="AL3" s="81">
        <v>991.69050153823991</v>
      </c>
      <c r="AM3" s="82">
        <v>5141.8246057709903</v>
      </c>
      <c r="AN3" s="81">
        <v>999.984870617929</v>
      </c>
      <c r="AO3" s="82">
        <v>12273.603850273246</v>
      </c>
      <c r="AP3" s="81">
        <v>1001.8121456091577</v>
      </c>
      <c r="AQ3" s="82">
        <v>16130.199472177743</v>
      </c>
      <c r="AR3" s="81">
        <v>1003.6736974948884</v>
      </c>
      <c r="AS3" s="82">
        <v>22529.3033866607</v>
      </c>
      <c r="AT3" s="81">
        <v>1005.5722909085305</v>
      </c>
      <c r="AU3" s="82">
        <v>34387.808916756971</v>
      </c>
      <c r="AV3" s="81">
        <v>1007.5234414340873</v>
      </c>
      <c r="AW3" s="82">
        <v>60468.92360112576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999.05718611590635</v>
      </c>
      <c r="E5" s="40">
        <v>1014.6035819916485</v>
      </c>
      <c r="F5" s="39">
        <v>998.09656394733634</v>
      </c>
      <c r="G5" s="40">
        <v>1030.5992707580338</v>
      </c>
      <c r="H5" s="39">
        <v>997.11453709485409</v>
      </c>
      <c r="I5" s="40">
        <v>1048.1803836746642</v>
      </c>
      <c r="J5" s="39">
        <v>996.10682474663088</v>
      </c>
      <c r="K5" s="40">
        <v>1067.5765297325372</v>
      </c>
      <c r="L5" s="39">
        <v>995.06831825975576</v>
      </c>
      <c r="M5" s="40">
        <v>1089.0612223748137</v>
      </c>
      <c r="N5" s="39">
        <v>993.99305870258559</v>
      </c>
      <c r="O5" s="40">
        <v>1112.9625151184632</v>
      </c>
      <c r="P5" s="39">
        <v>992.87426125935838</v>
      </c>
      <c r="Q5" s="40">
        <v>1139.6753602707063</v>
      </c>
      <c r="R5" s="39">
        <v>991.70458094756248</v>
      </c>
      <c r="S5" s="40">
        <v>1169.6770966101176</v>
      </c>
      <c r="T5" s="39">
        <v>990.47684648286111</v>
      </c>
      <c r="U5" s="40">
        <v>1203.5450884820066</v>
      </c>
      <c r="V5" s="39">
        <v>989.18580112681263</v>
      </c>
      <c r="W5" s="40">
        <v>1241.976113861585</v>
      </c>
      <c r="X5" s="39">
        <v>987.83196613381881</v>
      </c>
      <c r="Y5" s="40">
        <v>1285.8011373221746</v>
      </c>
      <c r="Z5" s="39">
        <v>986.43006294888505</v>
      </c>
      <c r="AA5" s="40">
        <v>1335.9813615941221</v>
      </c>
      <c r="AB5" s="39">
        <v>985.0274595902705</v>
      </c>
      <c r="AC5" s="40">
        <v>1393.5417653197301</v>
      </c>
      <c r="AD5" s="39">
        <v>983.74506462605859</v>
      </c>
      <c r="AE5" s="40">
        <v>1459.3230198735464</v>
      </c>
      <c r="AF5" s="39">
        <v>982.86792290065807</v>
      </c>
      <c r="AG5" s="40">
        <v>1533.2128273806277</v>
      </c>
      <c r="AH5" s="39">
        <v>983.02854428301202</v>
      </c>
      <c r="AI5" s="40">
        <v>1612.0178512983869</v>
      </c>
      <c r="AJ5" s="39">
        <v>985.4178497719538</v>
      </c>
      <c r="AK5" s="40">
        <v>1685.0263087489084</v>
      </c>
      <c r="AL5" s="39">
        <v>991.26555934337375</v>
      </c>
      <c r="AM5" s="40">
        <v>1733.0628296971604</v>
      </c>
      <c r="AN5" s="39">
        <v>999.98412479163198</v>
      </c>
      <c r="AO5" s="40">
        <v>1748.7966368765256</v>
      </c>
      <c r="AP5" s="39">
        <v>1001.9007505480644</v>
      </c>
      <c r="AQ5" s="40">
        <v>1749.5081510360221</v>
      </c>
      <c r="AR5" s="39">
        <v>1003.8518264090181</v>
      </c>
      <c r="AS5" s="40">
        <v>1749.8632372474567</v>
      </c>
      <c r="AT5" s="39">
        <v>1005.840172134611</v>
      </c>
      <c r="AU5" s="40">
        <v>1750.0113036916255</v>
      </c>
      <c r="AV5" s="39">
        <v>1007.8819354353319</v>
      </c>
      <c r="AW5" s="40">
        <v>1750.0585876747291</v>
      </c>
    </row>
    <row r="6" spans="1:49" x14ac:dyDescent="0.2">
      <c r="A6" t="s">
        <v>77</v>
      </c>
      <c r="B6" s="39">
        <v>999.99999999999943</v>
      </c>
      <c r="C6" s="40">
        <v>999.99999999999909</v>
      </c>
      <c r="D6" s="39">
        <v>998.98514346891477</v>
      </c>
      <c r="E6" s="40">
        <v>1018.0754936830459</v>
      </c>
      <c r="F6" s="39">
        <v>997.95126839188856</v>
      </c>
      <c r="G6" s="40">
        <v>1038.1656015566564</v>
      </c>
      <c r="H6" s="39">
        <v>996.89451341721349</v>
      </c>
      <c r="I6" s="40">
        <v>1060.6198872036775</v>
      </c>
      <c r="J6" s="39">
        <v>995.81028338866338</v>
      </c>
      <c r="K6" s="40">
        <v>1085.8763411631762</v>
      </c>
      <c r="L6" s="39">
        <v>994.6930957686169</v>
      </c>
      <c r="M6" s="40">
        <v>1114.4902732029834</v>
      </c>
      <c r="N6" s="39">
        <v>993.53655746701645</v>
      </c>
      <c r="O6" s="40">
        <v>1147.1788780578518</v>
      </c>
      <c r="P6" s="39">
        <v>992.33339210004442</v>
      </c>
      <c r="Q6" s="40">
        <v>1184.8857535500836</v>
      </c>
      <c r="R6" s="39">
        <v>991.07572687243294</v>
      </c>
      <c r="S6" s="40">
        <v>1228.8812281687558</v>
      </c>
      <c r="T6" s="39">
        <v>989.75588246790221</v>
      </c>
      <c r="U6" s="40">
        <v>1280.9221244161283</v>
      </c>
      <c r="V6" s="39">
        <v>988.36824449113419</v>
      </c>
      <c r="W6" s="40">
        <v>1343.5193994730614</v>
      </c>
      <c r="X6" s="39">
        <v>986.91341323107724</v>
      </c>
      <c r="Y6" s="40">
        <v>1420.4088559530589</v>
      </c>
      <c r="Z6" s="39">
        <v>985.40724510241205</v>
      </c>
      <c r="AA6" s="40">
        <v>1517.4350290278082</v>
      </c>
      <c r="AB6" s="39">
        <v>983.90064761456904</v>
      </c>
      <c r="AC6" s="40">
        <v>1644.3434818687679</v>
      </c>
      <c r="AD6" s="39">
        <v>982.52345376068479</v>
      </c>
      <c r="AE6" s="40">
        <v>1818.7713528146562</v>
      </c>
      <c r="AF6" s="39">
        <v>981.58162620619714</v>
      </c>
      <c r="AG6" s="40">
        <v>2076.2101626923236</v>
      </c>
      <c r="AH6" s="39">
        <v>981.75408335801421</v>
      </c>
      <c r="AI6" s="40">
        <v>2498.4909970970748</v>
      </c>
      <c r="AJ6" s="39">
        <v>984.31995031921451</v>
      </c>
      <c r="AK6" s="40">
        <v>3309.0672092351024</v>
      </c>
      <c r="AL6" s="39">
        <v>990.60373951511463</v>
      </c>
      <c r="AM6" s="40">
        <v>5273.5653275486138</v>
      </c>
      <c r="AN6" s="39">
        <v>999.98291051755211</v>
      </c>
      <c r="AO6" s="40">
        <v>12590.175922645347</v>
      </c>
      <c r="AP6" s="39">
        <v>1002.0464365030946</v>
      </c>
      <c r="AQ6" s="40">
        <v>16546.367218300649</v>
      </c>
      <c r="AR6" s="39">
        <v>1004.1476746601328</v>
      </c>
      <c r="AS6" s="40">
        <v>23110.656929762332</v>
      </c>
      <c r="AT6" s="39">
        <v>1006.2896966554365</v>
      </c>
      <c r="AU6" s="40">
        <v>35275.217621316639</v>
      </c>
      <c r="AV6" s="39">
        <v>1008.4899432450929</v>
      </c>
      <c r="AW6" s="40">
        <v>62029.409741902018</v>
      </c>
    </row>
    <row r="7" spans="1:49" x14ac:dyDescent="0.2">
      <c r="A7" t="s">
        <v>13</v>
      </c>
      <c r="B7" s="31">
        <v>1015.9116825427475</v>
      </c>
      <c r="C7" s="32">
        <v>1015.9116825427475</v>
      </c>
      <c r="D7" s="31">
        <v>1014.9538669034332</v>
      </c>
      <c r="E7" s="32">
        <v>1014.9538669034332</v>
      </c>
      <c r="F7" s="31">
        <v>1013.9779596198733</v>
      </c>
      <c r="G7" s="32">
        <v>1013.9779596198733</v>
      </c>
      <c r="H7" s="31">
        <v>1012.980307067866</v>
      </c>
      <c r="I7" s="32">
        <v>1012.980307067866</v>
      </c>
      <c r="J7" s="31">
        <v>1011.9565603206635</v>
      </c>
      <c r="K7" s="32">
        <v>1011.9565603206635</v>
      </c>
      <c r="L7" s="31">
        <v>1010.9015294482506</v>
      </c>
      <c r="M7" s="32">
        <v>1010.9015294482506</v>
      </c>
      <c r="N7" s="31">
        <v>1009.8091607023556</v>
      </c>
      <c r="O7" s="32">
        <v>1009.8091607023556</v>
      </c>
      <c r="P7" s="31">
        <v>1008.6725613093822</v>
      </c>
      <c r="Q7" s="32">
        <v>1008.6725613093822</v>
      </c>
      <c r="R7" s="31">
        <v>1007.4842694157885</v>
      </c>
      <c r="S7" s="32">
        <v>1007.4842694157885</v>
      </c>
      <c r="T7" s="31">
        <v>1006.236999630038</v>
      </c>
      <c r="U7" s="32">
        <v>1006.236999630038</v>
      </c>
      <c r="V7" s="31">
        <v>1004.9254115701358</v>
      </c>
      <c r="W7" s="32">
        <v>1004.9254115701358</v>
      </c>
      <c r="X7" s="31">
        <v>1003.5500347845182</v>
      </c>
      <c r="Y7" s="32">
        <v>1003.5500347845182</v>
      </c>
      <c r="Z7" s="31">
        <v>1002.1258249611501</v>
      </c>
      <c r="AA7" s="32">
        <v>1002.1258249611501</v>
      </c>
      <c r="AB7" s="31">
        <v>1000.7009038231598</v>
      </c>
      <c r="AC7" s="32">
        <v>1000.7009038231598</v>
      </c>
      <c r="AD7" s="31">
        <v>999.39810379738299</v>
      </c>
      <c r="AE7" s="32">
        <v>999.39810379738299</v>
      </c>
      <c r="AF7" s="31">
        <v>998.50700527130289</v>
      </c>
      <c r="AG7" s="32">
        <v>998.50700527130289</v>
      </c>
      <c r="AH7" s="31">
        <v>998.67018241010248</v>
      </c>
      <c r="AI7" s="32">
        <v>998.67018241010248</v>
      </c>
      <c r="AJ7" s="31">
        <v>1001.0975057694819</v>
      </c>
      <c r="AK7" s="32">
        <v>1001.0975057694819</v>
      </c>
      <c r="AL7" s="31">
        <v>1007.0382622392045</v>
      </c>
      <c r="AM7" s="32">
        <v>1007.0382622392045</v>
      </c>
      <c r="AN7" s="31">
        <v>1015.8955547331036</v>
      </c>
      <c r="AO7" s="32">
        <v>1015.8955547331036</v>
      </c>
      <c r="AP7" s="31">
        <v>1017.8426772301256</v>
      </c>
      <c r="AQ7" s="32">
        <v>1017.8426772301256</v>
      </c>
      <c r="AR7" s="31">
        <v>1019.8247979907957</v>
      </c>
      <c r="AS7" s="32">
        <v>1019.8247979907957</v>
      </c>
      <c r="AT7" s="31">
        <v>1021.8447816423593</v>
      </c>
      <c r="AU7" s="32">
        <v>1021.8447816423593</v>
      </c>
      <c r="AV7" s="31">
        <v>1023.9190328325487</v>
      </c>
      <c r="AW7" s="32">
        <v>1023.9190328325487</v>
      </c>
    </row>
    <row r="8" spans="1:49" x14ac:dyDescent="0.2">
      <c r="B8" s="33">
        <v>1005.7716594496609</v>
      </c>
      <c r="C8" s="34">
        <v>1005.7716594496609</v>
      </c>
      <c r="D8" s="33">
        <v>1058.033259799302</v>
      </c>
      <c r="E8" s="34">
        <v>1058.033259799302</v>
      </c>
      <c r="F8" s="33">
        <v>1116.4915811594055</v>
      </c>
      <c r="G8" s="34">
        <v>1116.4915811594055</v>
      </c>
      <c r="H8" s="33">
        <v>1182.3024383974127</v>
      </c>
      <c r="I8" s="34">
        <v>1182.3024383974127</v>
      </c>
      <c r="J8" s="33">
        <v>1256.9262948671053</v>
      </c>
      <c r="K8" s="34">
        <v>1256.9262948671053</v>
      </c>
      <c r="L8" s="33">
        <v>1342.2327423620841</v>
      </c>
      <c r="M8" s="34">
        <v>1342.2327423620841</v>
      </c>
      <c r="N8" s="33">
        <v>1440.6578248182298</v>
      </c>
      <c r="O8" s="34">
        <v>1440.6578248182298</v>
      </c>
      <c r="P8" s="33">
        <v>1555.4360399010714</v>
      </c>
      <c r="Q8" s="34">
        <v>1555.4360399010714</v>
      </c>
      <c r="R8" s="33">
        <v>1690.9611586047263</v>
      </c>
      <c r="S8" s="34">
        <v>1690.9611586047263</v>
      </c>
      <c r="T8" s="33">
        <v>1853.3644325856574</v>
      </c>
      <c r="U8" s="34">
        <v>1853.3644325856574</v>
      </c>
      <c r="V8" s="33">
        <v>2051.486936073346</v>
      </c>
      <c r="W8" s="34">
        <v>2051.486936073346</v>
      </c>
      <c r="X8" s="33">
        <v>2298.6000279283585</v>
      </c>
      <c r="Y8" s="34">
        <v>2298.6000279283585</v>
      </c>
      <c r="Z8" s="33">
        <v>2615.655803815383</v>
      </c>
      <c r="AA8" s="34">
        <v>2615.655803815383</v>
      </c>
      <c r="AB8" s="33">
        <v>3037.9284273176245</v>
      </c>
      <c r="AC8" s="34">
        <v>3037.9284273176245</v>
      </c>
      <c r="AD8" s="33">
        <v>3629.9508385162881</v>
      </c>
      <c r="AE8" s="34">
        <v>3629.9508385162881</v>
      </c>
      <c r="AF8" s="33">
        <v>4523.3057781781517</v>
      </c>
      <c r="AG8" s="34">
        <v>4523.3057781781517</v>
      </c>
      <c r="AH8" s="33">
        <v>6026.6839896026095</v>
      </c>
      <c r="AI8" s="34">
        <v>6026.6839896026095</v>
      </c>
      <c r="AJ8" s="33">
        <v>9003.2128836057345</v>
      </c>
      <c r="AK8" s="34">
        <v>9003.2128836057345</v>
      </c>
      <c r="AL8" s="33">
        <v>16498.429838333424</v>
      </c>
      <c r="AM8" s="34">
        <v>16498.429838333424</v>
      </c>
      <c r="AN8" s="33">
        <v>45668.045698652859</v>
      </c>
      <c r="AO8" s="34">
        <v>45668.045698652859</v>
      </c>
      <c r="AP8" s="33">
        <v>61752.392292286691</v>
      </c>
      <c r="AQ8" s="34">
        <v>61752.392292286691</v>
      </c>
      <c r="AR8" s="33">
        <v>88642.666622630873</v>
      </c>
      <c r="AS8" s="34">
        <v>88642.666622630873</v>
      </c>
      <c r="AT8" s="33">
        <v>138819.10149500766</v>
      </c>
      <c r="AU8" s="34">
        <v>138819.10149500766</v>
      </c>
      <c r="AV8" s="33">
        <v>249823.9854440389</v>
      </c>
      <c r="AW8" s="34">
        <v>249823.9854440389</v>
      </c>
    </row>
    <row r="9" spans="1:49" x14ac:dyDescent="0.2">
      <c r="A9" t="s">
        <v>14</v>
      </c>
      <c r="B9" s="39">
        <v>1015.9116825427475</v>
      </c>
      <c r="C9" s="40">
        <v>1005.7716594496609</v>
      </c>
      <c r="D9" s="39">
        <v>1014.9538669034332</v>
      </c>
      <c r="E9" s="40">
        <v>1058.033259799302</v>
      </c>
      <c r="F9" s="39">
        <v>1013.9779596198733</v>
      </c>
      <c r="G9" s="40">
        <v>1116.4915811594055</v>
      </c>
      <c r="H9" s="39">
        <v>1012.980307067866</v>
      </c>
      <c r="I9" s="40">
        <v>1182.3024383974127</v>
      </c>
      <c r="J9" s="39">
        <v>1011.9565603206635</v>
      </c>
      <c r="K9" s="40">
        <v>1256.9262948671053</v>
      </c>
      <c r="L9" s="39">
        <v>1010.9015294482506</v>
      </c>
      <c r="M9" s="40">
        <v>1342.2327423620841</v>
      </c>
      <c r="N9" s="39">
        <v>1009.8091607023556</v>
      </c>
      <c r="O9" s="40">
        <v>1440.6578248182298</v>
      </c>
      <c r="P9" s="39">
        <v>1008.6725613093822</v>
      </c>
      <c r="Q9" s="40">
        <v>1555.4360399010714</v>
      </c>
      <c r="R9" s="39">
        <v>1007.4842694157885</v>
      </c>
      <c r="S9" s="40">
        <v>1690.9611586047263</v>
      </c>
      <c r="T9" s="39">
        <v>1006.236999630038</v>
      </c>
      <c r="U9" s="40">
        <v>1853.3644325856574</v>
      </c>
      <c r="V9" s="39">
        <v>1004.9254115701358</v>
      </c>
      <c r="W9" s="40">
        <v>2051.486936073346</v>
      </c>
      <c r="X9" s="39">
        <v>1003.5500347845182</v>
      </c>
      <c r="Y9" s="40">
        <v>2298.6000279283585</v>
      </c>
      <c r="Z9" s="39">
        <v>1002.1258249611501</v>
      </c>
      <c r="AA9" s="40">
        <v>2615.655803815383</v>
      </c>
      <c r="AB9" s="39">
        <v>1000.7009038231598</v>
      </c>
      <c r="AC9" s="40">
        <v>3037.9284273176245</v>
      </c>
      <c r="AD9" s="39">
        <v>999.39810379738299</v>
      </c>
      <c r="AE9" s="40">
        <v>3629.9508385162881</v>
      </c>
      <c r="AF9" s="39">
        <v>998.50700527130289</v>
      </c>
      <c r="AG9" s="40">
        <v>4523.3057781781517</v>
      </c>
      <c r="AH9" s="39">
        <v>998.67018241010248</v>
      </c>
      <c r="AI9" s="40">
        <v>6026.6839896026095</v>
      </c>
      <c r="AJ9" s="39">
        <v>1001.0975057694819</v>
      </c>
      <c r="AK9" s="40">
        <v>9003.2128836057345</v>
      </c>
      <c r="AL9" s="39">
        <v>1007.0382622392045</v>
      </c>
      <c r="AM9" s="40">
        <v>16498.429838333424</v>
      </c>
      <c r="AN9" s="39">
        <v>1015.8955547331036</v>
      </c>
      <c r="AO9" s="40">
        <v>45668.045698652859</v>
      </c>
      <c r="AP9" s="39">
        <v>1017.8426772301256</v>
      </c>
      <c r="AQ9" s="40">
        <v>61752.392292286691</v>
      </c>
      <c r="AR9" s="39">
        <v>1019.8247979907957</v>
      </c>
      <c r="AS9" s="40">
        <v>88642.666622630873</v>
      </c>
      <c r="AT9" s="39">
        <v>1021.8447816423593</v>
      </c>
      <c r="AU9" s="40">
        <v>138819.10149500766</v>
      </c>
      <c r="AV9" s="39">
        <v>1023.9190328325487</v>
      </c>
      <c r="AW9" s="40">
        <v>249823.9854440389</v>
      </c>
    </row>
    <row r="10" spans="1:49" x14ac:dyDescent="0.2">
      <c r="A10" t="s">
        <v>15</v>
      </c>
      <c r="B10" s="39">
        <v>1015.9116825427475</v>
      </c>
      <c r="C10" s="40">
        <v>1005.7716594496609</v>
      </c>
      <c r="D10" s="39">
        <v>1014.9538669034332</v>
      </c>
      <c r="E10" s="40">
        <v>1058.033259799302</v>
      </c>
      <c r="F10" s="39">
        <v>1013.9779596198733</v>
      </c>
      <c r="G10" s="40">
        <v>1116.4915811594055</v>
      </c>
      <c r="H10" s="39">
        <v>1012.980307067866</v>
      </c>
      <c r="I10" s="40">
        <v>1182.3024383974127</v>
      </c>
      <c r="J10" s="39">
        <v>1011.9565603206635</v>
      </c>
      <c r="K10" s="40">
        <v>1256.9262948671053</v>
      </c>
      <c r="L10" s="39">
        <v>1010.9015294482506</v>
      </c>
      <c r="M10" s="40">
        <v>1342.2327423620841</v>
      </c>
      <c r="N10" s="39">
        <v>1009.8091607023556</v>
      </c>
      <c r="O10" s="40">
        <v>1440.6578248182298</v>
      </c>
      <c r="P10" s="39">
        <v>1008.6725613093822</v>
      </c>
      <c r="Q10" s="40">
        <v>1555.4360399010714</v>
      </c>
      <c r="R10" s="39">
        <v>1007.4842694157885</v>
      </c>
      <c r="S10" s="40">
        <v>1690.9611586047263</v>
      </c>
      <c r="T10" s="39">
        <v>1006.236999630038</v>
      </c>
      <c r="U10" s="40">
        <v>1853.3644325856574</v>
      </c>
      <c r="V10" s="39">
        <v>1004.9254115701358</v>
      </c>
      <c r="W10" s="40">
        <v>2051.486936073346</v>
      </c>
      <c r="X10" s="39">
        <v>1003.5500347845182</v>
      </c>
      <c r="Y10" s="40">
        <v>2298.6000279283585</v>
      </c>
      <c r="Z10" s="39">
        <v>1002.1258249611501</v>
      </c>
      <c r="AA10" s="40">
        <v>2615.655803815383</v>
      </c>
      <c r="AB10" s="39">
        <v>1000.7009038231598</v>
      </c>
      <c r="AC10" s="40">
        <v>3037.9284273176245</v>
      </c>
      <c r="AD10" s="39">
        <v>999.39810379738299</v>
      </c>
      <c r="AE10" s="40">
        <v>3629.9508385162881</v>
      </c>
      <c r="AF10" s="39">
        <v>998.50700527130289</v>
      </c>
      <c r="AG10" s="40">
        <v>4523.3057781781517</v>
      </c>
      <c r="AH10" s="39">
        <v>998.67018241010248</v>
      </c>
      <c r="AI10" s="40">
        <v>6026.6839896026095</v>
      </c>
      <c r="AJ10" s="39">
        <v>1001.0975057694819</v>
      </c>
      <c r="AK10" s="40">
        <v>9003.2128836057345</v>
      </c>
      <c r="AL10" s="39">
        <v>1007.0382622392045</v>
      </c>
      <c r="AM10" s="40">
        <v>16498.429838333424</v>
      </c>
      <c r="AN10" s="39">
        <v>1015.8955547331036</v>
      </c>
      <c r="AO10" s="40">
        <v>45668.045698652859</v>
      </c>
      <c r="AP10" s="39">
        <v>1017.8426772301256</v>
      </c>
      <c r="AQ10" s="40">
        <v>61752.392292286691</v>
      </c>
      <c r="AR10" s="39">
        <v>1019.8247979907957</v>
      </c>
      <c r="AS10" s="40">
        <v>88642.666622630873</v>
      </c>
      <c r="AT10" s="39">
        <v>1021.8447816423593</v>
      </c>
      <c r="AU10" s="40">
        <v>138819.10149500766</v>
      </c>
      <c r="AV10" s="39">
        <v>1023.9190328325487</v>
      </c>
      <c r="AW10" s="40">
        <v>249823.9854440389</v>
      </c>
    </row>
    <row r="11" spans="1:49" x14ac:dyDescent="0.2">
      <c r="A11" t="s">
        <v>29</v>
      </c>
      <c r="B11" s="39">
        <v>1015.9116825427475</v>
      </c>
      <c r="C11" s="40">
        <v>1005.7716594496609</v>
      </c>
      <c r="D11" s="39">
        <v>1014.9538669034332</v>
      </c>
      <c r="E11" s="40">
        <v>1058.033259799302</v>
      </c>
      <c r="F11" s="39">
        <v>1013.9779596198733</v>
      </c>
      <c r="G11" s="40">
        <v>1116.4915811594055</v>
      </c>
      <c r="H11" s="39">
        <v>1012.980307067866</v>
      </c>
      <c r="I11" s="40">
        <v>1182.3024383974127</v>
      </c>
      <c r="J11" s="39">
        <v>1011.9565603206635</v>
      </c>
      <c r="K11" s="40">
        <v>1256.9262948671053</v>
      </c>
      <c r="L11" s="39">
        <v>1010.9015294482506</v>
      </c>
      <c r="M11" s="40">
        <v>1342.2327423620841</v>
      </c>
      <c r="N11" s="39">
        <v>1009.8091607023556</v>
      </c>
      <c r="O11" s="40">
        <v>1440.6578248182298</v>
      </c>
      <c r="P11" s="39">
        <v>1008.6725613093822</v>
      </c>
      <c r="Q11" s="40">
        <v>1555.4360399010714</v>
      </c>
      <c r="R11" s="39">
        <v>1007.4842694157885</v>
      </c>
      <c r="S11" s="40">
        <v>1690.9611586047263</v>
      </c>
      <c r="T11" s="39">
        <v>1006.236999630038</v>
      </c>
      <c r="U11" s="40">
        <v>1853.3644325856574</v>
      </c>
      <c r="V11" s="39">
        <v>1004.9254115701358</v>
      </c>
      <c r="W11" s="40">
        <v>2051.486936073346</v>
      </c>
      <c r="X11" s="39">
        <v>1003.5500347845182</v>
      </c>
      <c r="Y11" s="40">
        <v>2298.6000279283585</v>
      </c>
      <c r="Z11" s="39">
        <v>1002.1258249611501</v>
      </c>
      <c r="AA11" s="40">
        <v>2615.655803815383</v>
      </c>
      <c r="AB11" s="39">
        <v>1000.7009038231598</v>
      </c>
      <c r="AC11" s="40">
        <v>3037.9284273176245</v>
      </c>
      <c r="AD11" s="39">
        <v>999.39810379738299</v>
      </c>
      <c r="AE11" s="40">
        <v>3629.9508385162881</v>
      </c>
      <c r="AF11" s="39">
        <v>998.50700527130289</v>
      </c>
      <c r="AG11" s="40">
        <v>4523.3057781781517</v>
      </c>
      <c r="AH11" s="39">
        <v>998.67018241010248</v>
      </c>
      <c r="AI11" s="40">
        <v>6026.6839896026095</v>
      </c>
      <c r="AJ11" s="39">
        <v>1001.0975057694819</v>
      </c>
      <c r="AK11" s="40">
        <v>9003.2128836057345</v>
      </c>
      <c r="AL11" s="39">
        <v>1007.0382622392045</v>
      </c>
      <c r="AM11" s="40">
        <v>16498.429838333424</v>
      </c>
      <c r="AN11" s="39">
        <v>1015.8955547331036</v>
      </c>
      <c r="AO11" s="40">
        <v>45668.045698652859</v>
      </c>
      <c r="AP11" s="39">
        <v>1017.8426772301256</v>
      </c>
      <c r="AQ11" s="40">
        <v>61752.392292286691</v>
      </c>
      <c r="AR11" s="39">
        <v>1019.8247979907957</v>
      </c>
      <c r="AS11" s="40">
        <v>88642.666622630873</v>
      </c>
      <c r="AT11" s="39">
        <v>1021.8447816423593</v>
      </c>
      <c r="AU11" s="40">
        <v>138819.10149500766</v>
      </c>
      <c r="AV11" s="39">
        <v>1023.9190328325487</v>
      </c>
      <c r="AW11" s="40">
        <v>249823.9854440389</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999.46383527268233</v>
      </c>
      <c r="E13" s="94">
        <v>999.46383527268233</v>
      </c>
      <c r="F13" s="93">
        <v>998.70034261516264</v>
      </c>
      <c r="G13" s="94">
        <v>998.70034261516264</v>
      </c>
      <c r="H13" s="93">
        <v>997.67532671281356</v>
      </c>
      <c r="I13" s="94">
        <v>997.67532671281356</v>
      </c>
      <c r="J13" s="93">
        <v>996.34690583889096</v>
      </c>
      <c r="K13" s="94">
        <v>996.34690583889096</v>
      </c>
      <c r="L13" s="93">
        <v>994.66347188051429</v>
      </c>
      <c r="M13" s="94">
        <v>994.66347188051429</v>
      </c>
      <c r="N13" s="93">
        <v>992.56040550149544</v>
      </c>
      <c r="O13" s="94">
        <v>992.56040550149544</v>
      </c>
      <c r="P13" s="93">
        <v>989.95571005623867</v>
      </c>
      <c r="Q13" s="94">
        <v>989.95571005623867</v>
      </c>
      <c r="R13" s="93">
        <v>986.74347283884936</v>
      </c>
      <c r="S13" s="94">
        <v>986.74347283884936</v>
      </c>
      <c r="T13" s="93">
        <v>982.78410819042631</v>
      </c>
      <c r="U13" s="94">
        <v>982.78410819042631</v>
      </c>
      <c r="V13" s="93">
        <v>977.88891598602731</v>
      </c>
      <c r="W13" s="94">
        <v>977.88891598602731</v>
      </c>
      <c r="X13" s="93">
        <v>971.79482539911021</v>
      </c>
      <c r="Y13" s="94">
        <v>971.79482539911021</v>
      </c>
      <c r="Z13" s="93">
        <v>964.12030783352873</v>
      </c>
      <c r="AA13" s="94">
        <v>964.12030783352873</v>
      </c>
      <c r="AB13" s="93">
        <v>954.28296082387396</v>
      </c>
      <c r="AC13" s="94">
        <v>954.28296082387396</v>
      </c>
      <c r="AD13" s="93">
        <v>941.33142527720304</v>
      </c>
      <c r="AE13" s="94">
        <v>941.33142527720304</v>
      </c>
      <c r="AF13" s="93">
        <v>923.56525391042942</v>
      </c>
      <c r="AG13" s="94">
        <v>923.56525391042942</v>
      </c>
      <c r="AH13" s="93">
        <v>897.56783277366446</v>
      </c>
      <c r="AI13" s="94">
        <v>897.56783277366446</v>
      </c>
      <c r="AJ13" s="93">
        <v>855.44314036723176</v>
      </c>
      <c r="AK13" s="94">
        <v>855.44314036723176</v>
      </c>
      <c r="AL13" s="93">
        <v>775.9248598869957</v>
      </c>
      <c r="AM13" s="94">
        <v>775.9248598869957</v>
      </c>
      <c r="AN13" s="93">
        <v>586.06482894846977</v>
      </c>
      <c r="AO13" s="94">
        <v>586.06482894846977</v>
      </c>
      <c r="AP13" s="93">
        <v>515.05619780257905</v>
      </c>
      <c r="AQ13" s="94">
        <v>515.05619780257905</v>
      </c>
      <c r="AR13" s="93">
        <v>421.95479943072138</v>
      </c>
      <c r="AS13" s="94">
        <v>421.95479943072138</v>
      </c>
      <c r="AT13" s="93">
        <v>297.64286742202734</v>
      </c>
      <c r="AU13" s="94">
        <v>297.64286742202734</v>
      </c>
      <c r="AV13" s="93">
        <v>135.50797522332184</v>
      </c>
      <c r="AW13" s="94">
        <v>135.50797522332184</v>
      </c>
    </row>
    <row r="14" spans="1:49" x14ac:dyDescent="0.2">
      <c r="A14" t="s">
        <v>36</v>
      </c>
      <c r="B14" s="39">
        <v>1457.0034251455234</v>
      </c>
      <c r="C14" s="40">
        <v>1457.0034251455236</v>
      </c>
      <c r="D14" s="39">
        <v>1456.2222313013792</v>
      </c>
      <c r="E14" s="40">
        <v>1456.2222313013795</v>
      </c>
      <c r="F14" s="39">
        <v>1455.1098198842997</v>
      </c>
      <c r="G14" s="40">
        <v>1455.1098198842999</v>
      </c>
      <c r="H14" s="39">
        <v>1453.6163682037484</v>
      </c>
      <c r="I14" s="40">
        <v>1453.6163682037486</v>
      </c>
      <c r="J14" s="39">
        <v>1451.6808544404082</v>
      </c>
      <c r="K14" s="40">
        <v>1451.6808544404084</v>
      </c>
      <c r="L14" s="39">
        <v>1449.2280853970472</v>
      </c>
      <c r="M14" s="40">
        <v>1449.2280853970474</v>
      </c>
      <c r="N14" s="39">
        <v>1446.1639104795083</v>
      </c>
      <c r="O14" s="40">
        <v>1446.1639104795086</v>
      </c>
      <c r="P14" s="39">
        <v>1442.3688602943082</v>
      </c>
      <c r="Q14" s="40">
        <v>1442.3688602943084</v>
      </c>
      <c r="R14" s="39">
        <v>1437.6886196661922</v>
      </c>
      <c r="S14" s="40">
        <v>1437.6886196661924</v>
      </c>
      <c r="T14" s="39">
        <v>1431.9198118120396</v>
      </c>
      <c r="U14" s="40">
        <v>1431.9198118120398</v>
      </c>
      <c r="V14" s="39">
        <v>1424.7875000034846</v>
      </c>
      <c r="W14" s="40">
        <v>1424.7875000034849</v>
      </c>
      <c r="X14" s="39">
        <v>1415.9083891451994</v>
      </c>
      <c r="Y14" s="40">
        <v>1415.9083891451996</v>
      </c>
      <c r="Z14" s="39">
        <v>1404.7265907658077</v>
      </c>
      <c r="AA14" s="40">
        <v>1404.7265907658079</v>
      </c>
      <c r="AB14" s="39">
        <v>1390.3935424783956</v>
      </c>
      <c r="AC14" s="40">
        <v>1390.3935424783958</v>
      </c>
      <c r="AD14" s="39">
        <v>1371.523110826002</v>
      </c>
      <c r="AE14" s="40">
        <v>1371.5231108260023</v>
      </c>
      <c r="AF14" s="39">
        <v>1345.6377382928906</v>
      </c>
      <c r="AG14" s="40">
        <v>1345.6377382928908</v>
      </c>
      <c r="AH14" s="39">
        <v>1307.7594066516733</v>
      </c>
      <c r="AI14" s="40">
        <v>1307.7594066516735</v>
      </c>
      <c r="AJ14" s="39">
        <v>1246.3835855322993</v>
      </c>
      <c r="AK14" s="40">
        <v>1246.3835855322995</v>
      </c>
      <c r="AL14" s="39">
        <v>1130.5251785109131</v>
      </c>
      <c r="AM14" s="40">
        <v>1130.5251785109131</v>
      </c>
      <c r="AN14" s="39">
        <v>853.89846313524572</v>
      </c>
      <c r="AO14" s="40">
        <v>853.89846313524583</v>
      </c>
      <c r="AP14" s="39">
        <v>750.43864434078785</v>
      </c>
      <c r="AQ14" s="40">
        <v>750.43864434078796</v>
      </c>
      <c r="AR14" s="39">
        <v>614.7895880271534</v>
      </c>
      <c r="AS14" s="40">
        <v>614.7895880271534</v>
      </c>
      <c r="AT14" s="39">
        <v>433.66667730402872</v>
      </c>
      <c r="AU14" s="40">
        <v>433.66667730402878</v>
      </c>
      <c r="AV14" s="39">
        <v>197.43558403491463</v>
      </c>
      <c r="AW14" s="40">
        <v>197.43558403491465</v>
      </c>
    </row>
    <row r="15" spans="1:49" x14ac:dyDescent="0.2">
      <c r="A15" t="s">
        <v>18</v>
      </c>
      <c r="B15" s="144">
        <v>1000</v>
      </c>
      <c r="C15" s="145">
        <v>1000</v>
      </c>
      <c r="D15" s="144">
        <v>993.91567003119019</v>
      </c>
      <c r="E15" s="145">
        <v>993.91567003119019</v>
      </c>
      <c r="F15" s="144">
        <v>987.64265149012613</v>
      </c>
      <c r="G15" s="145">
        <v>987.64265149012613</v>
      </c>
      <c r="H15" s="144">
        <v>981.14967062092137</v>
      </c>
      <c r="I15" s="145">
        <v>981.14967062092137</v>
      </c>
      <c r="J15" s="144">
        <v>974.39885007254566</v>
      </c>
      <c r="K15" s="145">
        <v>974.39885007254566</v>
      </c>
      <c r="L15" s="144">
        <v>967.34359744948267</v>
      </c>
      <c r="M15" s="145">
        <v>967.34359744948267</v>
      </c>
      <c r="N15" s="144">
        <v>959.92617211581444</v>
      </c>
      <c r="O15" s="145">
        <v>959.92617211581444</v>
      </c>
      <c r="P15" s="144">
        <v>952.07402088766412</v>
      </c>
      <c r="Q15" s="145">
        <v>952.07402088766412</v>
      </c>
      <c r="R15" s="144">
        <v>943.69466156634326</v>
      </c>
      <c r="S15" s="145">
        <v>943.69466156634326</v>
      </c>
      <c r="T15" s="144">
        <v>934.66803023193631</v>
      </c>
      <c r="U15" s="145">
        <v>934.66803023193631</v>
      </c>
      <c r="V15" s="144">
        <v>924.83473647296557</v>
      </c>
      <c r="W15" s="145">
        <v>924.83473647296557</v>
      </c>
      <c r="X15" s="144">
        <v>913.97686734807223</v>
      </c>
      <c r="Y15" s="145">
        <v>913.97686734807223</v>
      </c>
      <c r="Z15" s="144">
        <v>901.78462417211779</v>
      </c>
      <c r="AA15" s="145">
        <v>901.78462417211779</v>
      </c>
      <c r="AB15" s="144">
        <v>887.79321720162238</v>
      </c>
      <c r="AC15" s="145">
        <v>887.79321720162238</v>
      </c>
      <c r="AD15" s="144">
        <v>871.25085008692542</v>
      </c>
      <c r="AE15" s="145">
        <v>871.25085008692542</v>
      </c>
      <c r="AF15" s="144">
        <v>850.80683692790763</v>
      </c>
      <c r="AG15" s="145">
        <v>850.80683692790763</v>
      </c>
      <c r="AH15" s="144">
        <v>823.66876420069514</v>
      </c>
      <c r="AI15" s="145">
        <v>823.66876420069514</v>
      </c>
      <c r="AJ15" s="144">
        <v>783.02872353197824</v>
      </c>
      <c r="AK15" s="145">
        <v>783.02872353197824</v>
      </c>
      <c r="AL15" s="144">
        <v>709.52984531447476</v>
      </c>
      <c r="AM15" s="145">
        <v>709.52984531447476</v>
      </c>
      <c r="AN15" s="144">
        <v>535.83587640297196</v>
      </c>
      <c r="AO15" s="145">
        <v>535.83587640297196</v>
      </c>
      <c r="AP15" s="144">
        <v>470.91200581689225</v>
      </c>
      <c r="AQ15" s="145">
        <v>470.91200581689225</v>
      </c>
      <c r="AR15" s="144">
        <v>385.78981247151046</v>
      </c>
      <c r="AS15" s="145">
        <v>385.78981247151046</v>
      </c>
      <c r="AT15" s="144">
        <v>272.13238282549958</v>
      </c>
      <c r="AU15" s="145">
        <v>272.13238282549958</v>
      </c>
      <c r="AV15" s="144">
        <v>123.89380406398702</v>
      </c>
      <c r="AW15" s="145">
        <v>123.89380406398702</v>
      </c>
    </row>
    <row r="16" spans="1:49" s="27" customFormat="1" x14ac:dyDescent="0.2">
      <c r="A16" t="s">
        <v>61</v>
      </c>
      <c r="B16" s="39">
        <v>1000</v>
      </c>
      <c r="C16" s="40">
        <v>1000</v>
      </c>
      <c r="D16" s="39">
        <v>996.87256323293695</v>
      </c>
      <c r="E16" s="40">
        <v>995.49878795050267</v>
      </c>
      <c r="F16" s="39">
        <v>993.53354651541156</v>
      </c>
      <c r="G16" s="40">
        <v>990.79691932229093</v>
      </c>
      <c r="H16" s="39">
        <v>989.95014443146317</v>
      </c>
      <c r="I16" s="40">
        <v>985.86229630304445</v>
      </c>
      <c r="J16" s="39">
        <v>986.08237112877885</v>
      </c>
      <c r="K16" s="40">
        <v>980.65590857593259</v>
      </c>
      <c r="L16" s="39">
        <v>981.88099160438117</v>
      </c>
      <c r="M16" s="40">
        <v>975.12974425521543</v>
      </c>
      <c r="N16" s="39">
        <v>977.28463451182881</v>
      </c>
      <c r="O16" s="40">
        <v>969.22411359135197</v>
      </c>
      <c r="P16" s="39">
        <v>972.21575855264246</v>
      </c>
      <c r="Q16" s="40">
        <v>962.86378637071471</v>
      </c>
      <c r="R16" s="39">
        <v>966.57478404470271</v>
      </c>
      <c r="S16" s="40">
        <v>955.95247211246669</v>
      </c>
      <c r="T16" s="39">
        <v>960.23133013270945</v>
      </c>
      <c r="U16" s="40">
        <v>948.36457158213113</v>
      </c>
      <c r="V16" s="39">
        <v>953.01051947808071</v>
      </c>
      <c r="W16" s="40">
        <v>939.93238534001898</v>
      </c>
      <c r="X16" s="39">
        <v>944.67058804460692</v>
      </c>
      <c r="Y16" s="40">
        <v>930.42520317577157</v>
      </c>
      <c r="Z16" s="39">
        <v>934.86387122890505</v>
      </c>
      <c r="AA16" s="40">
        <v>919.51290755098591</v>
      </c>
      <c r="AB16" s="39">
        <v>923.06352613923286</v>
      </c>
      <c r="AC16" s="40">
        <v>906.69740751930021</v>
      </c>
      <c r="AD16" s="39">
        <v>908.41251605990203</v>
      </c>
      <c r="AE16" s="40">
        <v>891.17042328710727</v>
      </c>
      <c r="AF16" s="39">
        <v>889.37575621353687</v>
      </c>
      <c r="AG16" s="40">
        <v>871.48229523027919</v>
      </c>
      <c r="AH16" s="39">
        <v>862.83169123556877</v>
      </c>
      <c r="AI16" s="40">
        <v>844.66395489443664</v>
      </c>
      <c r="AJ16" s="39">
        <v>821.39802633102863</v>
      </c>
      <c r="AK16" s="40">
        <v>803.59929020205777</v>
      </c>
      <c r="AL16" s="39">
        <v>744.70724179511149</v>
      </c>
      <c r="AM16" s="40">
        <v>728.38946981936738</v>
      </c>
      <c r="AN16" s="39">
        <v>562.44789264667111</v>
      </c>
      <c r="AO16" s="40">
        <v>550.10338590209597</v>
      </c>
      <c r="AP16" s="39">
        <v>494.30022530877147</v>
      </c>
      <c r="AQ16" s="40">
        <v>483.45114050117394</v>
      </c>
      <c r="AR16" s="39">
        <v>404.95053488689206</v>
      </c>
      <c r="AS16" s="40">
        <v>396.0624576406932</v>
      </c>
      <c r="AT16" s="39">
        <v>285.64819878030835</v>
      </c>
      <c r="AU16" s="40">
        <v>279.37862229277624</v>
      </c>
      <c r="AV16" s="39">
        <v>130.04715638222783</v>
      </c>
      <c r="AW16" s="40">
        <v>127.19280314933366</v>
      </c>
    </row>
    <row r="17" spans="1:49" x14ac:dyDescent="0.2">
      <c r="A17" t="s">
        <v>62</v>
      </c>
      <c r="B17" s="33">
        <v>1000.0000000000002</v>
      </c>
      <c r="C17" s="34">
        <v>999.99999999999977</v>
      </c>
      <c r="D17" s="33">
        <v>999.14299504560518</v>
      </c>
      <c r="E17" s="34">
        <v>1025.4480447606229</v>
      </c>
      <c r="F17" s="33">
        <v>998.27047910603756</v>
      </c>
      <c r="G17" s="34">
        <v>1053.8530023394483</v>
      </c>
      <c r="H17" s="33">
        <v>997.37922402287427</v>
      </c>
      <c r="I17" s="34">
        <v>1085.7489216441527</v>
      </c>
      <c r="J17" s="33">
        <v>996.46540599199932</v>
      </c>
      <c r="K17" s="34">
        <v>1121.8080360633883</v>
      </c>
      <c r="L17" s="33">
        <v>995.52445217610523</v>
      </c>
      <c r="M17" s="34">
        <v>1162.8873792175668</v>
      </c>
      <c r="N17" s="33">
        <v>994.55104609010084</v>
      </c>
      <c r="O17" s="34">
        <v>1210.0993000954277</v>
      </c>
      <c r="P17" s="33">
        <v>993.53914344966336</v>
      </c>
      <c r="Q17" s="34">
        <v>1264.9149335360232</v>
      </c>
      <c r="R17" s="33">
        <v>992.48222237297864</v>
      </c>
      <c r="S17" s="34">
        <v>1329.3249824201318</v>
      </c>
      <c r="T17" s="33">
        <v>991.37394794263412</v>
      </c>
      <c r="U17" s="34">
        <v>1406.0968022814602</v>
      </c>
      <c r="V17" s="33">
        <v>990.20974678884113</v>
      </c>
      <c r="W17" s="34">
        <v>1499.2059971304363</v>
      </c>
      <c r="X17" s="33">
        <v>988.99027678237258</v>
      </c>
      <c r="Y17" s="34">
        <v>1614.5984007359673</v>
      </c>
      <c r="Z17" s="33">
        <v>987.72897035525818</v>
      </c>
      <c r="AA17" s="34">
        <v>1761.6262503149469</v>
      </c>
      <c r="AB17" s="33">
        <v>986.46852824626978</v>
      </c>
      <c r="AC17" s="34">
        <v>1955.9738295621994</v>
      </c>
      <c r="AD17" s="33">
        <v>985.31742093384059</v>
      </c>
      <c r="AE17" s="34">
        <v>2226.2119972446294</v>
      </c>
      <c r="AF17" s="33">
        <v>984.53079938510518</v>
      </c>
      <c r="AG17" s="34">
        <v>2630.296855790853</v>
      </c>
      <c r="AH17" s="33">
        <v>984.67480032701826</v>
      </c>
      <c r="AI17" s="34">
        <v>3303.2890122101576</v>
      </c>
      <c r="AJ17" s="33">
        <v>986.81919942135119</v>
      </c>
      <c r="AK17" s="34">
        <v>4619.5379041312663</v>
      </c>
      <c r="AL17" s="33">
        <v>992.08578724264862</v>
      </c>
      <c r="AM17" s="34">
        <v>7886.9409814004248</v>
      </c>
      <c r="AN17" s="33">
        <v>999.98556417241434</v>
      </c>
      <c r="AO17" s="34">
        <v>20422.701696294582</v>
      </c>
      <c r="AP17" s="33">
        <v>1001.7297531722851</v>
      </c>
      <c r="AQ17" s="34">
        <v>27299.758625938688</v>
      </c>
      <c r="AR17" s="33">
        <v>1003.508068227211</v>
      </c>
      <c r="AS17" s="34">
        <v>38780.564053405913</v>
      </c>
      <c r="AT17" s="33">
        <v>1005.3232220197966</v>
      </c>
      <c r="AU17" s="34">
        <v>60185.098788277028</v>
      </c>
      <c r="AV17" s="33">
        <v>1007.1901433078265</v>
      </c>
      <c r="AW17" s="34">
        <v>107539.04468535702</v>
      </c>
    </row>
    <row r="18" spans="1:49" x14ac:dyDescent="0.2">
      <c r="A18" t="s">
        <v>19</v>
      </c>
      <c r="B18" s="31">
        <v>27857.010133999996</v>
      </c>
      <c r="C18" s="32">
        <v>1236.7674480000003</v>
      </c>
      <c r="D18" s="31">
        <v>27873.384281982151</v>
      </c>
      <c r="E18" s="32">
        <v>1156.0067901600546</v>
      </c>
      <c r="F18" s="31">
        <v>27886.871019102364</v>
      </c>
      <c r="G18" s="32">
        <v>1075.3509872305847</v>
      </c>
      <c r="H18" s="31">
        <v>27897.032267113187</v>
      </c>
      <c r="I18" s="32">
        <v>994.81622452590841</v>
      </c>
      <c r="J18" s="31">
        <v>27903.327785352038</v>
      </c>
      <c r="K18" s="32">
        <v>914.42678140454052</v>
      </c>
      <c r="L18" s="31">
        <v>27905.086516074982</v>
      </c>
      <c r="M18" s="32">
        <v>834.21358866479341</v>
      </c>
      <c r="N18" s="31">
        <v>27901.457860237973</v>
      </c>
      <c r="O18" s="32">
        <v>754.22229699500861</v>
      </c>
      <c r="P18" s="31">
        <v>27891.345308783239</v>
      </c>
      <c r="Q18" s="32">
        <v>674.51957413446996</v>
      </c>
      <c r="R18" s="31">
        <v>27873.303377533321</v>
      </c>
      <c r="S18" s="32">
        <v>595.2066761269424</v>
      </c>
      <c r="T18" s="31">
        <v>27845.377889463918</v>
      </c>
      <c r="U18" s="32">
        <v>516.43976782065499</v>
      </c>
      <c r="V18" s="31">
        <v>27804.843748723415</v>
      </c>
      <c r="W18" s="32">
        <v>438.46602072119305</v>
      </c>
      <c r="X18" s="31">
        <v>27747.759302934686</v>
      </c>
      <c r="Y18" s="32">
        <v>361.68256668883669</v>
      </c>
      <c r="Z18" s="31">
        <v>27668.161871423908</v>
      </c>
      <c r="AA18" s="32">
        <v>286.73903748837165</v>
      </c>
      <c r="AB18" s="31">
        <v>27556.521743399029</v>
      </c>
      <c r="AC18" s="32">
        <v>214.71487862817085</v>
      </c>
      <c r="AD18" s="31">
        <v>27396.538450057848</v>
      </c>
      <c r="AE18" s="32">
        <v>147.42441726058274</v>
      </c>
      <c r="AF18" s="31">
        <v>27157.911617657337</v>
      </c>
      <c r="AG18" s="32">
        <v>87.89821769314608</v>
      </c>
      <c r="AH18" s="31">
        <v>26778.523223513072</v>
      </c>
      <c r="AI18" s="32">
        <v>40.872024664487057</v>
      </c>
      <c r="AJ18" s="31">
        <v>26116.86212750991</v>
      </c>
      <c r="AK18" s="32">
        <v>11.870986080474227</v>
      </c>
      <c r="AL18" s="31">
        <v>24804.180315749538</v>
      </c>
      <c r="AM18" s="32">
        <v>1.3713676493115949</v>
      </c>
      <c r="AN18" s="31">
        <v>21465.920470230507</v>
      </c>
      <c r="AO18" s="32">
        <v>2.1876033587917312E-2</v>
      </c>
      <c r="AP18" s="31">
        <v>20104.831272141961</v>
      </c>
      <c r="AQ18" s="32">
        <v>5.875913750449613E-3</v>
      </c>
      <c r="AR18" s="31">
        <v>18180.080297781034</v>
      </c>
      <c r="AS18" s="32">
        <v>1.158904428035905E-3</v>
      </c>
      <c r="AT18" s="31">
        <v>15254.325822085482</v>
      </c>
      <c r="AU18" s="32">
        <v>1.4238762736296136E-4</v>
      </c>
      <c r="AV18" s="31">
        <v>10282.51980679289</v>
      </c>
      <c r="AW18" s="32">
        <v>7.4469248256796749E-6</v>
      </c>
    </row>
    <row r="19" spans="1:49" x14ac:dyDescent="0.2">
      <c r="A19" t="s">
        <v>3</v>
      </c>
      <c r="B19" s="39">
        <v>1886.3937399999918</v>
      </c>
      <c r="C19" s="40">
        <v>262.78711299999759</v>
      </c>
      <c r="D19" s="39">
        <v>1883.2341268893254</v>
      </c>
      <c r="E19" s="40">
        <v>264.55338598478704</v>
      </c>
      <c r="F19" s="39">
        <v>1879.7990901218811</v>
      </c>
      <c r="G19" s="40">
        <v>266.81240047216966</v>
      </c>
      <c r="H19" s="39">
        <v>1876.0444335804129</v>
      </c>
      <c r="I19" s="40">
        <v>269.6293225949513</v>
      </c>
      <c r="J19" s="39">
        <v>1871.9164146813332</v>
      </c>
      <c r="K19" s="40">
        <v>273.08016312651233</v>
      </c>
      <c r="L19" s="39">
        <v>1867.349325137088</v>
      </c>
      <c r="M19" s="40">
        <v>277.25191050398666</v>
      </c>
      <c r="N19" s="39">
        <v>1862.2623342512168</v>
      </c>
      <c r="O19" s="40">
        <v>282.24375403023072</v>
      </c>
      <c r="P19" s="39">
        <v>1856.5554579530924</v>
      </c>
      <c r="Q19" s="40">
        <v>288.16563688336925</v>
      </c>
      <c r="R19" s="39">
        <v>1850.1042978269072</v>
      </c>
      <c r="S19" s="40">
        <v>295.13408669660066</v>
      </c>
      <c r="T19" s="39">
        <v>1842.7533014070632</v>
      </c>
      <c r="U19" s="40">
        <v>303.2608180259096</v>
      </c>
      <c r="V19" s="39">
        <v>1834.3069883544772</v>
      </c>
      <c r="W19" s="40">
        <v>312.6274460324172</v>
      </c>
      <c r="X19" s="39">
        <v>1824.5188380854327</v>
      </c>
      <c r="Y19" s="40">
        <v>323.23017282346353</v>
      </c>
      <c r="Z19" s="39">
        <v>1813.0770590488657</v>
      </c>
      <c r="AA19" s="40">
        <v>334.86183484119744</v>
      </c>
      <c r="AB19" s="39">
        <v>1799.585729356359</v>
      </c>
      <c r="AC19" s="40">
        <v>346.85827611645334</v>
      </c>
      <c r="AD19" s="39">
        <v>1783.5334287043747</v>
      </c>
      <c r="AE19" s="40">
        <v>357.54519775409835</v>
      </c>
      <c r="AF19" s="39">
        <v>1764.2035230583062</v>
      </c>
      <c r="AG19" s="40">
        <v>363.03947296309309</v>
      </c>
      <c r="AH19" s="39">
        <v>1740.2430543885296</v>
      </c>
      <c r="AI19" s="40">
        <v>354.90613478781961</v>
      </c>
      <c r="AJ19" s="39">
        <v>1707.196477859032</v>
      </c>
      <c r="AK19" s="40">
        <v>317.77671616554028</v>
      </c>
      <c r="AL19" s="39">
        <v>1644.6378065132669</v>
      </c>
      <c r="AM19" s="40">
        <v>237.06164185390497</v>
      </c>
      <c r="AN19" s="39">
        <v>1453.5528063605459</v>
      </c>
      <c r="AO19" s="40">
        <v>122.89417723305418</v>
      </c>
      <c r="AP19" s="39">
        <v>1367.6566563766296</v>
      </c>
      <c r="AQ19" s="40">
        <v>98.475441373998279</v>
      </c>
      <c r="AR19" s="39">
        <v>1242.5071679695698</v>
      </c>
      <c r="AS19" s="40">
        <v>73.916560007166282</v>
      </c>
      <c r="AT19" s="39">
        <v>1047.5056436401499</v>
      </c>
      <c r="AU19" s="40">
        <v>49.294387529782043</v>
      </c>
      <c r="AV19" s="39">
        <v>709.53425511169735</v>
      </c>
      <c r="AW19" s="40">
        <v>24.649857667044245</v>
      </c>
    </row>
    <row r="20" spans="1:49" x14ac:dyDescent="0.2">
      <c r="A20" t="s">
        <v>114</v>
      </c>
      <c r="B20" s="79">
        <v>26548.356269999993</v>
      </c>
      <c r="C20" s="80">
        <v>1408.5418709999938</v>
      </c>
      <c r="D20" s="79">
        <v>26553.936365606543</v>
      </c>
      <c r="E20" s="80">
        <v>1338.1147774499941</v>
      </c>
      <c r="F20" s="79">
        <v>26556.546948287985</v>
      </c>
      <c r="G20" s="80">
        <v>1267.6876838999945</v>
      </c>
      <c r="H20" s="79">
        <v>26555.734314338024</v>
      </c>
      <c r="I20" s="80">
        <v>1197.2605903499946</v>
      </c>
      <c r="J20" s="79">
        <v>26550.940645916406</v>
      </c>
      <c r="K20" s="80">
        <v>1126.8334967999949</v>
      </c>
      <c r="L20" s="79">
        <v>26541.475430719976</v>
      </c>
      <c r="M20" s="80">
        <v>1056.4064032499953</v>
      </c>
      <c r="N20" s="79">
        <v>26526.469172698602</v>
      </c>
      <c r="O20" s="80">
        <v>985.97930969999561</v>
      </c>
      <c r="P20" s="79">
        <v>26504.811045167295</v>
      </c>
      <c r="Q20" s="80">
        <v>915.55221614999596</v>
      </c>
      <c r="R20" s="79">
        <v>26475.054564172802</v>
      </c>
      <c r="S20" s="80">
        <v>845.12512259999642</v>
      </c>
      <c r="T20" s="79">
        <v>26435.275007244512</v>
      </c>
      <c r="U20" s="80">
        <v>774.69802904999653</v>
      </c>
      <c r="V20" s="79">
        <v>26382.841206678058</v>
      </c>
      <c r="W20" s="80">
        <v>704.27093549999688</v>
      </c>
      <c r="X20" s="79">
        <v>26314.037592706594</v>
      </c>
      <c r="Y20" s="80">
        <v>633.84384194999734</v>
      </c>
      <c r="Z20" s="79">
        <v>26223.39726194616</v>
      </c>
      <c r="AA20" s="80">
        <v>563.41674839999757</v>
      </c>
      <c r="AB20" s="79">
        <v>26102.443005070334</v>
      </c>
      <c r="AC20" s="80">
        <v>492.98965484999781</v>
      </c>
      <c r="AD20" s="79">
        <v>25937.09968433531</v>
      </c>
      <c r="AE20" s="80">
        <v>422.56256129999804</v>
      </c>
      <c r="AF20" s="79">
        <v>25701.806666809869</v>
      </c>
      <c r="AG20" s="80">
        <v>352.13546774999821</v>
      </c>
      <c r="AH20" s="79">
        <v>25344.45415989745</v>
      </c>
      <c r="AI20" s="80">
        <v>281.70837419999856</v>
      </c>
      <c r="AJ20" s="79">
        <v>24742.748861054799</v>
      </c>
      <c r="AK20" s="80">
        <v>211.28128064999879</v>
      </c>
      <c r="AL20" s="79">
        <v>23555.673472435959</v>
      </c>
      <c r="AM20" s="80">
        <v>140.85418709999905</v>
      </c>
      <c r="AN20" s="79">
        <v>20457.374408179152</v>
      </c>
      <c r="AO20" s="80">
        <v>70.427093549999285</v>
      </c>
      <c r="AP20" s="79">
        <v>19174.893927675192</v>
      </c>
      <c r="AQ20" s="80">
        <v>56.341674839999335</v>
      </c>
      <c r="AR20" s="79">
        <v>17352.616404804121</v>
      </c>
      <c r="AS20" s="80">
        <v>42.256256129999379</v>
      </c>
      <c r="AT20" s="79">
        <v>14571.481467992888</v>
      </c>
      <c r="AU20" s="80">
        <v>28.170837419999433</v>
      </c>
      <c r="AV20" s="79">
        <v>9830.1316754224699</v>
      </c>
      <c r="AW20" s="80">
        <v>14.08541870999948</v>
      </c>
    </row>
    <row r="21" spans="1:49" x14ac:dyDescent="0.2">
      <c r="A21" t="s">
        <v>76</v>
      </c>
      <c r="B21" s="79">
        <v>24661.962529999968</v>
      </c>
      <c r="C21" s="80">
        <v>1145.7547579999991</v>
      </c>
      <c r="D21" s="79">
        <v>24670.704044167571</v>
      </c>
      <c r="E21" s="80">
        <v>1073.695160902357</v>
      </c>
      <c r="F21" s="79">
        <v>24676.755217743845</v>
      </c>
      <c r="G21" s="80">
        <v>1001.4449390697101</v>
      </c>
      <c r="H21" s="79">
        <v>24679.706792720583</v>
      </c>
      <c r="I21" s="80">
        <v>928.99988839820503</v>
      </c>
      <c r="J21" s="79">
        <v>24679.055012930217</v>
      </c>
      <c r="K21" s="80">
        <v>856.35980701590734</v>
      </c>
      <c r="L21" s="79">
        <v>24674.175482032526</v>
      </c>
      <c r="M21" s="80">
        <v>783.53251442841201</v>
      </c>
      <c r="N21" s="79">
        <v>24664.280051908092</v>
      </c>
      <c r="O21" s="80">
        <v>710.53811096516642</v>
      </c>
      <c r="P21" s="79">
        <v>24648.358528411823</v>
      </c>
      <c r="Q21" s="80">
        <v>637.41735738195177</v>
      </c>
      <c r="R21" s="79">
        <v>24625.089619959825</v>
      </c>
      <c r="S21" s="80">
        <v>564.24450255753538</v>
      </c>
      <c r="T21" s="79">
        <v>24592.705085055404</v>
      </c>
      <c r="U21" s="80">
        <v>491.14870122738</v>
      </c>
      <c r="V21" s="79">
        <v>24548.770219941536</v>
      </c>
      <c r="W21" s="80">
        <v>418.3491987393171</v>
      </c>
      <c r="X21" s="79">
        <v>24489.81676612105</v>
      </c>
      <c r="Y21" s="80">
        <v>346.21510727425414</v>
      </c>
      <c r="Z21" s="79">
        <v>24410.689562447988</v>
      </c>
      <c r="AA21" s="80">
        <v>275.36759859701948</v>
      </c>
      <c r="AB21" s="79">
        <v>24303.304862088247</v>
      </c>
      <c r="AC21" s="80">
        <v>206.85665734320949</v>
      </c>
      <c r="AD21" s="79">
        <v>24154.090455150461</v>
      </c>
      <c r="AE21" s="80">
        <v>142.46432826932266</v>
      </c>
      <c r="AF21" s="79">
        <v>23938.180160482229</v>
      </c>
      <c r="AG21" s="80">
        <v>85.183641892144507</v>
      </c>
      <c r="AH21" s="79">
        <v>23604.769480355088</v>
      </c>
      <c r="AI21" s="80">
        <v>39.709092018730381</v>
      </c>
      <c r="AJ21" s="79">
        <v>23035.954818243677</v>
      </c>
      <c r="AK21" s="80">
        <v>11.555462335339747</v>
      </c>
      <c r="AL21" s="79">
        <v>21911.173124053967</v>
      </c>
      <c r="AM21" s="80">
        <v>1.3363849386289079</v>
      </c>
      <c r="AN21" s="79">
        <v>19003.821602212956</v>
      </c>
      <c r="AO21" s="80">
        <v>2.1325131497082372E-2</v>
      </c>
      <c r="AP21" s="79">
        <v>17807.242570225491</v>
      </c>
      <c r="AQ21" s="80">
        <v>5.7280250374481352E-3</v>
      </c>
      <c r="AR21" s="79">
        <v>16110.128929436027</v>
      </c>
      <c r="AS21" s="80">
        <v>1.129744381595353E-3</v>
      </c>
      <c r="AT21" s="79">
        <v>13524.013839766063</v>
      </c>
      <c r="AU21" s="80">
        <v>1.3880537183835515E-4</v>
      </c>
      <c r="AV21" s="79">
        <v>9120.6441324540428</v>
      </c>
      <c r="AW21" s="80">
        <v>7.2595788627800823E-6</v>
      </c>
    </row>
    <row r="22" spans="1:49" x14ac:dyDescent="0.2">
      <c r="A22" t="s">
        <v>28</v>
      </c>
      <c r="B22" s="39">
        <v>6533.604468832059</v>
      </c>
      <c r="C22" s="40">
        <v>379.90788307663331</v>
      </c>
      <c r="D22" s="39">
        <v>6519.327327014501</v>
      </c>
      <c r="E22" s="40">
        <v>356.31717680938084</v>
      </c>
      <c r="F22" s="39">
        <v>6503.9507104027925</v>
      </c>
      <c r="G22" s="40">
        <v>332.87601914006189</v>
      </c>
      <c r="H22" s="39">
        <v>6487.2954412083036</v>
      </c>
      <c r="I22" s="40">
        <v>309.60514586172951</v>
      </c>
      <c r="J22" s="39">
        <v>6469.141805100584</v>
      </c>
      <c r="K22" s="40">
        <v>286.52777946034621</v>
      </c>
      <c r="L22" s="39">
        <v>6449.2158039221486</v>
      </c>
      <c r="M22" s="40">
        <v>263.67061505830293</v>
      </c>
      <c r="N22" s="39">
        <v>6427.1719129566536</v>
      </c>
      <c r="O22" s="40">
        <v>241.06361551998617</v>
      </c>
      <c r="P22" s="39">
        <v>6402.5665360297717</v>
      </c>
      <c r="Q22" s="40">
        <v>218.74057665622672</v>
      </c>
      <c r="R22" s="39">
        <v>6374.8187828316959</v>
      </c>
      <c r="S22" s="40">
        <v>196.73924789105155</v>
      </c>
      <c r="T22" s="39">
        <v>6343.1498498438223</v>
      </c>
      <c r="U22" s="40">
        <v>175.10151909585321</v>
      </c>
      <c r="V22" s="39">
        <v>6306.4841272720932</v>
      </c>
      <c r="W22" s="40">
        <v>153.87320052005822</v>
      </c>
      <c r="X22" s="39">
        <v>6263.282123878249</v>
      </c>
      <c r="Y22" s="40">
        <v>133.10375717271327</v>
      </c>
      <c r="Z22" s="39">
        <v>6211.2390295863852</v>
      </c>
      <c r="AA22" s="40">
        <v>112.84591112596974</v>
      </c>
      <c r="AB22" s="39">
        <v>6146.7043063720366</v>
      </c>
      <c r="AC22" s="40">
        <v>93.156254653102934</v>
      </c>
      <c r="AD22" s="39">
        <v>6063.468605691718</v>
      </c>
      <c r="AE22" s="40">
        <v>74.100998411335794</v>
      </c>
      <c r="AF22" s="39">
        <v>5949.9950286576459</v>
      </c>
      <c r="AG22" s="40">
        <v>55.781270062660724</v>
      </c>
      <c r="AH22" s="39">
        <v>5782.5007316456831</v>
      </c>
      <c r="AI22" s="40">
        <v>38.426044860893541</v>
      </c>
      <c r="AJ22" s="39">
        <v>5506.450602422683</v>
      </c>
      <c r="AK22" s="40">
        <v>22.670650019758732</v>
      </c>
      <c r="AL22" s="39">
        <v>4982.5256624238609</v>
      </c>
      <c r="AM22" s="40">
        <v>9.9878305626941302</v>
      </c>
      <c r="AN22" s="39">
        <v>3752.0517562274508</v>
      </c>
      <c r="AO22" s="40">
        <v>2.2400121446951027</v>
      </c>
      <c r="AP22" s="39">
        <v>3296.1486012168971</v>
      </c>
      <c r="AQ22" s="40">
        <v>1.3732089311310287</v>
      </c>
      <c r="AR22" s="39">
        <v>2699.7061061667982</v>
      </c>
      <c r="AS22" s="40">
        <v>0.73058943644928309</v>
      </c>
      <c r="AT22" s="39">
        <v>1904.3214301139046</v>
      </c>
      <c r="AU22" s="40">
        <v>0.3015509426339088</v>
      </c>
      <c r="AV22" s="39">
        <v>867.24312283130587</v>
      </c>
      <c r="AW22" s="40">
        <v>6.8013674345044975E-2</v>
      </c>
    </row>
    <row r="23" spans="1:49" x14ac:dyDescent="0.2">
      <c r="A23" t="s">
        <v>7</v>
      </c>
      <c r="B23" s="110">
        <v>3278.5018080150408</v>
      </c>
      <c r="C23" s="8">
        <v>0</v>
      </c>
      <c r="D23" s="110">
        <v>3282.4543776943046</v>
      </c>
      <c r="E23" s="8">
        <v>0</v>
      </c>
      <c r="F23" s="110">
        <v>3285.9711873459687</v>
      </c>
      <c r="G23" s="8">
        <v>0</v>
      </c>
      <c r="H23" s="110">
        <v>3288.9874130094727</v>
      </c>
      <c r="I23" s="8">
        <v>0</v>
      </c>
      <c r="J23" s="110">
        <v>3291.4234288795674</v>
      </c>
      <c r="K23" s="8">
        <v>0</v>
      </c>
      <c r="L23" s="110">
        <v>3293.1810895760623</v>
      </c>
      <c r="M23" s="8">
        <v>0</v>
      </c>
      <c r="N23" s="110">
        <v>3294.1372310844486</v>
      </c>
      <c r="O23" s="8">
        <v>0</v>
      </c>
      <c r="P23" s="110">
        <v>3294.1352921969915</v>
      </c>
      <c r="Q23" s="8">
        <v>0</v>
      </c>
      <c r="R23" s="110">
        <v>3292.9726204881731</v>
      </c>
      <c r="S23" s="8">
        <v>0</v>
      </c>
      <c r="T23" s="110">
        <v>3290.3816759773968</v>
      </c>
      <c r="U23" s="8">
        <v>0</v>
      </c>
      <c r="V23" s="110">
        <v>3286.0003096899277</v>
      </c>
      <c r="W23" s="8">
        <v>0</v>
      </c>
      <c r="X23" s="110">
        <v>3279.3236693141571</v>
      </c>
      <c r="Y23" s="8">
        <v>0</v>
      </c>
      <c r="Z23" s="110">
        <v>3269.6211421770886</v>
      </c>
      <c r="AA23" s="8">
        <v>0</v>
      </c>
      <c r="AB23" s="110">
        <v>3255.7833931219952</v>
      </c>
      <c r="AC23" s="8">
        <v>0</v>
      </c>
      <c r="AD23" s="110">
        <v>3236.0149547889828</v>
      </c>
      <c r="AE23" s="8">
        <v>0</v>
      </c>
      <c r="AF23" s="110">
        <v>3207.1457102625473</v>
      </c>
      <c r="AG23" s="8">
        <v>0</v>
      </c>
      <c r="AH23" s="110">
        <v>3162.8635674178845</v>
      </c>
      <c r="AI23" s="8">
        <v>0</v>
      </c>
      <c r="AJ23" s="110">
        <v>3088.4019836909424</v>
      </c>
      <c r="AK23" s="8">
        <v>0</v>
      </c>
      <c r="AL23" s="110">
        <v>2941.4291135319481</v>
      </c>
      <c r="AM23" s="8">
        <v>0</v>
      </c>
      <c r="AN23" s="110">
        <v>2554.0592333323284</v>
      </c>
      <c r="AO23" s="8">
        <v>0</v>
      </c>
      <c r="AP23" s="110">
        <v>2393.1584606706606</v>
      </c>
      <c r="AQ23" s="8">
        <v>0</v>
      </c>
      <c r="AR23" s="110">
        <v>2164.5740990792369</v>
      </c>
      <c r="AS23" s="8">
        <v>0</v>
      </c>
      <c r="AT23" s="110">
        <v>1816.1237559457115</v>
      </c>
      <c r="AU23" s="8">
        <v>0</v>
      </c>
      <c r="AV23" s="110">
        <v>1223.5087325681905</v>
      </c>
      <c r="AW23" s="8">
        <v>0</v>
      </c>
    </row>
    <row r="24" spans="1:49" x14ac:dyDescent="0.2">
      <c r="A24" t="s">
        <v>8</v>
      </c>
      <c r="B24" s="93">
        <v>3196.3846373657216</v>
      </c>
      <c r="C24" s="8">
        <v>0</v>
      </c>
      <c r="D24" s="93">
        <v>3227.520812815128</v>
      </c>
      <c r="E24" s="8">
        <v>0</v>
      </c>
      <c r="F24" s="93">
        <v>3258.649213744874</v>
      </c>
      <c r="G24" s="8">
        <v>0</v>
      </c>
      <c r="H24" s="93">
        <v>3289.775485721158</v>
      </c>
      <c r="I24" s="8">
        <v>0</v>
      </c>
      <c r="J24" s="93">
        <v>3320.9055774214685</v>
      </c>
      <c r="K24" s="8">
        <v>0</v>
      </c>
      <c r="L24" s="93">
        <v>3352.0478863139365</v>
      </c>
      <c r="M24" s="8">
        <v>0</v>
      </c>
      <c r="N24" s="93">
        <v>3383.2132840429363</v>
      </c>
      <c r="O24" s="8">
        <v>0</v>
      </c>
      <c r="P24" s="93">
        <v>3414.417719552066</v>
      </c>
      <c r="Q24" s="8">
        <v>0</v>
      </c>
      <c r="R24" s="93">
        <v>3445.686070849737</v>
      </c>
      <c r="S24" s="8">
        <v>0</v>
      </c>
      <c r="T24" s="93">
        <v>3477.0599748133072</v>
      </c>
      <c r="U24" s="8">
        <v>0</v>
      </c>
      <c r="V24" s="93">
        <v>3508.6136756762544</v>
      </c>
      <c r="W24" s="8">
        <v>0</v>
      </c>
      <c r="X24" s="93">
        <v>3540.4863742311618</v>
      </c>
      <c r="Y24" s="8">
        <v>0</v>
      </c>
      <c r="Z24" s="93">
        <v>3572.9511135990729</v>
      </c>
      <c r="AA24" s="8">
        <v>0</v>
      </c>
      <c r="AB24" s="93">
        <v>3606.5665676103913</v>
      </c>
      <c r="AC24" s="8">
        <v>0</v>
      </c>
      <c r="AD24" s="93">
        <v>3642.5241420664015</v>
      </c>
      <c r="AE24" s="8">
        <v>0</v>
      </c>
      <c r="AF24" s="93">
        <v>3683.4591583321135</v>
      </c>
      <c r="AG24" s="8">
        <v>0</v>
      </c>
      <c r="AH24" s="93">
        <v>3735.2550981547279</v>
      </c>
      <c r="AI24" s="8">
        <v>0</v>
      </c>
      <c r="AJ24" s="93">
        <v>3809.7796712938298</v>
      </c>
      <c r="AK24" s="8">
        <v>0</v>
      </c>
      <c r="AL24" s="93">
        <v>3920.9083001393424</v>
      </c>
      <c r="AM24" s="8">
        <v>0</v>
      </c>
      <c r="AN24" s="93">
        <v>4020.2354761203137</v>
      </c>
      <c r="AO24" s="8">
        <v>0</v>
      </c>
      <c r="AP24" s="93">
        <v>3997.5398843105536</v>
      </c>
      <c r="AQ24" s="8">
        <v>0</v>
      </c>
      <c r="AR24" s="93">
        <v>3909.1724408900527</v>
      </c>
      <c r="AS24" s="8">
        <v>0</v>
      </c>
      <c r="AT24" s="93">
        <v>3652.9821747206079</v>
      </c>
      <c r="AU24" s="8">
        <v>0</v>
      </c>
      <c r="AV24" s="93">
        <v>2887.6740104824903</v>
      </c>
      <c r="AW24" s="8">
        <v>0</v>
      </c>
    </row>
    <row r="25" spans="1:49" x14ac:dyDescent="0.2">
      <c r="A25" t="s">
        <v>0</v>
      </c>
      <c r="B25" s="39">
        <v>3195.0476040000012</v>
      </c>
      <c r="C25" s="40">
        <v>91.012690000004397</v>
      </c>
      <c r="D25" s="39">
        <v>3202.6773165622913</v>
      </c>
      <c r="E25" s="40">
        <v>82.28701241254339</v>
      </c>
      <c r="F25" s="39">
        <v>3210.1038596969852</v>
      </c>
      <c r="G25" s="40">
        <v>73.808140425620294</v>
      </c>
      <c r="H25" s="39">
        <v>3217.2979617400401</v>
      </c>
      <c r="I25" s="40">
        <v>65.600385617823676</v>
      </c>
      <c r="J25" s="39">
        <v>3224.2225583203476</v>
      </c>
      <c r="K25" s="40">
        <v>57.690708201183639</v>
      </c>
      <c r="L25" s="39">
        <v>3230.8302595535411</v>
      </c>
      <c r="M25" s="40">
        <v>50.108880539942447</v>
      </c>
      <c r="N25" s="39">
        <v>3237.0576884421885</v>
      </c>
      <c r="O25" s="40">
        <v>42.887950516286629</v>
      </c>
      <c r="P25" s="39">
        <v>3242.8173715193843</v>
      </c>
      <c r="Q25" s="40">
        <v>36.064597034130514</v>
      </c>
      <c r="R25" s="39">
        <v>3247.9836924937081</v>
      </c>
      <c r="S25" s="40">
        <v>29.679581606613542</v>
      </c>
      <c r="T25" s="39">
        <v>3252.3690396884508</v>
      </c>
      <c r="U25" s="40">
        <v>23.778136082925286</v>
      </c>
      <c r="V25" s="39">
        <v>3255.6812150019855</v>
      </c>
      <c r="W25" s="40">
        <v>18.410319541123187</v>
      </c>
      <c r="X25" s="39">
        <v>3257.4453047652555</v>
      </c>
      <c r="Y25" s="40">
        <v>13.631056925982081</v>
      </c>
      <c r="Z25" s="39">
        <v>3256.8536628121183</v>
      </c>
      <c r="AA25" s="40">
        <v>9.499547342038591</v>
      </c>
      <c r="AB25" s="39">
        <v>3252.4643241506019</v>
      </c>
      <c r="AC25" s="40">
        <v>6.0770770933786675</v>
      </c>
      <c r="AD25" s="39">
        <v>3241.5635156125177</v>
      </c>
      <c r="AE25" s="40">
        <v>3.4210573785591873</v>
      </c>
      <c r="AF25" s="39">
        <v>3218.7555111636484</v>
      </c>
      <c r="AG25" s="40">
        <v>1.5697260374374737</v>
      </c>
      <c r="AH25" s="39">
        <v>3172.8097441105633</v>
      </c>
      <c r="AI25" s="40">
        <v>0.50529447926677895</v>
      </c>
      <c r="AJ25" s="39">
        <v>3080.2313920917932</v>
      </c>
      <c r="AK25" s="40">
        <v>8.3827479940938504E-2</v>
      </c>
      <c r="AL25" s="39">
        <v>2892.7799837193502</v>
      </c>
      <c r="AM25" s="40">
        <v>3.8170978095054178E-3</v>
      </c>
      <c r="AN25" s="39">
        <v>2462.0988673809188</v>
      </c>
      <c r="AO25" s="40">
        <v>1.0686568722406465E-5</v>
      </c>
      <c r="AP25" s="39">
        <v>2297.5801924139546</v>
      </c>
      <c r="AQ25" s="40">
        <v>1.6619189540156767E-6</v>
      </c>
      <c r="AR25" s="39">
        <v>2069.919910258438</v>
      </c>
      <c r="AS25" s="40">
        <v>1.6802194206491271E-7</v>
      </c>
      <c r="AT25" s="39">
        <v>1730.2515787975437</v>
      </c>
      <c r="AU25" s="40">
        <v>8.8608859843818399E-9</v>
      </c>
      <c r="AV25" s="39">
        <v>1161.8018588569294</v>
      </c>
      <c r="AW25" s="40">
        <v>1.498740346495188E-10</v>
      </c>
    </row>
    <row r="26" spans="1:49" x14ac:dyDescent="0.2">
      <c r="A26" t="s">
        <v>27</v>
      </c>
      <c r="B26" s="31">
        <v>5036.2953101960647</v>
      </c>
      <c r="C26" s="32">
        <v>74.905331803938267</v>
      </c>
      <c r="D26" s="31">
        <v>5040.9173501870628</v>
      </c>
      <c r="E26" s="32">
        <v>70.283291812938472</v>
      </c>
      <c r="F26" s="31">
        <v>5045.5440101346112</v>
      </c>
      <c r="G26" s="32">
        <v>65.656631865386231</v>
      </c>
      <c r="H26" s="31">
        <v>5050.176256442026</v>
      </c>
      <c r="I26" s="32">
        <v>61.024385557977695</v>
      </c>
      <c r="J26" s="31">
        <v>5054.8150077606861</v>
      </c>
      <c r="K26" s="32">
        <v>56.385634239319756</v>
      </c>
      <c r="L26" s="31">
        <v>5059.4612396138264</v>
      </c>
      <c r="M26" s="32">
        <v>51.739402386177282</v>
      </c>
      <c r="N26" s="31">
        <v>5064.1156867831196</v>
      </c>
      <c r="O26" s="32">
        <v>47.084955216884474</v>
      </c>
      <c r="P26" s="31">
        <v>5068.7785976340483</v>
      </c>
      <c r="Q26" s="32">
        <v>42.422044365952324</v>
      </c>
      <c r="R26" s="31">
        <v>5073.4491356901608</v>
      </c>
      <c r="S26" s="32">
        <v>37.75150630984389</v>
      </c>
      <c r="T26" s="31">
        <v>5078.1243852193265</v>
      </c>
      <c r="U26" s="32">
        <v>33.076256780675671</v>
      </c>
      <c r="V26" s="31">
        <v>5082.7974661753606</v>
      </c>
      <c r="W26" s="32">
        <v>28.403175824641963</v>
      </c>
      <c r="X26" s="31">
        <v>5087.4541985969345</v>
      </c>
      <c r="Y26" s="32">
        <v>23.74644340307043</v>
      </c>
      <c r="Z26" s="31">
        <v>5092.066927865415</v>
      </c>
      <c r="AA26" s="32">
        <v>19.133714134589141</v>
      </c>
      <c r="AB26" s="31">
        <v>5096.5830975245581</v>
      </c>
      <c r="AC26" s="32">
        <v>14.61754447544538</v>
      </c>
      <c r="AD26" s="31">
        <v>5100.9040393871746</v>
      </c>
      <c r="AE26" s="32">
        <v>10.296602612825946</v>
      </c>
      <c r="AF26" s="31">
        <v>5104.8476537396082</v>
      </c>
      <c r="AG26" s="32">
        <v>6.3529882603949588</v>
      </c>
      <c r="AH26" s="31">
        <v>5108.0982302132325</v>
      </c>
      <c r="AI26" s="32">
        <v>3.1024117867766692</v>
      </c>
      <c r="AJ26" s="31">
        <v>5110.2277737970462</v>
      </c>
      <c r="AK26" s="32">
        <v>0.97286820295983112</v>
      </c>
      <c r="AL26" s="31">
        <v>5111.0721519738499</v>
      </c>
      <c r="AM26" s="32">
        <v>0.12849002615498128</v>
      </c>
      <c r="AN26" s="31">
        <v>5111.197931271915</v>
      </c>
      <c r="AO26" s="32">
        <v>2.7107280899773415E-3</v>
      </c>
      <c r="AP26" s="31">
        <v>5111.1998382061374</v>
      </c>
      <c r="AQ26" s="32">
        <v>8.0379386797932862E-4</v>
      </c>
      <c r="AR26" s="31">
        <v>5111.2004611550801</v>
      </c>
      <c r="AS26" s="32">
        <v>1.8084492215164264E-4</v>
      </c>
      <c r="AT26" s="31">
        <v>5111.2006150960569</v>
      </c>
      <c r="AU26" s="32">
        <v>2.6903945884882806E-5</v>
      </c>
      <c r="AV26" s="31">
        <v>5111.2006400305754</v>
      </c>
      <c r="AW26" s="32">
        <v>1.9694290804690663E-6</v>
      </c>
    </row>
    <row r="27" spans="1:49" x14ac:dyDescent="0.2">
      <c r="A27" t="s">
        <v>2</v>
      </c>
      <c r="B27" s="33">
        <v>6425.1981590000414</v>
      </c>
      <c r="C27" s="34">
        <v>273.22915400000028</v>
      </c>
      <c r="D27" s="33">
        <v>6441.8436433556117</v>
      </c>
      <c r="E27" s="34">
        <v>256.5836767913035</v>
      </c>
      <c r="F27" s="33">
        <v>6458.5339428952984</v>
      </c>
      <c r="G27" s="34">
        <v>239.89338827255</v>
      </c>
      <c r="H27" s="33">
        <v>6475.2727317787158</v>
      </c>
      <c r="I27" s="34">
        <v>223.15458143505737</v>
      </c>
      <c r="J27" s="33">
        <v>6492.0633504362495</v>
      </c>
      <c r="K27" s="34">
        <v>206.36396767096957</v>
      </c>
      <c r="L27" s="33">
        <v>6508.9095132056736</v>
      </c>
      <c r="M27" s="34">
        <v>189.51779994889327</v>
      </c>
      <c r="N27" s="33">
        <v>6525.8139971316468</v>
      </c>
      <c r="O27" s="34">
        <v>172.61331594847752</v>
      </c>
      <c r="P27" s="33">
        <v>6542.7778609335783</v>
      </c>
      <c r="Q27" s="34">
        <v>155.64945185126388</v>
      </c>
      <c r="R27" s="33">
        <v>6559.7981869572886</v>
      </c>
      <c r="S27" s="34">
        <v>138.62912888974731</v>
      </c>
      <c r="T27" s="33">
        <v>6576.8644960854626</v>
      </c>
      <c r="U27" s="34">
        <v>121.56281874734034</v>
      </c>
      <c r="V27" s="33">
        <v>6593.9516813101754</v>
      </c>
      <c r="W27" s="34">
        <v>104.47563276011041</v>
      </c>
      <c r="X27" s="33">
        <v>6611.0077224679962</v>
      </c>
      <c r="Y27" s="34">
        <v>87.419591918265624</v>
      </c>
      <c r="Z27" s="33">
        <v>6627.9307657117524</v>
      </c>
      <c r="AA27" s="34">
        <v>70.496547538832758</v>
      </c>
      <c r="AB27" s="33">
        <v>6644.5267221347131</v>
      </c>
      <c r="AC27" s="34">
        <v>53.900593821033013</v>
      </c>
      <c r="AD27" s="33">
        <v>6660.4304105548999</v>
      </c>
      <c r="AE27" s="34">
        <v>37.996907204630283</v>
      </c>
      <c r="AF27" s="33">
        <v>6674.9667813935721</v>
      </c>
      <c r="AG27" s="34">
        <v>23.460531731147292</v>
      </c>
      <c r="AH27" s="33">
        <v>6686.9639794078557</v>
      </c>
      <c r="AI27" s="34">
        <v>11.463332703705264</v>
      </c>
      <c r="AJ27" s="33">
        <v>6694.8312247892873</v>
      </c>
      <c r="AK27" s="34">
        <v>3.5960881009167154</v>
      </c>
      <c r="AL27" s="33">
        <v>6697.952294261212</v>
      </c>
      <c r="AM27" s="34">
        <v>0.4750191538872065</v>
      </c>
      <c r="AN27" s="33">
        <v>6698.4172913426255</v>
      </c>
      <c r="AO27" s="34">
        <v>1.0021604656951533E-2</v>
      </c>
      <c r="AP27" s="33">
        <v>6698.4243413532167</v>
      </c>
      <c r="AQ27" s="34">
        <v>2.9716400438341509E-3</v>
      </c>
      <c r="AR27" s="33">
        <v>6698.4266448766457</v>
      </c>
      <c r="AS27" s="34">
        <v>6.6858703961686198E-4</v>
      </c>
      <c r="AT27" s="33">
        <v>6698.4272135346464</v>
      </c>
      <c r="AU27" s="34">
        <v>9.9464378256085018E-5</v>
      </c>
      <c r="AV27" s="33">
        <v>6698.4273058419458</v>
      </c>
      <c r="AW27" s="34">
        <v>7.2810151052728034E-6</v>
      </c>
    </row>
    <row r="28" spans="1:49" x14ac:dyDescent="0.2">
      <c r="A28" t="s">
        <v>35</v>
      </c>
      <c r="B28" s="39">
        <v>13763.097676000029</v>
      </c>
      <c r="C28" s="40">
        <v>382.36647899999997</v>
      </c>
      <c r="D28" s="39">
        <v>13786.461539594018</v>
      </c>
      <c r="E28" s="40">
        <v>358.98650344369389</v>
      </c>
      <c r="F28" s="39">
        <v>13809.844939706616</v>
      </c>
      <c r="G28" s="40">
        <v>335.55468866438451</v>
      </c>
      <c r="H28" s="39">
        <v>13833.252769308805</v>
      </c>
      <c r="I28" s="40">
        <v>312.06598622919978</v>
      </c>
      <c r="J28" s="39">
        <v>13856.689493556922</v>
      </c>
      <c r="K28" s="40">
        <v>288.51583517010607</v>
      </c>
      <c r="L28" s="39">
        <v>13880.16000551909</v>
      </c>
      <c r="M28" s="40">
        <v>264.89913467246799</v>
      </c>
      <c r="N28" s="39">
        <v>13903.667893518534</v>
      </c>
      <c r="O28" s="40">
        <v>241.21211938829254</v>
      </c>
      <c r="P28" s="39">
        <v>13927.21432116196</v>
      </c>
      <c r="Q28" s="40">
        <v>217.453432382611</v>
      </c>
      <c r="R28" s="39">
        <v>13950.794948813516</v>
      </c>
      <c r="S28" s="40">
        <v>193.62728301984225</v>
      </c>
      <c r="T28" s="39">
        <v>13974.394999063987</v>
      </c>
      <c r="U28" s="40">
        <v>169.74846231159611</v>
      </c>
      <c r="V28" s="39">
        <v>13997.979652611119</v>
      </c>
      <c r="W28" s="40">
        <v>145.8521765054079</v>
      </c>
      <c r="X28" s="39">
        <v>14021.477301232793</v>
      </c>
      <c r="Y28" s="40">
        <v>122.01117597462844</v>
      </c>
      <c r="Z28" s="39">
        <v>14044.748411191084</v>
      </c>
      <c r="AA28" s="40">
        <v>98.367667174484495</v>
      </c>
      <c r="AB28" s="39">
        <v>14067.527981738054</v>
      </c>
      <c r="AC28" s="40">
        <v>75.192363491387425</v>
      </c>
      <c r="AD28" s="39">
        <v>14089.318681671821</v>
      </c>
      <c r="AE28" s="40">
        <v>52.994202809025957</v>
      </c>
      <c r="AF28" s="39">
        <v>14109.202929488298</v>
      </c>
      <c r="AG28" s="40">
        <v>32.713460393819055</v>
      </c>
      <c r="AH28" s="39">
        <v>14125.59018362719</v>
      </c>
      <c r="AI28" s="40">
        <v>15.981737116801845</v>
      </c>
      <c r="AJ28" s="39">
        <v>14136.32464600204</v>
      </c>
      <c r="AK28" s="40">
        <v>5.0129551923980227</v>
      </c>
      <c r="AL28" s="39">
        <v>14140.580648684623</v>
      </c>
      <c r="AM28" s="40">
        <v>0.6621477884003546</v>
      </c>
      <c r="AN28" s="39">
        <v>14141.214612229078</v>
      </c>
      <c r="AO28" s="40">
        <v>1.3969413861607084E-2</v>
      </c>
      <c r="AP28" s="39">
        <v>14141.224223742174</v>
      </c>
      <c r="AQ28" s="40">
        <v>4.1422571723537692E-3</v>
      </c>
      <c r="AR28" s="39">
        <v>14141.227364023276</v>
      </c>
      <c r="AS28" s="40">
        <v>9.3196322101435065E-4</v>
      </c>
      <c r="AT28" s="39">
        <v>14141.228139485316</v>
      </c>
      <c r="AU28" s="40">
        <v>1.3864633865520777E-4</v>
      </c>
      <c r="AV28" s="39">
        <v>14141.228265280155</v>
      </c>
      <c r="AW28" s="40">
        <v>1.0149222342909604E-5</v>
      </c>
    </row>
    <row r="29" spans="1:49" x14ac:dyDescent="0.2">
      <c r="A29" t="s">
        <v>53</v>
      </c>
      <c r="B29" s="33">
        <v>14362.768558000025</v>
      </c>
      <c r="C29" s="34">
        <v>817.26650999999993</v>
      </c>
      <c r="D29" s="33">
        <v>14370.794578725361</v>
      </c>
      <c r="E29" s="34">
        <v>761.62954089566949</v>
      </c>
      <c r="F29" s="33">
        <v>14377.319571522165</v>
      </c>
      <c r="G29" s="34">
        <v>706.23356607492462</v>
      </c>
      <c r="H29" s="33">
        <v>14382.11595563331</v>
      </c>
      <c r="I29" s="34">
        <v>651.10651164183389</v>
      </c>
      <c r="J29" s="33">
        <v>14384.903069455293</v>
      </c>
      <c r="K29" s="34">
        <v>596.28388291248382</v>
      </c>
      <c r="L29" s="33">
        <v>14385.332455740609</v>
      </c>
      <c r="M29" s="34">
        <v>541.8082543479178</v>
      </c>
      <c r="N29" s="33">
        <v>14382.962622252935</v>
      </c>
      <c r="O29" s="34">
        <v>487.73488074771416</v>
      </c>
      <c r="P29" s="33">
        <v>14377.224893047671</v>
      </c>
      <c r="Q29" s="34">
        <v>434.13624073466843</v>
      </c>
      <c r="R29" s="33">
        <v>14367.370392648043</v>
      </c>
      <c r="S29" s="34">
        <v>381.11121221307303</v>
      </c>
      <c r="T29" s="33">
        <v>14352.388116007234</v>
      </c>
      <c r="U29" s="34">
        <v>328.79845256276388</v>
      </c>
      <c r="V29" s="33">
        <v>14330.870678371617</v>
      </c>
      <c r="W29" s="34">
        <v>277.39947247674894</v>
      </c>
      <c r="X29" s="33">
        <v>14300.786715781323</v>
      </c>
      <c r="Y29" s="34">
        <v>227.21538826591245</v>
      </c>
      <c r="Z29" s="33">
        <v>14259.070832220361</v>
      </c>
      <c r="AA29" s="34">
        <v>178.7093507788216</v>
      </c>
      <c r="AB29" s="33">
        <v>14200.836789101679</v>
      </c>
      <c r="AC29" s="34">
        <v>132.61188869676053</v>
      </c>
      <c r="AD29" s="33">
        <v>14117.748359323721</v>
      </c>
      <c r="AE29" s="34">
        <v>90.097100692773992</v>
      </c>
      <c r="AF29" s="33">
        <v>13994.340609543851</v>
      </c>
      <c r="AG29" s="34">
        <v>53.048587822535858</v>
      </c>
      <c r="AH29" s="33">
        <v>13798.923426732445</v>
      </c>
      <c r="AI29" s="34">
        <v>24.29082251330906</v>
      </c>
      <c r="AJ29" s="33">
        <v>13459.115276670465</v>
      </c>
      <c r="AK29" s="34">
        <v>6.9197111489530538</v>
      </c>
      <c r="AL29" s="33">
        <v>12785.195931329054</v>
      </c>
      <c r="AM29" s="34">
        <v>0.78019397215922337</v>
      </c>
      <c r="AN29" s="33">
        <v>11067.587527519561</v>
      </c>
      <c r="AO29" s="34">
        <v>1.2096085723346892E-2</v>
      </c>
      <c r="AP29" s="33">
        <v>10366.427061445427</v>
      </c>
      <c r="AQ29" s="34">
        <v>3.2297536292890745E-3</v>
      </c>
      <c r="AR29" s="33">
        <v>9374.5327233626467</v>
      </c>
      <c r="AS29" s="34">
        <v>6.332424983726357E-4</v>
      </c>
      <c r="AT29" s="33">
        <v>7866.3268337896043</v>
      </c>
      <c r="AU29" s="34">
        <v>7.7351429577551304E-5</v>
      </c>
      <c r="AV29" s="33">
        <v>5302.7823191235029</v>
      </c>
      <c r="AW29" s="34">
        <v>4.0229140029814391E-6</v>
      </c>
    </row>
    <row r="30" spans="1:49" x14ac:dyDescent="0.2">
      <c r="A30" t="s">
        <v>48</v>
      </c>
      <c r="B30" s="112">
        <v>2924829.9599999995</v>
      </c>
      <c r="D30" s="112">
        <v>2972181.171648344</v>
      </c>
      <c r="F30" s="112">
        <v>3019707.2962352936</v>
      </c>
      <c r="H30" s="112">
        <v>3067452.7583137313</v>
      </c>
      <c r="J30" s="112">
        <v>3115472.4791508298</v>
      </c>
      <c r="L30" s="112">
        <v>3163834.110119212</v>
      </c>
      <c r="N30" s="112">
        <v>3212625.3985557128</v>
      </c>
      <c r="P30" s="112">
        <v>3261963.4174271394</v>
      </c>
      <c r="R30" s="112">
        <v>3312011.6518233689</v>
      </c>
      <c r="T30" s="112">
        <v>3363009.6350589907</v>
      </c>
      <c r="V30" s="112">
        <v>3415327.675544722</v>
      </c>
      <c r="X30" s="112">
        <v>3469571.3260333212</v>
      </c>
      <c r="Z30" s="112">
        <v>3526790.6920225308</v>
      </c>
      <c r="AB30" s="112">
        <v>3588921.8136786628</v>
      </c>
      <c r="AD30" s="112">
        <v>3659762.6681559603</v>
      </c>
      <c r="AF30" s="112">
        <v>3747231.8595801881</v>
      </c>
      <c r="AH30" s="112">
        <v>3868569.3292507697</v>
      </c>
      <c r="AJ30" s="112">
        <v>4060294.6094995374</v>
      </c>
      <c r="AL30" s="112">
        <v>4385456.4681340018</v>
      </c>
      <c r="AN30" s="112">
        <v>4893685.7426009141</v>
      </c>
      <c r="AP30" s="112">
        <v>4989007.8518928904</v>
      </c>
      <c r="AR30" s="112">
        <v>5024761.4953160593</v>
      </c>
      <c r="AT30" s="112">
        <v>4865639.4490673896</v>
      </c>
      <c r="AV30" s="112">
        <v>4019612.0998516181</v>
      </c>
    </row>
    <row r="31" spans="1:49" x14ac:dyDescent="0.2">
      <c r="A31" t="s">
        <v>47</v>
      </c>
      <c r="B31" s="77">
        <v>0.999999999999998</v>
      </c>
      <c r="D31" s="77">
        <v>0.99447366321308817</v>
      </c>
      <c r="F31" s="77">
        <v>0.98863928504590737</v>
      </c>
      <c r="H31" s="77">
        <v>0.98245688081395566</v>
      </c>
      <c r="J31" s="77">
        <v>0.97587843989315792</v>
      </c>
      <c r="L31" s="77">
        <v>0.96884556612811923</v>
      </c>
      <c r="N31" s="77">
        <v>0.96128625221827102</v>
      </c>
      <c r="P31" s="77">
        <v>0.95311020392413792</v>
      </c>
      <c r="R31" s="77">
        <v>0.94420189994090609</v>
      </c>
      <c r="T31" s="77">
        <v>0.93441002521948868</v>
      </c>
      <c r="V31" s="77">
        <v>0.92353040490247773</v>
      </c>
      <c r="X31" s="77">
        <v>0.91127759590876967</v>
      </c>
      <c r="Z31" s="77">
        <v>0.89723447698612024</v>
      </c>
      <c r="AB31" s="77">
        <v>0.88075727069610521</v>
      </c>
      <c r="AD31" s="77">
        <v>0.86078286098416468</v>
      </c>
      <c r="AF31" s="77">
        <v>0.83540672831308249</v>
      </c>
      <c r="AH31" s="77">
        <v>0.80088968718164022</v>
      </c>
      <c r="AJ31" s="77">
        <v>0.74922519457143255</v>
      </c>
      <c r="AL31" s="77">
        <v>0.66168618979955951</v>
      </c>
      <c r="AN31" s="77">
        <v>0.48115050034150508</v>
      </c>
      <c r="AP31" s="77">
        <v>0.41884379296672114</v>
      </c>
      <c r="AR31" s="77">
        <v>0.33954779553593528</v>
      </c>
      <c r="AT31" s="77">
        <v>0.23670255085740946</v>
      </c>
      <c r="AV31" s="77">
        <v>0.10629968998270858</v>
      </c>
    </row>
    <row r="32" spans="1:49" x14ac:dyDescent="0.2">
      <c r="A32" t="s">
        <v>64</v>
      </c>
      <c r="B32" s="83">
        <v>14734457.915000005</v>
      </c>
      <c r="D32" s="83">
        <v>14738313.213418381</v>
      </c>
      <c r="F32" s="83">
        <v>14739917.294055432</v>
      </c>
      <c r="H32" s="83">
        <v>14738931.299433203</v>
      </c>
      <c r="J32" s="83">
        <v>14734941.195168417</v>
      </c>
      <c r="L32" s="83">
        <v>14727439.492370175</v>
      </c>
      <c r="N32" s="83">
        <v>14715796.529163603</v>
      </c>
      <c r="P32" s="83">
        <v>14699224.385928473</v>
      </c>
      <c r="R32" s="83">
        <v>14676725.588697845</v>
      </c>
      <c r="T32" s="83">
        <v>14647022.23889594</v>
      </c>
      <c r="V32" s="83">
        <v>14608452.373698657</v>
      </c>
      <c r="X32" s="83">
        <v>14558817.250443887</v>
      </c>
      <c r="Z32" s="83">
        <v>14495141.781868696</v>
      </c>
      <c r="AB32" s="83">
        <v>14413271.792940199</v>
      </c>
      <c r="AD32" s="83">
        <v>14307106.885107422</v>
      </c>
      <c r="AF32" s="83">
        <v>14166826.93166063</v>
      </c>
      <c r="AH32" s="83">
        <v>13973503.965253465</v>
      </c>
      <c r="AJ32" s="83">
        <v>13677697.126763033</v>
      </c>
      <c r="AL32" s="83">
        <v>13104098.20283794</v>
      </c>
      <c r="AN32" s="83">
        <v>11478438.342581658</v>
      </c>
      <c r="AP32" s="83">
        <v>10775933.262576472</v>
      </c>
      <c r="AR32" s="83">
        <v>9765642.150830457</v>
      </c>
      <c r="AT32" s="83">
        <v>8209810.8499801476</v>
      </c>
      <c r="AV32" s="83">
        <v>5542114.1908903373</v>
      </c>
    </row>
    <row r="33" spans="1:49 16319:16384" x14ac:dyDescent="0.2">
      <c r="A33" t="s">
        <v>54</v>
      </c>
      <c r="B33" s="111">
        <v>7019665.6909999885</v>
      </c>
      <c r="D33" s="111">
        <v>6993811.9042646959</v>
      </c>
      <c r="F33" s="111">
        <v>6966515.9437421877</v>
      </c>
      <c r="H33" s="111">
        <v>6937549.4469678644</v>
      </c>
      <c r="J33" s="111">
        <v>6906634.7895297846</v>
      </c>
      <c r="L33" s="111">
        <v>6873429.4526567347</v>
      </c>
      <c r="N33" s="111">
        <v>6837507.2590903491</v>
      </c>
      <c r="P33" s="111">
        <v>6798330.163170727</v>
      </c>
      <c r="R33" s="111">
        <v>6755208.0706361048</v>
      </c>
      <c r="T33" s="111">
        <v>6707239.0006945468</v>
      </c>
      <c r="V33" s="111">
        <v>6653215.0178381316</v>
      </c>
      <c r="X33" s="111">
        <v>6591469.2932378342</v>
      </c>
      <c r="Z33" s="111">
        <v>6519609.0989286387</v>
      </c>
      <c r="AB33" s="111">
        <v>6434014.5891133063</v>
      </c>
      <c r="AD33" s="111">
        <v>6328802.0082813837</v>
      </c>
      <c r="AF33" s="111">
        <v>6193427.4586326294</v>
      </c>
      <c r="AH33" s="111">
        <v>6006392.6898060506</v>
      </c>
      <c r="AJ33" s="111">
        <v>5716602.6520658191</v>
      </c>
      <c r="AL33" s="111">
        <v>5182377.5064253388</v>
      </c>
      <c r="AN33" s="111">
        <v>3913989.6772694699</v>
      </c>
      <c r="AP33" s="111">
        <v>3439759.653425415</v>
      </c>
      <c r="AR33" s="111">
        <v>2817988.6302092588</v>
      </c>
      <c r="AT33" s="111">
        <v>1987781.9468430178</v>
      </c>
      <c r="AV33" s="111">
        <v>904978.18674968183</v>
      </c>
    </row>
    <row r="34" spans="1:49 16319:16384" x14ac:dyDescent="0.2">
      <c r="A34" t="s">
        <v>75</v>
      </c>
      <c r="B34" s="111">
        <v>1136879.4410000162</v>
      </c>
      <c r="D34" s="111">
        <v>1137176.8161007222</v>
      </c>
      <c r="F34" s="111">
        <v>1137300.5095285547</v>
      </c>
      <c r="H34" s="111">
        <v>1137224.5911824997</v>
      </c>
      <c r="J34" s="111">
        <v>1136916.6887136858</v>
      </c>
      <c r="L34" s="111">
        <v>1136337.9044524087</v>
      </c>
      <c r="N34" s="111">
        <v>1135439.5506770273</v>
      </c>
      <c r="P34" s="111">
        <v>1134160.8737170533</v>
      </c>
      <c r="R34" s="111">
        <v>1132424.8895768137</v>
      </c>
      <c r="T34" s="111">
        <v>1130133.0563384034</v>
      </c>
      <c r="V34" s="111">
        <v>1127157.1001562143</v>
      </c>
      <c r="X34" s="111">
        <v>1123327.3507823413</v>
      </c>
      <c r="Z34" s="111">
        <v>1118414.3162640939</v>
      </c>
      <c r="AB34" s="111">
        <v>1112097.3957711682</v>
      </c>
      <c r="AD34" s="111">
        <v>1103905.9465326036</v>
      </c>
      <c r="AF34" s="111">
        <v>1093082.2411796865</v>
      </c>
      <c r="AH34" s="111">
        <v>1078165.8494134808</v>
      </c>
      <c r="AJ34" s="111">
        <v>1055342.0255471617</v>
      </c>
      <c r="AL34" s="111">
        <v>1011084.352449988</v>
      </c>
      <c r="AN34" s="111">
        <v>885651.89447388763</v>
      </c>
      <c r="AP34" s="111">
        <v>831448.09632524557</v>
      </c>
      <c r="AR34" s="111">
        <v>753496.18244972383</v>
      </c>
      <c r="AT34" s="111">
        <v>633451.54763647262</v>
      </c>
      <c r="AV34" s="111">
        <v>427617.74607833772</v>
      </c>
    </row>
    <row r="35" spans="1:49 16319:16384" x14ac:dyDescent="0.2">
      <c r="A35" t="s">
        <v>78</v>
      </c>
      <c r="B35" s="192">
        <v>1</v>
      </c>
      <c r="D35" s="192">
        <v>1.0018549124521041</v>
      </c>
      <c r="F35" s="192">
        <v>1.0038447918589406</v>
      </c>
      <c r="H35" s="192">
        <v>1.005994183854608</v>
      </c>
      <c r="J35" s="192">
        <v>1.0083345347137356</v>
      </c>
      <c r="L35" s="192">
        <v>1.0109066136867577</v>
      </c>
      <c r="N35" s="192">
        <v>1.0137644516278166</v>
      </c>
      <c r="P35" s="192">
        <v>1.0169811174771686</v>
      </c>
      <c r="R35" s="192">
        <v>1.0206579284004622</v>
      </c>
      <c r="T35" s="192">
        <v>1.02493941955231</v>
      </c>
      <c r="V35" s="192">
        <v>1.0300388684742303</v>
      </c>
      <c r="X35" s="192">
        <v>1.0362838381270565</v>
      </c>
      <c r="Z35" s="192">
        <v>1.0442024435385484</v>
      </c>
      <c r="AB35" s="192">
        <v>1.0546985005741529</v>
      </c>
      <c r="AD35" s="192">
        <v>1.0694379350648928</v>
      </c>
      <c r="AF35" s="192">
        <v>1.0917892646980183</v>
      </c>
      <c r="AH35" s="192">
        <v>1.1293739552248296</v>
      </c>
      <c r="AJ35" s="192">
        <v>1.2017627677958187</v>
      </c>
      <c r="AL35" s="192">
        <v>1.3675143873544022</v>
      </c>
      <c r="AN35" s="192">
        <v>1.8726210226495903</v>
      </c>
      <c r="AP35" s="192">
        <v>2.0986653822841301</v>
      </c>
      <c r="AR35" s="192">
        <v>2.4295763049358663</v>
      </c>
      <c r="AT35" s="192">
        <v>2.9487729504132498</v>
      </c>
      <c r="AV35" s="192">
        <v>3.8556037203988178</v>
      </c>
    </row>
    <row r="36" spans="1:49 16319:16384" x14ac:dyDescent="0.2">
      <c r="A36" t="s">
        <v>21</v>
      </c>
      <c r="B36" s="35">
        <v>0.47195767671988198</v>
      </c>
      <c r="C36" s="36">
        <v>0.31738834428178964</v>
      </c>
      <c r="D36" s="35">
        <v>0.47197237918074397</v>
      </c>
      <c r="E36" s="36">
        <v>0.31934628776093177</v>
      </c>
      <c r="F36" s="35">
        <v>0.47198750329027672</v>
      </c>
      <c r="G36" s="36">
        <v>0.32149635296773926</v>
      </c>
      <c r="H36" s="35">
        <v>0.47200311439798143</v>
      </c>
      <c r="I36" s="36">
        <v>0.323868732542413</v>
      </c>
      <c r="J36" s="35">
        <v>0.47201929367433043</v>
      </c>
      <c r="K36" s="36">
        <v>0.3265005158182766</v>
      </c>
      <c r="L36" s="35">
        <v>0.47203613657709864</v>
      </c>
      <c r="M36" s="36">
        <v>0.32943773216096306</v>
      </c>
      <c r="N36" s="35">
        <v>0.47205375784165909</v>
      </c>
      <c r="O36" s="36">
        <v>0.33273841667971038</v>
      </c>
      <c r="P36" s="35">
        <v>0.47207229025290798</v>
      </c>
      <c r="Q36" s="36">
        <v>0.33647691596998663</v>
      </c>
      <c r="R36" s="35">
        <v>0.47209188220847853</v>
      </c>
      <c r="S36" s="36">
        <v>0.34075037743500364</v>
      </c>
      <c r="T36" s="35">
        <v>0.47211268590908118</v>
      </c>
      <c r="U36" s="36">
        <v>0.34568872689932278</v>
      </c>
      <c r="V36" s="35">
        <v>0.47213482845464066</v>
      </c>
      <c r="W36" s="36">
        <v>0.35147076592474685</v>
      </c>
      <c r="X36" s="35">
        <v>0.47215834265500878</v>
      </c>
      <c r="Y36" s="36">
        <v>0.3583513018823985</v>
      </c>
      <c r="Z36" s="35">
        <v>0.4721830114639558</v>
      </c>
      <c r="AA36" s="36">
        <v>0.36670969067752829</v>
      </c>
      <c r="AB36" s="35">
        <v>0.47220802059804218</v>
      </c>
      <c r="AC36" s="36">
        <v>0.37714276731282526</v>
      </c>
      <c r="AD36" s="35">
        <v>0.47223117498492878</v>
      </c>
      <c r="AE36" s="36">
        <v>0.39065743681323561</v>
      </c>
      <c r="AF36" s="35">
        <v>0.47224717168263486</v>
      </c>
      <c r="AG36" s="36">
        <v>0.40910749572113736</v>
      </c>
      <c r="AH36" s="35">
        <v>0.47224423256469039</v>
      </c>
      <c r="AI36" s="36">
        <v>0.43627923347248071</v>
      </c>
      <c r="AJ36" s="35">
        <v>0.47220102657681312</v>
      </c>
      <c r="AK36" s="36">
        <v>0.48079376362374748</v>
      </c>
      <c r="AL36" s="35">
        <v>0.47209929297255987</v>
      </c>
      <c r="AM36" s="36">
        <v>0.56469703600040122</v>
      </c>
      <c r="AN36" s="35">
        <v>0.47195792311921347</v>
      </c>
      <c r="AO36" s="36">
        <v>0.76336742316198847</v>
      </c>
      <c r="AP36" s="35">
        <v>0.47192845941913625</v>
      </c>
      <c r="AQ36" s="36">
        <v>0.83941405443656025</v>
      </c>
      <c r="AR36" s="35">
        <v>0.4718990524887744</v>
      </c>
      <c r="AS36" s="36">
        <v>0.94290584138033562</v>
      </c>
      <c r="AT36" s="35">
        <v>0.47186968703830756</v>
      </c>
      <c r="AU36" s="36">
        <v>1.0925653135359521</v>
      </c>
      <c r="AV36" s="35">
        <v>0.47184016085542729</v>
      </c>
      <c r="AW36" s="36">
        <v>1.3302518621788733</v>
      </c>
    </row>
    <row r="37" spans="1:49 16319:16384" x14ac:dyDescent="0.2">
      <c r="B37" s="37">
        <v>2.1403217525954466E-2</v>
      </c>
      <c r="C37" s="38">
        <v>0.3496246130199252</v>
      </c>
      <c r="D37" s="37">
        <v>2.0858368953162783E-2</v>
      </c>
      <c r="E37" s="38">
        <v>0.34636832635105397</v>
      </c>
      <c r="F37" s="37">
        <v>2.0295494068987507E-2</v>
      </c>
      <c r="G37" s="38">
        <v>0.34298920643320024</v>
      </c>
      <c r="H37" s="37">
        <v>1.9713137421455362E-2</v>
      </c>
      <c r="I37" s="38">
        <v>0.33947717140467942</v>
      </c>
      <c r="J37" s="37">
        <v>1.9109628677166191E-2</v>
      </c>
      <c r="K37" s="38">
        <v>0.33582073514506072</v>
      </c>
      <c r="L37" s="37">
        <v>1.8483051922763987E-2</v>
      </c>
      <c r="M37" s="38">
        <v>0.33200681987248654</v>
      </c>
      <c r="N37" s="37">
        <v>1.7831163252678816E-2</v>
      </c>
      <c r="O37" s="38">
        <v>0.32802026914435828</v>
      </c>
      <c r="P37" s="37">
        <v>1.7151302953233832E-2</v>
      </c>
      <c r="Q37" s="38">
        <v>0.32384333640832275</v>
      </c>
      <c r="R37" s="37">
        <v>1.6440253153278114E-2</v>
      </c>
      <c r="S37" s="38">
        <v>0.3194548647608968</v>
      </c>
      <c r="T37" s="37">
        <v>1.569403059701914E-2</v>
      </c>
      <c r="U37" s="38">
        <v>0.31482910678576226</v>
      </c>
      <c r="V37" s="37">
        <v>1.4907555704973506E-2</v>
      </c>
      <c r="W37" s="38">
        <v>0.30993385424264386</v>
      </c>
      <c r="X37" s="37">
        <v>1.4074125530992396E-2</v>
      </c>
      <c r="Y37" s="38">
        <v>0.30472748885355544</v>
      </c>
      <c r="Z37" s="37">
        <v>1.3184528993236733E-2</v>
      </c>
      <c r="AA37" s="38">
        <v>0.29915408609340116</v>
      </c>
      <c r="AB37" s="37">
        <v>1.2225524143132219E-2</v>
      </c>
      <c r="AC37" s="38">
        <v>0.29313514221830489</v>
      </c>
      <c r="AD37" s="37">
        <v>1.117718796919186E-2</v>
      </c>
      <c r="AE37" s="38">
        <v>0.28655568589692859</v>
      </c>
      <c r="AF37" s="37">
        <v>1.0008473679414289E-2</v>
      </c>
      <c r="AG37" s="38">
        <v>0.2792429088262926</v>
      </c>
      <c r="AH37" s="37">
        <v>8.6714332595211208E-3</v>
      </c>
      <c r="AI37" s="38">
        <v>0.2709469693763859</v>
      </c>
      <c r="AJ37" s="37">
        <v>7.1029810210644336E-3</v>
      </c>
      <c r="AK37" s="38">
        <v>0.26139821317649392</v>
      </c>
      <c r="AL37" s="37">
        <v>5.262122052710423E-3</v>
      </c>
      <c r="AM37" s="38">
        <v>0.25064923012822571</v>
      </c>
      <c r="AN37" s="37">
        <v>3.1762830956204103E-3</v>
      </c>
      <c r="AO37" s="38">
        <v>0.23958115628247054</v>
      </c>
      <c r="AP37" s="37">
        <v>2.7340229704491837E-3</v>
      </c>
      <c r="AQ37" s="38">
        <v>0.23747693117160187</v>
      </c>
      <c r="AR37" s="37">
        <v>2.2841149828275965E-3</v>
      </c>
      <c r="AS37" s="38">
        <v>0.23545962560409331</v>
      </c>
      <c r="AT37" s="37">
        <v>1.8269737742360255E-3</v>
      </c>
      <c r="AU37" s="38">
        <v>0.23356470692403228</v>
      </c>
      <c r="AV37" s="37">
        <v>1.3632264826684494E-3</v>
      </c>
      <c r="AW37" s="38">
        <v>0.23184513112824798</v>
      </c>
    </row>
    <row r="38" spans="1:49 16319:16384" x14ac:dyDescent="0.2">
      <c r="A38" t="s">
        <v>22</v>
      </c>
      <c r="B38" s="35">
        <v>0.18079094942242827</v>
      </c>
      <c r="C38" s="36">
        <v>6.0565413429233668E-2</v>
      </c>
      <c r="D38" s="35">
        <v>0.18085056694911644</v>
      </c>
      <c r="E38" s="36">
        <v>6.0798338220147838E-2</v>
      </c>
      <c r="F38" s="35">
        <v>0.18092901160113803</v>
      </c>
      <c r="G38" s="36">
        <v>6.1056001849661812E-2</v>
      </c>
      <c r="H38" s="35">
        <v>0.18102915780025455</v>
      </c>
      <c r="I38" s="36">
        <v>6.1342370634394905E-2</v>
      </c>
      <c r="J38" s="35">
        <v>0.18115455785937587</v>
      </c>
      <c r="K38" s="36">
        <v>6.1662273443820831E-2</v>
      </c>
      <c r="L38" s="35">
        <v>0.1813096417636719</v>
      </c>
      <c r="M38" s="36">
        <v>6.2021768872153181E-2</v>
      </c>
      <c r="N38" s="35">
        <v>0.1815000388922304</v>
      </c>
      <c r="O38" s="36">
        <v>6.24284848173828E-2</v>
      </c>
      <c r="P38" s="35">
        <v>0.18173302655422088</v>
      </c>
      <c r="Q38" s="36">
        <v>6.2892236182155933E-2</v>
      </c>
      <c r="R38" s="35">
        <v>0.18201822248953475</v>
      </c>
      <c r="S38" s="36">
        <v>6.3425878478877235E-2</v>
      </c>
      <c r="T38" s="35">
        <v>0.18236866475210514</v>
      </c>
      <c r="U38" s="36">
        <v>6.4046688194163481E-2</v>
      </c>
      <c r="V38" s="35">
        <v>0.18280259051657946</v>
      </c>
      <c r="W38" s="36">
        <v>6.4778510722277069E-2</v>
      </c>
      <c r="X38" s="35">
        <v>0.18334648729848504</v>
      </c>
      <c r="Y38" s="36">
        <v>6.5655482431642903E-2</v>
      </c>
      <c r="Z38" s="35">
        <v>0.18404066564048036</v>
      </c>
      <c r="AA38" s="36">
        <v>6.672866834661495E-2</v>
      </c>
      <c r="AB38" s="35">
        <v>0.18495015971111842</v>
      </c>
      <c r="AC38" s="36">
        <v>6.8078861459615406E-2</v>
      </c>
      <c r="AD38" s="35">
        <v>0.18618790285078529</v>
      </c>
      <c r="AE38" s="36">
        <v>6.9843264800741905E-2</v>
      </c>
      <c r="AF38" s="35">
        <v>0.18796907971453058</v>
      </c>
      <c r="AG38" s="36">
        <v>7.2276644818593833E-2</v>
      </c>
      <c r="AH38" s="35">
        <v>0.19075354483058388</v>
      </c>
      <c r="AI38" s="36">
        <v>7.5905507795220553E-2</v>
      </c>
      <c r="AJ38" s="35">
        <v>0.19566775475734674</v>
      </c>
      <c r="AK38" s="36">
        <v>8.1953444841455544E-2</v>
      </c>
      <c r="AL38" s="35">
        <v>0.20605688585196058</v>
      </c>
      <c r="AM38" s="36">
        <v>9.3694806217341692E-2</v>
      </c>
      <c r="AN38" s="35">
        <v>0.23810755929894814</v>
      </c>
      <c r="AO38" s="36">
        <v>0.12391314353597196</v>
      </c>
      <c r="AP38" s="35">
        <v>0.25422744259925301</v>
      </c>
      <c r="AQ38" s="36">
        <v>0.13679470157604406</v>
      </c>
      <c r="AR38" s="35">
        <v>0.28114289802003384</v>
      </c>
      <c r="AS38" s="36">
        <v>0.15604817599854726</v>
      </c>
      <c r="AT38" s="35">
        <v>0.33506565119357623</v>
      </c>
      <c r="AU38" s="36">
        <v>0.18894862133141496</v>
      </c>
      <c r="AV38" s="35">
        <v>0.49707666370396758</v>
      </c>
      <c r="AW38" s="36">
        <v>0.2644620600543417</v>
      </c>
    </row>
    <row r="39" spans="1:49 16319:16384" x14ac:dyDescent="0.2">
      <c r="A39" t="s">
        <v>23</v>
      </c>
      <c r="B39" s="37">
        <v>0.23064923795098771</v>
      </c>
      <c r="C39" s="38">
        <v>0.22092201281804777</v>
      </c>
      <c r="D39" s="37">
        <v>0.23111092568403088</v>
      </c>
      <c r="E39" s="38">
        <v>0.22195689417687442</v>
      </c>
      <c r="F39" s="37">
        <v>0.23159765534366461</v>
      </c>
      <c r="G39" s="38">
        <v>0.22308380344761825</v>
      </c>
      <c r="H39" s="37">
        <v>0.23211331835509194</v>
      </c>
      <c r="I39" s="38">
        <v>0.2243173924323604</v>
      </c>
      <c r="J39" s="37">
        <v>0.23266269171823598</v>
      </c>
      <c r="K39" s="38">
        <v>0.2256757696378914</v>
      </c>
      <c r="L39" s="37">
        <v>0.23325172310274531</v>
      </c>
      <c r="M39" s="38">
        <v>0.2271813867863593</v>
      </c>
      <c r="N39" s="37">
        <v>0.23388792190789087</v>
      </c>
      <c r="O39" s="38">
        <v>0.22886265314113335</v>
      </c>
      <c r="P39" s="37">
        <v>0.2345809349996896</v>
      </c>
      <c r="Q39" s="38">
        <v>0.23075601927637185</v>
      </c>
      <c r="R39" s="37">
        <v>0.23534340720607497</v>
      </c>
      <c r="S39" s="38">
        <v>0.23290923044045503</v>
      </c>
      <c r="T39" s="37">
        <v>0.23619232327150441</v>
      </c>
      <c r="U39" s="38">
        <v>0.23538624699706645</v>
      </c>
      <c r="V39" s="37">
        <v>0.23715118635086446</v>
      </c>
      <c r="W39" s="38">
        <v>0.2382753231100278</v>
      </c>
      <c r="X39" s="37">
        <v>0.2382537505206338</v>
      </c>
      <c r="Y39" s="38">
        <v>0.24170253136218917</v>
      </c>
      <c r="Z39" s="37">
        <v>0.23955081644065335</v>
      </c>
      <c r="AA39" s="38">
        <v>0.24585612114880473</v>
      </c>
      <c r="AB39" s="37">
        <v>0.24112356356173154</v>
      </c>
      <c r="AC39" s="38">
        <v>0.25103334321965887</v>
      </c>
      <c r="AD39" s="37">
        <v>0.24311211515631589</v>
      </c>
      <c r="AE39" s="38">
        <v>0.257738222139065</v>
      </c>
      <c r="AF39" s="37">
        <v>0.24578350778097716</v>
      </c>
      <c r="AG39" s="38">
        <v>0.26690565914599473</v>
      </c>
      <c r="AH39" s="37">
        <v>0.24971369494850709</v>
      </c>
      <c r="AI39" s="38">
        <v>0.28046892214922597</v>
      </c>
      <c r="AJ39" s="37">
        <v>0.25634133197561126</v>
      </c>
      <c r="AK39" s="38">
        <v>0.30293086661365687</v>
      </c>
      <c r="AL39" s="37">
        <v>0.27003320444370071</v>
      </c>
      <c r="AM39" s="38">
        <v>0.34638352022206348</v>
      </c>
      <c r="AN39" s="37">
        <v>0.31204891961805986</v>
      </c>
      <c r="AO39" s="38">
        <v>0.45810885308233934</v>
      </c>
      <c r="AP39" s="37">
        <v>0.33317485984748429</v>
      </c>
      <c r="AQ39" s="38">
        <v>0.50573241372148581</v>
      </c>
      <c r="AR39" s="37">
        <v>0.36844868312788587</v>
      </c>
      <c r="AS39" s="38">
        <v>0.57691300804672385</v>
      </c>
      <c r="AT39" s="37">
        <v>0.43911656874645649</v>
      </c>
      <c r="AU39" s="38">
        <v>0.69854649661757218</v>
      </c>
      <c r="AV39" s="37">
        <v>0.65143830809027925</v>
      </c>
      <c r="AW39" s="38">
        <v>0.97772104267324478</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6.1000000000000311E-2</v>
      </c>
      <c r="E42" s="126"/>
      <c r="F42" s="167">
        <f>6.1%+(1-6.1%)*(1-SUM(F26:G26)/SUM($B$26:$C$26))</f>
        <v>6.1000000000001144E-2</v>
      </c>
      <c r="G42" s="126"/>
      <c r="H42" s="167">
        <f>6.1%+(1-6.1%)*(1-SUM(H26:I26)/SUM($B$26:$C$26))</f>
        <v>6.0999999999999999E-2</v>
      </c>
      <c r="I42" s="126"/>
      <c r="J42" s="167">
        <f>6.1%+(1-6.1%)*(1-SUM(J26:K26)/SUM($B$26:$C$26))</f>
        <v>6.0999999999999582E-2</v>
      </c>
      <c r="K42" s="126"/>
      <c r="L42" s="167">
        <f>6.1%+(1-6.1%)*(1-SUM(L26:M26)/SUM($B$26:$C$26))</f>
        <v>6.0999999999999999E-2</v>
      </c>
      <c r="M42" s="126"/>
      <c r="N42" s="167">
        <f>6.1%+(1-6.1%)*(1-SUM(N26:O26)/SUM($B$26:$C$26))</f>
        <v>6.0999999999999791E-2</v>
      </c>
      <c r="O42" s="126"/>
      <c r="P42" s="167">
        <f>6.1%+(1-6.1%)*(1-SUM(P26:Q26)/SUM($B$26:$C$26))</f>
        <v>6.1000000000000519E-2</v>
      </c>
      <c r="Q42" s="126"/>
      <c r="R42" s="167">
        <f>6.1%+(1-6.1%)*(1-SUM(R26:S26)/SUM($B$26:$C$26))</f>
        <v>6.0999999999999791E-2</v>
      </c>
      <c r="S42" s="126"/>
      <c r="T42" s="167">
        <f>6.1%+(1-6.1%)*(1-SUM(T26:U26)/SUM($B$26:$C$26))</f>
        <v>6.1000000000000207E-2</v>
      </c>
      <c r="U42" s="126"/>
      <c r="V42" s="167">
        <f>6.1%+(1-6.1%)*(1-SUM(V26:W26)/SUM($B$26:$C$26))</f>
        <v>6.1000000000000207E-2</v>
      </c>
      <c r="W42" s="126"/>
      <c r="X42" s="167">
        <f>6.1%+(1-6.1%)*(1-SUM(X26:Y26)/SUM($B$26:$C$26))</f>
        <v>6.0999999999999582E-2</v>
      </c>
      <c r="Y42" s="152"/>
      <c r="Z42" s="167">
        <f>6.1%+(1-6.1%)*(1-SUM(Z26:AA26)/SUM($B$26:$C$26))</f>
        <v>6.0999999999999791E-2</v>
      </c>
      <c r="AA42" s="126"/>
      <c r="AB42" s="167">
        <f>6.1%+(1-6.1%)*(1-SUM(AB26:AC26)/SUM($B$26:$C$26))</f>
        <v>6.0999999999999999E-2</v>
      </c>
      <c r="AC42" s="126"/>
      <c r="AD42" s="167">
        <f>6.1%+(1-6.1%)*(1-SUM(AD26:AE26)/SUM($B$26:$C$26))</f>
        <v>6.1000000000000519E-2</v>
      </c>
      <c r="AE42" s="126"/>
      <c r="AF42" s="167">
        <f>6.1%+(1-6.1%)*(1-SUM(AF26:AG26)/SUM($B$26:$C$26))</f>
        <v>6.0999999999999999E-2</v>
      </c>
      <c r="AG42" s="126"/>
      <c r="AH42" s="167">
        <f>6.1%+(1-6.1%)*(1-SUM(AH26:AI26)/SUM($B$26:$C$26))</f>
        <v>6.0999999999998958E-2</v>
      </c>
      <c r="AI42" s="126"/>
      <c r="AJ42" s="167">
        <f>6.1%+(1-6.1%)*(1-SUM(AJ26:AK26)/SUM($B$26:$C$26))</f>
        <v>6.0999999999999582E-2</v>
      </c>
      <c r="AK42" s="126"/>
      <c r="AL42" s="167">
        <f>6.1%+(1-6.1%)*(1-SUM(AL26:AM26)/SUM($B$26:$C$26))</f>
        <v>6.0999999999999582E-2</v>
      </c>
      <c r="AM42" s="126"/>
      <c r="AN42" s="167">
        <f>6.1%+(1-6.1%)*(1-SUM(AN26:AO26)/SUM($B$26:$C$26))</f>
        <v>6.0999999999999582E-2</v>
      </c>
      <c r="AO42" s="126"/>
      <c r="AP42" s="167">
        <f>6.1%+(1-6.1%)*(1-SUM(AP26:AQ26)/SUM($B$26:$C$26))</f>
        <v>6.0999999999999582E-2</v>
      </c>
      <c r="AQ42" s="126"/>
      <c r="AR42" s="167">
        <f>6.1%+(1-6.1%)*(1-SUM(AR26:AS26)/SUM($B$26:$C$26))</f>
        <v>6.1000000000000207E-2</v>
      </c>
      <c r="AS42" s="126"/>
      <c r="AT42" s="167">
        <f>6.1%+(1-6.1%)*(1-SUM(AT26:AU26)/SUM($B$26:$C$26))</f>
        <v>6.1000000000000207E-2</v>
      </c>
      <c r="AU42" s="126"/>
      <c r="AV42" s="167">
        <f>6.1%+(1-6.1%)*(1-SUM(AV26:AW26)/SUM($B$26:$C$26))</f>
        <v>6.0999999999999791E-2</v>
      </c>
      <c r="XFD42" s="167"/>
    </row>
    <row r="43" spans="1:49 16319:16384" x14ac:dyDescent="0.2">
      <c r="A43" t="s">
        <v>95</v>
      </c>
      <c r="B43" s="152">
        <f>SUM(B15:C15*B27:C27)/SUM(B15:C15*B27:C27,B13:C13*B26:C26)</f>
        <v>0.56058995943839207</v>
      </c>
      <c r="C43" s="126"/>
      <c r="D43" s="152">
        <f t="array" ref="D43">SUM(D15:E15*D27:E27)/SUM(D15:E15*D27:E27,D13:E13*D26:E26)</f>
        <v>0.56583351571019114</v>
      </c>
      <c r="E43" s="126"/>
      <c r="F43" s="152">
        <f t="array" ref="F43">SUM(F15:G15*F27:G27)/SUM(F15:G15*F27:G27,F13:G13*F26:G26)</f>
        <v>0.56446534025797324</v>
      </c>
      <c r="G43" s="126"/>
      <c r="H43" s="152">
        <f t="array" ref="H43">SUM(H15:I15*H27:I27)/SUM(H15:I15*H27:I27,H13:I13*H26:I26)</f>
        <v>0.56309573285012893</v>
      </c>
      <c r="I43" s="126"/>
      <c r="J43" s="152">
        <f t="array" ref="J43">SUM(J15:K15*J27:K27)/SUM(J15:K15*J27:K27,J13:K13*J26:K26)</f>
        <v>0.56172446233977058</v>
      </c>
      <c r="K43" s="126"/>
      <c r="L43" s="152">
        <f t="array" ref="L43">SUM(L15:M15*L27:M27)/SUM(L15:M15*L27:M27,L13:M13*L26:M26)</f>
        <v>0.56035125534017094</v>
      </c>
      <c r="M43" s="126"/>
      <c r="N43" s="152">
        <f t="array" ref="N43">SUM(N15:O15*N27:O27)/SUM(N15:O15*N27:O27,N13:O13*N26:O26)</f>
        <v>0.55897592496734549</v>
      </c>
      <c r="O43" s="126"/>
      <c r="P43" s="152">
        <f t="array" ref="P43">SUM(P15:Q15*P27:Q27)/SUM(P15:Q15*P27:Q27,P13:Q13*P26:Q26)</f>
        <v>0.55759842228121637</v>
      </c>
      <c r="Q43" s="126"/>
      <c r="R43" s="152">
        <f t="array" ref="R43">SUM(R15:S15*R27:S27)/SUM(R15:S15*R27:S27,R13:S13*R26:S26)</f>
        <v>0.55621902277013557</v>
      </c>
      <c r="S43" s="126"/>
      <c r="T43" s="152">
        <f t="array" ref="T43">SUM(T15:U15*T27:U27)/SUM(T15:U15*T27:U27,T13:U13*T26:U26)</f>
        <v>0.55483860839203991</v>
      </c>
      <c r="U43" s="126"/>
      <c r="V43" s="152">
        <f t="array" ref="V43">SUM(V15:W15*V27:W27)/SUM(V15:W15*V27:W27,V13:W13*V26:W26)</f>
        <v>0.55345923658819651</v>
      </c>
      <c r="W43" s="126"/>
      <c r="X43" s="152">
        <f t="array" ref="X43">SUM(X15:Y15*X27:Y27)/SUM(X15:Y15*X27:Y27,X13:Y13*X26:Y26)</f>
        <v>0.55208511394106374</v>
      </c>
      <c r="Y43" s="126"/>
      <c r="Z43" s="152">
        <f t="array" ref="Z43">SUM(Z15:AA15*Z27:AA27)/SUM(Z15:AA15*Z27:AA27,Z13:AA13*Z26:AA26)</f>
        <v>0.55072441661310667</v>
      </c>
      <c r="AA43" s="126"/>
      <c r="AB43" s="152">
        <f t="array" ref="AB43">SUM(AB15:AC15*AB27:AC27)/SUM(AB15:AC15*AB27:AC27,AB13:AC13*AB26:AC26)</f>
        <v>0.54939264958775502</v>
      </c>
      <c r="AC43" s="126"/>
      <c r="AD43" s="152">
        <f t="array" ref="AD43">SUM(AD15:AE15*AD27:AE27)/SUM(AD15:AE15*AD27:AE27,AD13:AE13*AD26:AE26)</f>
        <v>0.54811888686417864</v>
      </c>
      <c r="AE43" s="126"/>
      <c r="AF43" s="152">
        <f t="array" ref="AF43">SUM(AF15:AG15*AF27:AG27)/SUM(AF15:AG15*AF27:AG27,AF13:AG13*AF26:AG26)</f>
        <v>0.54695674011625361</v>
      </c>
      <c r="AG43" s="126"/>
      <c r="AH43" s="152">
        <f t="array" ref="AH43">SUM(AH15:AI15*AH27:AI27)/SUM(AH15:AI15*AH27:AI27,AH13:AI13*AH26:AI26)</f>
        <v>0.54599911316804284</v>
      </c>
      <c r="AI43" s="126"/>
      <c r="AJ43" s="152">
        <f t="array" ref="AJ43">SUM(AJ15:AK15*AJ27:AK27)/SUM(AJ15:AK15*AJ27:AK27,AJ13:AK13*AJ26:AK26)</f>
        <v>0.54537189010895037</v>
      </c>
      <c r="AK43" s="126"/>
      <c r="AL43" s="152">
        <f t="array" ref="AL43">SUM(AL15:AM15*AL27:AM27)/SUM(AL15:AM15*AL27:AM27,AL13:AM13*AL26:AM26)</f>
        <v>0.54512322430637417</v>
      </c>
      <c r="AM43" s="126"/>
      <c r="AN43" s="152">
        <f t="array" ref="AN43">SUM(AN15:AO15*AN27:AO27)/SUM(AN15:AO15*AN27:AO27,AN13:AO13*AN26:AO26)</f>
        <v>0.54508618439241274</v>
      </c>
      <c r="AO43" s="126"/>
      <c r="AP43" s="152">
        <f t="array" ref="AP43">SUM(AP15:AQ15*AP27:AQ27)/SUM(AP15:AQ15*AP27:AQ27,AP13:AQ13*AP26:AQ26)</f>
        <v>0.54508562283738093</v>
      </c>
      <c r="AQ43" s="126"/>
      <c r="AR43" s="152">
        <f t="array" ref="AR43">SUM(AR15:AS15*AR27:AS27)/SUM(AR15:AS15*AR27:AS27,AR13:AS13*AR26:AS26)</f>
        <v>0.54508543940786147</v>
      </c>
      <c r="AS43" s="126"/>
      <c r="AT43" s="152">
        <f t="array" ref="AT43">SUM(AT15:AU15*AT27:AU27)/SUM(AT15:AU15*AT27:AU27,AT13:AU13*AT26:AU26)</f>
        <v>0.54508539405790113</v>
      </c>
      <c r="AU43" s="126"/>
      <c r="AV43" s="152">
        <f t="array" ref="AV43">SUM(AV15:AW15*AV27:AW27)/SUM(AV15:AW15*AV27:AW27,AV13:AW13*AV26:AW26)</f>
        <v>0.5450853867198282</v>
      </c>
    </row>
    <row r="44" spans="1:49 16319:16384" x14ac:dyDescent="0.2">
      <c r="A44" t="s">
        <v>129</v>
      </c>
      <c r="B44" s="183">
        <f>(SUM(B11:C11*B24:C24)+B34)/B32</f>
        <v>0.29754226190682465</v>
      </c>
      <c r="D44" s="183">
        <f>(SUM(D11:E11*D24:E24)+D34)/D32</f>
        <v>0.29942107225411668</v>
      </c>
      <c r="F44" s="183">
        <f>(SUM(F11:G11*F24:G24)+F34)/F32</f>
        <v>0.3013245530346178</v>
      </c>
      <c r="H44" s="183">
        <f>(SUM(H11:I11*H24:I24)+H34)/H32</f>
        <v>0.30325824051195233</v>
      </c>
      <c r="J44" s="183">
        <f>(SUM(J11:K11*J24:K24)+J34)/J32</f>
        <v>0.30522883087348596</v>
      </c>
      <c r="L44" s="183">
        <f>(SUM(L11:M11*L24:M24)+L34)/L32</f>
        <v>0.307244734690994</v>
      </c>
      <c r="N44" s="183">
        <f>(SUM(N11:O11*N24:O24)+N34)/N32</f>
        <v>0.30931654351789256</v>
      </c>
      <c r="P44" s="183">
        <f>(SUM(P11:Q11*P24:Q24)+P34)/P32</f>
        <v>0.31145795315979158</v>
      </c>
      <c r="R44" s="183">
        <f>(SUM(R11:S11*R24:S24)+R34)/R32</f>
        <v>0.31368709426906227</v>
      </c>
      <c r="T44" s="183">
        <f>(SUM(T11:U11*T24:U24)+T34)/T32</f>
        <v>0.31602870381639814</v>
      </c>
      <c r="V44" s="183">
        <f>(SUM(V11:W11*V24:W24)+V34)/V32</f>
        <v>0.31851780210498049</v>
      </c>
      <c r="X44" s="183">
        <f>(SUM(X11:Y11*X24:Y24)+X34)/X32</f>
        <v>0.32120621437524793</v>
      </c>
      <c r="Z44" s="183">
        <f>(SUM(Z11:AA11*Z24:AA24)+Z34)/Z32</f>
        <v>0.32417488350497803</v>
      </c>
      <c r="AB44" s="183">
        <f>(SUM(AB11:AC11*AB24:AC24)+AB34)/AB32</f>
        <v>0.32755864785605288</v>
      </c>
      <c r="AD44" s="183">
        <f>(SUM(AD11:AE11*AD24:AE24)+AD34)/AD32</f>
        <v>0.33160007157619925</v>
      </c>
      <c r="AF44" s="183">
        <f>(SUM(AF11:AG11*AF24:AG24)+AF34)/AF32</f>
        <v>0.33677562642785669</v>
      </c>
      <c r="AH44" s="183">
        <f>(SUM(AH11:AI11*AH24:AI24)+AH34)/AH32</f>
        <v>0.34411223924884099</v>
      </c>
      <c r="AJ44" s="183">
        <f>(SUM(AJ11:AK11*AJ24:AK24)+AJ34)/AJ32</f>
        <v>0.35600312734538975</v>
      </c>
      <c r="AL44" s="183">
        <f>(SUM(AL11:AM11*AL24:AM24)+AL34)/AL32</f>
        <v>0.37847618024928203</v>
      </c>
      <c r="AN44" s="183">
        <f>(SUM(AN11:AO11*AN24:AO24)+AN34)/AN32</f>
        <v>0.43296754273692101</v>
      </c>
      <c r="AP44" s="183">
        <f>(SUM(AP11:AQ11*AP24:AQ24)+AP34)/AP32</f>
        <v>0.45474620852787878</v>
      </c>
      <c r="AR44" s="183">
        <f>(SUM(AR11:AS11*AR24:AS24)+AR34)/AR32</f>
        <v>0.4853922664869007</v>
      </c>
      <c r="AT44" s="183">
        <f>(SUM(AT11:AU11*AT24:AU24)+AT34)/AT32</f>
        <v>0.53183104947147974</v>
      </c>
      <c r="AV44" s="183">
        <f>(SUM(AV11:AW11*AV24:AW24)+AV34)/AV32</f>
        <v>0.6106626477653937</v>
      </c>
    </row>
    <row r="45" spans="1:49 16319:16384" x14ac:dyDescent="0.2">
      <c r="A45" t="s">
        <v>82</v>
      </c>
      <c r="B45" s="183">
        <f>SUM(B11:C11*B24:C24)/B32</f>
        <v>0.22038438833194082</v>
      </c>
      <c r="D45" s="183">
        <f>SUM(D11:E11*D24:E24)/D32</f>
        <v>0.22226320488939083</v>
      </c>
      <c r="F45" s="183">
        <f>SUM(F11:G11*F24:G24)/F32</f>
        <v>0.22416669069116865</v>
      </c>
      <c r="H45" s="183">
        <f>SUM(H11:I11*H24:I24)/H32</f>
        <v>0.22610036738812328</v>
      </c>
      <c r="J45" s="183">
        <f>SUM(J11:K11*J24:K24)/J32</f>
        <v>0.22807096009172265</v>
      </c>
      <c r="L45" s="183">
        <f>SUM(L11:M11*L24:M24)/L32</f>
        <v>0.23008686179386828</v>
      </c>
      <c r="N45" s="183">
        <f>SUM(N11:O11*N24:O24)/N32</f>
        <v>0.23215867113043284</v>
      </c>
      <c r="P45" s="183">
        <f>SUM(P11:Q11*P24:Q24)/P32</f>
        <v>0.23430008115650527</v>
      </c>
      <c r="R45" s="183">
        <f>SUM(R11:S11*R24:S24)/R32</f>
        <v>0.23652922395711315</v>
      </c>
      <c r="T45" s="183">
        <f>SUM(T11:U11*T24:U24)/T32</f>
        <v>0.2388708325504369</v>
      </c>
      <c r="V45" s="183">
        <f>SUM(V11:W11*V24:W24)/V32</f>
        <v>0.24135992998256661</v>
      </c>
      <c r="X45" s="183">
        <f>SUM(X11:Y11*X24:Y24)/X32</f>
        <v>0.24404834286284247</v>
      </c>
      <c r="Z45" s="183">
        <f>SUM(Z11:AA11*Z24:AA24)/Z32</f>
        <v>0.2470170099846882</v>
      </c>
      <c r="AB45" s="183">
        <f>SUM(AB11:AC11*AB24:AC24)/AB32</f>
        <v>0.25040077476884115</v>
      </c>
      <c r="AD45" s="183">
        <f>SUM(AD11:AE11*AD24:AE24)/AD32</f>
        <v>0.25444219784271349</v>
      </c>
      <c r="AF45" s="183">
        <f>SUM(AF11:AG11*AF24:AG24)/AF32</f>
        <v>0.25961775286501815</v>
      </c>
      <c r="AH45" s="183">
        <f>SUM(AH11:AI11*AH24:AI24)/AH32</f>
        <v>0.26695436588404647</v>
      </c>
      <c r="AJ45" s="183">
        <f>SUM(AJ11:AK11*AJ24:AK24)/AJ32</f>
        <v>0.27884525378185082</v>
      </c>
      <c r="AL45" s="183">
        <f>SUM(AL11:AM11*AL24:AM24)/AL32</f>
        <v>0.30131830667420317</v>
      </c>
      <c r="AN45" s="183">
        <f>SUM(AN11:AO11*AN24:AO24)/AN32</f>
        <v>0.3558096691620482</v>
      </c>
      <c r="AP45" s="183">
        <f>SUM(AP11:AQ11*AP24:AQ24)/AP32</f>
        <v>0.37758833495299643</v>
      </c>
      <c r="AR45" s="183">
        <f>SUM(AR11:AS11*AR24:AS24)/AR32</f>
        <v>0.40823439291218167</v>
      </c>
      <c r="AT45" s="183">
        <f>SUM(AT11:AU11*AT24:AU24)/AT32</f>
        <v>0.4546731758965965</v>
      </c>
      <c r="AV45" s="183">
        <f>SUM(AV11:AW11*AV24:AW24)/AV32</f>
        <v>0.53350477419050069</v>
      </c>
      <c r="XCQ45" s="183"/>
    </row>
    <row r="46" spans="1:49 16319:16384" x14ac:dyDescent="0.2">
      <c r="A46" t="s">
        <v>126</v>
      </c>
      <c r="B46" s="183">
        <f>B34/B32</f>
        <v>7.7157873574883795E-2</v>
      </c>
      <c r="D46" s="183">
        <f>D34/D32</f>
        <v>7.7157867364725866E-2</v>
      </c>
      <c r="F46" s="183">
        <f>F34/F32</f>
        <v>7.7157862343449166E-2</v>
      </c>
      <c r="H46" s="183">
        <f>H34/H32</f>
        <v>7.7157873123829032E-2</v>
      </c>
      <c r="J46" s="183">
        <f>J34/J32</f>
        <v>7.715787078176331E-2</v>
      </c>
      <c r="L46" s="183">
        <f>L34/L32</f>
        <v>7.7157872897125779E-2</v>
      </c>
      <c r="N46" s="183">
        <f>N34/N32</f>
        <v>7.7157872387459678E-2</v>
      </c>
      <c r="P46" s="183">
        <f>P34/P32</f>
        <v>7.7157872003286276E-2</v>
      </c>
      <c r="R46" s="183">
        <f>R34/R32</f>
        <v>7.7157870311949137E-2</v>
      </c>
      <c r="T46" s="183">
        <f>T34/T32</f>
        <v>7.7157871265961173E-2</v>
      </c>
      <c r="V46" s="183">
        <f>V34/V32</f>
        <v>7.7157872122413873E-2</v>
      </c>
      <c r="X46" s="183">
        <f>X34/X32</f>
        <v>7.715787151240544E-2</v>
      </c>
      <c r="Z46" s="183">
        <f>Z34/Z32</f>
        <v>7.7157873520289855E-2</v>
      </c>
      <c r="AB46" s="183">
        <f>AB34/AB32</f>
        <v>7.7157873087211698E-2</v>
      </c>
      <c r="AD46" s="183">
        <f>AD34/AD32</f>
        <v>7.7157873733485788E-2</v>
      </c>
      <c r="AF46" s="183">
        <f>AF34/AF32</f>
        <v>7.7157873562838528E-2</v>
      </c>
      <c r="AH46" s="183">
        <f>AH34/AH32</f>
        <v>7.7157873364794516E-2</v>
      </c>
      <c r="AJ46" s="183">
        <f>AJ34/AJ32</f>
        <v>7.7157873563538926E-2</v>
      </c>
      <c r="AL46" s="183">
        <f>AL34/AL32</f>
        <v>7.7157873575078875E-2</v>
      </c>
      <c r="AN46" s="183">
        <f>AN34/AN32</f>
        <v>7.7157873574872762E-2</v>
      </c>
      <c r="AP46" s="183">
        <f>AP34/AP32</f>
        <v>7.7157873574882407E-2</v>
      </c>
      <c r="AR46" s="183">
        <f>AR34/AR32</f>
        <v>7.7157873574719052E-2</v>
      </c>
      <c r="AT46" s="183">
        <f>AT34/AT32</f>
        <v>7.7157873574883198E-2</v>
      </c>
      <c r="AV46" s="183">
        <f>AV34/AV32</f>
        <v>7.7157873574893121E-2</v>
      </c>
      <c r="XCS46" s="183"/>
    </row>
    <row r="48" spans="1:49 16319:16384" x14ac:dyDescent="0.2">
      <c r="A48" t="s">
        <v>143</v>
      </c>
      <c r="B48" s="181">
        <f>B24/$B$24</f>
        <v>1</v>
      </c>
      <c r="C48" s="181"/>
      <c r="D48" s="181">
        <f>D24/$B$24</f>
        <v>1.0097410602858694</v>
      </c>
      <c r="E48" s="181"/>
      <c r="F48" s="181">
        <f>F24/$B$24</f>
        <v>1.0194796882863471</v>
      </c>
      <c r="G48" s="181"/>
      <c r="H48" s="181">
        <f>H24/$B$24</f>
        <v>1.0292176502363632</v>
      </c>
      <c r="I48" s="181"/>
      <c r="J48" s="181">
        <f>J24/$B$24</f>
        <v>1.0389568072002655</v>
      </c>
      <c r="K48" s="181"/>
      <c r="L48" s="181">
        <f>L24/$B$24</f>
        <v>1.0486997863550314</v>
      </c>
      <c r="M48" s="181"/>
      <c r="N48" s="181">
        <f>N24/$B$24</f>
        <v>1.0584499889322421</v>
      </c>
      <c r="O48" s="181"/>
      <c r="P48" s="181">
        <f>P24/$B$24</f>
        <v>1.068212404614119</v>
      </c>
      <c r="Q48" s="181"/>
      <c r="R48" s="181">
        <f>R24/$B$24</f>
        <v>1.0779948165717239</v>
      </c>
      <c r="S48" s="181"/>
      <c r="T48" s="181">
        <f>T24/$B$24</f>
        <v>1.087810251046289</v>
      </c>
      <c r="U48" s="181"/>
      <c r="V48" s="181">
        <f>V24/$B$24</f>
        <v>1.097681935603299</v>
      </c>
      <c r="W48" s="181"/>
      <c r="X48" s="181">
        <f>X24/$B$24</f>
        <v>1.1076534196926404</v>
      </c>
      <c r="Y48" s="181"/>
      <c r="Z48" s="181">
        <f>Z24/$B$24</f>
        <v>1.1178101258000339</v>
      </c>
      <c r="AA48" s="181"/>
      <c r="AB48" s="181">
        <f>AB24/$B$24</f>
        <v>1.1283268369675055</v>
      </c>
      <c r="AC48" s="181"/>
      <c r="AD48" s="181">
        <f>AD24/$B$24</f>
        <v>1.1395762886247516</v>
      </c>
      <c r="AE48" s="181"/>
      <c r="AF48" s="181">
        <f>AF24/$B$24</f>
        <v>1.1523829501845595</v>
      </c>
      <c r="AG48" s="181"/>
      <c r="AH48" s="181">
        <f>AH24/$B$24</f>
        <v>1.1685874892807371</v>
      </c>
      <c r="AI48" s="181"/>
      <c r="AJ48" s="181">
        <f>AJ24/$B$24</f>
        <v>1.1919027599987571</v>
      </c>
      <c r="AK48" s="181"/>
      <c r="AL48" s="181">
        <f>AL24/$B$24</f>
        <v>1.2266697362713932</v>
      </c>
      <c r="AM48" s="181"/>
      <c r="AN48" s="181">
        <f>AN24/$B$24</f>
        <v>1.257744587157559</v>
      </c>
      <c r="AO48" s="181"/>
      <c r="AP48" s="181">
        <f>AP24/$B$24</f>
        <v>1.2506441926854894</v>
      </c>
      <c r="AQ48" s="181"/>
      <c r="AR48" s="181">
        <f>AR24/$B$24</f>
        <v>1.222998132074546</v>
      </c>
      <c r="AS48" s="181"/>
      <c r="AT48" s="181">
        <f>AT24/$B$24</f>
        <v>1.1428481203473646</v>
      </c>
      <c r="AU48" s="181"/>
      <c r="AV48" s="181">
        <f>AV24/$B$24</f>
        <v>0.903418811592821</v>
      </c>
    </row>
    <row r="49" spans="1:48 16321:16384" x14ac:dyDescent="0.2">
      <c r="A49" t="s">
        <v>144</v>
      </c>
      <c r="B49" s="181">
        <f>B13/B35/$B$13*$B$35</f>
        <v>1</v>
      </c>
      <c r="C49" s="181"/>
      <c r="D49" s="181">
        <f>D13/D35/$B$13*$B$35</f>
        <v>0.99761334984766459</v>
      </c>
      <c r="E49" s="181"/>
      <c r="F49" s="181">
        <f>F13/F35/$B$13*$B$35</f>
        <v>0.99487525433662771</v>
      </c>
      <c r="G49" s="181"/>
      <c r="H49" s="181">
        <f>H13/H35/$B$13*$B$35</f>
        <v>0.99173071049981665</v>
      </c>
      <c r="I49" s="181"/>
      <c r="J49" s="181">
        <f>J13/J35/$B$13*$B$35</f>
        <v>0.98811145660279509</v>
      </c>
      <c r="K49" s="181"/>
      <c r="L49" s="181">
        <f>L13/L35/$B$13*$B$35</f>
        <v>0.98393210452248903</v>
      </c>
      <c r="M49" s="181"/>
      <c r="N49" s="181">
        <f>N13/N35/$B$13*$B$35</f>
        <v>0.97908385316502911</v>
      </c>
      <c r="O49" s="181"/>
      <c r="P49" s="181">
        <f>P13/P35/$B$13*$B$35</f>
        <v>0.97342585131966652</v>
      </c>
      <c r="Q49" s="181"/>
      <c r="R49" s="181">
        <f>R13/R35/$B$13*$B$35</f>
        <v>0.96677196676974586</v>
      </c>
      <c r="S49" s="181"/>
      <c r="T49" s="181">
        <f>T13/T35/$B$13*$B$35</f>
        <v>0.95887043608850853</v>
      </c>
      <c r="U49" s="181"/>
      <c r="V49" s="181">
        <f>V13/V35/$B$13*$B$35</f>
        <v>0.94937088872631448</v>
      </c>
      <c r="W49" s="181"/>
      <c r="X49" s="181">
        <f>X13/X35/$B$13*$B$35</f>
        <v>0.93776896796489517</v>
      </c>
      <c r="Y49" s="181"/>
      <c r="Z49" s="181">
        <f>Z13/Z35/$B$13*$B$35</f>
        <v>0.92330784494849416</v>
      </c>
      <c r="AA49" s="181"/>
      <c r="AB49" s="181">
        <f>AB13/AB35/$B$13*$B$35</f>
        <v>0.90479218497455416</v>
      </c>
      <c r="AC49" s="181"/>
      <c r="AD49" s="181">
        <f>AD13/AD35/$B$13*$B$35</f>
        <v>0.88021136562738789</v>
      </c>
      <c r="AE49" s="181"/>
      <c r="AF49" s="181">
        <f>AF13/AF35/$B$13*$B$35</f>
        <v>0.84591897335231758</v>
      </c>
      <c r="AG49" s="181"/>
      <c r="AH49" s="181">
        <f>AH13/AH35/$B$13*$B$35</f>
        <v>0.79474812449963184</v>
      </c>
      <c r="AI49" s="181"/>
      <c r="AJ49" s="181">
        <f>AJ13/AJ35/$B$13*$B$35</f>
        <v>0.71182363382435299</v>
      </c>
      <c r="AK49" s="181"/>
      <c r="AL49" s="181">
        <f>AL13/AL35/$B$13*$B$35</f>
        <v>0.56739794993170234</v>
      </c>
      <c r="AM49" s="181"/>
      <c r="AN49" s="181">
        <f>AN13/AN35/$B$13*$B$35</f>
        <v>0.312964994977596</v>
      </c>
      <c r="AO49" s="181"/>
      <c r="AP49" s="181">
        <f>AP13/AP35/$B$13*$B$35</f>
        <v>0.24542082894701675</v>
      </c>
      <c r="AQ49" s="181"/>
      <c r="AR49" s="181">
        <f>AR13/AR35/$B$13*$B$35</f>
        <v>0.17367423224102432</v>
      </c>
      <c r="AS49" s="181"/>
      <c r="AT49" s="181">
        <f>AT13/AT35/$B$13*$B$35</f>
        <v>0.10093787226999447</v>
      </c>
      <c r="AU49" s="181"/>
      <c r="AV49" s="181">
        <f>AV13/AV35/$B$13*$B$35</f>
        <v>3.5145721669058119E-2</v>
      </c>
    </row>
    <row r="51" spans="1:48 16321:16384" x14ac:dyDescent="0.2">
      <c r="A51" t="s">
        <v>150</v>
      </c>
      <c r="B51" s="27">
        <f>B30-B10*B23</f>
        <v>-405838.32800000021</v>
      </c>
      <c r="D51" s="27">
        <f>D30-D10*D23</f>
        <v>-359358.59192659287</v>
      </c>
      <c r="F51" s="27">
        <f>F30-F10*F23</f>
        <v>-312195.06367946416</v>
      </c>
      <c r="H51" s="27">
        <f>H30-H10*H23</f>
        <v>-264226.72125895042</v>
      </c>
      <c r="J51" s="27">
        <f>J30-J10*J23</f>
        <v>-215305.05249698088</v>
      </c>
      <c r="L51" s="27">
        <f>L30-L10*L23</f>
        <v>-165247.69008328579</v>
      </c>
      <c r="N51" s="27">
        <f>N30-N10*N23</f>
        <v>-113824.55400405591</v>
      </c>
      <c r="P51" s="27">
        <f>P30-P10*P23</f>
        <v>-60740.465052830055</v>
      </c>
      <c r="R51" s="27">
        <f>R30-R10*R23</f>
        <v>-5606.462935352698</v>
      </c>
      <c r="T51" s="27">
        <f>T30-T10*T23</f>
        <v>52105.849785839207</v>
      </c>
      <c r="V51" s="27">
        <f>V30-V10*V23</f>
        <v>113142.46190997772</v>
      </c>
      <c r="X51" s="27">
        <f>X30-X10*X23</f>
        <v>178605.94362340495</v>
      </c>
      <c r="Z51" s="27">
        <f>Z30-Z10*Z23</f>
        <v>250218.90760789812</v>
      </c>
      <c r="AB51" s="27">
        <f>AB30-AB10*AB23</f>
        <v>330856.42952904804</v>
      </c>
      <c r="AD51" s="27">
        <f>AD30-AD10*AD23</f>
        <v>425695.45847987663</v>
      </c>
      <c r="AF51" s="27">
        <f>AF30-AF10*AF23</f>
        <v>544874.40095722629</v>
      </c>
      <c r="AH51" s="27">
        <f>AH30-AH10*AH23</f>
        <v>709911.7934392835</v>
      </c>
      <c r="AJ51" s="27">
        <f>AJ30-AJ10*AJ23</f>
        <v>968503.08681301493</v>
      </c>
      <c r="AL51" s="27">
        <f>AL30-AL10*AL23</f>
        <v>1423324.8051429847</v>
      </c>
      <c r="AN51" s="27">
        <f>AN30-AN10*AN23</f>
        <v>2299028.3209335632</v>
      </c>
      <c r="AP51" s="27">
        <f>AP30-AP10*AP23</f>
        <v>2553149.037247939</v>
      </c>
      <c r="AQ51" s="27"/>
      <c r="AR51" s="27">
        <f>AR30-AR10*AR23</f>
        <v>2817275.1519864681</v>
      </c>
      <c r="AT51" s="27">
        <f>AT30-AT10*AT23</f>
        <v>3009842.8662375426</v>
      </c>
      <c r="AV51" s="27">
        <f>AV30-AV10*AV23</f>
        <v>2766838.2217382193</v>
      </c>
      <c r="XFD51" s="27"/>
    </row>
    <row r="52" spans="1:48 16321:16384" x14ac:dyDescent="0.2">
      <c r="A52" t="s">
        <v>151</v>
      </c>
      <c r="B52" s="27">
        <f t="array" ref="B52">Calibration!sL*SUM(B13:C13*B26:C26)</f>
        <v>2073093.0976150823</v>
      </c>
      <c r="D52" s="27">
        <f t="array" ref="D52">Calibration!sL*SUM(D13:E13*D26:E26)</f>
        <v>2071981.578219695</v>
      </c>
      <c r="F52" s="27">
        <f t="array" ref="F52">Calibration!sL*SUM(F13:G13*F26:G26)</f>
        <v>2070398.7868613095</v>
      </c>
      <c r="H52" s="27">
        <f t="array" ref="H52">Calibration!sL*SUM(H13:I13*H26:I26)</f>
        <v>2068273.8334692065</v>
      </c>
      <c r="J52" s="27">
        <f t="array" ref="J52">Calibration!sL*SUM(J13:K13*J26:K26)</f>
        <v>2065519.8933247502</v>
      </c>
      <c r="L52" s="27">
        <f t="array" ref="L52">Calibration!sL*SUM(L13:M13*L26:M26)</f>
        <v>2062029.978005348</v>
      </c>
      <c r="N52" s="27">
        <f t="array" ref="N52">Calibration!sL*SUM(N13:O13*N26:O26)</f>
        <v>2057670.1256111779</v>
      </c>
      <c r="P52" s="27">
        <f t="array" ref="P52">Calibration!sL*SUM(P13:Q13*P26:Q26)</f>
        <v>2052270.3494622251</v>
      </c>
      <c r="R52" s="27">
        <f t="array" ref="R52">Calibration!sL*SUM(R13:S13*R26:S26)</f>
        <v>2045611.0826589547</v>
      </c>
      <c r="T52" s="27">
        <f t="array" ref="T52">Calibration!sL*SUM(T13:U13*T26:U26)</f>
        <v>2037402.9511353669</v>
      </c>
      <c r="V52" s="27">
        <f t="array" ref="V52">Calibration!sL*SUM(V13:W13*V26:W26)</f>
        <v>2027254.7619649281</v>
      </c>
      <c r="X52" s="27">
        <f t="array" ref="X52">Calibration!sL*SUM(X13:Y13*X26:Y26)</f>
        <v>2014621.1448329501</v>
      </c>
      <c r="Z52" s="27">
        <f t="array" ref="Z52">Calibration!sL*SUM(Z13:AA13*Z26:AA26)</f>
        <v>1998711.1554402171</v>
      </c>
      <c r="AB52" s="27">
        <f t="array" ref="AB52">Calibration!sL*SUM(AB13:AC13*AB26:AC26)</f>
        <v>1978317.4192556574</v>
      </c>
      <c r="AD52" s="27">
        <f t="array" ref="AD52">Calibration!sL*SUM(AD13:AE13*AD26:AE26)</f>
        <v>1951467.6803103366</v>
      </c>
      <c r="AF52" s="27">
        <f t="array" ref="AF52">Calibration!sL*SUM(AF13:AG13*AF26:AG26)</f>
        <v>1914636.7530788323</v>
      </c>
      <c r="AH52" s="27">
        <f t="array" ref="AH52">Calibration!sL*SUM(AH13:AI13*AH26:AI26)</f>
        <v>1860741.6787644145</v>
      </c>
      <c r="AJ52" s="27">
        <f t="array" ref="AJ52">Calibration!sL*SUM(AJ13:AK13*AJ26:AK26)</f>
        <v>1773413.2696974792</v>
      </c>
      <c r="AL52" s="27">
        <f t="array" ref="AL52">Calibration!sL*SUM(AL13:AM13*AL26:AM26)</f>
        <v>1608564.4712996813</v>
      </c>
      <c r="AN52" s="27">
        <f t="array" ref="AN52">Calibration!sL*SUM(AN13:AO13*AN26:AO26)</f>
        <v>1214966.9516480372</v>
      </c>
      <c r="AP52" s="27">
        <f t="array" ref="AP52">Calibration!sL*SUM(AP13:AQ13*AP26:AQ26)</f>
        <v>1067759.4485483959</v>
      </c>
      <c r="AQ52" s="27"/>
      <c r="AR52" s="27">
        <f t="array" ref="AR52">Calibration!sL*SUM(AR13:AS13*AR26:AS26)</f>
        <v>874751.58220538485</v>
      </c>
      <c r="AT52" s="27">
        <f t="array" ref="AT52">Calibration!sL*SUM(AT13:AU13*AT26:AU26)</f>
        <v>617041.37400696601</v>
      </c>
      <c r="AV52" s="27">
        <f t="array" ref="AV52">Calibration!sL*SUM(AV13:AW13*AV26:AW26)</f>
        <v>280920.64810726419</v>
      </c>
    </row>
    <row r="53" spans="1:48 16321:16384" x14ac:dyDescent="0.2">
      <c r="A53" t="s">
        <v>152</v>
      </c>
      <c r="B53" s="27">
        <f t="array" ref="B53">Calibration!sK*SUM(B15:C15*B27:C27)</f>
        <v>2716869.1663849424</v>
      </c>
      <c r="D53" s="27">
        <f t="array" ref="D53">Calibration!sK*SUM(D15:E15*D27:E27)</f>
        <v>2700338.8407756924</v>
      </c>
      <c r="F53" s="27">
        <f t="array" ref="F53">Calibration!sK*SUM(F15:G15*F27:G27)</f>
        <v>2683295.8745179619</v>
      </c>
      <c r="H53" s="27">
        <f t="array" ref="H53">Calibration!sK*SUM(H15:I15*H27:I27)</f>
        <v>2665655.2878037789</v>
      </c>
      <c r="J53" s="27">
        <f t="array" ref="J53">Calibration!sK*SUM(J15:K15*J27:K27)</f>
        <v>2647314.1935414732</v>
      </c>
      <c r="L53" s="27">
        <f t="array" ref="L53">Calibration!sK*SUM(L15:M15*L27:M27)</f>
        <v>2628145.9932710161</v>
      </c>
      <c r="N53" s="27">
        <f t="array" ref="N53">Calibration!sK*SUM(N15:O15*N27:O27)</f>
        <v>2607993.8190585612</v>
      </c>
      <c r="P53" s="27">
        <f t="array" ref="P53">Calibration!sK*SUM(P15:Q15*P27:Q27)</f>
        <v>2586660.551382727</v>
      </c>
      <c r="R53" s="27">
        <f t="array" ref="R53">Calibration!sK*SUM(R15:S15*R27:S27)</f>
        <v>2563894.9295813893</v>
      </c>
      <c r="T53" s="27">
        <f t="array" ref="T53">Calibration!sK*SUM(T15:U15*T27:U27)</f>
        <v>2539370.7528376961</v>
      </c>
      <c r="V53" s="27">
        <f t="array" ref="V53">Calibration!sK*SUM(V15:W15*V27:W27)</f>
        <v>2512654.9799266048</v>
      </c>
      <c r="X53" s="27">
        <f t="array" ref="X53">Calibration!sK*SUM(X15:Y15*X27:Y27)</f>
        <v>2483155.5702009606</v>
      </c>
      <c r="Z53" s="27">
        <f t="array" ref="Z53">Calibration!sK*SUM(Z15:AA15*Z27:AA27)</f>
        <v>2450030.8402248998</v>
      </c>
      <c r="AB53" s="27">
        <f t="array" ref="AB53">Calibration!sK*SUM(AB15:AC15*AB27:AC27)</f>
        <v>2412018.0190050895</v>
      </c>
      <c r="AD53" s="27">
        <f t="array" ref="AD53">Calibration!sK*SUM(AD15:AE15*AD27:AE27)</f>
        <v>2367074.5724697346</v>
      </c>
      <c r="AF53" s="27">
        <f t="array" ref="AF53">Calibration!sK*SUM(AF15:AG15*AF27:AG27)</f>
        <v>2311530.8618419585</v>
      </c>
      <c r="AH53" s="27">
        <f t="array" ref="AH53">Calibration!sK*SUM(AH15:AI15*AH27:AI27)</f>
        <v>2237800.2684744364</v>
      </c>
      <c r="AJ53" s="27">
        <f t="array" ref="AJ53">Calibration!sK*SUM(AJ15:AK15*AJ27:AK27)</f>
        <v>2127386.5953229074</v>
      </c>
      <c r="AL53" s="27">
        <f t="array" ref="AL53">Calibration!sK*SUM(AL15:AM15*AL27:AM27)</f>
        <v>1927699.7594842212</v>
      </c>
      <c r="AN53" s="27">
        <f t="array" ref="AN53">Calibration!sK*SUM(AN15:AO15*AN27:AO27)</f>
        <v>1455795.9708306212</v>
      </c>
      <c r="AP53" s="27">
        <f t="array" ref="AP53">Calibration!sK*SUM(AP15:AQ15*AP27:AQ27)</f>
        <v>1279406.3086831062</v>
      </c>
      <c r="AQ53" s="27"/>
      <c r="AR53" s="27">
        <f t="array" ref="AR53">Calibration!sK*SUM(AR15:AS15*AR27:AS27)</f>
        <v>1048140.446281825</v>
      </c>
      <c r="AT53" s="27">
        <f t="array" ref="AT53">Calibration!sK*SUM(AT15:AU15*AT27:AU27)</f>
        <v>739348.08007335081</v>
      </c>
      <c r="AV53" s="27">
        <f t="array" ref="AV53">Calibration!sK*SUM(AV15:AW15*AV27:AW27)</f>
        <v>336603.25617376063</v>
      </c>
      <c r="XFD53" s="27"/>
    </row>
    <row r="55" spans="1:48 16321:16384" x14ac:dyDescent="0.2">
      <c r="A55" t="s">
        <v>153</v>
      </c>
      <c r="B55" s="183">
        <f>B30/B32</f>
        <v>0.19850271905982084</v>
      </c>
      <c r="D55" s="183">
        <f>D30/D32</f>
        <v>0.20166359125427902</v>
      </c>
      <c r="F55" s="183">
        <f>F30/F32</f>
        <v>0.20486595928547938</v>
      </c>
      <c r="H55" s="183">
        <f>H30/H32</f>
        <v>0.20811907566403356</v>
      </c>
      <c r="J55" s="183">
        <f>J30/J32</f>
        <v>0.21143433406930678</v>
      </c>
      <c r="L55" s="183">
        <f>L30/L32</f>
        <v>0.21482580945304819</v>
      </c>
      <c r="N55" s="183">
        <f>N30/N32</f>
        <v>0.21831134945287992</v>
      </c>
      <c r="P55" s="183">
        <f>P30/P32</f>
        <v>0.22191398211117916</v>
      </c>
      <c r="R55" s="183">
        <f>R30/R32</f>
        <v>0.22566420771495929</v>
      </c>
      <c r="T55" s="183">
        <f>T30/T32</f>
        <v>0.2296036409454163</v>
      </c>
      <c r="V55" s="183">
        <f>V30/V32</f>
        <v>0.23379120444638918</v>
      </c>
      <c r="X55" s="183">
        <f>X30/X32</f>
        <v>0.23831409285170721</v>
      </c>
      <c r="Z55" s="183">
        <f>Z30/Z32</f>
        <v>0.24330846466324535</v>
      </c>
      <c r="AB55" s="183">
        <f>AB30/AB32</f>
        <v>0.24900118899003637</v>
      </c>
      <c r="AD55" s="183">
        <f>AD30/AD32</f>
        <v>0.25580033039142852</v>
      </c>
      <c r="AF55" s="183">
        <f>AF30/AF32</f>
        <v>0.2645074918791952</v>
      </c>
      <c r="AH55" s="183">
        <f>AH30/AH32</f>
        <v>0.27685034039209921</v>
      </c>
      <c r="AJ55" s="183">
        <f>AJ30/AJ32</f>
        <v>0.29685513371653727</v>
      </c>
      <c r="AL55" s="183">
        <f>AL30/AL32</f>
        <v>0.33466297338829837</v>
      </c>
      <c r="AN55" s="183">
        <f>AN30/AN32</f>
        <v>0.42633724175237042</v>
      </c>
      <c r="AP55" s="183">
        <f>AP30/AP32</f>
        <v>0.46297686987530984</v>
      </c>
      <c r="AR55" s="183">
        <f>AR30/AR32</f>
        <v>0.51453467347139692</v>
      </c>
      <c r="AT55" s="183">
        <f>AT30/AT32</f>
        <v>0.59266157746851811</v>
      </c>
      <c r="AV55" s="183">
        <f>AV30/AV32</f>
        <v>0.72528496552068877</v>
      </c>
      <c r="XCS55" s="183"/>
      <c r="XFD55" s="183"/>
    </row>
    <row r="56" spans="1:48 16321:16384" x14ac:dyDescent="0.2">
      <c r="A56" t="s">
        <v>154</v>
      </c>
      <c r="B56" s="183">
        <f>(Model!$C$52*B5*B20+B2*C5*C20)/B32</f>
        <v>2.9221206744340551E-2</v>
      </c>
      <c r="D56" s="183">
        <f>(Model!$C$52*D5*D20+D2*E5*E20)/D32</f>
        <v>3.2584009903754658E-2</v>
      </c>
      <c r="F56" s="183">
        <f>(Model!$C$52*F5*F20+F2*G5*G20)/F32</f>
        <v>3.600017851074435E-2</v>
      </c>
      <c r="H56" s="183">
        <f>(Model!$C$52*H5*H20+H2*I5*I20)/H32</f>
        <v>3.9480896592169953E-2</v>
      </c>
      <c r="J56" s="183">
        <f>(Model!$C$52*J5*J20+J2*K5*K20)/J32</f>
        <v>4.30399441738121E-2</v>
      </c>
      <c r="L56" s="183">
        <f>(Model!$C$52*L5*L20+L2*M5*M20)/L32</f>
        <v>4.669438981162978E-2</v>
      </c>
      <c r="N56" s="183">
        <f>(Model!$C$52*N5*N20+N2*O5*O20)/N32</f>
        <v>5.0465915039467499E-2</v>
      </c>
      <c r="P56" s="183">
        <f>(Model!$C$52*P5*P20+P2*Q5*Q20)/P32</f>
        <v>5.4382567970701526E-2</v>
      </c>
      <c r="R56" s="183">
        <f>(Model!$C$52*R5*R20+R2*S5*S20)/R32</f>
        <v>5.8481598284124005E-2</v>
      </c>
      <c r="T56" s="183">
        <f>(Model!$C$52*T5*T20+T2*U5*U20)/T32</f>
        <v>6.2813979026696873E-2</v>
      </c>
      <c r="V56" s="183">
        <f>(Model!$C$52*V5*V20+V2*W5*W20)/V32</f>
        <v>6.7452086082143564E-2</v>
      </c>
      <c r="X56" s="183">
        <f>(Model!$C$52*X5*X20+X2*Y5*Y20)/X32</f>
        <v>7.2503292756943102E-2</v>
      </c>
      <c r="Z56" s="183">
        <f>(Model!$C$52*Z5*Z20+Z2*AA5*AA20)/Z32</f>
        <v>7.8135573481604312E-2</v>
      </c>
      <c r="AB56" s="183">
        <f>(Model!$C$52*AB5*AB20+AB2*AC5*AC20)/AB32</f>
        <v>8.4629001329031381E-2</v>
      </c>
      <c r="AD56" s="183">
        <f>(Model!$C$52*AD5*AD20+AD2*AE5*AE20)/AD32</f>
        <v>9.2486936642761905E-2</v>
      </c>
      <c r="AF56" s="183">
        <f>(Model!$C$52*AF5*AF20+AF2*AG5*AG20)/AF32</f>
        <v>0.10269557596770536</v>
      </c>
      <c r="AH56" s="183">
        <f>(Model!$C$52*AH5*AH20+AH2*AI5*AI20)/AH32</f>
        <v>0.11737050385024658</v>
      </c>
      <c r="AJ56" s="183">
        <f>(Model!$C$52*AJ5*AJ20+AJ2*AK5*AK20)/AJ32</f>
        <v>0.14140930335132279</v>
      </c>
      <c r="AL56" s="183">
        <f>(Model!$C$52*AL5*AL20+AL2*AM5*AM20)/AL32</f>
        <v>0.18706364745463108</v>
      </c>
      <c r="AN56" s="183">
        <f>(Model!$C$52*AN5*AN20+AN2*AO5*AO20)/AN32</f>
        <v>0.29782894153114775</v>
      </c>
      <c r="AP56" s="183">
        <f>(Model!$C$52*AP5*AP20+AP2*AQ5*AQ20)/AP32</f>
        <v>0.34209081023933607</v>
      </c>
      <c r="AR56" s="183">
        <f>(Model!$C$52*AR5*AR20+AR2*AS5*AS20)/AR32</f>
        <v>0.40437048003792053</v>
      </c>
      <c r="AT56" s="183">
        <f>(Model!$C$52*AT5*AT20+AT2*AU5*AU20)/AT32</f>
        <v>0.49874010507091326</v>
      </c>
      <c r="AV56" s="183">
        <f>(Model!$C$52*AV5*AV20+AV2*AW5*AW20)/AV32</f>
        <v>0.65893119198347316</v>
      </c>
      <c r="XFD56" s="183"/>
    </row>
    <row r="57" spans="1:48 16321:16384" x14ac:dyDescent="0.2">
      <c r="A57" t="s">
        <v>155</v>
      </c>
      <c r="B57" s="183">
        <f t="array" ref="B57">SUM(Model!tauL*B13:C13*B26:C26)/B32</f>
        <v>0.15852881819439493</v>
      </c>
      <c r="D57" s="183">
        <f t="array" ref="D57">SUM(Model!tauL*D13:E13*D26:E26)/D32</f>
        <v>0.15840237435687438</v>
      </c>
      <c r="F57" s="183">
        <f t="array" ref="F57">SUM(Model!tauL*F13:G13*F26:G26)/F32</f>
        <v>0.15826414536082292</v>
      </c>
      <c r="H57" s="183">
        <f t="array" ref="H57">SUM(Model!tauL*H13:I13*H26:I26)/H32</f>
        <v>0.15811228756268331</v>
      </c>
      <c r="J57" s="183">
        <f t="array" ref="J57">SUM(Model!tauL*J13:K13*J26:K26)/J32</f>
        <v>0.15794451702186604</v>
      </c>
      <c r="L57" s="183">
        <f t="array" ref="L57">SUM(Model!tauL*L13:M13*L26:M26)/L32</f>
        <v>0.15775796910521023</v>
      </c>
      <c r="N57" s="183">
        <f t="array" ref="N57">SUM(Model!tauL*N13:O13*N26:O26)/N32</f>
        <v>0.15754896591987913</v>
      </c>
      <c r="P57" s="183">
        <f t="array" ref="P57">SUM(Model!tauL*P13:Q13*P26:Q26)/P32</f>
        <v>0.15731268012751023</v>
      </c>
      <c r="R57" s="183">
        <f t="array" ref="R57">SUM(Model!tauL*R13:S13*R26:S26)/R32</f>
        <v>0.15704259850341695</v>
      </c>
      <c r="T57" s="183">
        <f t="array" ref="T57">SUM(Model!tauL*T13:U13*T26:U26)/T32</f>
        <v>0.15672965188786059</v>
      </c>
      <c r="V57" s="183">
        <f t="array" ref="V57">SUM(Model!tauL*V13:W13*V26:W26)/V32</f>
        <v>0.1563607335744488</v>
      </c>
      <c r="X57" s="183">
        <f t="array" ref="X57">SUM(Model!tauL*X13:Y13*X26:Y26)/X32</f>
        <v>0.15591606743128206</v>
      </c>
      <c r="Y57" s="183"/>
      <c r="Z57" s="183">
        <f t="array" ref="Z57">SUM(Model!tauL*Z13:AA13*Z26:AA26)/Z32</f>
        <v>0.15536426963478595</v>
      </c>
      <c r="AB57" s="183">
        <f t="array" ref="AB57">SUM(Model!tauL*AB13:AC13*AB26:AC26)/AB32</f>
        <v>0.15465251172377129</v>
      </c>
      <c r="AD57" s="183">
        <f t="array" ref="AD57">SUM(Model!tauL*AD13:AE13*AD26:AE26)/AD32</f>
        <v>0.15368557997206678</v>
      </c>
      <c r="AF57" s="183">
        <f t="array" ref="AF57">SUM(Model!tauL*AF13:AG13*AF26:AG26)/AF32</f>
        <v>0.15227807635067186</v>
      </c>
      <c r="AH57" s="183">
        <f t="array" ref="AH57">SUM(Model!tauL*AH13:AI13*AH26:AI26)/AH32</f>
        <v>0.15003906256881677</v>
      </c>
      <c r="AJ57" s="183">
        <f t="array" ref="AJ57">SUM(Model!tauL*AJ13:AK13*AJ26:AK26)/AJ32</f>
        <v>0.14609002054897455</v>
      </c>
      <c r="AL57" s="183">
        <f t="array" ref="AL57">SUM(Model!tauL*AL13:AM13*AL26:AM26)/AL32</f>
        <v>0.13831042381927935</v>
      </c>
      <c r="AN57" s="183">
        <f t="array" ref="AN57">SUM(Model!tauL*AN13:AO13*AN26:AO26)/AN32</f>
        <v>0.11926286504726286</v>
      </c>
      <c r="AP57" s="183">
        <f t="array" ref="AP57">SUM(Model!tauL*AP13:AQ13*AP26:AQ26)/AP32</f>
        <v>0.11164572780343783</v>
      </c>
      <c r="AR57" s="183">
        <f t="array" ref="AR57">SUM(Model!tauL*AR13:AS13*AR26:AS26)/AR32</f>
        <v>0.10092703378345706</v>
      </c>
      <c r="AT57" s="183">
        <f t="array" ref="AT57">SUM(Model!tauL*AT13:AU13*AT26:AU26)/AT32</f>
        <v>8.4684653166869614E-2</v>
      </c>
      <c r="AV57" s="183">
        <f t="array" ref="AV57">SUM(Model!tauL*AV13:AW13*AV26:AW26)/AV32</f>
        <v>5.7112578884717782E-2</v>
      </c>
      <c r="XFD57" s="183"/>
    </row>
    <row r="58" spans="1:48 16321:16384" x14ac:dyDescent="0.2">
      <c r="A58" t="s">
        <v>156</v>
      </c>
      <c r="B58" s="183">
        <f t="array" ref="B58">SUM(Model!tauY/(1+Model!tauY)*B3:C3*B18:C18)/B32</f>
        <v>1.075269412108535E-2</v>
      </c>
      <c r="D58" s="183">
        <f t="array" ref="D58">SUM(Model!tauY/(1+Model!tauY)*D3:E3*D18:E18)/D32</f>
        <v>1.0677206993649975E-2</v>
      </c>
      <c r="F58" s="183">
        <f t="array" ref="F58">SUM(Model!tauY/(1+Model!tauY)*F3:G3*F18:G18)/F32</f>
        <v>1.0601635413912123E-2</v>
      </c>
      <c r="H58" s="183">
        <f t="array" ref="H58">SUM(Model!tauY/(1+Model!tauY)*H3:I3*H18:I18)/H32</f>
        <v>1.0525891509180275E-2</v>
      </c>
      <c r="J58" s="183">
        <f t="array" ref="J58">SUM(Model!tauY/(1+Model!tauY)*J3:K3*J18:K18)/J32</f>
        <v>1.0449872873628668E-2</v>
      </c>
      <c r="L58" s="183">
        <f t="array" ref="L58">SUM(Model!tauY/(1+Model!tauY)*L3:M3*L18:M18)/L32</f>
        <v>1.0373450536208218E-2</v>
      </c>
      <c r="N58" s="183">
        <f t="array" ref="N58">SUM(Model!tauY/(1+Model!tauY)*N3:O3*N18:O18)/N32</f>
        <v>1.0296468493533302E-2</v>
      </c>
      <c r="P58" s="183">
        <f t="array" ref="P58">SUM(Model!tauY/(1+Model!tauY)*P3:Q3*P18:Q18)/P32</f>
        <v>1.0218734012967367E-2</v>
      </c>
      <c r="R58" s="183">
        <f t="array" ref="R58">SUM(Model!tauY/(1+Model!tauY)*R3:S3*R18:S18)/R32</f>
        <v>1.0140010927418326E-2</v>
      </c>
      <c r="T58" s="183">
        <f t="array" ref="T58">SUM(Model!tauY/(1+Model!tauY)*T3:U3*T18:U18)/T32</f>
        <v>1.0060010030858831E-2</v>
      </c>
      <c r="V58" s="183">
        <f t="array" ref="V58">SUM(Model!tauY/(1+Model!tauY)*V3:W3*V18:W18)/V32</f>
        <v>9.9783847897967782E-3</v>
      </c>
      <c r="X58" s="183">
        <f t="array" ref="X58">SUM(Model!tauY/(1+Model!tauY)*X3:Y3*X18:Y18)/X32</f>
        <v>9.8947326634820539E-3</v>
      </c>
      <c r="Y58" s="183"/>
      <c r="Z58" s="183">
        <f t="array" ref="Z58">SUM(Model!tauY/(1+Model!tauY)*Z3:AA3*Z18:AA18)/Z32</f>
        <v>9.8086215468550699E-3</v>
      </c>
      <c r="AB58" s="183">
        <f t="array" ref="AB58">SUM(Model!tauY/(1+Model!tauY)*AB3:AC3*AB18:AC18)/AB32</f>
        <v>9.7196759372336888E-3</v>
      </c>
      <c r="AD58" s="183">
        <f t="array" ref="AD58">SUM(Model!tauY/(1+Model!tauY)*AD3:AE3*AD18:AE18)/AD32</f>
        <v>9.6278137765998528E-3</v>
      </c>
      <c r="AF58" s="183">
        <f t="array" ref="AF58">SUM(Model!tauY/(1+Model!tauY)*AF3:AG3*AF18:AG18)/AF32</f>
        <v>9.533839560818021E-3</v>
      </c>
      <c r="AH58" s="183">
        <f t="array" ref="AH58">SUM(Model!tauY/(1+Model!tauY)*AH3:AI3*AH18:AI18)/AH32</f>
        <v>9.4407739730358459E-3</v>
      </c>
      <c r="AJ58" s="183">
        <f t="array" ref="AJ58">SUM(Model!tauY/(1+Model!tauY)*AJ3:AK3*AJ18:AK18)/AJ32</f>
        <v>9.355809816239874E-3</v>
      </c>
      <c r="AL58" s="183">
        <f t="array" ref="AL58">SUM(Model!tauY/(1+Model!tauY)*AL3:AM3*AL18:AM18)/AL32</f>
        <v>9.2889021143879244E-3</v>
      </c>
      <c r="AN58" s="183">
        <f t="array" ref="AN58">SUM(Model!tauY/(1+Model!tauY)*AN3:AO3*AN18:AO18)/AN32</f>
        <v>9.2454351739597578E-3</v>
      </c>
      <c r="AP58" s="183">
        <f t="array" ref="AP58">SUM(Model!tauY/(1+Model!tauY)*AP3:AQ3*AP18:AQ18)/AP32</f>
        <v>9.240331832535989E-3</v>
      </c>
      <c r="AR58" s="183">
        <f t="array" ref="AR58">SUM(Model!tauY/(1+Model!tauY)*AR3:AS3*AR18:AS18)/AR32</f>
        <v>9.2371596500193404E-3</v>
      </c>
      <c r="AT58" s="183">
        <f t="array" ref="AT58">SUM(Model!tauY/(1+Model!tauY)*AT3:AU3*AT18:AU18)/AT32</f>
        <v>9.2368192307351153E-3</v>
      </c>
      <c r="AV58" s="183">
        <f t="array" ref="AV58">SUM(Model!tauY/(1+Model!tauY)*AV3:AW3*AV18:AW18)/AV32</f>
        <v>9.241194652497807E-3</v>
      </c>
      <c r="XFD58" s="183"/>
    </row>
    <row r="59" spans="1:48 16321:16384" x14ac:dyDescent="0.2">
      <c r="A59" t="s">
        <v>157</v>
      </c>
      <c r="B59" s="183">
        <f>(B2*C5*C20)/B32</f>
        <v>5.5174232040962052E-4</v>
      </c>
      <c r="D59" s="183">
        <f>(D2*E5*E20)/D32</f>
        <v>3.9430491680285127E-3</v>
      </c>
      <c r="F59" s="183">
        <f>(F2*G5*G20)/F32</f>
        <v>7.3870580048266011E-3</v>
      </c>
      <c r="H59" s="183">
        <f>(H2*I5*I20)/H32</f>
        <v>1.0894891030700946E-2</v>
      </c>
      <c r="J59" s="183">
        <f>(J2*K5*K20)/J32</f>
        <v>1.4480251745748785E-2</v>
      </c>
      <c r="L59" s="183">
        <f>(L2*M5*M20)/L32</f>
        <v>1.8160116357880479E-2</v>
      </c>
      <c r="N59" s="183">
        <f>(N2*O5*O20)/N32</f>
        <v>2.1956052097444032E-2</v>
      </c>
      <c r="P59" s="183">
        <f>(P2*Q5*Q20)/P32</f>
        <v>2.5895965775446284E-2</v>
      </c>
      <c r="R59" s="183">
        <f>(R2*S5*S20)/R32</f>
        <v>3.0016930829712702E-2</v>
      </c>
      <c r="T59" s="183">
        <f>(T2*U5*U20)/T32</f>
        <v>3.4369700332591693E-2</v>
      </c>
      <c r="V59" s="183">
        <f>(V2*W5*W20)/V32</f>
        <v>3.9026375243067825E-2</v>
      </c>
      <c r="X59" s="183">
        <f>(X2*Y5*Y20)/X32</f>
        <v>4.4093989841444435E-2</v>
      </c>
      <c r="Z59" s="183">
        <f>(Z2*AA5*AA20)/Z32</f>
        <v>4.9740114591271992E-2</v>
      </c>
      <c r="AB59" s="183">
        <f>(AB2*AC5*AC20)/AB32</f>
        <v>5.6244385354292437E-2</v>
      </c>
      <c r="AD59" s="183">
        <f>(AD2*AE5*AE20)/AD32</f>
        <v>6.4109820248107963E-2</v>
      </c>
      <c r="AF59" s="183">
        <f>(AF2*AG5*AG20)/AF32</f>
        <v>7.4322767188745212E-2</v>
      </c>
      <c r="AH59" s="183">
        <f>(AH2*AI5*AI20)/AH32</f>
        <v>8.9000470000218004E-2</v>
      </c>
      <c r="AJ59" s="183">
        <f>(AJ2*AK5*AK20)/AJ32</f>
        <v>0.11304504093353189</v>
      </c>
      <c r="AL59" s="183">
        <f>(AL2*AM5*AM20)/AL32</f>
        <v>0.15871094180171769</v>
      </c>
      <c r="AN59" s="183">
        <f>(AN2*AO5*AO20)/AN32</f>
        <v>0.2694708957789948</v>
      </c>
      <c r="AP59" s="183">
        <f>(AP2*AQ5*AQ20)/AP32</f>
        <v>0.31372345256527673</v>
      </c>
      <c r="AR59" s="183">
        <f>(AR2*AS5*AS20)/AR32</f>
        <v>0.37598803017722671</v>
      </c>
      <c r="AT59" s="183">
        <f>(AT2*AU5*AU20)/AT32</f>
        <v>0.47033374162282204</v>
      </c>
      <c r="AV59" s="183">
        <f>(AV2*AW5*AW20)/AV32</f>
        <v>0.63048595002773289</v>
      </c>
      <c r="XFD59" s="183"/>
    </row>
    <row r="60" spans="1:48 16321:16384" x14ac:dyDescent="0.2">
      <c r="A60" t="s">
        <v>158</v>
      </c>
      <c r="B60" s="183">
        <f>Model!$C$52*B5*B20/B32</f>
        <v>2.8669464423930927E-2</v>
      </c>
      <c r="D60" s="183">
        <f>Model!$C$52*D5*D20/D32</f>
        <v>2.8640960735726143E-2</v>
      </c>
      <c r="F60" s="183">
        <f>Model!$C$52*F5*F20/F32</f>
        <v>2.8613120505917751E-2</v>
      </c>
      <c r="H60" s="183">
        <f>Model!$C$52*H5*H20/H32</f>
        <v>2.8586005561469011E-2</v>
      </c>
      <c r="J60" s="183">
        <f>Model!$C$52*J5*J20/J32</f>
        <v>2.8559692428063319E-2</v>
      </c>
      <c r="L60" s="183">
        <f>Model!$C$52*L5*L20/L32</f>
        <v>2.8534273453749294E-2</v>
      </c>
      <c r="N60" s="183">
        <f>Model!$C$52*N5*N20/N32</f>
        <v>2.8509862942023467E-2</v>
      </c>
      <c r="P60" s="183">
        <f>Model!$C$52*P5*P20/P32</f>
        <v>2.8486602195255235E-2</v>
      </c>
      <c r="R60" s="183">
        <f>Model!$C$52*R5*R20/R32</f>
        <v>2.846466745441131E-2</v>
      </c>
      <c r="T60" s="183">
        <f>Model!$C$52*T5*T20/T32</f>
        <v>2.844427869410518E-2</v>
      </c>
      <c r="V60" s="183">
        <f>Model!$C$52*V5*V20/V32</f>
        <v>2.8425710839075753E-2</v>
      </c>
      <c r="X60" s="183">
        <f>Model!$C$52*X5*X20/X32</f>
        <v>2.8409302915498664E-2</v>
      </c>
      <c r="Z60" s="183">
        <f>Model!$C$52*Z5*Z20/Z32</f>
        <v>2.8395458890332324E-2</v>
      </c>
      <c r="AB60" s="183">
        <f>Model!$C$52*AB5*AB20/AB32</f>
        <v>2.8384615974738944E-2</v>
      </c>
      <c r="AD60" s="183">
        <f>Model!$C$52*AD5*AD20/AD32</f>
        <v>2.8377116394653946E-2</v>
      </c>
      <c r="AF60" s="183">
        <f>Model!$C$52*AF5*AF20/AF32</f>
        <v>2.8372808778960149E-2</v>
      </c>
      <c r="AH60" s="183">
        <f>Model!$C$52*AH5*AH20/AH32</f>
        <v>2.8370033850028568E-2</v>
      </c>
      <c r="AJ60" s="183">
        <f>Model!$C$52*AJ5*AJ20/AJ32</f>
        <v>2.8364262417790911E-2</v>
      </c>
      <c r="AL60" s="183">
        <f>Model!$C$52*AL5*AL20/AL32</f>
        <v>2.8352705652913382E-2</v>
      </c>
      <c r="AN60" s="183">
        <f>Model!$C$52*AN5*AN20/AN32</f>
        <v>2.8358045752152977E-2</v>
      </c>
      <c r="AP60" s="183">
        <f>Model!$C$52*AP5*AP20/AP32</f>
        <v>2.8367357674059297E-2</v>
      </c>
      <c r="AR60" s="183">
        <f>Model!$C$52*AR5*AR20/AR32</f>
        <v>2.8382449860693812E-2</v>
      </c>
      <c r="AT60" s="183">
        <f>Model!$C$52*AT5*AT20/AT32</f>
        <v>2.8406363448091259E-2</v>
      </c>
      <c r="AV60" s="183">
        <f>Model!$C$52*AV5*AV20/AV32</f>
        <v>2.8445241955740282E-2</v>
      </c>
      <c r="XFD60" s="183"/>
    </row>
    <row r="62" spans="1:48 16321:16384" x14ac:dyDescent="0.2">
      <c r="A62" t="s">
        <v>159</v>
      </c>
      <c r="B62">
        <f>B13/B15</f>
        <v>1</v>
      </c>
      <c r="D62">
        <f>D13/D15</f>
        <v>1.0055821287547646</v>
      </c>
      <c r="F62">
        <f>F13/F15</f>
        <v>1.0111960445494663</v>
      </c>
      <c r="H62">
        <f>H13/H15</f>
        <v>1.0168431551135657</v>
      </c>
      <c r="J62">
        <f>J13/J15</f>
        <v>1.0225247143556371</v>
      </c>
      <c r="L62">
        <f>L13/L15</f>
        <v>1.0282421618368733</v>
      </c>
      <c r="N62">
        <f>N13/N15</f>
        <v>1.033996607586759</v>
      </c>
      <c r="P62">
        <f>P13/P15</f>
        <v>1.0397885966190483</v>
      </c>
      <c r="R62">
        <f>R13/R15</f>
        <v>1.0456173093117362</v>
      </c>
      <c r="T62">
        <f>T13/T15</f>
        <v>1.0514793235696209</v>
      </c>
      <c r="V62">
        <f>V13/V15</f>
        <v>1.0573661189623933</v>
      </c>
      <c r="X62">
        <f>X13/X15</f>
        <v>1.0632597608501824</v>
      </c>
      <c r="Z62">
        <f>Z13/Z15</f>
        <v>1.0691248020763695</v>
      </c>
      <c r="AB62">
        <f>AB13/AB15</f>
        <v>1.0748932773240047</v>
      </c>
      <c r="AD62">
        <f>AD13/AD15</f>
        <v>1.0804367366565961</v>
      </c>
      <c r="AF62">
        <f>AF13/AF15</f>
        <v>1.0855169632219197</v>
      </c>
      <c r="AH62">
        <f>AH13/AH15</f>
        <v>1.089719401517772</v>
      </c>
      <c r="AJ62">
        <f>AJ13/AJ15</f>
        <v>1.0924798984494675</v>
      </c>
      <c r="AL62">
        <f>AL13/AL15</f>
        <v>1.0935760701413393</v>
      </c>
      <c r="AN62">
        <f>AN13/AN15</f>
        <v>1.0937394354455718</v>
      </c>
      <c r="AP62">
        <f>AP13/AP15</f>
        <v>1.0937419123751364</v>
      </c>
      <c r="AR62">
        <f>AR13/AR15</f>
        <v>1.0937427215289197</v>
      </c>
      <c r="AT62">
        <f>AT13/AT15</f>
        <v>1.093742921484232</v>
      </c>
      <c r="AV62">
        <f>AV13/AV15</f>
        <v>1.0937429538714987</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0.99914239180856224</v>
      </c>
      <c r="E65" s="181"/>
      <c r="F65" s="181">
        <f t="array" ref="F65">SQRT((F9:G9*$B$22:$C$22+F10:G10*$B$23:$C$23+F11:G11*$B$24:$C$24+F4:G4*($B$25:$C$25-$B$19:$C$19))/($B$9:$C$9*$B$22:$C$22+$B$10:$C$10*$B$23:$C$23+$B$11:$C$11*$B$24:$C$24+$B$4:$C$4*($B$25:$C$25-$B$19:$C$19))*(F9:G9*F22:G22+F10:G10*F23:G23+F11:G11*F24:G24+F4:G4*(F25:G25-F19:G19))/($B$9:$C$9*F22:G22+$B$10:$C$10*F23:G23+$B$11:$C$11*F24:G24+$B$4:$C$4*(F25:G25-F19:G19)))</f>
        <v>0.99826911340245417</v>
      </c>
      <c r="G65" s="181"/>
      <c r="H65" s="181">
        <f t="array" ref="H65">SQRT((H9:I9*$B$22:$C$22+H10:I10*$B$23:$C$23+H11:I11*$B$24:$C$24+H4:I4*($B$25:$C$25-$B$19:$C$19))/($B$9:$C$9*$B$22:$C$22+$B$10:$C$10*$B$23:$C$23+$B$11:$C$11*$B$24:$C$24+$B$4:$C$4*($B$25:$C$25-$B$19:$C$19))*(H9:I9*H22:I22+H10:I10*H23:I23+H11:I11*H24:I24+H4:I4*(H25:I25-H19:I19))/($B$9:$C$9*H22:I22+$B$10:$C$10*H23:I23+$B$11:$C$11*H24:I24+$B$4:$C$4*(H25:I25-H19:I19)))</f>
        <v>0.99737693110738168</v>
      </c>
      <c r="I65" s="181"/>
      <c r="J65" s="181">
        <f t="array" ref="J65">SQRT((J9:K9*$B$22:$C$22+J10:K10*$B$23:$C$23+J11:K11*$B$24:$C$24+J4:K4*($B$25:$C$25-$B$19:$C$19))/($B$9:$C$9*$B$22:$C$22+$B$10:$C$10*$B$23:$C$23+$B$11:$C$11*$B$24:$C$24+$B$4:$C$4*($B$25:$C$25-$B$19:$C$19))*(J9:K9*J22:K22+J10:K10*J23:K23+J11:K11*J24:K24+J4:K4*(J25:K25-J19:K19))/($B$9:$C$9*J22:K22+$B$10:$C$10*J23:K23+$B$11:$C$11*J24:K24+$B$4:$C$4*(J25:K25-J19:K19)))</f>
        <v>0.99646200014805597</v>
      </c>
      <c r="K65" s="181"/>
      <c r="L65" s="181">
        <f t="array" ref="L65">SQRT((L9:M9*$B$22:$C$22+L10:M10*$B$23:$C$23+L11:M11*$B$24:$C$24+L4:M4*($B$25:$C$25-$B$19:$C$19))/($B$9:$C$9*$B$22:$C$22+$B$10:$C$10*$B$23:$C$23+$B$11:$C$11*$B$24:$C$24+$B$4:$C$4*($B$25:$C$25-$B$19:$C$19))*(L9:M9*L22:M22+L10:M10*L23:M23+L11:M11*L24:M24+L4:M4*(L25:M25-L19:M19))/($B$9:$C$9*L22:M22+$B$10:$C$10*L23:M23+$B$11:$C$11*L24:M24+$B$4:$C$4*(L25:M25-L19:M19)))</f>
        <v>0.99551973749195188</v>
      </c>
      <c r="M65" s="181"/>
      <c r="N65" s="181">
        <f t="array" ref="N65">SQRT((N9:O9*$B$22:$C$22+N10:O10*$B$23:$C$23+N11:O11*$B$24:$C$24+N4:O4*($B$25:$C$25-$B$19:$C$19))/($B$9:$C$9*$B$22:$C$22+$B$10:$C$10*$B$23:$C$23+$B$11:$C$11*$B$24:$C$24+$B$4:$C$4*($B$25:$C$25-$B$19:$C$19))*(N9:O9*N22:O22+N10:O10*N23:O23+N11:O11*N24:O24+N4:O4*(N25:O25-N19:O19))/($B$9:$C$9*N22:O22+$B$10:$C$10*N23:O23+$B$11:$C$11*N24:O24+$B$4:$C$4*(N25:O25-N19:O19)))</f>
        <v>0.99454480522965583</v>
      </c>
      <c r="O65" s="181"/>
      <c r="P65" s="181">
        <f t="array" ref="P65">SQRT((P9:Q9*$B$22:$C$22+P10:Q10*$B$23:$C$23+P11:Q11*$B$24:$C$24+P4:Q4*($B$25:$C$25-$B$19:$C$19))/($B$9:$C$9*$B$22:$C$22+$B$10:$C$10*$B$23:$C$23+$B$11:$C$11*$B$24:$C$24+$B$4:$C$4*($B$25:$C$25-$B$19:$C$19))*(P9:Q9*P22:Q22+P10:Q10*P23:Q23+P11:Q11*P24:Q24+P4:Q4*(P25:Q25-P19:Q19))/($B$9:$C$9*P22:Q22+$B$10:$C$10*P23:Q23+$B$11:$C$11*P24:Q24+$B$4:$C$4*(P25:Q25-P19:Q19)))</f>
        <v>0.99353113698620987</v>
      </c>
      <c r="Q65" s="181"/>
      <c r="R65" s="181">
        <f t="array" ref="R65">SQRT((R9:S9*$B$22:$C$22+R10:S10*$B$23:$C$23+R11:S11*$B$24:$C$24+R4:S4*($B$25:$C$25-$B$19:$C$19))/($B$9:$C$9*$B$22:$C$22+$B$10:$C$10*$B$23:$C$23+$B$11:$C$11*$B$24:$C$24+$B$4:$C$4*($B$25:$C$25-$B$19:$C$19))*(R9:S9*R22:S22+R10:S10*R23:S23+R11:S11*R24:S24+R4:S4*(R25:S25-R19:S19))/($B$9:$C$9*R22:S22+$B$10:$C$10*R23:S23+$B$11:$C$11*R24:S24+$B$4:$C$4*(R25:S25-R19:S19)))</f>
        <v>0.99247218314971208</v>
      </c>
      <c r="S65" s="181"/>
      <c r="T65" s="181">
        <f t="array" ref="T65">SQRT((T9:U9*$B$22:$C$22+T10:U10*$B$23:$C$23+T11:U11*$B$24:$C$24+T4:U4*($B$25:$C$25-$B$19:$C$19))/($B$9:$C$9*$B$22:$C$22+$B$10:$C$10*$B$23:$C$23+$B$11:$C$11*$B$24:$C$24+$B$4:$C$4*($B$25:$C$25-$B$19:$C$19))*(T9:U9*T22:U22+T10:U10*T23:U23+T11:U11*T24:U24+T4:U4*(T25:U25-T19:U19))/($B$9:$C$9*T22:U22+$B$10:$C$10*T23:U23+$B$11:$C$11*T24:U24+$B$4:$C$4*(T25:U25-T19:U19)))</f>
        <v>0.99136157869890418</v>
      </c>
      <c r="U65" s="181"/>
      <c r="V65" s="181">
        <f t="array" ref="V65">SQRT((V9:W9*$B$22:$C$22+V10:W10*$B$23:$C$23+V11:W11*$B$24:$C$24+V4:W4*($B$25:$C$25-$B$19:$C$19))/($B$9:$C$9*$B$22:$C$22+$B$10:$C$10*$B$23:$C$23+$B$11:$C$11*$B$24:$C$24+$B$4:$C$4*($B$25:$C$25-$B$19:$C$19))*(V9:W9*V22:W22+V10:W10*V23:W23+V11:W11*V24:W24+V4:W4*(V25:W25-V19:W19))/($B$9:$C$9*V22:W22+$B$10:$C$10*V23:W23+$B$11:$C$11*V24:W24+$B$4:$C$4*(V25:W25-V19:W19)))</f>
        <v>0.99019471727580743</v>
      </c>
      <c r="W65" s="181"/>
      <c r="X65" s="181">
        <f t="array" ref="X65">SQRT((X9:Y9*$B$22:$C$22+X10:Y10*$B$23:$C$23+X11:Y11*$B$24:$C$24+X4:Y4*($B$25:$C$25-$B$19:$C$19))/($B$9:$C$9*$B$22:$C$22+$B$10:$C$10*$B$23:$C$23+$B$11:$C$11*$B$24:$C$24+$B$4:$C$4*($B$25:$C$25-$B$19:$C$19))*(X9:Y9*X22:Y22+X10:Y10*X23:Y23+X11:Y11*X24:Y24+X4:Y4*(X25:Y25-X19:Y19))/($B$9:$C$9*X22:Y22+$B$10:$C$10*X23:Y23+$B$11:$C$11*X24:Y24+$B$4:$C$4*(X25:Y25-X19:Y19)))</f>
        <v>0.98897223080275642</v>
      </c>
      <c r="Y65" s="181"/>
      <c r="Z65" s="181">
        <f t="array" ref="Z65">SQRT((Z9:AA9*$B$22:$C$22+Z10:AA10*$B$23:$C$23+Z11:AA11*$B$24:$C$24+Z4:AA4*($B$25:$C$25-$B$19:$C$19))/($B$9:$C$9*$B$22:$C$22+$B$10:$C$10*$B$23:$C$23+$B$11:$C$11*$B$24:$C$24+$B$4:$C$4*($B$25:$C$25-$B$19:$C$19))*(Z9:AA9*Z22:AA22+Z10:AA10*Z23:AA23+Z11:AA11*Z24:AA24+Z4:AA4*(Z25:AA25-Z19:AA19))/($B$9:$C$9*Z22:AA22+$B$10:$C$10*Z23:AA23+$B$11:$C$11*Z24:AA24+$B$4:$C$4*(Z25:AA25-Z19:AA19)))</f>
        <v>0.987707554037067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0.98644346036388497</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0.98528868144178616</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0.98449906109329843</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0.98464232972592713</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0.98679112988284834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0.99206946923660289</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0.99998553615941366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1.0017330676001674</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1.003514699203893</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1.005333146550488</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1.0072033608559858</v>
      </c>
    </row>
    <row r="66" spans="1:48 16384:16384" x14ac:dyDescent="0.2">
      <c r="A66" t="s">
        <v>166</v>
      </c>
      <c r="B66" s="181">
        <f t="array" ref="B66">SQRT((B9:C9*$B$22:$C$22)/($B$9:$C$9*$B$22:$C$22)*(B9:C9*B22:C22)/($B$9:$C$9*B22:C22))</f>
        <v>1</v>
      </c>
      <c r="C66" s="181"/>
      <c r="D66" s="181">
        <f t="array" ref="D66">SQRT((D9:E9*$B$22:$C$22)/($B$9:$C$9*$B$22:$C$22)*(D9:E9*D22:E22)/($B$9:$C$9*D22:E22))</f>
        <v>0.99905718611590644</v>
      </c>
      <c r="E66" s="181"/>
      <c r="F66" s="181">
        <f t="array" ref="F66">SQRT((F9:G9*$B$22:$C$22)/($B$9:$C$9*$B$22:$C$22)*(F9:G9*F22:G22)/($B$9:$C$9*F22:G22))</f>
        <v>0.99809656394733626</v>
      </c>
      <c r="G66" s="181"/>
      <c r="H66" s="181">
        <f t="array" ref="H66">SQRT((H9:I9*$B$22:$C$22)/($B$9:$C$9*$B$22:$C$22)*(H9:I9*H22:I22)/($B$9:$C$9*H22:I22))</f>
        <v>0.99711453709485398</v>
      </c>
      <c r="I66" s="181"/>
      <c r="J66" s="181">
        <f t="array" ref="J66">SQRT((J9:K9*$B$22:$C$22)/($B$9:$C$9*$B$22:$C$22)*(J9:K9*J22:K22)/($B$9:$C$9*J22:K22))</f>
        <v>0.99610682474663093</v>
      </c>
      <c r="K66" s="181"/>
      <c r="L66" s="181">
        <f t="array" ref="L66">SQRT((L9:M9*$B$22:$C$22)/($B$9:$C$9*$B$22:$C$22)*(L9:M9*L22:M22)/($B$9:$C$9*L22:M22))</f>
        <v>0.99506831825975572</v>
      </c>
      <c r="M66" s="181"/>
      <c r="N66" s="181">
        <f t="array" ref="N66">SQRT((N9:O9*$B$22:$C$22)/($B$9:$C$9*$B$22:$C$22)*(N9:O9*N22:O22)/($B$9:$C$9*N22:O22))</f>
        <v>0.99399305870258559</v>
      </c>
      <c r="O66" s="181"/>
      <c r="P66" s="181">
        <f t="array" ref="P66">SQRT((P9:Q9*$B$22:$C$22)/($B$9:$C$9*$B$22:$C$22)*(P9:Q9*P22:Q22)/($B$9:$C$9*P22:Q22))</f>
        <v>0.9928742612593584</v>
      </c>
      <c r="Q66" s="181"/>
      <c r="R66" s="181">
        <f t="array" ref="R66">SQRT((R9:S9*$B$22:$C$22)/($B$9:$C$9*$B$22:$C$22)*(R9:S9*R22:S22)/($B$9:$C$9*R22:S22))</f>
        <v>0.99170458094756242</v>
      </c>
      <c r="S66" s="181"/>
      <c r="T66" s="181">
        <f t="array" ref="T66">SQRT((T9:U9*$B$22:$C$22)/($B$9:$C$9*$B$22:$C$22)*(T9:U9*T22:U22)/($B$9:$C$9*T22:U22))</f>
        <v>0.99047684648286116</v>
      </c>
      <c r="U66" s="181"/>
      <c r="V66" s="181">
        <f t="array" ref="V66">SQRT((V9:W9*$B$22:$C$22)/($B$9:$C$9*$B$22:$C$22)*(V9:W9*V22:W22)/($B$9:$C$9*V22:W22))</f>
        <v>0.98918580112681254</v>
      </c>
      <c r="W66" s="181"/>
      <c r="X66" s="181">
        <f t="array" ref="X66">SQRT((X9:Y9*$B$22:$C$22)/($B$9:$C$9*$B$22:$C$22)*(X9:Y9*X22:Y22)/($B$9:$C$9*X22:Y22))</f>
        <v>0.98783196613381874</v>
      </c>
      <c r="Y66" s="181"/>
      <c r="Z66" s="181">
        <f t="array" ref="Z66">SQRT((Z9:AA9*$B$22:$C$22)/($B$9:$C$9*$B$22:$C$22)*(Z9:AA9*Z22:AA22)/($B$9:$C$9*Z22:AA22))</f>
        <v>0.98643006294888502</v>
      </c>
      <c r="AA66" s="181"/>
      <c r="AB66" s="181">
        <f t="array" ref="AB66">SQRT((AB9:AC9*$B$22:$C$22)/($B$9:$C$9*$B$22:$C$22)*(AB9:AC9*AB22:AC22)/($B$9:$C$9*AB22:AC22))</f>
        <v>0.98502745959027049</v>
      </c>
      <c r="AC66" s="181"/>
      <c r="AD66" s="181">
        <f t="array" ref="AD66">SQRT((AD9:AE9*$B$22:$C$22)/($B$9:$C$9*$B$22:$C$22)*(AD9:AE9*AD22:AE22)/($B$9:$C$9*AD22:AE22))</f>
        <v>0.9837450646260586</v>
      </c>
      <c r="AE66" s="181"/>
      <c r="AF66" s="181">
        <f t="array" ref="AF66">SQRT((AF9:AG9*$B$22:$C$22)/($B$9:$C$9*$B$22:$C$22)*(AF9:AG9*AF22:AG22)/($B$9:$C$9*AF22:AG22))</f>
        <v>0.98286792290065805</v>
      </c>
      <c r="AG66" s="181"/>
      <c r="AH66" s="181">
        <f t="array" ref="AH66">SQRT((AH9:AI9*$B$22:$C$22)/($B$9:$C$9*$B$22:$C$22)*(AH9:AI9*AH22:AI22)/($B$9:$C$9*AH22:AI22))</f>
        <v>0.98302854428301201</v>
      </c>
      <c r="AI66" s="181"/>
      <c r="AJ66" s="181">
        <f t="array" ref="AJ66">SQRT((AJ9:AK9*$B$22:$C$22)/($B$9:$C$9*$B$22:$C$22)*(AJ9:AK9*AJ22:AK22)/($B$9:$C$9*AJ22:AK22))</f>
        <v>0.98541784977195379</v>
      </c>
      <c r="AK66" s="181"/>
      <c r="AL66" s="181">
        <f t="array" ref="AL66">SQRT((AL9:AM9*$B$22:$C$22)/($B$9:$C$9*$B$22:$C$22)*(AL9:AM9*AL22:AM22)/($B$9:$C$9*AL22:AM22))</f>
        <v>0.99126555934337379</v>
      </c>
      <c r="AM66" s="181"/>
      <c r="AN66" s="181">
        <f t="array" ref="AN66">SQRT((AN9:AO9*$B$22:$C$22)/($B$9:$C$9*$B$22:$C$22)*(AN9:AO9*AN22:AO22)/($B$9:$C$9*AN22:AO22))</f>
        <v>0.99998412479163201</v>
      </c>
      <c r="AO66" s="181"/>
      <c r="AP66" s="181">
        <f t="array" ref="AP66">SQRT((AP9:AQ9*$B$22:$C$22)/($B$9:$C$9*$B$22:$C$22)*(AP9:AQ9*AP22:AQ22)/($B$9:$C$9*AP22:AQ22))</f>
        <v>1.0019007505480644</v>
      </c>
      <c r="AQ66" s="181"/>
      <c r="AR66" s="181">
        <f t="array" ref="AR66">SQRT((AR9:AS9*$B$22:$C$22)/($B$9:$C$9*$B$22:$C$22)*(AR9:AS9*AR22:AS22)/($B$9:$C$9*AR22:AS22))</f>
        <v>1.0038518264090182</v>
      </c>
      <c r="AS66" s="181"/>
      <c r="AT66" s="181">
        <f t="array" ref="AT66">SQRT((AT9:AU9*$B$22:$C$22)/($B$9:$C$9*$B$22:$C$22)*(AT9:AU9*AT22:AU22)/($B$9:$C$9*AT22:AU22))</f>
        <v>1.0058401721346109</v>
      </c>
      <c r="AU66" s="181"/>
      <c r="AV66" s="181">
        <f t="array" ref="AV66">SQRT((AV9:AW9*$B$22:$C$22)/($B$9:$C$9*$B$22:$C$22)*(AV9:AW9*AV22:AW22)/($B$9:$C$9*AV22:AW22))</f>
        <v>1.0078819354353317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0.99905718611590644</v>
      </c>
      <c r="E68" s="181"/>
      <c r="F68" s="181">
        <f>F66/F67</f>
        <v>0.99809656394733626</v>
      </c>
      <c r="G68" s="181"/>
      <c r="H68" s="181">
        <f>H66/H67</f>
        <v>0.99711453709485398</v>
      </c>
      <c r="I68" s="181"/>
      <c r="J68" s="181">
        <f>J66/J67</f>
        <v>0.99610682474663093</v>
      </c>
      <c r="K68" s="181"/>
      <c r="L68" s="181">
        <f>L66/L67</f>
        <v>0.99506831825975572</v>
      </c>
      <c r="M68" s="181"/>
      <c r="N68" s="181">
        <f>N66/N67</f>
        <v>0.99399305870258559</v>
      </c>
      <c r="O68" s="181"/>
      <c r="P68" s="181">
        <f>P66/P67</f>
        <v>0.9928742612593584</v>
      </c>
      <c r="Q68" s="181"/>
      <c r="R68" s="181">
        <f>R66/R67</f>
        <v>0.99170458094756242</v>
      </c>
      <c r="S68" s="181"/>
      <c r="T68" s="181">
        <f>T66/T67</f>
        <v>0.99047684648286116</v>
      </c>
      <c r="U68" s="181"/>
      <c r="V68" s="181">
        <f>V66/V67</f>
        <v>0.98918580112681254</v>
      </c>
      <c r="W68" s="181"/>
      <c r="X68" s="181">
        <f>X66/X67</f>
        <v>0.98783196613381874</v>
      </c>
      <c r="Y68" s="181"/>
      <c r="Z68" s="181">
        <f>Z66/Z67</f>
        <v>0.98643006294888502</v>
      </c>
      <c r="AA68" s="181"/>
      <c r="AB68" s="181">
        <f>AB66/AB67</f>
        <v>0.98502745959027049</v>
      </c>
      <c r="AC68" s="181"/>
      <c r="AD68" s="181">
        <f>AD66/AD67</f>
        <v>0.9837450646260586</v>
      </c>
      <c r="AE68" s="181"/>
      <c r="AF68" s="181">
        <f>AF66/AF67</f>
        <v>0.98286792290065805</v>
      </c>
      <c r="AG68" s="181"/>
      <c r="AH68" s="181">
        <f>AH66/AH67</f>
        <v>0.98302854428301201</v>
      </c>
      <c r="AI68" s="181"/>
      <c r="AJ68" s="181">
        <f>AJ66/AJ67</f>
        <v>0.98541784977195379</v>
      </c>
      <c r="AK68" s="181"/>
      <c r="AL68" s="181">
        <f>AL66/AL67</f>
        <v>0.99126555934337379</v>
      </c>
      <c r="AM68" s="181"/>
      <c r="AN68" s="181">
        <f>AN66/AN67</f>
        <v>0.99998412479163201</v>
      </c>
      <c r="AO68" s="181"/>
      <c r="AP68" s="181">
        <f>AP66/AP67</f>
        <v>1.0019007505480644</v>
      </c>
      <c r="AQ68" s="181"/>
      <c r="AR68" s="181">
        <f>AR66/AR67</f>
        <v>1.0038518264090182</v>
      </c>
      <c r="AS68" s="181"/>
      <c r="AT68" s="181">
        <f>AT66/AT67</f>
        <v>1.0058401721346109</v>
      </c>
      <c r="AU68" s="181"/>
      <c r="AV68" s="181">
        <f>AV66/AV67</f>
        <v>1.0078819354353317</v>
      </c>
      <c r="XFD68" s="181"/>
    </row>
    <row r="69" spans="1:48 16384:16384" x14ac:dyDescent="0.2">
      <c r="A69" t="s">
        <v>161</v>
      </c>
      <c r="B69" s="181">
        <f>B32/B65/($B$32)</f>
        <v>1</v>
      </c>
      <c r="C69" s="181"/>
      <c r="D69" s="181">
        <f>D32/D65/($B$32)</f>
        <v>1.0011202207686523</v>
      </c>
      <c r="E69" s="181"/>
      <c r="F69" s="181">
        <f>F32/F65/($B$32)</f>
        <v>1.0021050480053799</v>
      </c>
      <c r="G69" s="181"/>
      <c r="H69" s="181">
        <f>H32/H65/($B$32)</f>
        <v>1.0029343661414605</v>
      </c>
      <c r="I69" s="181"/>
      <c r="J69" s="181">
        <f>J32/J65/($B$32)</f>
        <v>1.0035834775126973</v>
      </c>
      <c r="K69" s="181"/>
      <c r="L69" s="181">
        <f>L32/L65/($B$32)</f>
        <v>1.0040219547518312</v>
      </c>
      <c r="M69" s="181"/>
      <c r="N69" s="181">
        <f>N32/N65/($B$32)</f>
        <v>1.0042116569527084</v>
      </c>
      <c r="O69" s="181"/>
      <c r="P69" s="181">
        <f>P32/P65/($B$32)</f>
        <v>1.0041041789052152</v>
      </c>
      <c r="Q69" s="181"/>
      <c r="R69" s="181">
        <f>R32/R65/($B$32)</f>
        <v>1.0036370109886228</v>
      </c>
      <c r="S69" s="181"/>
      <c r="T69" s="181">
        <f>T32/T65/($B$32)</f>
        <v>1.002727890762892</v>
      </c>
      <c r="U69" s="181"/>
      <c r="V69" s="181">
        <f>V32/V65/($B$32)</f>
        <v>1.0012659360272032</v>
      </c>
      <c r="W69" s="181"/>
      <c r="X69" s="181">
        <f>X32/X65/($B$32)</f>
        <v>0.99909741348072645</v>
      </c>
      <c r="Y69" s="181"/>
      <c r="Z69" s="181">
        <f>Z32/Z65/($B$32)</f>
        <v>0.99600135612425333</v>
      </c>
      <c r="AA69" s="181"/>
      <c r="AB69" s="181">
        <f>AB32/AB65/($B$32)</f>
        <v>0.9916449752197446</v>
      </c>
      <c r="AC69" s="181"/>
      <c r="AD69" s="181">
        <f>AD32/AD65/($B$32)</f>
        <v>0.98549441000327087</v>
      </c>
      <c r="AE69" s="181"/>
      <c r="AF69" s="181">
        <f>AF32/AF65/($B$32)</f>
        <v>0.97661439069104206</v>
      </c>
      <c r="AG69" s="181"/>
      <c r="AH69" s="181">
        <f>AH32/AH65/($B$32)</f>
        <v>0.96314718067665384</v>
      </c>
      <c r="AI69" s="181"/>
      <c r="AJ69" s="181">
        <f>AJ32/AJ65/($B$32)</f>
        <v>0.94070528289420829</v>
      </c>
      <c r="AK69" s="181"/>
      <c r="AL69" s="181">
        <f>AL32/AL65/($B$32)</f>
        <v>0.89645994996596146</v>
      </c>
      <c r="AM69" s="181"/>
      <c r="AN69" s="181">
        <f>AN32/AN65/($B$32)</f>
        <v>0.77903133142074443</v>
      </c>
      <c r="AO69" s="181"/>
      <c r="AP69" s="181">
        <f>AP32/AP65/($B$32)</f>
        <v>0.73007708960898132</v>
      </c>
      <c r="AQ69" s="181"/>
      <c r="AR69" s="181">
        <f>AR32/AR65/($B$32)</f>
        <v>0.66045450235211578</v>
      </c>
      <c r="AS69" s="181"/>
      <c r="AT69" s="181">
        <f>AT32/AT65/($B$32)</f>
        <v>0.55422866868298515</v>
      </c>
      <c r="AU69" s="181"/>
      <c r="AV69" s="181">
        <f>AV32/AV65/($B$32)</f>
        <v>0.37344284323352112</v>
      </c>
    </row>
    <row r="70" spans="1:48 16384:16384" x14ac:dyDescent="0.2">
      <c r="A70" t="s">
        <v>162</v>
      </c>
      <c r="B70" s="129">
        <f>B18/$B$18</f>
        <v>1</v>
      </c>
      <c r="C70" s="129"/>
      <c r="D70" s="129">
        <f>D18/$B$18</f>
        <v>1.0005877927280562</v>
      </c>
      <c r="E70" s="129"/>
      <c r="F70" s="129">
        <f>F18/$B$18</f>
        <v>1.0010719343159489</v>
      </c>
      <c r="G70" s="129"/>
      <c r="H70" s="129">
        <f>H18/$B$18</f>
        <v>1.0014366988029466</v>
      </c>
      <c r="I70" s="129"/>
      <c r="J70" s="129">
        <f>J18/$B$18</f>
        <v>1.0016626928420975</v>
      </c>
      <c r="K70" s="129"/>
      <c r="L70" s="129">
        <f>L18/$B$18</f>
        <v>1.0017258270662832</v>
      </c>
      <c r="M70" s="129"/>
      <c r="N70" s="129">
        <f>N18/$B$18</f>
        <v>1.0015955670053667</v>
      </c>
      <c r="O70" s="129"/>
      <c r="P70" s="129">
        <f>P18/$B$18</f>
        <v>1.001232550608198</v>
      </c>
      <c r="Q70" s="129"/>
      <c r="R70" s="129">
        <f>R18/$B$18</f>
        <v>1.0005848884519533</v>
      </c>
      <c r="S70" s="129"/>
      <c r="T70" s="129">
        <f>T18/$B$18</f>
        <v>0.99958243025794502</v>
      </c>
      <c r="U70" s="129"/>
      <c r="V70" s="129">
        <f>V18/$B$18</f>
        <v>0.99812735160644861</v>
      </c>
      <c r="W70" s="129"/>
      <c r="X70" s="129">
        <f>X18/$B$18</f>
        <v>0.99607815660978039</v>
      </c>
      <c r="Y70" s="129"/>
      <c r="Z70" s="129">
        <f>Z18/$B$18</f>
        <v>0.99322079930086982</v>
      </c>
      <c r="AA70" s="129"/>
      <c r="AB70" s="129">
        <f>AB18/$B$18</f>
        <v>0.98921318586755957</v>
      </c>
      <c r="AC70" s="129"/>
      <c r="AD70" s="129">
        <f>AD18/$B$18</f>
        <v>0.98347016848803404</v>
      </c>
      <c r="AE70" s="129"/>
      <c r="AF70" s="129">
        <f>AF18/$B$18</f>
        <v>0.97490403625587241</v>
      </c>
      <c r="AG70" s="129"/>
      <c r="AH70" s="129">
        <f>AH18/$B$18</f>
        <v>0.9612849008095592</v>
      </c>
      <c r="AI70" s="129"/>
      <c r="AJ70" s="129">
        <f>AJ18/$B$18</f>
        <v>0.93753285086520455</v>
      </c>
      <c r="AK70" s="129"/>
      <c r="AL70" s="129">
        <f>AL18/$B$18</f>
        <v>0.89041071516413661</v>
      </c>
      <c r="AM70" s="129"/>
      <c r="AN70" s="129">
        <f>AN18/$B$18</f>
        <v>0.77057517540372911</v>
      </c>
      <c r="AO70" s="129"/>
      <c r="AP70" s="129">
        <f>AP18/$B$18</f>
        <v>0.72171533037580515</v>
      </c>
      <c r="AQ70" s="129"/>
      <c r="AR70" s="129">
        <f>AR18/$B$18</f>
        <v>0.65262137646250518</v>
      </c>
      <c r="AS70" s="129"/>
      <c r="AT70" s="129">
        <f>AT18/$B$18</f>
        <v>0.54759379232401162</v>
      </c>
      <c r="AU70" s="129"/>
      <c r="AV70" s="129">
        <f>AV18/$B$18</f>
        <v>0.36911785426113924</v>
      </c>
    </row>
    <row r="71" spans="1:48 16384:16384" x14ac:dyDescent="0.2">
      <c r="A71" t="s">
        <v>163</v>
      </c>
      <c r="B71" s="129">
        <f>C18/$C$18</f>
        <v>1</v>
      </c>
      <c r="D71" s="129">
        <f>E18/$C$18</f>
        <v>0.93470020740718451</v>
      </c>
      <c r="E71" s="129"/>
      <c r="F71" s="129">
        <f>G18/$C$18</f>
        <v>0.86948519624247456</v>
      </c>
      <c r="G71" s="129"/>
      <c r="H71" s="129">
        <f>I18/$C$18</f>
        <v>0.80436805329461436</v>
      </c>
      <c r="I71" s="129"/>
      <c r="J71" s="129">
        <f>K18/$C$18</f>
        <v>0.73936840986822305</v>
      </c>
      <c r="K71" s="129"/>
      <c r="L71" s="129">
        <f>M18/$C$18</f>
        <v>0.67451127535238398</v>
      </c>
      <c r="M71" s="129"/>
      <c r="N71" s="129">
        <f>O18/$C$18</f>
        <v>0.60983356104227637</v>
      </c>
      <c r="O71" s="129"/>
      <c r="P71" s="129">
        <f>Q18/$C$18</f>
        <v>0.54538917176810253</v>
      </c>
      <c r="Q71" s="129"/>
      <c r="R71" s="129">
        <f>S18/$C$18</f>
        <v>0.48125997906030127</v>
      </c>
      <c r="S71" s="129"/>
      <c r="T71" s="129">
        <f>U18/$C$18</f>
        <v>0.41757225148171501</v>
      </c>
      <c r="U71" s="129"/>
      <c r="V71" s="129">
        <f>W18/$C$18</f>
        <v>0.3545258418874499</v>
      </c>
      <c r="W71" s="129"/>
      <c r="X71" s="129">
        <f>Y18/$C$18</f>
        <v>0.29244185499361286</v>
      </c>
      <c r="Y71" s="129"/>
      <c r="Z71" s="129">
        <f>AA18/$C$18</f>
        <v>0.2318455566986847</v>
      </c>
      <c r="AA71" s="129"/>
      <c r="AB71" s="129">
        <f>AC18/$C$18</f>
        <v>0.17360974286264591</v>
      </c>
      <c r="AC71" s="129"/>
      <c r="AD71" s="129">
        <f>AE18/$C$18</f>
        <v>0.11920140483886887</v>
      </c>
      <c r="AE71" s="129"/>
      <c r="AF71" s="129">
        <f>AG18/$C$18</f>
        <v>7.107093401858848E-2</v>
      </c>
      <c r="AG71" s="129"/>
      <c r="AH71" s="129">
        <f>AI18/$C$18</f>
        <v>3.3047461534164706E-2</v>
      </c>
      <c r="AI71" s="129"/>
      <c r="AJ71" s="129">
        <f>AK18/$C$18</f>
        <v>9.5983979038832407E-3</v>
      </c>
      <c r="AK71" s="129"/>
      <c r="AL71" s="129">
        <f>AM18/$C$18</f>
        <v>1.1088322639225823E-3</v>
      </c>
      <c r="AM71" s="129"/>
      <c r="AN71" s="129">
        <f>AO18/$C$18</f>
        <v>1.7688073552787515E-5</v>
      </c>
      <c r="AO71" s="129"/>
      <c r="AP71" s="129">
        <f>AQ18/$C$18</f>
        <v>4.7510255545225279E-6</v>
      </c>
      <c r="AQ71" s="129"/>
      <c r="AR71" s="129">
        <f>AS18/$C$18</f>
        <v>9.3704311987673269E-7</v>
      </c>
      <c r="AS71" s="129"/>
      <c r="AT71" s="129">
        <f>AU18/$C$18</f>
        <v>1.1512886080016016E-7</v>
      </c>
      <c r="AU71" s="129"/>
      <c r="AV71" s="129">
        <f>AW18/$C$18</f>
        <v>6.0212813958858925E-9</v>
      </c>
      <c r="XFD71" s="129"/>
    </row>
    <row r="72" spans="1:48 16384:16384" x14ac:dyDescent="0.2">
      <c r="A72" t="s">
        <v>164</v>
      </c>
      <c r="B72" s="129">
        <f>C19/$C$19</f>
        <v>1</v>
      </c>
      <c r="D72" s="129">
        <f>E19/$C$19</f>
        <v>1.0067213074668142</v>
      </c>
      <c r="E72" s="129"/>
      <c r="F72" s="129">
        <f>G19/$C$19</f>
        <v>1.0153176745473516</v>
      </c>
      <c r="G72" s="129"/>
      <c r="H72" s="129">
        <f>I19/$C$19</f>
        <v>1.026037081943793</v>
      </c>
      <c r="I72" s="129"/>
      <c r="J72" s="129">
        <f>K19/$C$19</f>
        <v>1.0391687781375902</v>
      </c>
      <c r="K72" s="129"/>
      <c r="L72" s="129">
        <f>M19/$C$19</f>
        <v>1.0550437855907691</v>
      </c>
      <c r="M72" s="129"/>
      <c r="N72" s="129">
        <f>O19/$C$19</f>
        <v>1.0740395554717834</v>
      </c>
      <c r="O72" s="129"/>
      <c r="P72" s="129">
        <f>Q19/$C$19</f>
        <v>1.0965744613335431</v>
      </c>
      <c r="Q72" s="129"/>
      <c r="R72" s="129">
        <f>S19/$C$19</f>
        <v>1.123091932961733</v>
      </c>
      <c r="S72" s="129"/>
      <c r="T72" s="129">
        <f>U19/$C$19</f>
        <v>1.1540170846426263</v>
      </c>
      <c r="U72" s="129"/>
      <c r="V72" s="129">
        <f>W19/$C$19</f>
        <v>1.1896604915798137</v>
      </c>
      <c r="W72" s="129"/>
      <c r="X72" s="129">
        <f>Y19/$C$19</f>
        <v>1.2300077014182447</v>
      </c>
      <c r="Y72" s="129"/>
      <c r="Z72" s="129">
        <f>AA19/$C$19</f>
        <v>1.2742703819011114</v>
      </c>
      <c r="AA72" s="129"/>
      <c r="AB72" s="129">
        <f>AC19/$C$19</f>
        <v>1.3199211793785965</v>
      </c>
      <c r="AC72" s="129"/>
      <c r="AD72" s="129">
        <f>AE19/$C$19</f>
        <v>1.3605887810567852</v>
      </c>
      <c r="AE72" s="129"/>
      <c r="AF72" s="129">
        <f>AG19/$C$19</f>
        <v>1.3814964851914044</v>
      </c>
      <c r="AG72" s="129"/>
      <c r="AH72" s="129">
        <f>AI19/$C$19</f>
        <v>1.3505461920722988</v>
      </c>
      <c r="AI72" s="129"/>
      <c r="AJ72" s="129">
        <f>AK19/$C$19</f>
        <v>1.2092553266321824</v>
      </c>
      <c r="AK72" s="129"/>
      <c r="AL72" s="129">
        <f>AM19/$C$19</f>
        <v>0.90210527886086689</v>
      </c>
      <c r="AM72" s="129"/>
      <c r="AN72" s="129">
        <f>AO19/$C$19</f>
        <v>0.46765678815100536</v>
      </c>
      <c r="AO72" s="129"/>
      <c r="AP72" s="129">
        <f>AQ19/$C$19</f>
        <v>0.37473466735029426</v>
      </c>
      <c r="AQ72" s="129"/>
      <c r="AR72" s="129">
        <f>AS19/$C$19</f>
        <v>0.28127924220989847</v>
      </c>
      <c r="AS72" s="129"/>
      <c r="AT72" s="129">
        <f>AU19/$C$19</f>
        <v>0.18758297150508479</v>
      </c>
      <c r="AU72" s="129"/>
      <c r="AV72" s="129">
        <f>AW19/$C$19</f>
        <v>9.380162286361611E-2</v>
      </c>
      <c r="XFD72" s="129"/>
    </row>
    <row r="73" spans="1:48 16384:16384" x14ac:dyDescent="0.2">
      <c r="A73" t="s">
        <v>168</v>
      </c>
      <c r="B73" s="183">
        <f t="array" ref="B73">SUM(B9:C9*B22:C22)/B32</f>
        <v>0.47641153352875021</v>
      </c>
      <c r="D73" s="183">
        <f t="array" ref="D73">SUM(D9:E9*D22:E22)/D32</f>
        <v>0.474532723181459</v>
      </c>
      <c r="E73" s="129"/>
      <c r="F73" s="183">
        <f t="array" ref="F73">SUM(F9:G9*F22:G22)/F32</f>
        <v>0.47262924240095711</v>
      </c>
      <c r="G73" s="129"/>
      <c r="H73" s="183">
        <f t="array" ref="H73">SUM(H9:I9*H22:I22)/H32</f>
        <v>0.47069555492362275</v>
      </c>
      <c r="I73" s="129"/>
      <c r="J73" s="183">
        <f t="array" ref="J73">SUM(J9:K9*J22:K22)/J32</f>
        <v>0.4687249645620894</v>
      </c>
      <c r="K73" s="129"/>
      <c r="L73" s="183">
        <f t="array" ref="L73">SUM(L9:M9*L22:M22)/L32</f>
        <v>0.46670906074458096</v>
      </c>
      <c r="M73" s="129"/>
      <c r="N73" s="183">
        <f t="array" ref="N73">SUM(N9:O9*N22:O22)/N32</f>
        <v>0.4646372519176829</v>
      </c>
      <c r="O73" s="129"/>
      <c r="P73" s="183">
        <f t="array" ref="P73">SUM(P9:Q9*P22:Q22)/P32</f>
        <v>0.46249584227578361</v>
      </c>
      <c r="Q73" s="129"/>
      <c r="R73" s="183">
        <f t="array" ref="R73">SUM(R9:S9*R22:S22)/R32</f>
        <v>0.46026670116651347</v>
      </c>
      <c r="S73" s="129"/>
      <c r="T73" s="183">
        <f t="array" ref="T73">SUM(T9:U9*T22:U22)/T32</f>
        <v>0.45792509161917705</v>
      </c>
      <c r="U73" s="129"/>
      <c r="V73" s="183">
        <f t="array" ref="V73">SUM(V9:W9*V22:W22)/V32</f>
        <v>0.45543599333059459</v>
      </c>
      <c r="W73" s="129"/>
      <c r="X73" s="183">
        <f t="array" ref="X73">SUM(X9:Y9*X22:Y22)/X32</f>
        <v>0.45274758106032736</v>
      </c>
      <c r="Y73" s="129"/>
      <c r="Z73" s="183">
        <f t="array" ref="Z73">SUM(Z9:AA9*Z22:AA22)/Z32</f>
        <v>0.44977891193059633</v>
      </c>
      <c r="AA73" s="129"/>
      <c r="AB73" s="183">
        <f t="array" ref="AB73">SUM(AB9:AC9*AB22:AC22)/AB32</f>
        <v>0.44639514757952237</v>
      </c>
      <c r="AC73" s="129"/>
      <c r="AD73" s="183">
        <f t="array" ref="AD73">SUM(AD9:AE9*AD22:AE22)/AD32</f>
        <v>0.4423537238593761</v>
      </c>
      <c r="AE73" s="129"/>
      <c r="AF73" s="183">
        <f t="array" ref="AF73">SUM(AF9:AG9*AF22:AG22)/AF32</f>
        <v>0.437178169007719</v>
      </c>
      <c r="AG73" s="129"/>
      <c r="AH73" s="183">
        <f t="array" ref="AH73">SUM(AH9:AI9*AH22:AI22)/AH32</f>
        <v>0.42984155618673375</v>
      </c>
      <c r="AI73" s="129"/>
      <c r="AJ73" s="183">
        <f t="array" ref="AJ73">SUM(AJ9:AK9*AJ22:AK22)/AJ32</f>
        <v>0.41795066809018527</v>
      </c>
      <c r="AK73" s="129"/>
      <c r="AL73" s="183">
        <f t="array" ref="AL73">SUM(AL9:AM9*AL22:AM22)/AL32</f>
        <v>0.39547761518629304</v>
      </c>
      <c r="AM73" s="129"/>
      <c r="AN73" s="183">
        <f t="array" ref="AN73">SUM(AN9:AO9*AN22:AO22)/AN32</f>
        <v>0.34098625269865457</v>
      </c>
      <c r="AO73" s="129"/>
      <c r="AP73" s="183">
        <f t="array" ref="AP73">SUM(AP9:AQ9*AP22:AQ22)/AP32</f>
        <v>0.31920758690769635</v>
      </c>
      <c r="AQ73" s="129"/>
      <c r="AR73" s="183">
        <f t="array" ref="AR73">SUM(AR9:AS9*AR22:AS22)/AR32</f>
        <v>0.28856152894867487</v>
      </c>
      <c r="AS73" s="129"/>
      <c r="AT73" s="183">
        <f t="array" ref="AT73">SUM(AT9:AU9*AT22:AU22)/AT32</f>
        <v>0.24212274596409575</v>
      </c>
      <c r="AU73" s="129"/>
      <c r="AV73" s="183">
        <f t="array" ref="AV73">SUM(AV9:AW9*AV22:AW22)/AV32</f>
        <v>0.16329114767018141</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0.22604620456442481</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0.22604620456442481</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0.22226320488939083</v>
      </c>
      <c r="E75" s="129"/>
      <c r="F75" s="183">
        <f t="array" ref="F75">SUM(F11:G11*F24:G24)/F32</f>
        <v>0.22416669069116865</v>
      </c>
      <c r="G75" s="129"/>
      <c r="H75" s="183">
        <f t="array" ref="H75">SUM(H11:I11*H24:I24)/H32</f>
        <v>0.22610036738812328</v>
      </c>
      <c r="I75" s="129"/>
      <c r="J75" s="183">
        <f t="array" ref="J75">SUM(J11:K11*J24:K24)/J32</f>
        <v>0.22807096009172265</v>
      </c>
      <c r="K75" s="129"/>
      <c r="L75" s="183">
        <f t="array" ref="L75">SUM(L11:M11*L24:M24)/L32</f>
        <v>0.23008686179386828</v>
      </c>
      <c r="M75" s="129"/>
      <c r="N75" s="183">
        <f t="array" ref="N75">SUM(N11:O11*N24:O24)/N32</f>
        <v>0.23215867113043284</v>
      </c>
      <c r="O75" s="129"/>
      <c r="P75" s="183">
        <f t="array" ref="P75">SUM(P11:Q11*P24:Q24)/P32</f>
        <v>0.23430008115650527</v>
      </c>
      <c r="Q75" s="129"/>
      <c r="R75" s="183">
        <f t="array" ref="R75">SUM(R11:S11*R24:S24)/R32</f>
        <v>0.23652922395711315</v>
      </c>
      <c r="S75" s="129"/>
      <c r="T75" s="183">
        <f t="array" ref="T75">SUM(T11:U11*T24:U24)/T32</f>
        <v>0.2388708325504369</v>
      </c>
      <c r="U75" s="129"/>
      <c r="V75" s="183">
        <f t="array" ref="V75">SUM(V11:W11*V24:W24)/V32</f>
        <v>0.24135992998256661</v>
      </c>
      <c r="W75" s="129"/>
      <c r="X75" s="183">
        <f t="array" ref="X75">SUM(X11:Y11*X24:Y24)/X32</f>
        <v>0.24404834286284247</v>
      </c>
      <c r="Y75" s="129"/>
      <c r="Z75" s="183">
        <f t="array" ref="Z75">SUM(Z11:AA11*Z24:AA24)/Z32</f>
        <v>0.2470170099846882</v>
      </c>
      <c r="AA75" s="129"/>
      <c r="AB75" s="183">
        <f t="array" ref="AB75">SUM(AB11:AC11*AB24:AC24)/AB32</f>
        <v>0.25040077476884115</v>
      </c>
      <c r="AC75" s="129"/>
      <c r="AD75" s="183">
        <f t="array" ref="AD75">SUM(AD11:AE11*AD24:AE24)/AD32</f>
        <v>0.25444219784271349</v>
      </c>
      <c r="AE75" s="129"/>
      <c r="AF75" s="183">
        <f t="array" ref="AF75">SUM(AF11:AG11*AF24:AG24)/AF32</f>
        <v>0.25961775286501815</v>
      </c>
      <c r="AG75" s="129"/>
      <c r="AH75" s="183">
        <f t="array" ref="AH75">SUM(AH11:AI11*AH24:AI24)/AH32</f>
        <v>0.26695436588404647</v>
      </c>
      <c r="AI75" s="129"/>
      <c r="AJ75" s="183">
        <f t="array" ref="AJ75">SUM(AJ11:AK11*AJ24:AK24)/AJ32</f>
        <v>0.27884525378185082</v>
      </c>
      <c r="AK75" s="129"/>
      <c r="AL75" s="183">
        <f t="array" ref="AL75">SUM(AL11:AM11*AL24:AM24)/AL32</f>
        <v>0.30131830667420317</v>
      </c>
      <c r="AM75" s="129"/>
      <c r="AN75" s="183">
        <f t="array" ref="AN75">SUM(AN11:AO11*AN24:AO24)/AN32</f>
        <v>0.3558096691620482</v>
      </c>
      <c r="AO75" s="129"/>
      <c r="AP75" s="183">
        <f t="array" ref="AP75">SUM(AP11:AQ11*AP24:AQ24)/AP32</f>
        <v>0.37758833495299643</v>
      </c>
      <c r="AQ75" s="129"/>
      <c r="AR75" s="183">
        <f t="array" ref="AR75">SUM(AR11:AS11*AR24:AS24)/AR32</f>
        <v>0.40823439291218167</v>
      </c>
      <c r="AS75" s="129"/>
      <c r="AT75" s="183">
        <f t="array" ref="AT75">SUM(AT11:AU11*AT24:AU24)/AT32</f>
        <v>0.4546731758965965</v>
      </c>
      <c r="AU75" s="129"/>
      <c r="AV75" s="183">
        <f t="array" ref="AV75">SUM(AV11:AW11*AV24:AW24)/AV32</f>
        <v>0.53350477419050069</v>
      </c>
      <c r="XFD75" s="183"/>
    </row>
    <row r="76" spans="1:48 16384:16384" x14ac:dyDescent="0.2">
      <c r="A76" t="s">
        <v>171</v>
      </c>
      <c r="B76" s="183">
        <f t="array" ref="B76">SUM(B12:C12*B25:C25)/B32</f>
        <v>0.22301874374724867</v>
      </c>
      <c r="D76" s="183">
        <f t="array" ref="D76">SUM(D12:E12*D25:E25)/D32</f>
        <v>0.22288604410876983</v>
      </c>
      <c r="E76" s="129"/>
      <c r="F76" s="183">
        <f t="array" ref="F76">SUM(F12:G12*F25:G25)/F32</f>
        <v>0.22279039526544683</v>
      </c>
      <c r="G76" s="129"/>
      <c r="H76" s="183">
        <f t="array" ref="H76">SUM(H12:I12*H25:I25)/H32</f>
        <v>0.22273652550942485</v>
      </c>
      <c r="I76" s="129"/>
      <c r="J76" s="183">
        <f t="array" ref="J76">SUM(J12:K12*J25:K25)/J32</f>
        <v>0.22272998738520039</v>
      </c>
      <c r="K76" s="129"/>
      <c r="L76" s="183">
        <f t="array" ref="L76">SUM(L12:M12*L25:M25)/L32</f>
        <v>0.22277729552331452</v>
      </c>
      <c r="M76" s="129"/>
      <c r="N76" s="183">
        <f t="array" ref="N76">SUM(N12:O12*N25:O25)/N32</f>
        <v>0.2228860417075158</v>
      </c>
      <c r="O76" s="129"/>
      <c r="P76" s="183">
        <f t="array" ref="P76">SUM(P12:Q12*P25:Q25)/P32</f>
        <v>0.2230649646856456</v>
      </c>
      <c r="Q76" s="129"/>
      <c r="R76" s="183">
        <f t="array" ref="R76">SUM(R12:S12*R25:S25)/R32</f>
        <v>0.22332387795165717</v>
      </c>
      <c r="S76" s="129"/>
      <c r="T76" s="183">
        <f t="array" ref="T76">SUM(T12:U12*T25:U25)/T32</f>
        <v>0.2236732574264409</v>
      </c>
      <c r="U76" s="129"/>
      <c r="V76" s="183">
        <f t="array" ref="V76">SUM(V12:W12*V25:W25)/V32</f>
        <v>0.2241230933153362</v>
      </c>
      <c r="W76" s="129"/>
      <c r="X76" s="183">
        <f t="array" ref="X76">SUM(X12:Y12*X25:Y25)/X32</f>
        <v>0.22468008942082884</v>
      </c>
      <c r="Y76" s="129"/>
      <c r="Z76" s="183">
        <f t="array" ref="Z76">SUM(Z12:AA12*Z25:AA25)/Z32</f>
        <v>0.22534123910673903</v>
      </c>
      <c r="AA76" s="129"/>
      <c r="AB76" s="183">
        <f t="array" ref="AB76">SUM(AB12:AC12*AB25:AC25)/AB32</f>
        <v>0.2260792308683206</v>
      </c>
      <c r="AC76" s="129"/>
      <c r="AD76" s="183">
        <f t="array" ref="AD76">SUM(AD12:AE12*AD25:AE25)/AD32</f>
        <v>0.2268092773088074</v>
      </c>
      <c r="AE76" s="129"/>
      <c r="AF76" s="183">
        <f t="array" ref="AF76">SUM(AF12:AG12*AF25:AG25)/AF32</f>
        <v>0.22731450399836292</v>
      </c>
      <c r="AG76" s="129"/>
      <c r="AH76" s="183">
        <f t="array" ref="AH76">SUM(AH12:AI12*AH25:AI25)/AH32</f>
        <v>0.22709515426342597</v>
      </c>
      <c r="AI76" s="129"/>
      <c r="AJ76" s="183">
        <f t="array" ref="AJ76">SUM(AJ12:AK12*AJ25:AK25)/AJ32</f>
        <v>0.22520715227306118</v>
      </c>
      <c r="AK76" s="129"/>
      <c r="AL76" s="183">
        <f t="array" ref="AL76">SUM(AL12:AM12*AL25:AM25)/AL32</f>
        <v>0.22075413019956405</v>
      </c>
      <c r="AM76" s="129"/>
      <c r="AN76" s="183">
        <f t="array" ref="AN76">SUM(AN12:AO12*AN25:AO25)/AN32</f>
        <v>0.21449772212774096</v>
      </c>
      <c r="AO76" s="129"/>
      <c r="AP76" s="183">
        <f t="array" ref="AP76">SUM(AP12:AQ12*AP25:AQ25)/AP32</f>
        <v>0.21321403335478098</v>
      </c>
      <c r="AQ76" s="129"/>
      <c r="AR76" s="183">
        <f t="array" ref="AR76">SUM(AR12:AS12*AR25:AS25)/AR32</f>
        <v>0.21195942657497815</v>
      </c>
      <c r="AS76" s="129"/>
      <c r="AT76" s="183">
        <f t="array" ref="AT76">SUM(AT12:AU12*AT25:AU25)/AT32</f>
        <v>0.21075413434288665</v>
      </c>
      <c r="AU76" s="129"/>
      <c r="AV76" s="183">
        <f t="array" ref="AV76">SUM(AV12:AW12*AV25:AW25)/AV32</f>
        <v>0.20963152667744592</v>
      </c>
      <c r="XFD76" s="183"/>
    </row>
    <row r="77" spans="1:48 16384:16384" x14ac:dyDescent="0.2">
      <c r="A77" t="s">
        <v>172</v>
      </c>
      <c r="B77" s="183">
        <f t="array" ref="B77">SUM(B4:C4*B19:C19)/B32</f>
        <v>0.14586087017236485</v>
      </c>
      <c r="D77" s="183">
        <f t="array" ref="D77">SUM(D4:E4*D19:E19)/D32</f>
        <v>0.14572817674404398</v>
      </c>
      <c r="E77" s="129"/>
      <c r="F77" s="183">
        <f t="array" ref="F77">SUM(F4:G4*F19:G19)/F32</f>
        <v>0.14563253292199768</v>
      </c>
      <c r="G77" s="129"/>
      <c r="H77" s="183">
        <f t="array" ref="H77">SUM(H4:I4*H19:I19)/H32</f>
        <v>0.14557865238559581</v>
      </c>
      <c r="I77" s="129"/>
      <c r="J77" s="183">
        <f t="array" ref="J77">SUM(J4:K4*J19:K19)/J32</f>
        <v>0.14557211660343711</v>
      </c>
      <c r="K77" s="129"/>
      <c r="L77" s="183">
        <f t="array" ref="L77">SUM(L4:M4*L19:M19)/L32</f>
        <v>0.14561942262618871</v>
      </c>
      <c r="M77" s="129"/>
      <c r="N77" s="183">
        <f t="array" ref="N77">SUM(N4:O4*N19:O19)/N32</f>
        <v>0.14572816932005611</v>
      </c>
      <c r="O77" s="129"/>
      <c r="P77" s="183">
        <f t="array" ref="P77">SUM(P4:Q4*P19:Q19)/P32</f>
        <v>0.14590709268235932</v>
      </c>
      <c r="Q77" s="129"/>
      <c r="R77" s="183">
        <f t="array" ref="R77">SUM(R4:S4*R19:S19)/R32</f>
        <v>0.14616600763970805</v>
      </c>
      <c r="S77" s="129"/>
      <c r="T77" s="183">
        <f t="array" ref="T77">SUM(T4:U4*T19:U19)/T32</f>
        <v>0.14651538616047971</v>
      </c>
      <c r="U77" s="129"/>
      <c r="V77" s="183">
        <f t="array" ref="V77">SUM(V4:W4*V19:W19)/V32</f>
        <v>0.1469652211929223</v>
      </c>
      <c r="W77" s="129"/>
      <c r="X77" s="183">
        <f t="array" ref="X77">SUM(X4:Y4*X19:Y19)/X32</f>
        <v>0.14752221790842335</v>
      </c>
      <c r="Y77" s="129"/>
      <c r="Z77" s="183">
        <f t="array" ref="Z77">SUM(Z4:AA4*Z19:AA19)/Z32</f>
        <v>0.14818336558644918</v>
      </c>
      <c r="AA77" s="129"/>
      <c r="AB77" s="183">
        <f t="array" ref="AB77">SUM(AB4:AC4*AB19:AC19)/AB32</f>
        <v>0.1489213577811089</v>
      </c>
      <c r="AC77" s="129"/>
      <c r="AD77" s="183">
        <f t="array" ref="AD77">SUM(AD4:AE4*AD19:AE19)/AD32</f>
        <v>0.14965140357532158</v>
      </c>
      <c r="AE77" s="129"/>
      <c r="AF77" s="183">
        <f t="array" ref="AF77">SUM(AF4:AG4*AF19:AG19)/AF32</f>
        <v>0.15015663043552441</v>
      </c>
      <c r="AG77" s="129"/>
      <c r="AH77" s="183">
        <f t="array" ref="AH77">SUM(AH4:AI4*AH19:AI19)/AH32</f>
        <v>0.14993728089863145</v>
      </c>
      <c r="AI77" s="129"/>
      <c r="AJ77" s="183">
        <f t="array" ref="AJ77">SUM(AJ4:AK4*AJ19:AK19)/AJ32</f>
        <v>0.14804927870952228</v>
      </c>
      <c r="AK77" s="129"/>
      <c r="AL77" s="183">
        <f t="array" ref="AL77">SUM(AL4:AM4*AL19:AM19)/AL32</f>
        <v>0.14359625662448519</v>
      </c>
      <c r="AM77" s="129"/>
      <c r="AN77" s="183">
        <f t="array" ref="AN77">SUM(AN4:AO4*AN19:AO19)/AN32</f>
        <v>0.13733984855286815</v>
      </c>
      <c r="AO77" s="129"/>
      <c r="AP77" s="183">
        <f t="array" ref="AP77">SUM(AP4:AQ4*AP19:AQ19)/AP32</f>
        <v>0.13605615977989854</v>
      </c>
      <c r="AQ77" s="129"/>
      <c r="AR77" s="183">
        <f t="array" ref="AR77">SUM(AR4:AS4*AR19:AS19)/AR32</f>
        <v>0.13480155300025912</v>
      </c>
      <c r="AS77" s="129"/>
      <c r="AT77" s="183">
        <f t="array" ref="AT77">SUM(AT4:AU4*AT19:AU19)/AT32</f>
        <v>0.13359626076800346</v>
      </c>
      <c r="AU77" s="129"/>
      <c r="AV77" s="183">
        <f t="array" ref="AV77">SUM(AV4:AW4*AV19:AW19)/AV32</f>
        <v>0.1324736531025528</v>
      </c>
      <c r="XFD77" s="183"/>
    </row>
    <row r="78" spans="1:48 16384:16384" x14ac:dyDescent="0.2">
      <c r="A78" t="s">
        <v>173</v>
      </c>
      <c r="B78" s="183">
        <f t="array" ref="B78">SUM(B13:C13*B26:C26)/B32</f>
        <v>0.346887593115773</v>
      </c>
      <c r="D78" s="183">
        <f t="array" ref="D78">SUM(D13:E13*D26:E26)/D32</f>
        <v>0.3466109128316367</v>
      </c>
      <c r="E78" s="129"/>
      <c r="F78" s="183">
        <f t="array" ref="F78">SUM(F13:G13*F26:G26)/F32</f>
        <v>0.34630844464771121</v>
      </c>
      <c r="G78" s="129"/>
      <c r="H78" s="183">
        <f t="array" ref="H78">SUM(H13:I13*H26:I26)/H32</f>
        <v>0.34597615436325391</v>
      </c>
      <c r="I78" s="129"/>
      <c r="J78" s="183">
        <f t="array" ref="J78">SUM(J13:K13*J26:K26)/J32</f>
        <v>0.34560904433390593</v>
      </c>
      <c r="K78" s="129"/>
      <c r="L78" s="183">
        <f t="array" ref="L78">SUM(L13:M13*L26:M26)/L32</f>
        <v>0.34520084626275049</v>
      </c>
      <c r="M78" s="129"/>
      <c r="N78" s="183">
        <f t="array" ref="N78">SUM(N13:O13*N26:O26)/N32</f>
        <v>0.34474351230455413</v>
      </c>
      <c r="O78" s="129"/>
      <c r="P78" s="183">
        <f t="array" ref="P78">SUM(P13:Q13*P26:Q26)/P32</f>
        <v>0.3442264794348473</v>
      </c>
      <c r="Q78" s="129"/>
      <c r="R78" s="183">
        <f t="array" ref="R78">SUM(R13:S13*R26:S26)/R32</f>
        <v>0.34363549562765294</v>
      </c>
      <c r="S78" s="129"/>
      <c r="T78" s="183">
        <f t="array" ref="T78">SUM(T13:U13*T26:U26)/T32</f>
        <v>0.34295071604321842</v>
      </c>
      <c r="U78" s="129"/>
      <c r="V78" s="183">
        <f t="array" ref="V78">SUM(V13:W13*V26:W26)/V32</f>
        <v>0.34214346101379645</v>
      </c>
      <c r="W78" s="129"/>
      <c r="X78" s="183">
        <f t="array" ref="X78">SUM(X13:Y13*X26:Y26)/X32</f>
        <v>0.3411704570521189</v>
      </c>
      <c r="Y78" s="129"/>
      <c r="Z78" s="183">
        <f t="array" ref="Z78">SUM(Z13:AA13*Z26:AA26)/Z32</f>
        <v>0.33996303109831916</v>
      </c>
      <c r="AA78" s="129"/>
      <c r="AB78" s="183">
        <f t="array" ref="AB78">SUM(AB13:AC13*AB26:AC26)/AB32</f>
        <v>0.33840558563543666</v>
      </c>
      <c r="AC78" s="129"/>
      <c r="AD78" s="183">
        <f t="array" ref="AD78">SUM(AD13:AE13*AD26:AE26)/AD32</f>
        <v>0.3362897770911209</v>
      </c>
      <c r="AE78" s="129"/>
      <c r="AF78" s="183">
        <f t="array" ref="AF78">SUM(AF13:AG13*AF26:AG26)/AF32</f>
        <v>0.33320992354090573</v>
      </c>
      <c r="AG78" s="129"/>
      <c r="AH78" s="183">
        <f t="array" ref="AH78">SUM(AH13:AI13*AH26:AI26)/AH32</f>
        <v>0.32831058655860162</v>
      </c>
      <c r="AI78" s="129"/>
      <c r="AJ78" s="183">
        <f t="array" ref="AJ78">SUM(AJ13:AK13*AJ26:AK26)/AJ32</f>
        <v>0.31966942152010169</v>
      </c>
      <c r="AK78" s="129"/>
      <c r="AL78" s="183">
        <f t="array" ref="AL78">SUM(AL13:AM13*AL26:AM26)/AL32</f>
        <v>0.30264636151301766</v>
      </c>
      <c r="AM78" s="129"/>
      <c r="AN78" s="183">
        <f t="array" ref="AN78">SUM(AN13:AO13*AN26:AO26)/AN32</f>
        <v>0.2609671142164548</v>
      </c>
      <c r="AO78" s="129"/>
      <c r="AP78" s="183">
        <f t="array" ref="AP78">SUM(AP13:AQ13*AP26:AQ26)/AP32</f>
        <v>0.2442995427613843</v>
      </c>
      <c r="AQ78" s="129"/>
      <c r="AR78" s="183">
        <f t="array" ref="AR78">SUM(AR13:AS13*AR26:AS26)/AR32</f>
        <v>0.22084524585634982</v>
      </c>
      <c r="AS78" s="129"/>
      <c r="AT78" s="183">
        <f t="array" ref="AT78">SUM(AT13:AU13*AT26:AU26)/AT32</f>
        <v>0.18530419797160938</v>
      </c>
      <c r="AU78" s="129"/>
      <c r="AV78" s="183">
        <f t="array" ref="AV78">SUM(AV13:AW13*AV26:AW26)/AV32</f>
        <v>0.12497188367140016</v>
      </c>
      <c r="XFD78" s="183"/>
    </row>
    <row r="79" spans="1:48 16384:16384" x14ac:dyDescent="0.2">
      <c r="A79" t="s">
        <v>174</v>
      </c>
      <c r="B79" s="183">
        <f t="array" ref="B79">SUM(B15:C15*B27:C27)/B32</f>
        <v>0.45460968782440875</v>
      </c>
      <c r="D79" s="183">
        <f t="array" ref="D79">SUM(D15:E15*D27:E27)/D32</f>
        <v>0.45172549813893398</v>
      </c>
      <c r="F79" s="183">
        <f t="array" ref="F79">SUM(F15:G15*F27:G27)/F32</f>
        <v>0.44882562080837579</v>
      </c>
      <c r="H79" s="183">
        <f t="array" ref="H79">SUM(H15:I15*H27:I27)/H32</f>
        <v>0.44590476870535484</v>
      </c>
      <c r="J79" s="183">
        <f t="array" ref="J79">SUM(J15:K15*J27:K27)/J32</f>
        <v>0.44295662871042757</v>
      </c>
      <c r="L79" s="183">
        <f t="array" ref="L79">SUM(L15:M15*L27:M27)/L32</f>
        <v>0.4399733421222155</v>
      </c>
      <c r="N79" s="183">
        <f t="array" ref="N79">SUM(N15:O15*N27:O27)/N32</f>
        <v>0.43694513423708525</v>
      </c>
      <c r="P79" s="183">
        <f t="array" ref="P79">SUM(P15:Q15*P27:Q27)/P32</f>
        <v>0.43385953284799716</v>
      </c>
      <c r="R79" s="183">
        <f t="array" ref="R79">SUM(R15:S15*R27:S27)/R32</f>
        <v>0.43070029896333684</v>
      </c>
      <c r="T79" s="183">
        <f t="array" ref="T79">SUM(T15:U15*T27:U27)/T32</f>
        <v>0.42744564471136492</v>
      </c>
      <c r="V79" s="183">
        <f t="array" ref="V79">SUM(V15:W15*V27:W27)/V32</f>
        <v>0.42406533569188992</v>
      </c>
      <c r="X79" s="183">
        <f t="array" ref="X79">SUM(X15:Y15*X27:Y27)/X32</f>
        <v>0.42051545174625055</v>
      </c>
      <c r="Z79" s="183">
        <f t="array" ref="Z79">SUM(Z15:AA15*Z27:AA27)/Z32</f>
        <v>0.41672850449657267</v>
      </c>
      <c r="AB79" s="183">
        <f t="array" ref="AB79">SUM(AB15:AC15*AB27:AC27)/AB32</f>
        <v>0.41259322813411498</v>
      </c>
      <c r="AD79" s="183">
        <f t="array" ref="AD79">SUM(AD15:AE15*AD27:AE27)/AD32</f>
        <v>0.4079098969280997</v>
      </c>
      <c r="AF79" s="183">
        <f t="array" ref="AF79">SUM(AF15:AG15*AF27:AG27)/AF32</f>
        <v>0.40228258467212763</v>
      </c>
      <c r="AH79" s="183">
        <f t="array" ref="AH79">SUM(AH15:AI15*AH27:AI27)/AH32</f>
        <v>0.394839072574381</v>
      </c>
      <c r="AJ79" s="183">
        <f t="array" ref="AJ79">SUM(AJ15:AK15*AJ27:AK27)/AJ32</f>
        <v>0.38347544472389211</v>
      </c>
      <c r="AL79" s="183">
        <f t="array" ref="AL79">SUM(AL15:AM15*AL27:AM27)/AL32</f>
        <v>0.36269066531479238</v>
      </c>
      <c r="AN79" s="183">
        <f t="array" ref="AN79">SUM(AN15:AO15*AN27:AO27)/AN32</f>
        <v>0.31269564400930855</v>
      </c>
      <c r="AP79" s="183">
        <f t="array" ref="AP79">SUM(AP15:AQ15*AP27:AQ27)/AP32</f>
        <v>0.29272358736064763</v>
      </c>
      <c r="AR79" s="183">
        <f t="array" ref="AR79">SUM(AR15:AS15*AR27:AS27)/AR32</f>
        <v>0.26462008101489193</v>
      </c>
      <c r="AT79" s="183">
        <f t="array" ref="AT79">SUM(AT15:AU15*AT27:AU27)/AT32</f>
        <v>0.22203422456124441</v>
      </c>
      <c r="AV79" s="183">
        <f t="array" ref="AV79">SUM(AV15:AW15*AV27:AW27)/AV32</f>
        <v>0.14974315080570241</v>
      </c>
      <c r="XFD79" s="183"/>
    </row>
    <row r="80" spans="1:48 16384:16384" x14ac:dyDescent="0.2">
      <c r="A80" t="s">
        <v>153</v>
      </c>
      <c r="B80" s="195">
        <f>B55</f>
        <v>0.19850271905982084</v>
      </c>
      <c r="D80" s="195">
        <f>D55</f>
        <v>0.20166359125427902</v>
      </c>
      <c r="F80" s="195">
        <f>F55</f>
        <v>0.20486595928547938</v>
      </c>
      <c r="H80" s="195">
        <f>H55</f>
        <v>0.20811907566403356</v>
      </c>
      <c r="J80" s="195">
        <f>J55</f>
        <v>0.21143433406930678</v>
      </c>
      <c r="L80" s="195">
        <f>L55</f>
        <v>0.21482580945304819</v>
      </c>
      <c r="N80" s="195">
        <f>N55</f>
        <v>0.21831134945287992</v>
      </c>
      <c r="P80" s="195">
        <f>P55</f>
        <v>0.22191398211117916</v>
      </c>
      <c r="R80" s="195">
        <f>R55</f>
        <v>0.22566420771495929</v>
      </c>
      <c r="T80" s="195">
        <f>T55</f>
        <v>0.2296036409454163</v>
      </c>
      <c r="V80" s="195">
        <f>V55</f>
        <v>0.23379120444638918</v>
      </c>
      <c r="X80" s="195">
        <f>X55</f>
        <v>0.23831409285170721</v>
      </c>
      <c r="Z80" s="195">
        <f>Z55</f>
        <v>0.24330846466324535</v>
      </c>
      <c r="AB80" s="195">
        <f>AB55</f>
        <v>0.24900118899003637</v>
      </c>
      <c r="AD80" s="195">
        <f>AD55</f>
        <v>0.25580033039142852</v>
      </c>
      <c r="AF80" s="195">
        <f>AF55</f>
        <v>0.2645074918791952</v>
      </c>
      <c r="AH80" s="195">
        <f>AH55</f>
        <v>0.27685034039209921</v>
      </c>
      <c r="AJ80" s="195">
        <f>AJ55</f>
        <v>0.29685513371653727</v>
      </c>
      <c r="AL80" s="195">
        <f>AL55</f>
        <v>0.33466297338829837</v>
      </c>
      <c r="AN80" s="195">
        <f>AN55</f>
        <v>0.42633724175237042</v>
      </c>
      <c r="AP80" s="195">
        <f>AP55</f>
        <v>0.46297686987530984</v>
      </c>
      <c r="AR80" s="195">
        <f>AR55</f>
        <v>0.51453467347139692</v>
      </c>
      <c r="AT80" s="195">
        <f>AT55</f>
        <v>0.59266157746851811</v>
      </c>
      <c r="AV80" s="195">
        <f>AV55</f>
        <v>0.72528496552068877</v>
      </c>
      <c r="XFD80" s="195"/>
    </row>
    <row r="81" spans="1:48 16384:16384" x14ac:dyDescent="0.2">
      <c r="A81" t="s">
        <v>175</v>
      </c>
      <c r="B81" s="195">
        <f>B51/B$32</f>
        <v>-2.7543485504603994E-2</v>
      </c>
      <c r="D81" s="195">
        <f>D51/D$32</f>
        <v>-2.4382613310145809E-2</v>
      </c>
      <c r="F81" s="195">
        <f>F51/F$32</f>
        <v>-2.1180245278945464E-2</v>
      </c>
      <c r="H81" s="195">
        <f>H51/H$32</f>
        <v>-1.7927128900391269E-2</v>
      </c>
      <c r="J81" s="195">
        <f>J51/J$32</f>
        <v>-1.461187049511805E-2</v>
      </c>
      <c r="L81" s="195">
        <f>L51/L$32</f>
        <v>-1.1220395111376654E-2</v>
      </c>
      <c r="N81" s="195">
        <f>N51/N$32</f>
        <v>-7.7348551115449084E-3</v>
      </c>
      <c r="P81" s="195">
        <f>P51/P$32</f>
        <v>-4.1322224532456785E-3</v>
      </c>
      <c r="R81" s="195">
        <f>R51/R$32</f>
        <v>-3.8199684946552966E-4</v>
      </c>
      <c r="T81" s="195">
        <f>T51/T$32</f>
        <v>3.5574363809914465E-3</v>
      </c>
      <c r="V81" s="195">
        <f>V51/V$32</f>
        <v>7.7449998819643356E-3</v>
      </c>
      <c r="X81" s="195">
        <f>X51/X$32</f>
        <v>1.226788828728236E-2</v>
      </c>
      <c r="Z81" s="195">
        <f>Z51/Z$32</f>
        <v>1.7262260098820516E-2</v>
      </c>
      <c r="AB81" s="195">
        <f>AB51/AB$32</f>
        <v>2.2954984425611516E-2</v>
      </c>
      <c r="AD81" s="195">
        <f>AD51/AD$32</f>
        <v>2.9754125827003659E-2</v>
      </c>
      <c r="AF81" s="195">
        <f>AF51/AF$32</f>
        <v>3.8461287314770373E-2</v>
      </c>
      <c r="AH81" s="195">
        <f>AH51/AH$32</f>
        <v>5.0804135827674374E-2</v>
      </c>
      <c r="AJ81" s="195">
        <f>AJ51/AJ$32</f>
        <v>7.0808929152112399E-2</v>
      </c>
      <c r="AL81" s="195">
        <f>AL51/AL$32</f>
        <v>0.1086167688238735</v>
      </c>
      <c r="AN81" s="195">
        <f>AN51/AN$32</f>
        <v>0.20029103718794558</v>
      </c>
      <c r="AP81" s="195">
        <f>AP51/AP$32</f>
        <v>0.236930665310885</v>
      </c>
      <c r="AR81" s="195">
        <f>AR51/AR$32</f>
        <v>0.28848846890697205</v>
      </c>
      <c r="AT81" s="195">
        <f>AT51/AT$32</f>
        <v>0.36661537290409324</v>
      </c>
      <c r="AV81" s="195">
        <f>AV51/AV$32</f>
        <v>0.49923876095626396</v>
      </c>
      <c r="XFD81" s="195"/>
    </row>
    <row r="82" spans="1:48 16384:16384" x14ac:dyDescent="0.2">
      <c r="A82" t="s">
        <v>176</v>
      </c>
      <c r="B82" s="195">
        <f>B52/B$32</f>
        <v>0.14069693704202227</v>
      </c>
      <c r="D82" s="195">
        <f>D52/D$32</f>
        <v>0.14058471605375272</v>
      </c>
      <c r="F82" s="195">
        <f>F52/F$32</f>
        <v>0.14046203554319098</v>
      </c>
      <c r="H82" s="195">
        <f>H52/H$32</f>
        <v>0.14032725924631614</v>
      </c>
      <c r="J82" s="195">
        <f>J52/J$32</f>
        <v>0.1401783601282395</v>
      </c>
      <c r="L82" s="195">
        <f>L52/L$32</f>
        <v>0.14001279577985168</v>
      </c>
      <c r="N82" s="195">
        <f>N52/N$32</f>
        <v>0.13982730201068694</v>
      </c>
      <c r="P82" s="195">
        <f>P52/P$32</f>
        <v>0.13961759447844457</v>
      </c>
      <c r="R82" s="195">
        <f>R52/R$32</f>
        <v>0.1393778925889454</v>
      </c>
      <c r="T82" s="195">
        <f>T52/T$32</f>
        <v>0.13910014731355674</v>
      </c>
      <c r="V82" s="195">
        <f>V52/V$32</f>
        <v>0.13877272623449402</v>
      </c>
      <c r="X82" s="195">
        <f>X52/X$32</f>
        <v>0.13837807770899288</v>
      </c>
      <c r="Z82" s="195">
        <f>Z52/Z$32</f>
        <v>0.13788834807675443</v>
      </c>
      <c r="AB82" s="195">
        <f>AB52/AB$32</f>
        <v>0.13725665120841349</v>
      </c>
      <c r="AD82" s="195">
        <f>AD52/AD$32</f>
        <v>0.13639848335386812</v>
      </c>
      <c r="AF82" s="195">
        <f>AF52/AF$32</f>
        <v>0.13514930070896258</v>
      </c>
      <c r="AH82" s="195">
        <f>AH52/AH$32</f>
        <v>0.13316213910207042</v>
      </c>
      <c r="AJ82" s="195">
        <f>AJ52/AJ$32</f>
        <v>0.12965729927061015</v>
      </c>
      <c r="AL82" s="195">
        <f>AL52/AL$32</f>
        <v>0.12275277904673489</v>
      </c>
      <c r="AN82" s="195">
        <f>AN52/AN$32</f>
        <v>0.10584775693230535</v>
      </c>
      <c r="AP82" s="195">
        <f>AP52/AP$32</f>
        <v>9.9087422177770612E-2</v>
      </c>
      <c r="AR82" s="195">
        <f>AR52/AR$32</f>
        <v>8.9574404703227542E-2</v>
      </c>
      <c r="AT82" s="195">
        <f>AT52/AT$32</f>
        <v>7.5159024401695945E-2</v>
      </c>
      <c r="AV82" s="195">
        <f>AV52/AV$32</f>
        <v>5.0688354377291252E-2</v>
      </c>
    </row>
    <row r="83" spans="1:48 16384:16384" x14ac:dyDescent="0.2">
      <c r="A83" t="s">
        <v>177</v>
      </c>
      <c r="B83" s="195">
        <f>B53/B$32</f>
        <v>0.18438881036940691</v>
      </c>
      <c r="D83" s="195">
        <f>D53/D$32</f>
        <v>0.1832189886097135</v>
      </c>
      <c r="F83" s="195">
        <f>F53/F$32</f>
        <v>0.18204280397150721</v>
      </c>
      <c r="H83" s="195">
        <f>H53/H$32</f>
        <v>0.18085811200614585</v>
      </c>
      <c r="J83" s="195">
        <f>J53/J$32</f>
        <v>0.17966235212458986</v>
      </c>
      <c r="L83" s="195">
        <f>L53/L$32</f>
        <v>0.17845233685275544</v>
      </c>
      <c r="N83" s="195">
        <f>N53/N$32</f>
        <v>0.17722410158974866</v>
      </c>
      <c r="P83" s="195">
        <f>P53/P$32</f>
        <v>0.17597258763251006</v>
      </c>
      <c r="R83" s="195">
        <f>R53/R$32</f>
        <v>0.17469120847743971</v>
      </c>
      <c r="T83" s="195">
        <f>T53/T$32</f>
        <v>0.17337112700588814</v>
      </c>
      <c r="V83" s="195">
        <f>V53/V$32</f>
        <v>0.17200008020359761</v>
      </c>
      <c r="X83" s="195">
        <f>X53/X$32</f>
        <v>0.17056025413913697</v>
      </c>
      <c r="Z83" s="195">
        <f>Z53/Z$32</f>
        <v>0.16902427565693287</v>
      </c>
      <c r="AB83" s="195">
        <f>AB53/AB$32</f>
        <v>0.16734701556009832</v>
      </c>
      <c r="AD83" s="195">
        <f>AD53/AD$32</f>
        <v>0.16544746547841016</v>
      </c>
      <c r="AF83" s="195">
        <f>AF53/AF$32</f>
        <v>0.16316503850809744</v>
      </c>
      <c r="AH83" s="195">
        <f>AH53/AH$32</f>
        <v>0.16014596439368062</v>
      </c>
      <c r="AJ83" s="195">
        <f>AJ53/AJ$32</f>
        <v>0.15553689890970523</v>
      </c>
      <c r="AL83" s="195">
        <f>AL53/AL$32</f>
        <v>0.14710663256985829</v>
      </c>
      <c r="AN83" s="195">
        <f>AN53/AN$32</f>
        <v>0.12682874859640469</v>
      </c>
      <c r="AP83" s="195">
        <f>AP53/AP$32</f>
        <v>0.11872812103674875</v>
      </c>
      <c r="AR83" s="195">
        <f>AR53/AR$32</f>
        <v>0.10732939320254455</v>
      </c>
      <c r="AT83" s="195">
        <f>AT53/AT$32</f>
        <v>9.0056652166978807E-2</v>
      </c>
      <c r="AV83" s="195">
        <f>AV53/AV$32</f>
        <v>6.0735532430392869E-2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35" activePane="bottomLeft" state="frozen"/>
      <selection pane="bottomLeft" activeCell="B69" sqref="B69"/>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5.5014439997918968E-2</v>
      </c>
      <c r="E2" s="189"/>
      <c r="F2" s="188">
        <v>0.10906958458026007</v>
      </c>
      <c r="G2" s="189"/>
      <c r="H2" s="188">
        <v>0.16872438292690839</v>
      </c>
      <c r="I2" s="189"/>
      <c r="J2" s="188">
        <v>0.23496769938343354</v>
      </c>
      <c r="K2" s="189"/>
      <c r="L2" s="188">
        <v>0.30906615374944901</v>
      </c>
      <c r="M2" s="189"/>
      <c r="N2" s="188">
        <v>0.3926801580131119</v>
      </c>
      <c r="O2" s="189"/>
      <c r="P2" s="188">
        <v>0.48804509618252229</v>
      </c>
      <c r="Q2" s="189"/>
      <c r="R2" s="188">
        <v>0.59826652270557557</v>
      </c>
      <c r="S2" s="189"/>
      <c r="T2" s="188">
        <v>0.72782096900058313</v>
      </c>
      <c r="U2" s="189"/>
      <c r="V2" s="188">
        <v>0.88344313079603487</v>
      </c>
      <c r="W2" s="189"/>
      <c r="X2" s="188">
        <v>1.0757925162930242</v>
      </c>
      <c r="Y2" s="189"/>
      <c r="Z2" s="188">
        <v>1.3227809634877583</v>
      </c>
      <c r="AA2" s="189"/>
      <c r="AB2" s="188">
        <v>1.6567067892971499</v>
      </c>
      <c r="AC2" s="189"/>
      <c r="AD2" s="188">
        <v>2.1407933646851998</v>
      </c>
      <c r="AE2" s="189"/>
      <c r="AF2" s="188">
        <v>2.9104917708887981</v>
      </c>
      <c r="AG2" s="189"/>
      <c r="AH2" s="188">
        <v>4.2833747151355865</v>
      </c>
      <c r="AI2" s="189"/>
      <c r="AJ2" s="188">
        <v>7.0803307977105927</v>
      </c>
      <c r="AK2" s="189"/>
      <c r="AL2" s="188">
        <v>13.877653156371668</v>
      </c>
      <c r="AM2" s="189"/>
      <c r="AN2" s="188">
        <v>37.473069560641029</v>
      </c>
      <c r="AO2" s="189"/>
      <c r="AP2" s="188">
        <v>49.321891324375379</v>
      </c>
      <c r="AQ2" s="189"/>
      <c r="AR2" s="188">
        <v>67.974409258132326</v>
      </c>
      <c r="AS2" s="189"/>
      <c r="AT2" s="188">
        <v>100.12194069275338</v>
      </c>
      <c r="AU2" s="189"/>
      <c r="AV2" s="188">
        <v>163.76263899729508</v>
      </c>
      <c r="AW2" s="189"/>
    </row>
    <row r="3" spans="1:49" x14ac:dyDescent="0.2">
      <c r="A3" t="s">
        <v>12</v>
      </c>
      <c r="B3" s="81">
        <v>1000</v>
      </c>
      <c r="C3" s="82">
        <v>1000</v>
      </c>
      <c r="D3" s="81">
        <v>998.52494618023229</v>
      </c>
      <c r="E3" s="82">
        <v>1022.2362293157114</v>
      </c>
      <c r="F3" s="81">
        <v>997.00353801227322</v>
      </c>
      <c r="G3" s="82">
        <v>1047.161288121604</v>
      </c>
      <c r="H3" s="81">
        <v>995.42793100869676</v>
      </c>
      <c r="I3" s="82">
        <v>1075.2561772934971</v>
      </c>
      <c r="J3" s="81">
        <v>993.78916071249682</v>
      </c>
      <c r="K3" s="82">
        <v>1107.1248744771599</v>
      </c>
      <c r="L3" s="81">
        <v>992.07721721103565</v>
      </c>
      <c r="M3" s="82">
        <v>1143.53776996635</v>
      </c>
      <c r="N3" s="81">
        <v>990.28135047281887</v>
      </c>
      <c r="O3" s="82">
        <v>1185.4963911718496</v>
      </c>
      <c r="P3" s="81">
        <v>988.39079040154809</v>
      </c>
      <c r="Q3" s="82">
        <v>1234.3315504680293</v>
      </c>
      <c r="R3" s="81">
        <v>986.39626354160282</v>
      </c>
      <c r="S3" s="82">
        <v>1291.8587210257535</v>
      </c>
      <c r="T3" s="81">
        <v>984.29296819408694</v>
      </c>
      <c r="U3" s="82">
        <v>1360.6351432089202</v>
      </c>
      <c r="V3" s="81">
        <v>982.08629285908125</v>
      </c>
      <c r="W3" s="82">
        <v>1444.4022624986881</v>
      </c>
      <c r="X3" s="81">
        <v>979.80274862382782</v>
      </c>
      <c r="Y3" s="82">
        <v>1548.89371979003</v>
      </c>
      <c r="Z3" s="81">
        <v>977.51090288496744</v>
      </c>
      <c r="AA3" s="82">
        <v>1683.401158543752</v>
      </c>
      <c r="AB3" s="81">
        <v>975.36115883377863</v>
      </c>
      <c r="AC3" s="82">
        <v>1864.0267870571545</v>
      </c>
      <c r="AD3" s="81">
        <v>973.65743217739168</v>
      </c>
      <c r="AE3" s="82">
        <v>2120.9661987543091</v>
      </c>
      <c r="AF3" s="81">
        <v>972.95910866740144</v>
      </c>
      <c r="AG3" s="82">
        <v>2516.0489373589553</v>
      </c>
      <c r="AH3" s="81">
        <v>974.09439124981043</v>
      </c>
      <c r="AI3" s="82">
        <v>3187.9549248542467</v>
      </c>
      <c r="AJ3" s="81">
        <v>977.67751901665929</v>
      </c>
      <c r="AK3" s="82">
        <v>4483.0927432582312</v>
      </c>
      <c r="AL3" s="81">
        <v>983.07886127472614</v>
      </c>
      <c r="AM3" s="82">
        <v>7472.1959751822296</v>
      </c>
      <c r="AN3" s="81">
        <v>988.10365505141169</v>
      </c>
      <c r="AO3" s="82">
        <v>17437.23873984901</v>
      </c>
      <c r="AP3" s="81">
        <v>988.71719628124049</v>
      </c>
      <c r="AQ3" s="82">
        <v>22367.355758283211</v>
      </c>
      <c r="AR3" s="81">
        <v>989.0398402524927</v>
      </c>
      <c r="AS3" s="82">
        <v>30088.512596615128</v>
      </c>
      <c r="AT3" s="81">
        <v>988.9106122819577</v>
      </c>
      <c r="AU3" s="82">
        <v>43334.905112930719</v>
      </c>
      <c r="AV3" s="81">
        <v>988.01788469657106</v>
      </c>
      <c r="AW3" s="82">
        <v>69457.82971888539</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998.45175625363686</v>
      </c>
      <c r="E5" s="40">
        <v>1019.3158652441651</v>
      </c>
      <c r="F5" s="39">
        <v>996.85384956406745</v>
      </c>
      <c r="G5" s="40">
        <v>1040.4750942015364</v>
      </c>
      <c r="H5" s="39">
        <v>995.19793389691472</v>
      </c>
      <c r="I5" s="40">
        <v>1063.708105712866</v>
      </c>
      <c r="J5" s="39">
        <v>993.47445818484607</v>
      </c>
      <c r="K5" s="40">
        <v>1089.2793374767348</v>
      </c>
      <c r="L5" s="39">
        <v>991.67273804700903</v>
      </c>
      <c r="M5" s="40">
        <v>1117.4917024933268</v>
      </c>
      <c r="N5" s="39">
        <v>989.78126990035901</v>
      </c>
      <c r="O5" s="40">
        <v>1148.691553225791</v>
      </c>
      <c r="P5" s="39">
        <v>987.788482880223</v>
      </c>
      <c r="Q5" s="40">
        <v>1183.2722000814219</v>
      </c>
      <c r="R5" s="39">
        <v>985.684334309306</v>
      </c>
      <c r="S5" s="40">
        <v>1221.6744795783984</v>
      </c>
      <c r="T5" s="39">
        <v>983.46345370395045</v>
      </c>
      <c r="U5" s="40">
        <v>1264.3811544709288</v>
      </c>
      <c r="V5" s="93">
        <v>981.13120702614492</v>
      </c>
      <c r="W5" s="94">
        <v>1311.8958042128495</v>
      </c>
      <c r="X5" s="39">
        <v>978.71532031016795</v>
      </c>
      <c r="Y5" s="40">
        <v>1364.6864902856469</v>
      </c>
      <c r="Z5" s="39">
        <v>976.28818062295238</v>
      </c>
      <c r="AA5" s="40">
        <v>1423.0509217022664</v>
      </c>
      <c r="AB5" s="39">
        <v>974.00926431848052</v>
      </c>
      <c r="AC5" s="40">
        <v>1486.8058808256271</v>
      </c>
      <c r="AD5" s="39">
        <v>972.20159552117343</v>
      </c>
      <c r="AE5" s="40">
        <v>1554.5975862916803</v>
      </c>
      <c r="AF5" s="39">
        <v>971.4602649786392</v>
      </c>
      <c r="AG5" s="40">
        <v>1622.5598955202142</v>
      </c>
      <c r="AH5" s="39">
        <v>972.6653457801267</v>
      </c>
      <c r="AI5" s="40">
        <v>1682.7151631422116</v>
      </c>
      <c r="AJ5" s="39">
        <v>976.46471639466381</v>
      </c>
      <c r="AK5" s="40">
        <v>1724.6531470464924</v>
      </c>
      <c r="AL5" s="39">
        <v>982.18053841940809</v>
      </c>
      <c r="AM5" s="40">
        <v>1744.4566273569569</v>
      </c>
      <c r="AN5" s="39">
        <v>987.48567867796839</v>
      </c>
      <c r="AO5" s="40">
        <v>1749.6250453379857</v>
      </c>
      <c r="AP5" s="39">
        <v>988.13265481214069</v>
      </c>
      <c r="AQ5" s="40">
        <v>1749.8587311110941</v>
      </c>
      <c r="AR5" s="39">
        <v>988.47281220050922</v>
      </c>
      <c r="AS5" s="40">
        <v>1749.9827513719465</v>
      </c>
      <c r="AT5" s="39">
        <v>988.33657532353766</v>
      </c>
      <c r="AU5" s="40">
        <v>1750.0402911250717</v>
      </c>
      <c r="AV5" s="39">
        <v>987.39522054327267</v>
      </c>
      <c r="AW5" s="40">
        <v>1750.0622127247716</v>
      </c>
    </row>
    <row r="6" spans="1:49" x14ac:dyDescent="0.2">
      <c r="A6" t="s">
        <v>77</v>
      </c>
      <c r="B6" s="39">
        <v>999.99999999999943</v>
      </c>
      <c r="C6" s="40">
        <v>999.99999999999909</v>
      </c>
      <c r="D6" s="39">
        <v>998.33352842476666</v>
      </c>
      <c r="E6" s="40">
        <v>1023.9615006317389</v>
      </c>
      <c r="F6" s="39">
        <v>996.61401531964873</v>
      </c>
      <c r="G6" s="40">
        <v>1050.7291731273158</v>
      </c>
      <c r="H6" s="39">
        <v>994.83252188017957</v>
      </c>
      <c r="I6" s="40">
        <v>1080.7968990957031</v>
      </c>
      <c r="J6" s="39">
        <v>992.97882397789272</v>
      </c>
      <c r="K6" s="40">
        <v>1114.784381217017</v>
      </c>
      <c r="L6" s="39">
        <v>991.04149184391133</v>
      </c>
      <c r="M6" s="40">
        <v>1153.4816382239173</v>
      </c>
      <c r="N6" s="39">
        <v>989.00823064357542</v>
      </c>
      <c r="O6" s="40">
        <v>1197.9153583636346</v>
      </c>
      <c r="P6" s="39">
        <v>986.8666911300146</v>
      </c>
      <c r="Q6" s="40">
        <v>1249.4495280238134</v>
      </c>
      <c r="R6" s="39">
        <v>984.60618522771699</v>
      </c>
      <c r="S6" s="40">
        <v>1309.9447816483648</v>
      </c>
      <c r="T6" s="39">
        <v>982.22106136817706</v>
      </c>
      <c r="U6" s="40">
        <v>1382.0221367586871</v>
      </c>
      <c r="V6" s="39">
        <v>979.71720651381338</v>
      </c>
      <c r="W6" s="40">
        <v>1469.5167825619176</v>
      </c>
      <c r="X6" s="39">
        <v>977.1244977767069</v>
      </c>
      <c r="Y6" s="40">
        <v>1578.3067446583232</v>
      </c>
      <c r="Z6" s="39">
        <v>974.52067561869615</v>
      </c>
      <c r="AA6" s="40">
        <v>1717.9184616676605</v>
      </c>
      <c r="AB6" s="39">
        <v>972.07674501831082</v>
      </c>
      <c r="AC6" s="40">
        <v>1904.8613244904022</v>
      </c>
      <c r="AD6" s="39">
        <v>970.13878920693833</v>
      </c>
      <c r="AE6" s="40">
        <v>2170.0929416893473</v>
      </c>
      <c r="AF6" s="39">
        <v>969.34418217635175</v>
      </c>
      <c r="AG6" s="40">
        <v>2576.9984470165123</v>
      </c>
      <c r="AH6" s="39">
        <v>970.63591308203638</v>
      </c>
      <c r="AI6" s="40">
        <v>3267.7471949706292</v>
      </c>
      <c r="AJ6" s="39">
        <v>974.71002969603444</v>
      </c>
      <c r="AK6" s="40">
        <v>4597.5334693497944</v>
      </c>
      <c r="AL6" s="39">
        <v>980.8436379677056</v>
      </c>
      <c r="AM6" s="40">
        <v>7664.5767167485456</v>
      </c>
      <c r="AN6" s="39">
        <v>986.54134103030287</v>
      </c>
      <c r="AO6" s="40">
        <v>17887.150587751581</v>
      </c>
      <c r="AP6" s="39">
        <v>987.23650731780231</v>
      </c>
      <c r="AQ6" s="40">
        <v>22944.52927475435</v>
      </c>
      <c r="AR6" s="39">
        <v>987.60202897336501</v>
      </c>
      <c r="AS6" s="40">
        <v>30864.964871107717</v>
      </c>
      <c r="AT6" s="39">
        <v>987.45563113940409</v>
      </c>
      <c r="AU6" s="40">
        <v>44453.215193345</v>
      </c>
      <c r="AV6" s="39">
        <v>986.44415057962192</v>
      </c>
      <c r="AW6" s="40">
        <v>71250.289990798643</v>
      </c>
    </row>
    <row r="7" spans="1:49" x14ac:dyDescent="0.2">
      <c r="A7" t="s">
        <v>13</v>
      </c>
      <c r="B7" s="31">
        <v>1015.9116825427475</v>
      </c>
      <c r="C7" s="32">
        <v>1015.9116825427475</v>
      </c>
      <c r="D7" s="31">
        <v>1014.3388036333934</v>
      </c>
      <c r="E7" s="32">
        <v>1014.3388036333934</v>
      </c>
      <c r="F7" s="31">
        <v>1012.7154715598466</v>
      </c>
      <c r="G7" s="32">
        <v>1012.7154715598466</v>
      </c>
      <c r="H7" s="31">
        <v>1011.0332074882806</v>
      </c>
      <c r="I7" s="32">
        <v>1011.0332074882806</v>
      </c>
      <c r="J7" s="31">
        <v>1009.2823083778113</v>
      </c>
      <c r="K7" s="32">
        <v>1009.2823083778113</v>
      </c>
      <c r="L7" s="31">
        <v>1007.4519198411102</v>
      </c>
      <c r="M7" s="32">
        <v>1007.4519198411102</v>
      </c>
      <c r="N7" s="31">
        <v>1005.5303552537709</v>
      </c>
      <c r="O7" s="32">
        <v>1005.5303552537709</v>
      </c>
      <c r="P7" s="31">
        <v>1003.5058596391953</v>
      </c>
      <c r="Q7" s="32">
        <v>1003.5058596391953</v>
      </c>
      <c r="R7" s="31">
        <v>1001.368230524195</v>
      </c>
      <c r="S7" s="32">
        <v>1001.368230524195</v>
      </c>
      <c r="T7" s="31">
        <v>999.11201197168168</v>
      </c>
      <c r="U7" s="32">
        <v>999.11201197168168</v>
      </c>
      <c r="V7" s="31">
        <v>996.74265532512754</v>
      </c>
      <c r="W7" s="32">
        <v>996.74265532512754</v>
      </c>
      <c r="X7" s="31">
        <v>994.28832778666674</v>
      </c>
      <c r="Y7" s="32">
        <v>994.28832778666674</v>
      </c>
      <c r="Z7" s="31">
        <v>991.82256822326133</v>
      </c>
      <c r="AA7" s="32">
        <v>991.82256822326133</v>
      </c>
      <c r="AB7" s="31">
        <v>989.50739052601114</v>
      </c>
      <c r="AC7" s="32">
        <v>989.50739052601114</v>
      </c>
      <c r="AD7" s="31">
        <v>987.67095867665887</v>
      </c>
      <c r="AE7" s="32">
        <v>987.67095867665887</v>
      </c>
      <c r="AF7" s="31">
        <v>986.91783231787258</v>
      </c>
      <c r="AG7" s="32">
        <v>986.91783231787258</v>
      </c>
      <c r="AH7" s="31">
        <v>988.14208798251173</v>
      </c>
      <c r="AI7" s="32">
        <v>988.14208798251173</v>
      </c>
      <c r="AJ7" s="31">
        <v>992.00191297612957</v>
      </c>
      <c r="AK7" s="32">
        <v>992.00191297612957</v>
      </c>
      <c r="AL7" s="31">
        <v>997.80868334640252</v>
      </c>
      <c r="AM7" s="32">
        <v>997.80868334640252</v>
      </c>
      <c r="AN7" s="31">
        <v>1003.1982373126017</v>
      </c>
      <c r="AO7" s="32">
        <v>1003.1982373126017</v>
      </c>
      <c r="AP7" s="31">
        <v>1003.8555079256337</v>
      </c>
      <c r="AQ7" s="32">
        <v>1003.8555079256337</v>
      </c>
      <c r="AR7" s="31">
        <v>1004.2010777903805</v>
      </c>
      <c r="AS7" s="32">
        <v>1004.2010777903805</v>
      </c>
      <c r="AT7" s="31">
        <v>1004.062673155472</v>
      </c>
      <c r="AU7" s="32">
        <v>1004.062673155472</v>
      </c>
      <c r="AV7" s="31">
        <v>1003.1063398367834</v>
      </c>
      <c r="AW7" s="32">
        <v>1003.1063398367834</v>
      </c>
    </row>
    <row r="8" spans="1:49" x14ac:dyDescent="0.2">
      <c r="B8" s="33">
        <v>1005.7716594496609</v>
      </c>
      <c r="C8" s="34">
        <v>1005.7716594496609</v>
      </c>
      <c r="D8" s="33">
        <v>1075.392956751567</v>
      </c>
      <c r="E8" s="34">
        <v>1075.392956751567</v>
      </c>
      <c r="F8" s="33">
        <v>1153.9592804922049</v>
      </c>
      <c r="G8" s="34">
        <v>1153.9592804922049</v>
      </c>
      <c r="H8" s="33">
        <v>1243.1815994636199</v>
      </c>
      <c r="I8" s="34">
        <v>1243.1815994636199</v>
      </c>
      <c r="J8" s="33">
        <v>1345.2247973895539</v>
      </c>
      <c r="K8" s="34">
        <v>1345.2247973895539</v>
      </c>
      <c r="L8" s="33">
        <v>1462.8705648298628</v>
      </c>
      <c r="M8" s="34">
        <v>1462.8705648298628</v>
      </c>
      <c r="N8" s="33">
        <v>1599.7599338548216</v>
      </c>
      <c r="O8" s="34">
        <v>1599.7599338548216</v>
      </c>
      <c r="P8" s="33">
        <v>1760.7623947802642</v>
      </c>
      <c r="Q8" s="34">
        <v>1760.7623947802642</v>
      </c>
      <c r="R8" s="33">
        <v>1952.5614223539103</v>
      </c>
      <c r="S8" s="34">
        <v>1952.5614223539103</v>
      </c>
      <c r="T8" s="33">
        <v>2184.6242715040362</v>
      </c>
      <c r="U8" s="34">
        <v>2184.6242715040362</v>
      </c>
      <c r="V8" s="33">
        <v>2470.8811407648313</v>
      </c>
      <c r="W8" s="34">
        <v>2470.8811407648313</v>
      </c>
      <c r="X8" s="33">
        <v>2832.8060036211386</v>
      </c>
      <c r="Y8" s="34">
        <v>2832.8060036211386</v>
      </c>
      <c r="Z8" s="33">
        <v>3305.435591003733</v>
      </c>
      <c r="AA8" s="34">
        <v>3305.435591003733</v>
      </c>
      <c r="AB8" s="33">
        <v>3950.0072779563729</v>
      </c>
      <c r="AC8" s="34">
        <v>3950.0072779563729</v>
      </c>
      <c r="AD8" s="33">
        <v>4882.6697837805368</v>
      </c>
      <c r="AE8" s="34">
        <v>4882.6697837805368</v>
      </c>
      <c r="AF8" s="33">
        <v>6345.0071192059859</v>
      </c>
      <c r="AG8" s="34">
        <v>6345.0071192059859</v>
      </c>
      <c r="AH8" s="33">
        <v>8890.4147457208146</v>
      </c>
      <c r="AI8" s="34">
        <v>8890.4147457208146</v>
      </c>
      <c r="AJ8" s="33">
        <v>13935.767939448269</v>
      </c>
      <c r="AK8" s="34">
        <v>13935.767939448269</v>
      </c>
      <c r="AL8" s="33">
        <v>25953.420648150706</v>
      </c>
      <c r="AM8" s="34">
        <v>25953.420648150706</v>
      </c>
      <c r="AN8" s="33">
        <v>67313.446074328036</v>
      </c>
      <c r="AO8" s="34">
        <v>67313.446074328036</v>
      </c>
      <c r="AP8" s="33">
        <v>88056.200899981879</v>
      </c>
      <c r="AQ8" s="34">
        <v>88056.200899981879</v>
      </c>
      <c r="AR8" s="33">
        <v>120704.02648780106</v>
      </c>
      <c r="AS8" s="34">
        <v>120704.02648780106</v>
      </c>
      <c r="AT8" s="33">
        <v>176967.47052907836</v>
      </c>
      <c r="AU8" s="34">
        <v>176967.47052907836</v>
      </c>
      <c r="AV8" s="33">
        <v>288344.86857797898</v>
      </c>
      <c r="AW8" s="34">
        <v>288344.86857797898</v>
      </c>
    </row>
    <row r="9" spans="1:49" x14ac:dyDescent="0.2">
      <c r="A9" t="s">
        <v>14</v>
      </c>
      <c r="B9" s="39">
        <v>1015.9116825427475</v>
      </c>
      <c r="C9" s="40">
        <v>1005.7716594496609</v>
      </c>
      <c r="D9" s="39">
        <v>1014.3388036333934</v>
      </c>
      <c r="E9" s="40">
        <v>1075.392956751567</v>
      </c>
      <c r="F9" s="39">
        <v>1012.7154715598466</v>
      </c>
      <c r="G9" s="40">
        <v>1153.9592804922049</v>
      </c>
      <c r="H9" s="39">
        <v>1011.0332074882806</v>
      </c>
      <c r="I9" s="40">
        <v>1243.1815994636199</v>
      </c>
      <c r="J9" s="39">
        <v>1009.2823083778113</v>
      </c>
      <c r="K9" s="40">
        <v>1345.2247973895539</v>
      </c>
      <c r="L9" s="39">
        <v>1007.4519198411102</v>
      </c>
      <c r="M9" s="40">
        <v>1462.8705648298628</v>
      </c>
      <c r="N9" s="39">
        <v>1005.5303552537709</v>
      </c>
      <c r="O9" s="40">
        <v>1599.7599338548216</v>
      </c>
      <c r="P9" s="39">
        <v>1003.5058596391953</v>
      </c>
      <c r="Q9" s="40">
        <v>1760.7623947802642</v>
      </c>
      <c r="R9" s="39">
        <v>1001.368230524195</v>
      </c>
      <c r="S9" s="40">
        <v>1952.5614223539103</v>
      </c>
      <c r="T9" s="39">
        <v>999.11201197168168</v>
      </c>
      <c r="U9" s="40">
        <v>2184.6242715040362</v>
      </c>
      <c r="V9" s="39">
        <v>996.74265532512754</v>
      </c>
      <c r="W9" s="40">
        <v>2470.8811407648313</v>
      </c>
      <c r="X9" s="39">
        <v>994.28832778666674</v>
      </c>
      <c r="Y9" s="40">
        <v>2832.8060036211386</v>
      </c>
      <c r="Z9" s="39">
        <v>991.82256822326133</v>
      </c>
      <c r="AA9" s="40">
        <v>3305.435591003733</v>
      </c>
      <c r="AB9" s="39">
        <v>989.50739052601114</v>
      </c>
      <c r="AC9" s="40">
        <v>3950.0072779563729</v>
      </c>
      <c r="AD9" s="39">
        <v>987.67095867665887</v>
      </c>
      <c r="AE9" s="40">
        <v>4882.6697837805368</v>
      </c>
      <c r="AF9" s="39">
        <v>986.91783231787258</v>
      </c>
      <c r="AG9" s="40">
        <v>6345.0071192059859</v>
      </c>
      <c r="AH9" s="39">
        <v>988.14208798251173</v>
      </c>
      <c r="AI9" s="40">
        <v>8890.4147457208146</v>
      </c>
      <c r="AJ9" s="39">
        <v>992.00191297612957</v>
      </c>
      <c r="AK9" s="40">
        <v>13935.767939448269</v>
      </c>
      <c r="AL9" s="39">
        <v>997.80868334640252</v>
      </c>
      <c r="AM9" s="40">
        <v>25953.420648150706</v>
      </c>
      <c r="AN9" s="39">
        <v>1003.1982373126017</v>
      </c>
      <c r="AO9" s="40">
        <v>67313.446074328036</v>
      </c>
      <c r="AP9" s="39">
        <v>1003.8555079256337</v>
      </c>
      <c r="AQ9" s="40">
        <v>88056.200899981879</v>
      </c>
      <c r="AR9" s="39">
        <v>1004.2010777903805</v>
      </c>
      <c r="AS9" s="40">
        <v>120704.02648780106</v>
      </c>
      <c r="AT9" s="39">
        <v>1004.062673155472</v>
      </c>
      <c r="AU9" s="40">
        <v>176967.47052907836</v>
      </c>
      <c r="AV9" s="39">
        <v>1003.1063398367834</v>
      </c>
      <c r="AW9" s="40">
        <v>288344.86857797898</v>
      </c>
    </row>
    <row r="10" spans="1:49" x14ac:dyDescent="0.2">
      <c r="A10" t="s">
        <v>15</v>
      </c>
      <c r="B10" s="39">
        <v>1015.9116825427475</v>
      </c>
      <c r="C10" s="40">
        <v>1005.7716594496609</v>
      </c>
      <c r="D10" s="39">
        <v>1014.3388036333934</v>
      </c>
      <c r="E10" s="40">
        <v>1075.392956751567</v>
      </c>
      <c r="F10" s="39">
        <v>1012.7154715598466</v>
      </c>
      <c r="G10" s="40">
        <v>1153.9592804922049</v>
      </c>
      <c r="H10" s="39">
        <v>1011.0332074882806</v>
      </c>
      <c r="I10" s="40">
        <v>1243.1815994636199</v>
      </c>
      <c r="J10" s="39">
        <v>1009.2823083778113</v>
      </c>
      <c r="K10" s="40">
        <v>1345.2247973895539</v>
      </c>
      <c r="L10" s="39">
        <v>1007.4519198411102</v>
      </c>
      <c r="M10" s="40">
        <v>1462.8705648298628</v>
      </c>
      <c r="N10" s="39">
        <v>1005.5303552537709</v>
      </c>
      <c r="O10" s="40">
        <v>1599.7599338548216</v>
      </c>
      <c r="P10" s="39">
        <v>1003.5058596391953</v>
      </c>
      <c r="Q10" s="40">
        <v>1760.7623947802642</v>
      </c>
      <c r="R10" s="39">
        <v>1001.368230524195</v>
      </c>
      <c r="S10" s="40">
        <v>1952.5614223539103</v>
      </c>
      <c r="T10" s="39">
        <v>999.11201197168168</v>
      </c>
      <c r="U10" s="40">
        <v>2184.6242715040362</v>
      </c>
      <c r="V10" s="39">
        <v>996.74265532512754</v>
      </c>
      <c r="W10" s="40">
        <v>2470.8811407648313</v>
      </c>
      <c r="X10" s="39">
        <v>994.28832778666674</v>
      </c>
      <c r="Y10" s="40">
        <v>2832.8060036211386</v>
      </c>
      <c r="Z10" s="39">
        <v>991.82256822326133</v>
      </c>
      <c r="AA10" s="40">
        <v>3305.435591003733</v>
      </c>
      <c r="AB10" s="39">
        <v>989.50739052601114</v>
      </c>
      <c r="AC10" s="40">
        <v>3950.0072779563729</v>
      </c>
      <c r="AD10" s="39">
        <v>987.67095867665887</v>
      </c>
      <c r="AE10" s="40">
        <v>4882.6697837805368</v>
      </c>
      <c r="AF10" s="39">
        <v>986.91783231787258</v>
      </c>
      <c r="AG10" s="40">
        <v>6345.0071192059859</v>
      </c>
      <c r="AH10" s="39">
        <v>988.14208798251173</v>
      </c>
      <c r="AI10" s="40">
        <v>8890.4147457208146</v>
      </c>
      <c r="AJ10" s="39">
        <v>992.00191297612957</v>
      </c>
      <c r="AK10" s="40">
        <v>13935.767939448269</v>
      </c>
      <c r="AL10" s="39">
        <v>997.80868334640252</v>
      </c>
      <c r="AM10" s="40">
        <v>25953.420648150706</v>
      </c>
      <c r="AN10" s="39">
        <v>1003.1982373126017</v>
      </c>
      <c r="AO10" s="40">
        <v>67313.446074328036</v>
      </c>
      <c r="AP10" s="39">
        <v>1003.8555079256337</v>
      </c>
      <c r="AQ10" s="40">
        <v>88056.200899981879</v>
      </c>
      <c r="AR10" s="39">
        <v>1004.2010777903805</v>
      </c>
      <c r="AS10" s="40">
        <v>120704.02648780106</v>
      </c>
      <c r="AT10" s="39">
        <v>1004.062673155472</v>
      </c>
      <c r="AU10" s="40">
        <v>176967.47052907836</v>
      </c>
      <c r="AV10" s="39">
        <v>1003.1063398367834</v>
      </c>
      <c r="AW10" s="40">
        <v>288344.86857797898</v>
      </c>
    </row>
    <row r="11" spans="1:49" x14ac:dyDescent="0.2">
      <c r="A11" t="s">
        <v>29</v>
      </c>
      <c r="B11" s="39">
        <v>1015.9116825427475</v>
      </c>
      <c r="C11" s="40">
        <v>1005.7716594496609</v>
      </c>
      <c r="D11" s="39">
        <v>1014.3388036333934</v>
      </c>
      <c r="E11" s="40">
        <v>1075.392956751567</v>
      </c>
      <c r="F11" s="39">
        <v>1012.7154715598466</v>
      </c>
      <c r="G11" s="40">
        <v>1153.9592804922049</v>
      </c>
      <c r="H11" s="39">
        <v>1011.0332074882806</v>
      </c>
      <c r="I11" s="40">
        <v>1243.1815994636199</v>
      </c>
      <c r="J11" s="39">
        <v>1009.2823083778113</v>
      </c>
      <c r="K11" s="40">
        <v>1345.2247973895539</v>
      </c>
      <c r="L11" s="39">
        <v>1007.4519198411102</v>
      </c>
      <c r="M11" s="40">
        <v>1462.8705648298628</v>
      </c>
      <c r="N11" s="39">
        <v>1005.5303552537709</v>
      </c>
      <c r="O11" s="40">
        <v>1599.7599338548216</v>
      </c>
      <c r="P11" s="39">
        <v>1003.5058596391953</v>
      </c>
      <c r="Q11" s="40">
        <v>1760.7623947802642</v>
      </c>
      <c r="R11" s="39">
        <v>1001.368230524195</v>
      </c>
      <c r="S11" s="40">
        <v>1952.5614223539103</v>
      </c>
      <c r="T11" s="39">
        <v>999.11201197168168</v>
      </c>
      <c r="U11" s="40">
        <v>2184.6242715040362</v>
      </c>
      <c r="V11" s="39">
        <v>996.74265532512754</v>
      </c>
      <c r="W11" s="40">
        <v>2470.8811407648313</v>
      </c>
      <c r="X11" s="39">
        <v>994.28832778666674</v>
      </c>
      <c r="Y11" s="40">
        <v>2832.8060036211386</v>
      </c>
      <c r="Z11" s="39">
        <v>991.82256822326133</v>
      </c>
      <c r="AA11" s="40">
        <v>3305.435591003733</v>
      </c>
      <c r="AB11" s="39">
        <v>989.50739052601114</v>
      </c>
      <c r="AC11" s="40">
        <v>3950.0072779563729</v>
      </c>
      <c r="AD11" s="39">
        <v>987.67095867665887</v>
      </c>
      <c r="AE11" s="40">
        <v>4882.6697837805368</v>
      </c>
      <c r="AF11" s="39">
        <v>986.91783231787258</v>
      </c>
      <c r="AG11" s="40">
        <v>6345.0071192059859</v>
      </c>
      <c r="AH11" s="39">
        <v>988.14208798251173</v>
      </c>
      <c r="AI11" s="40">
        <v>8890.4147457208146</v>
      </c>
      <c r="AJ11" s="39">
        <v>992.00191297612957</v>
      </c>
      <c r="AK11" s="40">
        <v>13935.767939448269</v>
      </c>
      <c r="AL11" s="39">
        <v>997.80868334640252</v>
      </c>
      <c r="AM11" s="40">
        <v>25953.420648150706</v>
      </c>
      <c r="AN11" s="39">
        <v>1003.1982373126017</v>
      </c>
      <c r="AO11" s="40">
        <v>67313.446074328036</v>
      </c>
      <c r="AP11" s="39">
        <v>1003.8555079256337</v>
      </c>
      <c r="AQ11" s="40">
        <v>88056.200899981879</v>
      </c>
      <c r="AR11" s="39">
        <v>1004.2010777903805</v>
      </c>
      <c r="AS11" s="40">
        <v>120704.02648780106</v>
      </c>
      <c r="AT11" s="39">
        <v>1004.062673155472</v>
      </c>
      <c r="AU11" s="40">
        <v>176967.47052907836</v>
      </c>
      <c r="AV11" s="39">
        <v>1003.1063398367834</v>
      </c>
      <c r="AW11" s="40">
        <v>288344.86857797898</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998.31382619106239</v>
      </c>
      <c r="E13" s="94">
        <v>998.31382619106239</v>
      </c>
      <c r="F13" s="93">
        <v>996.30623271780951</v>
      </c>
      <c r="G13" s="94">
        <v>996.30623271780951</v>
      </c>
      <c r="H13" s="93">
        <v>993.93026200470661</v>
      </c>
      <c r="I13" s="94">
        <v>993.93026200470661</v>
      </c>
      <c r="J13" s="93">
        <v>991.12905279862457</v>
      </c>
      <c r="K13" s="94">
        <v>991.12905279862457</v>
      </c>
      <c r="L13" s="93">
        <v>987.83305415810139</v>
      </c>
      <c r="M13" s="94">
        <v>987.83305415810139</v>
      </c>
      <c r="N13" s="93">
        <v>983.95597382972051</v>
      </c>
      <c r="O13" s="94">
        <v>983.95597382972051</v>
      </c>
      <c r="P13" s="93">
        <v>979.38918334614982</v>
      </c>
      <c r="Q13" s="94">
        <v>979.38918334614982</v>
      </c>
      <c r="R13" s="93">
        <v>973.99339905159036</v>
      </c>
      <c r="S13" s="94">
        <v>973.99339905159036</v>
      </c>
      <c r="T13" s="93">
        <v>967.58577755846875</v>
      </c>
      <c r="U13" s="94">
        <v>967.58577755846875</v>
      </c>
      <c r="V13" s="93">
        <v>959.9193997474315</v>
      </c>
      <c r="W13" s="94">
        <v>959.9193997474315</v>
      </c>
      <c r="X13" s="93">
        <v>950.64865983978291</v>
      </c>
      <c r="Y13" s="94">
        <v>950.64865983978291</v>
      </c>
      <c r="Z13" s="93">
        <v>939.26754677875147</v>
      </c>
      <c r="AA13" s="94">
        <v>939.26754677875147</v>
      </c>
      <c r="AB13" s="93">
        <v>924.99241620515193</v>
      </c>
      <c r="AC13" s="94">
        <v>924.99241620515193</v>
      </c>
      <c r="AD13" s="93">
        <v>906.52409319382036</v>
      </c>
      <c r="AE13" s="94">
        <v>906.52409319382036</v>
      </c>
      <c r="AF13" s="93">
        <v>881.53474665955605</v>
      </c>
      <c r="AG13" s="94">
        <v>881.53474665955605</v>
      </c>
      <c r="AH13" s="93">
        <v>845.51251214644174</v>
      </c>
      <c r="AI13" s="94">
        <v>845.51251214644174</v>
      </c>
      <c r="AJ13" s="93">
        <v>789.03461159158178</v>
      </c>
      <c r="AK13" s="94">
        <v>789.03461159158178</v>
      </c>
      <c r="AL13" s="93">
        <v>690.08754170593045</v>
      </c>
      <c r="AM13" s="94">
        <v>690.08754170593045</v>
      </c>
      <c r="AN13" s="93">
        <v>483.51463623080127</v>
      </c>
      <c r="AO13" s="94">
        <v>483.51463623080127</v>
      </c>
      <c r="AP13" s="93">
        <v>413.91442454927812</v>
      </c>
      <c r="AQ13" s="94">
        <v>413.91442454927812</v>
      </c>
      <c r="AR13" s="93">
        <v>327.69670884874284</v>
      </c>
      <c r="AS13" s="94">
        <v>327.69670884874284</v>
      </c>
      <c r="AT13" s="93">
        <v>220.57541786878039</v>
      </c>
      <c r="AU13" s="94">
        <v>220.57541786878039</v>
      </c>
      <c r="AV13" s="93">
        <v>93.694365419888271</v>
      </c>
      <c r="AW13" s="94">
        <v>93.694365419888271</v>
      </c>
    </row>
    <row r="14" spans="1:49" x14ac:dyDescent="0.2">
      <c r="A14" t="s">
        <v>36</v>
      </c>
      <c r="B14" s="39">
        <v>1457.0034251455234</v>
      </c>
      <c r="C14" s="40">
        <v>1457.0034251455236</v>
      </c>
      <c r="D14" s="39">
        <v>1454.5466641305104</v>
      </c>
      <c r="E14" s="40">
        <v>1454.5466641305106</v>
      </c>
      <c r="F14" s="39">
        <v>1451.6215935636812</v>
      </c>
      <c r="G14" s="40">
        <v>1451.6215935636815</v>
      </c>
      <c r="H14" s="39">
        <v>1448.1597960966449</v>
      </c>
      <c r="I14" s="40">
        <v>1448.1597960966451</v>
      </c>
      <c r="J14" s="39">
        <v>1444.0784246888343</v>
      </c>
      <c r="K14" s="40">
        <v>1444.0784246888345</v>
      </c>
      <c r="L14" s="39">
        <v>1439.2761433803169</v>
      </c>
      <c r="M14" s="40">
        <v>1439.2761433803171</v>
      </c>
      <c r="N14" s="39">
        <v>1433.6272240623016</v>
      </c>
      <c r="O14" s="40">
        <v>1433.6272240623018</v>
      </c>
      <c r="P14" s="39">
        <v>1426.9733946858171</v>
      </c>
      <c r="Q14" s="40">
        <v>1426.9733946858173</v>
      </c>
      <c r="R14" s="39">
        <v>1419.1117184872976</v>
      </c>
      <c r="S14" s="40">
        <v>1419.1117184872978</v>
      </c>
      <c r="T14" s="39">
        <v>1409.7757920247834</v>
      </c>
      <c r="U14" s="40">
        <v>1409.7757920247836</v>
      </c>
      <c r="V14" s="39">
        <v>1398.6058532956424</v>
      </c>
      <c r="W14" s="40">
        <v>1398.6058532956426</v>
      </c>
      <c r="X14" s="39">
        <v>1385.0983534965651</v>
      </c>
      <c r="Y14" s="40">
        <v>1385.0983534965653</v>
      </c>
      <c r="Z14" s="39">
        <v>1368.5160327846738</v>
      </c>
      <c r="AA14" s="40">
        <v>1368.5160327846741</v>
      </c>
      <c r="AB14" s="39">
        <v>1347.7171186445398</v>
      </c>
      <c r="AC14" s="40">
        <v>1347.7171186445401</v>
      </c>
      <c r="AD14" s="39">
        <v>1320.8087087603358</v>
      </c>
      <c r="AE14" s="40">
        <v>1320.808708760336</v>
      </c>
      <c r="AF14" s="39">
        <v>1284.3991452677642</v>
      </c>
      <c r="AG14" s="40">
        <v>1284.3991452677644</v>
      </c>
      <c r="AH14" s="39">
        <v>1231.9146262007614</v>
      </c>
      <c r="AI14" s="40">
        <v>1231.9146262007616</v>
      </c>
      <c r="AJ14" s="39">
        <v>1149.6261316473021</v>
      </c>
      <c r="AK14" s="40">
        <v>1149.6261316473024</v>
      </c>
      <c r="AL14" s="39">
        <v>1005.4599119157948</v>
      </c>
      <c r="AM14" s="40">
        <v>1005.4599119157949</v>
      </c>
      <c r="AN14" s="39">
        <v>704.48248109626923</v>
      </c>
      <c r="AO14" s="40">
        <v>704.48248109626934</v>
      </c>
      <c r="AP14" s="39">
        <v>603.07473428543653</v>
      </c>
      <c r="AQ14" s="40">
        <v>603.07473428543653</v>
      </c>
      <c r="AR14" s="39">
        <v>477.4552272015336</v>
      </c>
      <c r="AS14" s="40">
        <v>477.45522720153372</v>
      </c>
      <c r="AT14" s="39">
        <v>321.37913933771807</v>
      </c>
      <c r="AU14" s="40">
        <v>321.37913933771813</v>
      </c>
      <c r="AV14" s="39">
        <v>136.51301133361349</v>
      </c>
      <c r="AW14" s="40">
        <v>136.51301133361352</v>
      </c>
    </row>
    <row r="15" spans="1:49" x14ac:dyDescent="0.2">
      <c r="A15" t="s">
        <v>18</v>
      </c>
      <c r="B15" s="144">
        <v>1000</v>
      </c>
      <c r="C15" s="145">
        <v>1000</v>
      </c>
      <c r="D15" s="144">
        <v>992.4402831331987</v>
      </c>
      <c r="E15" s="145">
        <v>992.4402831331987</v>
      </c>
      <c r="F15" s="144">
        <v>984.6042470144896</v>
      </c>
      <c r="G15" s="145">
        <v>984.6042470144896</v>
      </c>
      <c r="H15" s="144">
        <v>976.44889206102675</v>
      </c>
      <c r="I15" s="145">
        <v>976.44889206102675</v>
      </c>
      <c r="J15" s="144">
        <v>967.92290099000866</v>
      </c>
      <c r="K15" s="145">
        <v>967.92290099000866</v>
      </c>
      <c r="L15" s="144">
        <v>958.96453956507207</v>
      </c>
      <c r="M15" s="145">
        <v>958.96453956507207</v>
      </c>
      <c r="N15" s="144">
        <v>949.49897134999867</v>
      </c>
      <c r="O15" s="145">
        <v>949.49897134999867</v>
      </c>
      <c r="P15" s="144">
        <v>939.43436060546469</v>
      </c>
      <c r="Q15" s="145">
        <v>939.43436060546469</v>
      </c>
      <c r="R15" s="144">
        <v>928.65629644539001</v>
      </c>
      <c r="S15" s="145">
        <v>928.65629644539001</v>
      </c>
      <c r="T15" s="144">
        <v>917.01933680731577</v>
      </c>
      <c r="U15" s="145">
        <v>917.01933680731577</v>
      </c>
      <c r="V15" s="144">
        <v>904.33329702158289</v>
      </c>
      <c r="W15" s="145">
        <v>904.33329702158289</v>
      </c>
      <c r="X15" s="144">
        <v>890.33953019737953</v>
      </c>
      <c r="Y15" s="145">
        <v>890.33953019737953</v>
      </c>
      <c r="Z15" s="144">
        <v>874.666798325218</v>
      </c>
      <c r="AA15" s="145">
        <v>874.666798325218</v>
      </c>
      <c r="AB15" s="144">
        <v>856.74214090708085</v>
      </c>
      <c r="AC15" s="145">
        <v>856.74214090708085</v>
      </c>
      <c r="AD15" s="144">
        <v>835.59488910964353</v>
      </c>
      <c r="AE15" s="145">
        <v>835.59488910964353</v>
      </c>
      <c r="AF15" s="144">
        <v>809.3916923446493</v>
      </c>
      <c r="AG15" s="145">
        <v>809.3916923446493</v>
      </c>
      <c r="AH15" s="144">
        <v>774.29129951534208</v>
      </c>
      <c r="AI15" s="145">
        <v>774.29129951534208</v>
      </c>
      <c r="AJ15" s="144">
        <v>721.67801498584311</v>
      </c>
      <c r="AK15" s="145">
        <v>721.67801498584311</v>
      </c>
      <c r="AL15" s="144">
        <v>630.96617566838415</v>
      </c>
      <c r="AM15" s="145">
        <v>630.96617566838415</v>
      </c>
      <c r="AN15" s="144">
        <v>442.07377144577237</v>
      </c>
      <c r="AO15" s="145">
        <v>442.07377144577237</v>
      </c>
      <c r="AP15" s="144">
        <v>378.4385942555877</v>
      </c>
      <c r="AQ15" s="145">
        <v>378.4385942555877</v>
      </c>
      <c r="AR15" s="144">
        <v>299.61037209944391</v>
      </c>
      <c r="AS15" s="145">
        <v>299.61037209944391</v>
      </c>
      <c r="AT15" s="144">
        <v>201.67025511880055</v>
      </c>
      <c r="AU15" s="145">
        <v>201.67025511880055</v>
      </c>
      <c r="AV15" s="144">
        <v>85.663971605047166</v>
      </c>
      <c r="AW15" s="145">
        <v>85.663971605047166</v>
      </c>
    </row>
    <row r="16" spans="1:49" s="27" customFormat="1" x14ac:dyDescent="0.2">
      <c r="A16" t="s">
        <v>61</v>
      </c>
      <c r="B16" s="39">
        <v>1000</v>
      </c>
      <c r="C16" s="40">
        <v>1000</v>
      </c>
      <c r="D16" s="39">
        <v>995.57051306000903</v>
      </c>
      <c r="E16" s="40">
        <v>994.11621456836178</v>
      </c>
      <c r="F16" s="39">
        <v>990.83808756274266</v>
      </c>
      <c r="G16" s="40">
        <v>987.94218155301155</v>
      </c>
      <c r="H16" s="39">
        <v>985.75763621391582</v>
      </c>
      <c r="I16" s="40">
        <v>981.43377987240115</v>
      </c>
      <c r="J16" s="39">
        <v>980.27491145505428</v>
      </c>
      <c r="K16" s="40">
        <v>974.53811930560471</v>
      </c>
      <c r="L16" s="39">
        <v>974.32404386388373</v>
      </c>
      <c r="M16" s="40">
        <v>967.19124679141078</v>
      </c>
      <c r="N16" s="39">
        <v>967.82413357266989</v>
      </c>
      <c r="O16" s="40">
        <v>959.31507329208978</v>
      </c>
      <c r="P16" s="39">
        <v>960.6744588506607</v>
      </c>
      <c r="Q16" s="40">
        <v>950.81299659120282</v>
      </c>
      <c r="R16" s="39">
        <v>952.7474548820386</v>
      </c>
      <c r="S16" s="40">
        <v>941.5635495067919</v>
      </c>
      <c r="T16" s="39">
        <v>943.87791443844799</v>
      </c>
      <c r="U16" s="40">
        <v>931.41068600305289</v>
      </c>
      <c r="V16" s="39">
        <v>933.84569692444313</v>
      </c>
      <c r="W16" s="40">
        <v>920.14814733440835</v>
      </c>
      <c r="X16" s="39">
        <v>922.34628130828696</v>
      </c>
      <c r="Y16" s="40">
        <v>907.49266671124883</v>
      </c>
      <c r="Z16" s="39">
        <v>908.9373890247191</v>
      </c>
      <c r="AA16" s="40">
        <v>893.03487351419312</v>
      </c>
      <c r="AB16" s="39">
        <v>892.93507710436563</v>
      </c>
      <c r="AC16" s="40">
        <v>876.14222677030955</v>
      </c>
      <c r="AD16" s="39">
        <v>873.1956916073035</v>
      </c>
      <c r="AE16" s="40">
        <v>855.75118451849858</v>
      </c>
      <c r="AF16" s="39">
        <v>847.62546612124993</v>
      </c>
      <c r="AG16" s="40">
        <v>829.88858762393932</v>
      </c>
      <c r="AH16" s="39">
        <v>812.02958377381492</v>
      </c>
      <c r="AI16" s="40">
        <v>794.52341613511885</v>
      </c>
      <c r="AJ16" s="39">
        <v>757.36543422809473</v>
      </c>
      <c r="AK16" s="40">
        <v>740.81100924948487</v>
      </c>
      <c r="AL16" s="39">
        <v>662.28959954775428</v>
      </c>
      <c r="AM16" s="40">
        <v>647.75960398212487</v>
      </c>
      <c r="AN16" s="39">
        <v>464.0297297391989</v>
      </c>
      <c r="AO16" s="40">
        <v>453.84502741901269</v>
      </c>
      <c r="AP16" s="39">
        <v>397.23419181371497</v>
      </c>
      <c r="AQ16" s="40">
        <v>388.51548493006703</v>
      </c>
      <c r="AR16" s="39">
        <v>314.49091104496495</v>
      </c>
      <c r="AS16" s="40">
        <v>307.58828100740243</v>
      </c>
      <c r="AT16" s="39">
        <v>211.68647801895864</v>
      </c>
      <c r="AU16" s="40">
        <v>207.04025645280853</v>
      </c>
      <c r="AV16" s="39">
        <v>89.918587945452273</v>
      </c>
      <c r="AW16" s="40">
        <v>87.945000658982863</v>
      </c>
    </row>
    <row r="17" spans="1:49" x14ac:dyDescent="0.2">
      <c r="A17" t="s">
        <v>62</v>
      </c>
      <c r="B17" s="33">
        <v>1000.0000000000002</v>
      </c>
      <c r="C17" s="34">
        <v>999.99999999999977</v>
      </c>
      <c r="D17" s="33">
        <v>998.5930120095868</v>
      </c>
      <c r="E17" s="34">
        <v>1033.9127284570257</v>
      </c>
      <c r="F17" s="33">
        <v>997.14275373810176</v>
      </c>
      <c r="G17" s="34">
        <v>1072.0217346900076</v>
      </c>
      <c r="H17" s="33">
        <v>995.6418484106299</v>
      </c>
      <c r="I17" s="34">
        <v>1115.1012263442633</v>
      </c>
      <c r="J17" s="33">
        <v>994.08187910139929</v>
      </c>
      <c r="K17" s="34">
        <v>1164.1273368974228</v>
      </c>
      <c r="L17" s="33">
        <v>992.45346304045836</v>
      </c>
      <c r="M17" s="34">
        <v>1220.3501706846089</v>
      </c>
      <c r="N17" s="33">
        <v>990.74655548408487</v>
      </c>
      <c r="O17" s="34">
        <v>1285.4011679080327</v>
      </c>
      <c r="P17" s="33">
        <v>988.95113343495484</v>
      </c>
      <c r="Q17" s="34">
        <v>1361.4563131764949</v>
      </c>
      <c r="R17" s="33">
        <v>987.0586395671138</v>
      </c>
      <c r="S17" s="34">
        <v>1451.4949544967371</v>
      </c>
      <c r="T17" s="33">
        <v>985.06480847806404</v>
      </c>
      <c r="U17" s="34">
        <v>1559.7281761615366</v>
      </c>
      <c r="V17" s="33">
        <v>982.9750514211845</v>
      </c>
      <c r="W17" s="34">
        <v>1692.3392432845462</v>
      </c>
      <c r="X17" s="33">
        <v>980.81475161972492</v>
      </c>
      <c r="Y17" s="34">
        <v>1858.8392359886595</v>
      </c>
      <c r="Z17" s="33">
        <v>978.64892694114076</v>
      </c>
      <c r="AA17" s="34">
        <v>2074.7073103009016</v>
      </c>
      <c r="AB17" s="33">
        <v>976.61952025399603</v>
      </c>
      <c r="AC17" s="34">
        <v>2366.9111150538993</v>
      </c>
      <c r="AD17" s="33">
        <v>975.01264276537393</v>
      </c>
      <c r="AE17" s="34">
        <v>2786.3784960336652</v>
      </c>
      <c r="AF17" s="33">
        <v>974.35439673385167</v>
      </c>
      <c r="AG17" s="34">
        <v>3438.4111707326147</v>
      </c>
      <c r="AH17" s="33">
        <v>975.424637633614</v>
      </c>
      <c r="AI17" s="34">
        <v>4562.3799685626909</v>
      </c>
      <c r="AJ17" s="33">
        <v>978.80629975083434</v>
      </c>
      <c r="AK17" s="34">
        <v>6766.1358604996476</v>
      </c>
      <c r="AL17" s="33">
        <v>983.91476441743362</v>
      </c>
      <c r="AM17" s="34">
        <v>11957.623019798915</v>
      </c>
      <c r="AN17" s="33">
        <v>988.67857944388879</v>
      </c>
      <c r="AO17" s="34">
        <v>29662.713516776934</v>
      </c>
      <c r="AP17" s="33">
        <v>989.26100263249316</v>
      </c>
      <c r="AQ17" s="34">
        <v>38516.727418360104</v>
      </c>
      <c r="AR17" s="33">
        <v>989.56734712084415</v>
      </c>
      <c r="AS17" s="34">
        <v>52443.754569151562</v>
      </c>
      <c r="AT17" s="33">
        <v>989.44464212233027</v>
      </c>
      <c r="AU17" s="34">
        <v>76439.976353280887</v>
      </c>
      <c r="AV17" s="33">
        <v>988.59717215981163</v>
      </c>
      <c r="AW17" s="34">
        <v>123963.1762414635</v>
      </c>
    </row>
    <row r="18" spans="1:49" x14ac:dyDescent="0.2">
      <c r="A18" t="s">
        <v>19</v>
      </c>
      <c r="B18" s="31">
        <v>27857.010133999996</v>
      </c>
      <c r="C18" s="32">
        <v>1236.7674480000003</v>
      </c>
      <c r="D18" s="31">
        <v>27866.203436770349</v>
      </c>
      <c r="E18" s="32">
        <v>1149.8668683305827</v>
      </c>
      <c r="F18" s="31">
        <v>27871.620622068152</v>
      </c>
      <c r="G18" s="32">
        <v>1063.0158316758348</v>
      </c>
      <c r="H18" s="31">
        <v>27872.694611614745</v>
      </c>
      <c r="I18" s="32">
        <v>976.2391252894131</v>
      </c>
      <c r="J18" s="31">
        <v>27868.725707759302</v>
      </c>
      <c r="K18" s="32">
        <v>889.57617793700763</v>
      </c>
      <c r="L18" s="31">
        <v>27858.836575983965</v>
      </c>
      <c r="M18" s="32">
        <v>803.08861578031542</v>
      </c>
      <c r="N18" s="31">
        <v>27841.903718811252</v>
      </c>
      <c r="O18" s="32">
        <v>716.87511765554746</v>
      </c>
      <c r="P18" s="31">
        <v>27816.457090329386</v>
      </c>
      <c r="Q18" s="32">
        <v>631.09042097321128</v>
      </c>
      <c r="R18" s="31">
        <v>27780.523376609082</v>
      </c>
      <c r="S18" s="32">
        <v>545.97594476652455</v>
      </c>
      <c r="T18" s="31">
        <v>27731.372745430519</v>
      </c>
      <c r="U18" s="32">
        <v>461.90888014062443</v>
      </c>
      <c r="V18" s="81">
        <v>27665.099859422568</v>
      </c>
      <c r="W18" s="82">
        <v>379.47623325791426</v>
      </c>
      <c r="X18" s="31">
        <v>27575.897033691846</v>
      </c>
      <c r="Y18" s="32">
        <v>299.58971659298493</v>
      </c>
      <c r="Z18" s="31">
        <v>27454.737498622457</v>
      </c>
      <c r="AA18" s="32">
        <v>223.66080016823622</v>
      </c>
      <c r="AB18" s="31">
        <v>27286.879370656563</v>
      </c>
      <c r="AC18" s="32">
        <v>153.84993731756245</v>
      </c>
      <c r="AD18" s="31">
        <v>27046.94740633238</v>
      </c>
      <c r="AE18" s="32">
        <v>93.34235036455388</v>
      </c>
      <c r="AF18" s="31">
        <v>26689.092928968676</v>
      </c>
      <c r="AG18" s="32">
        <v>46.321672816353463</v>
      </c>
      <c r="AH18" s="31">
        <v>26127.591836870037</v>
      </c>
      <c r="AI18" s="32">
        <v>16.553665017929692</v>
      </c>
      <c r="AJ18" s="31">
        <v>25194.849294729473</v>
      </c>
      <c r="AK18" s="32">
        <v>3.4929507843498753</v>
      </c>
      <c r="AL18" s="31">
        <v>23496.539493411696</v>
      </c>
      <c r="AM18" s="32">
        <v>0.31542508252533669</v>
      </c>
      <c r="AN18" s="31">
        <v>19616.769952426217</v>
      </c>
      <c r="AO18" s="32">
        <v>5.3795559328021813E-3</v>
      </c>
      <c r="AP18" s="31">
        <v>18144.30896678735</v>
      </c>
      <c r="AQ18" s="32">
        <v>1.5904296196701246E-3</v>
      </c>
      <c r="AR18" s="31">
        <v>16141.686315331011</v>
      </c>
      <c r="AS18" s="32">
        <v>3.6437722694209477E-4</v>
      </c>
      <c r="AT18" s="31">
        <v>13244.03664822626</v>
      </c>
      <c r="AU18" s="32">
        <v>5.6463389517137869E-5</v>
      </c>
      <c r="AV18" s="31">
        <v>8635.7227432041182</v>
      </c>
      <c r="AW18" s="32">
        <v>4.2778405118912151E-6</v>
      </c>
    </row>
    <row r="19" spans="1:49" x14ac:dyDescent="0.2">
      <c r="A19" t="s">
        <v>3</v>
      </c>
      <c r="B19" s="39">
        <v>1886.3937399999918</v>
      </c>
      <c r="C19" s="40">
        <v>262.78711299999759</v>
      </c>
      <c r="D19" s="39">
        <v>1880.0112000106444</v>
      </c>
      <c r="E19" s="40">
        <v>269.50251590708268</v>
      </c>
      <c r="F19" s="39">
        <v>1873.1589369085207</v>
      </c>
      <c r="G19" s="40">
        <v>277.18731792511147</v>
      </c>
      <c r="H19" s="39">
        <v>1865.7654763900896</v>
      </c>
      <c r="I19" s="40">
        <v>285.96501778592489</v>
      </c>
      <c r="J19" s="39">
        <v>1857.7462447270702</v>
      </c>
      <c r="K19" s="40">
        <v>295.97235521008247</v>
      </c>
      <c r="L19" s="39">
        <v>1849.0013031872204</v>
      </c>
      <c r="M19" s="40">
        <v>307.35667518121062</v>
      </c>
      <c r="N19" s="39">
        <v>1839.4127589949985</v>
      </c>
      <c r="O19" s="40">
        <v>320.26982541411786</v>
      </c>
      <c r="P19" s="39">
        <v>1828.8422312707282</v>
      </c>
      <c r="Q19" s="40">
        <v>334.85461930097864</v>
      </c>
      <c r="R19" s="39">
        <v>1817.1286234936274</v>
      </c>
      <c r="S19" s="40">
        <v>351.21854783709256</v>
      </c>
      <c r="T19" s="39">
        <v>1804.0867500779775</v>
      </c>
      <c r="U19" s="40">
        <v>369.38478174703857</v>
      </c>
      <c r="V19" s="39">
        <v>1789.5083512132605</v>
      </c>
      <c r="W19" s="40">
        <v>389.19891692293146</v>
      </c>
      <c r="X19" s="39">
        <v>1773.1676250856613</v>
      </c>
      <c r="Y19" s="40">
        <v>410.15512853508801</v>
      </c>
      <c r="Z19" s="39">
        <v>1754.8344447144686</v>
      </c>
      <c r="AA19" s="40">
        <v>431.06800499815779</v>
      </c>
      <c r="AB19" s="39">
        <v>1734.2951752765982</v>
      </c>
      <c r="AC19" s="40">
        <v>449.45797984386462</v>
      </c>
      <c r="AD19" s="39">
        <v>1711.351468727283</v>
      </c>
      <c r="AE19" s="40">
        <v>460.46571148325273</v>
      </c>
      <c r="AF19" s="39">
        <v>1685.599967282654</v>
      </c>
      <c r="AG19" s="40">
        <v>455.35176103860186</v>
      </c>
      <c r="AH19" s="39">
        <v>1655.0860024640356</v>
      </c>
      <c r="AI19" s="40">
        <v>421.3824806568291</v>
      </c>
      <c r="AJ19" s="39">
        <v>1611.0910722737642</v>
      </c>
      <c r="AK19" s="40">
        <v>348.74049350245463</v>
      </c>
      <c r="AL19" s="39">
        <v>1523.7866066119066</v>
      </c>
      <c r="AM19" s="40">
        <v>243.35751792284304</v>
      </c>
      <c r="AN19" s="39">
        <v>1288.7880135828284</v>
      </c>
      <c r="AO19" s="40">
        <v>123.12720344480364</v>
      </c>
      <c r="AP19" s="39">
        <v>1193.9301765563898</v>
      </c>
      <c r="AQ19" s="40">
        <v>98.554398176165094</v>
      </c>
      <c r="AR19" s="39">
        <v>1063.0337902247315</v>
      </c>
      <c r="AS19" s="40">
        <v>73.936755827318606</v>
      </c>
      <c r="AT19" s="39">
        <v>871.91571745539682</v>
      </c>
      <c r="AU19" s="40">
        <v>49.297653686526296</v>
      </c>
      <c r="AV19" s="39">
        <v>567.22704587911596</v>
      </c>
      <c r="AW19" s="40">
        <v>24.650061905321216</v>
      </c>
    </row>
    <row r="20" spans="1:49" x14ac:dyDescent="0.2">
      <c r="A20" t="s">
        <v>114</v>
      </c>
      <c r="B20" s="79">
        <v>26548.356269999993</v>
      </c>
      <c r="C20" s="80">
        <v>1408.5418709999938</v>
      </c>
      <c r="D20" s="79">
        <v>26540.650108917936</v>
      </c>
      <c r="E20" s="80">
        <v>1338.1147774499941</v>
      </c>
      <c r="F20" s="79">
        <v>26528.759254310939</v>
      </c>
      <c r="G20" s="80">
        <v>1267.6876838999945</v>
      </c>
      <c r="H20" s="79">
        <v>26512.056210284885</v>
      </c>
      <c r="I20" s="80">
        <v>1197.2605903499946</v>
      </c>
      <c r="J20" s="79">
        <v>26489.775062971708</v>
      </c>
      <c r="K20" s="80">
        <v>1126.8334967999951</v>
      </c>
      <c r="L20" s="79">
        <v>26460.969931279538</v>
      </c>
      <c r="M20" s="80">
        <v>1056.4064032499953</v>
      </c>
      <c r="N20" s="79">
        <v>26424.454024420578</v>
      </c>
      <c r="O20" s="80">
        <v>985.97930969999561</v>
      </c>
      <c r="P20" s="79">
        <v>26378.713799306868</v>
      </c>
      <c r="Q20" s="80">
        <v>915.55221614999596</v>
      </c>
      <c r="R20" s="79">
        <v>26321.779789528926</v>
      </c>
      <c r="S20" s="80">
        <v>845.12512259999642</v>
      </c>
      <c r="T20" s="79">
        <v>26251.024408650261</v>
      </c>
      <c r="U20" s="80">
        <v>774.69802904999653</v>
      </c>
      <c r="V20" s="79">
        <v>26162.837320165003</v>
      </c>
      <c r="W20" s="80">
        <v>704.27093549999688</v>
      </c>
      <c r="X20" s="79">
        <v>26052.074450078777</v>
      </c>
      <c r="Y20" s="80">
        <v>633.84384194999734</v>
      </c>
      <c r="Z20" s="79">
        <v>25911.071799578895</v>
      </c>
      <c r="AA20" s="80">
        <v>563.41674839999757</v>
      </c>
      <c r="AB20" s="79">
        <v>25727.769197654634</v>
      </c>
      <c r="AC20" s="80">
        <v>492.98965484999775</v>
      </c>
      <c r="AD20" s="79">
        <v>25481.902138643265</v>
      </c>
      <c r="AE20" s="80">
        <v>422.56256129999798</v>
      </c>
      <c r="AF20" s="79">
        <v>25136.784474141776</v>
      </c>
      <c r="AG20" s="80">
        <v>352.13546774999827</v>
      </c>
      <c r="AH20" s="79">
        <v>24620.619147527756</v>
      </c>
      <c r="AI20" s="80">
        <v>281.70837419999856</v>
      </c>
      <c r="AJ20" s="79">
        <v>23780.023058718918</v>
      </c>
      <c r="AK20" s="80">
        <v>211.28128064999879</v>
      </c>
      <c r="AL20" s="79">
        <v>22230.375245652536</v>
      </c>
      <c r="AM20" s="80">
        <v>140.85418709999902</v>
      </c>
      <c r="AN20" s="79">
        <v>18600.523490143754</v>
      </c>
      <c r="AO20" s="80">
        <v>70.42709354999927</v>
      </c>
      <c r="AP20" s="79">
        <v>17208.923989724266</v>
      </c>
      <c r="AQ20" s="80">
        <v>56.341674839999328</v>
      </c>
      <c r="AR20" s="79">
        <v>15311.682067595833</v>
      </c>
      <c r="AS20" s="80">
        <v>42.256256129999379</v>
      </c>
      <c r="AT20" s="79">
        <v>12562.326070897472</v>
      </c>
      <c r="AU20" s="80">
        <v>28.170837419999433</v>
      </c>
      <c r="AV20" s="79">
        <v>8188.0442186457512</v>
      </c>
      <c r="AW20" s="80">
        <v>14.08541870999948</v>
      </c>
    </row>
    <row r="21" spans="1:49" x14ac:dyDescent="0.2">
      <c r="A21" t="s">
        <v>76</v>
      </c>
      <c r="B21" s="79">
        <v>24661.962529999968</v>
      </c>
      <c r="C21" s="80">
        <v>1145.7547579999991</v>
      </c>
      <c r="D21" s="79">
        <v>24660.643775163131</v>
      </c>
      <c r="E21" s="80">
        <v>1068.84792125897</v>
      </c>
      <c r="F21" s="79">
        <v>24655.620402808745</v>
      </c>
      <c r="G21" s="80">
        <v>991.51160130148105</v>
      </c>
      <c r="H21" s="79">
        <v>24646.337497113225</v>
      </c>
      <c r="I21" s="80">
        <v>913.74319307517078</v>
      </c>
      <c r="J21" s="79">
        <v>24632.115099436694</v>
      </c>
      <c r="K21" s="80">
        <v>835.55540452611251</v>
      </c>
      <c r="L21" s="79">
        <v>24612.108978903052</v>
      </c>
      <c r="M21" s="80">
        <v>756.98541685438352</v>
      </c>
      <c r="N21" s="79">
        <v>24585.252324774036</v>
      </c>
      <c r="O21" s="80">
        <v>678.10835712053029</v>
      </c>
      <c r="P21" s="79">
        <v>24550.172450982267</v>
      </c>
      <c r="Q21" s="80">
        <v>599.05821863742074</v>
      </c>
      <c r="R21" s="79">
        <v>24505.063779180455</v>
      </c>
      <c r="S21" s="80">
        <v>520.05956935755353</v>
      </c>
      <c r="T21" s="79">
        <v>24447.486744850226</v>
      </c>
      <c r="U21" s="80">
        <v>441.47549969259501</v>
      </c>
      <c r="V21" s="79">
        <v>24374.041457342788</v>
      </c>
      <c r="W21" s="80">
        <v>363.88238084072623</v>
      </c>
      <c r="X21" s="79">
        <v>24279.809603604997</v>
      </c>
      <c r="Y21" s="80">
        <v>288.1841574254571</v>
      </c>
      <c r="Z21" s="79">
        <v>24157.351700322797</v>
      </c>
      <c r="AA21" s="80">
        <v>215.78597174870649</v>
      </c>
      <c r="AB21" s="79">
        <v>23994.803386609765</v>
      </c>
      <c r="AC21" s="80">
        <v>148.84122801367701</v>
      </c>
      <c r="AD21" s="79">
        <v>23772.056847903099</v>
      </c>
      <c r="AE21" s="80">
        <v>90.525631715185611</v>
      </c>
      <c r="AF21" s="79">
        <v>23452.750588172545</v>
      </c>
      <c r="AG21" s="80">
        <v>45.017150225967356</v>
      </c>
      <c r="AH21" s="79">
        <v>22966.940264144239</v>
      </c>
      <c r="AI21" s="80">
        <v>16.112772641264062</v>
      </c>
      <c r="AJ21" s="79">
        <v>22169.93951150358</v>
      </c>
      <c r="AK21" s="80">
        <v>3.4032228254745474</v>
      </c>
      <c r="AL21" s="79">
        <v>20707.128573022714</v>
      </c>
      <c r="AM21" s="80">
        <v>0.30745366239805189</v>
      </c>
      <c r="AN21" s="79">
        <v>17311.958291591422</v>
      </c>
      <c r="AO21" s="80">
        <v>5.2441724945626452E-3</v>
      </c>
      <c r="AP21" s="79">
        <v>16015.179194320979</v>
      </c>
      <c r="AQ21" s="80">
        <v>1.5504115927894302E-3</v>
      </c>
      <c r="AR21" s="79">
        <v>14248.803900575365</v>
      </c>
      <c r="AS21" s="80">
        <v>3.5520972581203856E-4</v>
      </c>
      <c r="AT21" s="79">
        <v>11690.541068901244</v>
      </c>
      <c r="AU21" s="80">
        <v>5.5042879277193853E-5</v>
      </c>
      <c r="AV21" s="79">
        <v>7620.9166801703259</v>
      </c>
      <c r="AW21" s="80">
        <v>4.1702210378159793E-6</v>
      </c>
    </row>
    <row r="22" spans="1:49" x14ac:dyDescent="0.2">
      <c r="A22" t="s">
        <v>28</v>
      </c>
      <c r="B22" s="39">
        <v>6533.6044688320662</v>
      </c>
      <c r="C22" s="40">
        <v>379.90788307663382</v>
      </c>
      <c r="D22" s="39">
        <v>6534.6353871603287</v>
      </c>
      <c r="E22" s="40">
        <v>364.6719847681394</v>
      </c>
      <c r="F22" s="39">
        <v>6534.1152123878128</v>
      </c>
      <c r="G22" s="40">
        <v>349.20181596620858</v>
      </c>
      <c r="H22" s="39">
        <v>6531.8180720954615</v>
      </c>
      <c r="I22" s="40">
        <v>333.49099951244796</v>
      </c>
      <c r="J22" s="39">
        <v>6527.4695253975387</v>
      </c>
      <c r="K22" s="40">
        <v>317.5316791003483</v>
      </c>
      <c r="L22" s="39">
        <v>6520.7325447501971</v>
      </c>
      <c r="M22" s="40">
        <v>301.31376576925391</v>
      </c>
      <c r="N22" s="39">
        <v>6511.1871530456638</v>
      </c>
      <c r="O22" s="40">
        <v>284.82357280989117</v>
      </c>
      <c r="P22" s="39">
        <v>6498.3022388070804</v>
      </c>
      <c r="Q22" s="40">
        <v>268.04205016026742</v>
      </c>
      <c r="R22" s="39">
        <v>6481.3939131110637</v>
      </c>
      <c r="S22" s="40">
        <v>250.9420310815662</v>
      </c>
      <c r="T22" s="39">
        <v>6459.5620053760204</v>
      </c>
      <c r="U22" s="40">
        <v>233.48396304598776</v>
      </c>
      <c r="V22" s="39">
        <v>6431.5896711362902</v>
      </c>
      <c r="W22" s="40">
        <v>215.60983740572487</v>
      </c>
      <c r="X22" s="39">
        <v>6395.7782743215275</v>
      </c>
      <c r="Y22" s="40">
        <v>197.23420453213876</v>
      </c>
      <c r="Z22" s="39">
        <v>6349.6590694169399</v>
      </c>
      <c r="AA22" s="40">
        <v>178.23176545892122</v>
      </c>
      <c r="AB22" s="39">
        <v>6289.4574025446136</v>
      </c>
      <c r="AC22" s="40">
        <v>158.42269506576588</v>
      </c>
      <c r="AD22" s="39">
        <v>6209.0254174387846</v>
      </c>
      <c r="AE22" s="40">
        <v>137.56499130851282</v>
      </c>
      <c r="AF22" s="39">
        <v>6097.5446570196818</v>
      </c>
      <c r="AG22" s="40">
        <v>115.39203924242813</v>
      </c>
      <c r="AH22" s="39">
        <v>5934.2015296615327</v>
      </c>
      <c r="AI22" s="40">
        <v>91.793566914375077</v>
      </c>
      <c r="AJ22" s="39">
        <v>5674.7750343987909</v>
      </c>
      <c r="AK22" s="40">
        <v>67.187602013666023</v>
      </c>
      <c r="AL22" s="39">
        <v>5211.2427892181086</v>
      </c>
      <c r="AM22" s="40">
        <v>42.63482065234853</v>
      </c>
      <c r="AN22" s="39">
        <v>4190.5521405622203</v>
      </c>
      <c r="AO22" s="40">
        <v>19.415730691921002</v>
      </c>
      <c r="AP22" s="39">
        <v>3821.6277636234845</v>
      </c>
      <c r="AQ22" s="40">
        <v>15.076713072247403</v>
      </c>
      <c r="AR22" s="39">
        <v>3336.5623475358348</v>
      </c>
      <c r="AS22" s="40">
        <v>10.896076133359728</v>
      </c>
      <c r="AT22" s="39">
        <v>2666.8727428157495</v>
      </c>
      <c r="AU22" s="40">
        <v>6.9220423036081069</v>
      </c>
      <c r="AV22" s="39">
        <v>1672.0459319659581</v>
      </c>
      <c r="AW22" s="40">
        <v>3.2360899277995134</v>
      </c>
    </row>
    <row r="23" spans="1:49" x14ac:dyDescent="0.2">
      <c r="A23" t="s">
        <v>7</v>
      </c>
      <c r="B23" s="110">
        <v>3278.5018080150408</v>
      </c>
      <c r="C23" s="8">
        <v>0</v>
      </c>
      <c r="D23" s="110">
        <v>3283.975825484707</v>
      </c>
      <c r="E23" s="8">
        <v>0</v>
      </c>
      <c r="F23" s="110">
        <v>3289.0826009728812</v>
      </c>
      <c r="G23" s="8">
        <v>0</v>
      </c>
      <c r="H23" s="110">
        <v>3293.7624926950375</v>
      </c>
      <c r="I23" s="8">
        <v>0</v>
      </c>
      <c r="J23" s="110">
        <v>3297.9421109642021</v>
      </c>
      <c r="K23" s="8">
        <v>0</v>
      </c>
      <c r="L23" s="110">
        <v>3301.5304304718311</v>
      </c>
      <c r="M23" s="8">
        <v>0</v>
      </c>
      <c r="N23" s="110">
        <v>3304.4129895796291</v>
      </c>
      <c r="O23" s="8">
        <v>0</v>
      </c>
      <c r="P23" s="110">
        <v>3306.4443470471033</v>
      </c>
      <c r="Q23" s="8">
        <v>0</v>
      </c>
      <c r="R23" s="110">
        <v>3307.437156602401</v>
      </c>
      <c r="S23" s="8">
        <v>0</v>
      </c>
      <c r="T23" s="110">
        <v>3307.1457843976691</v>
      </c>
      <c r="U23" s="8">
        <v>0</v>
      </c>
      <c r="V23" s="110">
        <v>3305.2416543194217</v>
      </c>
      <c r="W23" s="8">
        <v>0</v>
      </c>
      <c r="X23" s="110">
        <v>3301.2736993590966</v>
      </c>
      <c r="Y23" s="8">
        <v>0</v>
      </c>
      <c r="Z23" s="110">
        <v>3294.6006046945622</v>
      </c>
      <c r="AA23" s="8">
        <v>0</v>
      </c>
      <c r="AB23" s="110">
        <v>3284.2635620531446</v>
      </c>
      <c r="AC23" s="8">
        <v>0</v>
      </c>
      <c r="AD23" s="110">
        <v>3268.7152636937994</v>
      </c>
      <c r="AE23" s="8">
        <v>0</v>
      </c>
      <c r="AF23" s="110">
        <v>3245.1426763756904</v>
      </c>
      <c r="AG23" s="8">
        <v>0</v>
      </c>
      <c r="AH23" s="110">
        <v>3207.4997583465674</v>
      </c>
      <c r="AI23" s="8">
        <v>0</v>
      </c>
      <c r="AJ23" s="110">
        <v>3140.3885126027835</v>
      </c>
      <c r="AK23" s="8">
        <v>0</v>
      </c>
      <c r="AL23" s="110">
        <v>2998.7844063917237</v>
      </c>
      <c r="AM23" s="8">
        <v>0</v>
      </c>
      <c r="AN23" s="110">
        <v>2606.4552345154202</v>
      </c>
      <c r="AO23" s="8">
        <v>0</v>
      </c>
      <c r="AP23" s="110">
        <v>2440.7687201506801</v>
      </c>
      <c r="AQ23" s="8">
        <v>0</v>
      </c>
      <c r="AR23" s="110">
        <v>2204.5426482311445</v>
      </c>
      <c r="AS23" s="8">
        <v>0</v>
      </c>
      <c r="AT23" s="110">
        <v>1844.2401989492096</v>
      </c>
      <c r="AU23" s="8">
        <v>0</v>
      </c>
      <c r="AV23" s="110">
        <v>1234.7148917391078</v>
      </c>
      <c r="AW23" s="8">
        <v>0</v>
      </c>
    </row>
    <row r="24" spans="1:49" x14ac:dyDescent="0.2">
      <c r="A24" t="s">
        <v>8</v>
      </c>
      <c r="B24" s="93">
        <v>3196.3846373657216</v>
      </c>
      <c r="C24" s="8">
        <v>0</v>
      </c>
      <c r="D24" s="93">
        <v>3201.7215461129845</v>
      </c>
      <c r="E24" s="8">
        <v>0</v>
      </c>
      <c r="F24" s="93">
        <v>3206.7004113316225</v>
      </c>
      <c r="G24" s="8">
        <v>0</v>
      </c>
      <c r="H24" s="93">
        <v>3211.2630849720517</v>
      </c>
      <c r="I24" s="8">
        <v>0</v>
      </c>
      <c r="J24" s="93">
        <v>3215.3380161941259</v>
      </c>
      <c r="K24" s="8">
        <v>0</v>
      </c>
      <c r="L24" s="93">
        <v>3218.8364577960619</v>
      </c>
      <c r="M24" s="8">
        <v>0</v>
      </c>
      <c r="N24" s="93">
        <v>3221.6468166189798</v>
      </c>
      <c r="O24" s="8">
        <v>0</v>
      </c>
      <c r="P24" s="93">
        <v>3223.6272946568351</v>
      </c>
      <c r="Q24" s="8">
        <v>0</v>
      </c>
      <c r="R24" s="93">
        <v>3224.5952373542541</v>
      </c>
      <c r="S24" s="8">
        <v>0</v>
      </c>
      <c r="T24" s="93">
        <v>3224.3111631296806</v>
      </c>
      <c r="U24" s="8">
        <v>0</v>
      </c>
      <c r="V24" s="93">
        <v>3222.4547261651251</v>
      </c>
      <c r="W24" s="8">
        <v>0</v>
      </c>
      <c r="X24" s="93">
        <v>3218.5861574517321</v>
      </c>
      <c r="Y24" s="8">
        <v>0</v>
      </c>
      <c r="Z24" s="93">
        <v>3212.0802051440628</v>
      </c>
      <c r="AA24" s="8">
        <v>0</v>
      </c>
      <c r="AB24" s="93">
        <v>3202.0020759236772</v>
      </c>
      <c r="AC24" s="8">
        <v>0</v>
      </c>
      <c r="AD24" s="93">
        <v>3186.8432182047136</v>
      </c>
      <c r="AE24" s="8">
        <v>0</v>
      </c>
      <c r="AF24" s="93">
        <v>3163.8610573510673</v>
      </c>
      <c r="AG24" s="8">
        <v>0</v>
      </c>
      <c r="AH24" s="93">
        <v>3127.1609876411198</v>
      </c>
      <c r="AI24" s="8">
        <v>0</v>
      </c>
      <c r="AJ24" s="93">
        <v>3061.7306882376565</v>
      </c>
      <c r="AK24" s="8">
        <v>0</v>
      </c>
      <c r="AL24" s="93">
        <v>2923.6733632200726</v>
      </c>
      <c r="AM24" s="8">
        <v>0</v>
      </c>
      <c r="AN24" s="93">
        <v>2541.1709242370916</v>
      </c>
      <c r="AO24" s="8">
        <v>0</v>
      </c>
      <c r="AP24" s="93">
        <v>2379.6343870791893</v>
      </c>
      <c r="AQ24" s="8">
        <v>0</v>
      </c>
      <c r="AR24" s="93">
        <v>2149.3251081932203</v>
      </c>
      <c r="AS24" s="8">
        <v>0</v>
      </c>
      <c r="AT24" s="93">
        <v>1798.0472132490922</v>
      </c>
      <c r="AU24" s="8">
        <v>0</v>
      </c>
      <c r="AV24" s="93">
        <v>1203.7887860341486</v>
      </c>
      <c r="AW24" s="8">
        <v>0</v>
      </c>
    </row>
    <row r="25" spans="1:49" x14ac:dyDescent="0.2">
      <c r="A25" t="s">
        <v>0</v>
      </c>
      <c r="B25" s="39">
        <v>3195.0476040000012</v>
      </c>
      <c r="C25" s="40">
        <v>91.012690000004397</v>
      </c>
      <c r="D25" s="39">
        <v>3205.5517740338187</v>
      </c>
      <c r="E25" s="40">
        <v>80.976486219733687</v>
      </c>
      <c r="F25" s="39">
        <v>3215.9675209255915</v>
      </c>
      <c r="G25" s="40">
        <v>71.338911737444306</v>
      </c>
      <c r="H25" s="39">
        <v>3226.2806420947172</v>
      </c>
      <c r="I25" s="40">
        <v>62.136419096332276</v>
      </c>
      <c r="J25" s="39">
        <v>3236.4688471020818</v>
      </c>
      <c r="K25" s="40">
        <v>53.407694673270186</v>
      </c>
      <c r="L25" s="39">
        <v>3246.4958659811505</v>
      </c>
      <c r="M25" s="40">
        <v>45.193538586235839</v>
      </c>
      <c r="N25" s="39">
        <v>3256.301114243091</v>
      </c>
      <c r="O25" s="40">
        <v>37.536773406085779</v>
      </c>
      <c r="P25" s="39">
        <v>3265.782557039141</v>
      </c>
      <c r="Q25" s="40">
        <v>30.481885886769415</v>
      </c>
      <c r="R25" s="39">
        <v>3274.7670919614934</v>
      </c>
      <c r="S25" s="40">
        <v>24.074505230546229</v>
      </c>
      <c r="T25" s="39">
        <v>3282.9588140879787</v>
      </c>
      <c r="U25" s="40">
        <v>18.360599116884831</v>
      </c>
      <c r="V25" s="39">
        <v>3289.8475551503316</v>
      </c>
      <c r="W25" s="40">
        <v>13.385116814157232</v>
      </c>
      <c r="X25" s="39">
        <v>3294.5429443505645</v>
      </c>
      <c r="Y25" s="40">
        <v>9.1896203359914548</v>
      </c>
      <c r="Z25" s="39">
        <v>3295.4665405411238</v>
      </c>
      <c r="AA25" s="40">
        <v>5.8080257820553873</v>
      </c>
      <c r="AB25" s="39">
        <v>3289.7719103474406</v>
      </c>
      <c r="AC25" s="40">
        <v>3.2584190049466057</v>
      </c>
      <c r="AD25" s="39">
        <v>3272.2669125398993</v>
      </c>
      <c r="AE25" s="40">
        <v>1.5269511460359233</v>
      </c>
      <c r="AF25" s="39">
        <v>3233.6087286213242</v>
      </c>
      <c r="AG25" s="40">
        <v>0.53846808971185478</v>
      </c>
      <c r="AH25" s="39">
        <v>3158.203631158493</v>
      </c>
      <c r="AI25" s="40">
        <v>0.11986260797065937</v>
      </c>
      <c r="AJ25" s="39">
        <v>3023.1753508525035</v>
      </c>
      <c r="AK25" s="40">
        <v>1.2789422202576971E-2</v>
      </c>
      <c r="AL25" s="39">
        <v>2788.4959676511612</v>
      </c>
      <c r="AM25" s="40">
        <v>4.1573216084022063E-4</v>
      </c>
      <c r="AN25" s="39">
        <v>2304.4395414478026</v>
      </c>
      <c r="AO25" s="40">
        <v>1.3019817739064543E-6</v>
      </c>
      <c r="AP25" s="39">
        <v>2128.8207182309134</v>
      </c>
      <c r="AQ25" s="40">
        <v>2.3393708243967121E-7</v>
      </c>
      <c r="AR25" s="39">
        <v>1892.6232120689826</v>
      </c>
      <c r="AS25" s="40">
        <v>2.961854311958325E-8</v>
      </c>
      <c r="AT25" s="39">
        <v>1553.2777813291091</v>
      </c>
      <c r="AU25" s="40">
        <v>2.2126114232429339E-9</v>
      </c>
      <c r="AV25" s="39">
        <v>1014.6398363582208</v>
      </c>
      <c r="AW25" s="40">
        <v>6.5252337725120541E-11</v>
      </c>
    </row>
    <row r="26" spans="1:49" x14ac:dyDescent="0.2">
      <c r="A26" t="s">
        <v>27</v>
      </c>
      <c r="B26" s="31">
        <v>5036.2953101960647</v>
      </c>
      <c r="C26" s="32">
        <v>74.905331803938267</v>
      </c>
      <c r="D26" s="31">
        <v>5041.1950022899773</v>
      </c>
      <c r="E26" s="32">
        <v>70.005639710024582</v>
      </c>
      <c r="F26" s="31">
        <v>5046.1102722043242</v>
      </c>
      <c r="G26" s="32">
        <v>65.090369795686527</v>
      </c>
      <c r="H26" s="31">
        <v>5051.0432262745853</v>
      </c>
      <c r="I26" s="32">
        <v>60.157415725416925</v>
      </c>
      <c r="J26" s="31">
        <v>5055.9958008897183</v>
      </c>
      <c r="K26" s="32">
        <v>55.20484111028432</v>
      </c>
      <c r="L26" s="31">
        <v>5060.9694312765578</v>
      </c>
      <c r="M26" s="32">
        <v>50.231210723448484</v>
      </c>
      <c r="N26" s="31">
        <v>5065.9643509034622</v>
      </c>
      <c r="O26" s="32">
        <v>45.23629109654145</v>
      </c>
      <c r="P26" s="31">
        <v>5070.9785878054599</v>
      </c>
      <c r="Q26" s="32">
        <v>40.222054194541066</v>
      </c>
      <c r="R26" s="31">
        <v>5076.0062441580349</v>
      </c>
      <c r="S26" s="32">
        <v>35.194397841969909</v>
      </c>
      <c r="T26" s="31">
        <v>5081.0346117203544</v>
      </c>
      <c r="U26" s="32">
        <v>30.166030279651249</v>
      </c>
      <c r="V26" s="81">
        <v>5086.0394969518902</v>
      </c>
      <c r="W26" s="82">
        <v>25.16114504810886</v>
      </c>
      <c r="X26" s="31">
        <v>5090.9775456914103</v>
      </c>
      <c r="Y26" s="32">
        <v>20.223096308592382</v>
      </c>
      <c r="Z26" s="31">
        <v>5095.7737207238861</v>
      </c>
      <c r="AA26" s="32">
        <v>15.426921276118101</v>
      </c>
      <c r="AB26" s="31">
        <v>5100.3017129959944</v>
      </c>
      <c r="AC26" s="32">
        <v>10.898929004012267</v>
      </c>
      <c r="AD26" s="31">
        <v>5104.3576727543405</v>
      </c>
      <c r="AE26" s="32">
        <v>6.8429692456645341</v>
      </c>
      <c r="AF26" s="31">
        <v>5107.6448452927589</v>
      </c>
      <c r="AG26" s="32">
        <v>3.555796707244741</v>
      </c>
      <c r="AH26" s="31">
        <v>5109.8443591689784</v>
      </c>
      <c r="AI26" s="32">
        <v>1.356282831024316</v>
      </c>
      <c r="AJ26" s="31">
        <v>5110.8852140978152</v>
      </c>
      <c r="AK26" s="32">
        <v>0.31542790218739764</v>
      </c>
      <c r="AL26" s="31">
        <v>5111.1673694342126</v>
      </c>
      <c r="AM26" s="32">
        <v>3.3272565791082509E-2</v>
      </c>
      <c r="AN26" s="31">
        <v>5111.199880070084</v>
      </c>
      <c r="AO26" s="32">
        <v>7.6192992389553565E-4</v>
      </c>
      <c r="AP26" s="31">
        <v>5111.2003930788051</v>
      </c>
      <c r="AQ26" s="32">
        <v>2.4892119892484186E-4</v>
      </c>
      <c r="AR26" s="31">
        <v>5111.2005769677398</v>
      </c>
      <c r="AS26" s="32">
        <v>6.5032272611305027E-5</v>
      </c>
      <c r="AT26" s="31">
        <v>5111.200629826556</v>
      </c>
      <c r="AU26" s="32">
        <v>1.2173451208342243E-5</v>
      </c>
      <c r="AV26" s="31">
        <v>5111.2006407160643</v>
      </c>
      <c r="AW26" s="32">
        <v>1.2839387220933356E-6</v>
      </c>
    </row>
    <row r="27" spans="1:49" x14ac:dyDescent="0.2">
      <c r="A27" t="s">
        <v>2</v>
      </c>
      <c r="B27" s="33">
        <v>6425.1981590000414</v>
      </c>
      <c r="C27" s="34">
        <v>273.22915400000028</v>
      </c>
      <c r="D27" s="33">
        <v>6442.8444493602628</v>
      </c>
      <c r="E27" s="34">
        <v>255.58286387541671</v>
      </c>
      <c r="F27" s="33">
        <v>6460.5786551276024</v>
      </c>
      <c r="G27" s="34">
        <v>237.84865808911263</v>
      </c>
      <c r="H27" s="33">
        <v>6478.4087020048255</v>
      </c>
      <c r="I27" s="34">
        <v>220.01861117786729</v>
      </c>
      <c r="J27" s="33">
        <v>6496.3419326948278</v>
      </c>
      <c r="K27" s="34">
        <v>202.08538539217849</v>
      </c>
      <c r="L27" s="33">
        <v>6514.3839908170703</v>
      </c>
      <c r="M27" s="34">
        <v>184.04332199040473</v>
      </c>
      <c r="N27" s="33">
        <v>6532.5360994389202</v>
      </c>
      <c r="O27" s="34">
        <v>165.89121257584117</v>
      </c>
      <c r="P27" s="33">
        <v>6550.7914569974737</v>
      </c>
      <c r="Q27" s="34">
        <v>147.63586048983282</v>
      </c>
      <c r="R27" s="33">
        <v>6569.1289649344189</v>
      </c>
      <c r="S27" s="34">
        <v>129.29835006229968</v>
      </c>
      <c r="T27" s="33">
        <v>6587.5024030133227</v>
      </c>
      <c r="U27" s="34">
        <v>110.92491262729331</v>
      </c>
      <c r="V27" s="33">
        <v>6605.8231283225668</v>
      </c>
      <c r="W27" s="34">
        <v>92.604186924498265</v>
      </c>
      <c r="X27" s="33">
        <v>6623.9315431455198</v>
      </c>
      <c r="Y27" s="34">
        <v>74.495770746147954</v>
      </c>
      <c r="Z27" s="33">
        <v>6641.5504611237602</v>
      </c>
      <c r="AA27" s="34">
        <v>56.876862647727471</v>
      </c>
      <c r="AB27" s="33">
        <v>6658.2120079844908</v>
      </c>
      <c r="AC27" s="34">
        <v>40.215309756489901</v>
      </c>
      <c r="AD27" s="33">
        <v>6673.1595722485199</v>
      </c>
      <c r="AE27" s="34">
        <v>25.267739853263468</v>
      </c>
      <c r="AF27" s="33">
        <v>6685.2897949088538</v>
      </c>
      <c r="AG27" s="34">
        <v>13.137518320138197</v>
      </c>
      <c r="AH27" s="33">
        <v>6693.4143225344733</v>
      </c>
      <c r="AI27" s="34">
        <v>5.0129913198342129</v>
      </c>
      <c r="AJ27" s="33">
        <v>6697.2612360321691</v>
      </c>
      <c r="AK27" s="34">
        <v>1.1660772888655286</v>
      </c>
      <c r="AL27" s="33">
        <v>6698.3043044813867</v>
      </c>
      <c r="AM27" s="34">
        <v>0.12300855743135633</v>
      </c>
      <c r="AN27" s="33">
        <v>6698.4244961345485</v>
      </c>
      <c r="AO27" s="34">
        <v>2.8168683978770643E-3</v>
      </c>
      <c r="AP27" s="33">
        <v>6698.426393072069</v>
      </c>
      <c r="AQ27" s="34">
        <v>9.2026626106294577E-4</v>
      </c>
      <c r="AR27" s="33">
        <v>6698.4270725957185</v>
      </c>
      <c r="AS27" s="34">
        <v>2.4042554813515727E-4</v>
      </c>
      <c r="AT27" s="33">
        <v>6698.4272679959404</v>
      </c>
      <c r="AU27" s="34">
        <v>4.5005480055940143E-5</v>
      </c>
      <c r="AV27" s="33">
        <v>6698.4273086173389</v>
      </c>
      <c r="AW27" s="34">
        <v>4.7467448245121277E-6</v>
      </c>
    </row>
    <row r="28" spans="1:49" x14ac:dyDescent="0.2">
      <c r="A28" t="s">
        <v>35</v>
      </c>
      <c r="B28" s="39">
        <v>13763.097676000029</v>
      </c>
      <c r="C28" s="40">
        <v>382.36647899999997</v>
      </c>
      <c r="D28" s="39">
        <v>13787.864911174616</v>
      </c>
      <c r="E28" s="40">
        <v>357.58113014659142</v>
      </c>
      <c r="F28" s="39">
        <v>13812.706625645771</v>
      </c>
      <c r="G28" s="40">
        <v>332.68483861769522</v>
      </c>
      <c r="H28" s="39">
        <v>13837.63333648892</v>
      </c>
      <c r="I28" s="40">
        <v>307.66668745855156</v>
      </c>
      <c r="J28" s="39">
        <v>13862.654670702854</v>
      </c>
      <c r="K28" s="40">
        <v>282.5165963248358</v>
      </c>
      <c r="L28" s="39">
        <v>13887.777783148626</v>
      </c>
      <c r="M28" s="40">
        <v>257.22689655433527</v>
      </c>
      <c r="N28" s="39">
        <v>13913.003665428223</v>
      </c>
      <c r="O28" s="40">
        <v>231.79612239073481</v>
      </c>
      <c r="P28" s="39">
        <v>13938.32217614444</v>
      </c>
      <c r="Q28" s="40">
        <v>206.23403563503146</v>
      </c>
      <c r="R28" s="39">
        <v>13963.703446854506</v>
      </c>
      <c r="S28" s="40">
        <v>180.5704027081176</v>
      </c>
      <c r="T28" s="39">
        <v>13989.083203429136</v>
      </c>
      <c r="U28" s="40">
        <v>154.87006023839425</v>
      </c>
      <c r="V28" s="39">
        <v>14014.339267051002</v>
      </c>
      <c r="W28" s="40">
        <v>129.25698407134931</v>
      </c>
      <c r="X28" s="39">
        <v>14039.252910547093</v>
      </c>
      <c r="Y28" s="40">
        <v>103.95401570463396</v>
      </c>
      <c r="Z28" s="39">
        <v>14063.445808478024</v>
      </c>
      <c r="AA28" s="40">
        <v>79.347732720055959</v>
      </c>
      <c r="AB28" s="39">
        <v>14086.281367624</v>
      </c>
      <c r="AC28" s="40">
        <v>56.090007158601153</v>
      </c>
      <c r="AD28" s="39">
        <v>14106.732566353248</v>
      </c>
      <c r="AE28" s="40">
        <v>35.234362744316442</v>
      </c>
      <c r="AF28" s="39">
        <v>14123.304658744581</v>
      </c>
      <c r="AG28" s="40">
        <v>18.316266381470268</v>
      </c>
      <c r="AH28" s="39">
        <v>14134.392030790888</v>
      </c>
      <c r="AI28" s="40">
        <v>6.9882650498929015</v>
      </c>
      <c r="AJ28" s="39">
        <v>14139.638421117608</v>
      </c>
      <c r="AK28" s="40">
        <v>1.6254570830067463</v>
      </c>
      <c r="AL28" s="39">
        <v>14141.060572165334</v>
      </c>
      <c r="AM28" s="40">
        <v>0.17146557062784173</v>
      </c>
      <c r="AN28" s="39">
        <v>14141.224434757056</v>
      </c>
      <c r="AO28" s="40">
        <v>3.926516347793698E-3</v>
      </c>
      <c r="AP28" s="39">
        <v>14141.227020780774</v>
      </c>
      <c r="AQ28" s="40">
        <v>1.2827863376404431E-3</v>
      </c>
      <c r="AR28" s="39">
        <v>14141.227947329251</v>
      </c>
      <c r="AS28" s="40">
        <v>3.3513626103106822E-4</v>
      </c>
      <c r="AT28" s="39">
        <v>14141.228213733291</v>
      </c>
      <c r="AU28" s="40">
        <v>6.27344659404236E-5</v>
      </c>
      <c r="AV28" s="39">
        <v>14141.228268964922</v>
      </c>
      <c r="AW28" s="40">
        <v>6.6166280156464945E-6</v>
      </c>
    </row>
    <row r="29" spans="1:49" x14ac:dyDescent="0.2">
      <c r="A29" t="s">
        <v>53</v>
      </c>
      <c r="B29" s="33">
        <v>14362.768558000025</v>
      </c>
      <c r="C29" s="34">
        <v>817.26650999999993</v>
      </c>
      <c r="D29" s="33">
        <v>14366.822997769963</v>
      </c>
      <c r="E29" s="34">
        <v>756.82732261448405</v>
      </c>
      <c r="F29" s="33">
        <v>14368.897123714336</v>
      </c>
      <c r="G29" s="34">
        <v>696.70493157623662</v>
      </c>
      <c r="H29" s="33">
        <v>14368.6938916421</v>
      </c>
      <c r="I29" s="34">
        <v>636.94369594165187</v>
      </c>
      <c r="J29" s="33">
        <v>14365.847115570625</v>
      </c>
      <c r="K29" s="34">
        <v>577.60034251117804</v>
      </c>
      <c r="L29" s="33">
        <v>14359.898271339876</v>
      </c>
      <c r="M29" s="34">
        <v>518.748963114709</v>
      </c>
      <c r="N29" s="33">
        <v>14350.261262573746</v>
      </c>
      <c r="O29" s="34">
        <v>460.49052855189638</v>
      </c>
      <c r="P29" s="33">
        <v>14336.171078635987</v>
      </c>
      <c r="Q29" s="34">
        <v>402.96477201173991</v>
      </c>
      <c r="R29" s="33">
        <v>14316.603877806996</v>
      </c>
      <c r="S29" s="34">
        <v>346.3689748144572</v>
      </c>
      <c r="T29" s="33">
        <v>14290.148225421584</v>
      </c>
      <c r="U29" s="34">
        <v>290.98756663002729</v>
      </c>
      <c r="V29" s="33">
        <v>14254.792848761232</v>
      </c>
      <c r="W29" s="34">
        <v>237.23594486495233</v>
      </c>
      <c r="X29" s="33">
        <v>14207.55918851093</v>
      </c>
      <c r="Y29" s="34">
        <v>185.72718862394353</v>
      </c>
      <c r="Z29" s="33">
        <v>14143.836794257251</v>
      </c>
      <c r="AA29" s="34">
        <v>137.37139482666441</v>
      </c>
      <c r="AB29" s="33">
        <v>14056.123710464735</v>
      </c>
      <c r="AC29" s="34">
        <v>93.512044448516264</v>
      </c>
      <c r="AD29" s="33">
        <v>13931.538257576791</v>
      </c>
      <c r="AE29" s="34">
        <v>56.063106903258394</v>
      </c>
      <c r="AF29" s="33">
        <v>13746.806553352917</v>
      </c>
      <c r="AG29" s="34">
        <v>27.440140940063422</v>
      </c>
      <c r="AH29" s="33">
        <v>13458.236887089866</v>
      </c>
      <c r="AI29" s="34">
        <v>9.6489947852011699</v>
      </c>
      <c r="AJ29" s="33">
        <v>12979.69944816114</v>
      </c>
      <c r="AK29" s="34">
        <v>1.9984858452045171</v>
      </c>
      <c r="AL29" s="33">
        <v>12107.352350868023</v>
      </c>
      <c r="AM29" s="34">
        <v>0.17680847192482371</v>
      </c>
      <c r="AN29" s="33">
        <v>10110.073800807839</v>
      </c>
      <c r="AO29" s="34">
        <v>2.9516542020315679E-3</v>
      </c>
      <c r="AP29" s="33">
        <v>9351.4064079443524</v>
      </c>
      <c r="AQ29" s="34">
        <v>8.6891632132237047E-4</v>
      </c>
      <c r="AR29" s="33">
        <v>8319.3704686837318</v>
      </c>
      <c r="AS29" s="34">
        <v>1.9823225126171088E-4</v>
      </c>
      <c r="AT29" s="33">
        <v>6825.899809005974</v>
      </c>
      <c r="AU29" s="34">
        <v>3.0589590224963543E-5</v>
      </c>
      <c r="AV29" s="33">
        <v>4450.6573537093582</v>
      </c>
      <c r="AW29" s="34">
        <v>2.3080766402379116E-6</v>
      </c>
    </row>
    <row r="30" spans="1:49" x14ac:dyDescent="0.2">
      <c r="A30" t="s">
        <v>48</v>
      </c>
      <c r="B30" s="112">
        <v>2924829.9599999995</v>
      </c>
      <c r="D30" s="112">
        <v>2985837.5994013622</v>
      </c>
      <c r="F30" s="112">
        <v>3047883.3241221691</v>
      </c>
      <c r="H30" s="112">
        <v>3111109.3427924775</v>
      </c>
      <c r="J30" s="112">
        <v>3175686.7958532213</v>
      </c>
      <c r="L30" s="112">
        <v>3241827.8720336854</v>
      </c>
      <c r="N30" s="112">
        <v>3309805.8604856413</v>
      </c>
      <c r="P30" s="112">
        <v>3379988.1525408877</v>
      </c>
      <c r="R30" s="112">
        <v>3452893.4780674172</v>
      </c>
      <c r="T30" s="112">
        <v>3529293.3301381054</v>
      </c>
      <c r="V30" s="112">
        <v>3610393.4133957848</v>
      </c>
      <c r="X30" s="112">
        <v>3698173.6345527424</v>
      </c>
      <c r="Z30" s="112">
        <v>3796037.0530563397</v>
      </c>
      <c r="AB30" s="112">
        <v>3910073.6120557203</v>
      </c>
      <c r="AD30" s="112">
        <v>4051504.6661365079</v>
      </c>
      <c r="AF30" s="112">
        <v>4240942.026781816</v>
      </c>
      <c r="AH30" s="112">
        <v>4513199.0016089417</v>
      </c>
      <c r="AJ30" s="112">
        <v>4914547.2685449775</v>
      </c>
      <c r="AL30" s="112">
        <v>5483517.8382916208</v>
      </c>
      <c r="AN30" s="112">
        <v>6134968.7322052121</v>
      </c>
      <c r="AP30" s="112">
        <v>6188741.4226733949</v>
      </c>
      <c r="AR30" s="112">
        <v>6111749.1990493033</v>
      </c>
      <c r="AT30" s="112">
        <v>5713554.1756407646</v>
      </c>
      <c r="AV30" s="112">
        <v>4426486.4393470446</v>
      </c>
    </row>
    <row r="31" spans="1:49" x14ac:dyDescent="0.2">
      <c r="A31" t="s">
        <v>47</v>
      </c>
      <c r="B31" s="77">
        <v>1</v>
      </c>
      <c r="D31" s="77">
        <v>0.99789423855811932</v>
      </c>
      <c r="F31" s="77">
        <v>0.99537296485269977</v>
      </c>
      <c r="H31" s="77">
        <v>0.99237958567328621</v>
      </c>
      <c r="J31" s="77">
        <v>0.98884592823561812</v>
      </c>
      <c r="L31" s="77">
        <v>0.98468892393764018</v>
      </c>
      <c r="N31" s="77">
        <v>0.97980579842137949</v>
      </c>
      <c r="P31" s="77">
        <v>0.97406732611841051</v>
      </c>
      <c r="R31" s="77">
        <v>0.96730777633696396</v>
      </c>
      <c r="T31" s="77">
        <v>0.95930941199306152</v>
      </c>
      <c r="V31" s="77">
        <v>0.94977784258756459</v>
      </c>
      <c r="X31" s="77">
        <v>0.93830113707549367</v>
      </c>
      <c r="Z31" s="77">
        <v>0.92427860103316728</v>
      </c>
      <c r="AB31" s="77">
        <v>0.90679055884660875</v>
      </c>
      <c r="AD31" s="77">
        <v>0.88434963265085353</v>
      </c>
      <c r="AF31" s="77">
        <v>0.85441295093365555</v>
      </c>
      <c r="AH31" s="77">
        <v>0.81243162705890126</v>
      </c>
      <c r="AJ31" s="77">
        <v>0.74994186017707209</v>
      </c>
      <c r="AL31" s="77">
        <v>0.64948099060639797</v>
      </c>
      <c r="AN31" s="77">
        <v>0.46476536716926015</v>
      </c>
      <c r="AP31" s="77">
        <v>0.40734468798779588</v>
      </c>
      <c r="AR31" s="77">
        <v>0.3379880894319785</v>
      </c>
      <c r="AT31" s="77">
        <v>0.25229610600956093</v>
      </c>
      <c r="AV31" s="77">
        <v>0.14335126240857823</v>
      </c>
    </row>
    <row r="32" spans="1:49" x14ac:dyDescent="0.2">
      <c r="A32" t="s">
        <v>64</v>
      </c>
      <c r="B32" s="83">
        <v>14734457.915000005</v>
      </c>
      <c r="D32" s="83">
        <v>14736208.981707389</v>
      </c>
      <c r="F32" s="83">
        <v>14735504.379124427</v>
      </c>
      <c r="H32" s="83">
        <v>14731958.291938292</v>
      </c>
      <c r="J32" s="83">
        <v>14725107.342829457</v>
      </c>
      <c r="L32" s="83">
        <v>14714395.125553725</v>
      </c>
      <c r="N32" s="83">
        <v>14699152.209698744</v>
      </c>
      <c r="P32" s="83">
        <v>14678575.485159257</v>
      </c>
      <c r="R32" s="83">
        <v>14651705.829163734</v>
      </c>
      <c r="T32" s="83">
        <v>14617405.697654599</v>
      </c>
      <c r="V32" s="83">
        <v>14574344.875047915</v>
      </c>
      <c r="X32" s="83">
        <v>14521004.289485186</v>
      </c>
      <c r="Z32" s="83">
        <v>14455713.774600288</v>
      </c>
      <c r="AB32" s="83">
        <v>14376720.340644566</v>
      </c>
      <c r="AD32" s="83">
        <v>14282102.830942957</v>
      </c>
      <c r="AF32" s="83">
        <v>14168294.406456737</v>
      </c>
      <c r="AH32" s="83">
        <v>14021317.07773336</v>
      </c>
      <c r="AJ32" s="83">
        <v>13781569.206141429</v>
      </c>
      <c r="AL32" s="83">
        <v>13237174.78887661</v>
      </c>
      <c r="AN32" s="83">
        <v>11567508.076229781</v>
      </c>
      <c r="AP32" s="83">
        <v>10839284.508302994</v>
      </c>
      <c r="AR32" s="83">
        <v>9793591.1273291223</v>
      </c>
      <c r="AT32" s="83">
        <v>8191832.9381636018</v>
      </c>
      <c r="AV32" s="83">
        <v>5479191.0272547426</v>
      </c>
    </row>
    <row r="33" spans="1:49 16319:16384" x14ac:dyDescent="0.2">
      <c r="A33" t="s">
        <v>54</v>
      </c>
      <c r="B33" s="111">
        <v>7019665.6909999885</v>
      </c>
      <c r="D33" s="111">
        <v>7020499.924736917</v>
      </c>
      <c r="F33" s="111">
        <v>7020164.2448386271</v>
      </c>
      <c r="H33" s="111">
        <v>7018474.8503411943</v>
      </c>
      <c r="J33" s="111">
        <v>7015210.9991415758</v>
      </c>
      <c r="L33" s="111">
        <v>7010107.5597008746</v>
      </c>
      <c r="N33" s="111">
        <v>7002845.6711244406</v>
      </c>
      <c r="P33" s="111">
        <v>6993042.7364914119</v>
      </c>
      <c r="R33" s="111">
        <v>6980241.6832393166</v>
      </c>
      <c r="T33" s="111">
        <v>6963900.7243242832</v>
      </c>
      <c r="V33" s="111">
        <v>6943386.0477792267</v>
      </c>
      <c r="X33" s="111">
        <v>6917973.9239875246</v>
      </c>
      <c r="Z33" s="111">
        <v>6886868.7865665797</v>
      </c>
      <c r="AB33" s="111">
        <v>6849235.3807196636</v>
      </c>
      <c r="AD33" s="111">
        <v>6804158.5128576159</v>
      </c>
      <c r="AF33" s="111">
        <v>6749938.865860193</v>
      </c>
      <c r="AH33" s="111">
        <v>6679917.170886633</v>
      </c>
      <c r="AJ33" s="111">
        <v>6565698.5199032407</v>
      </c>
      <c r="AL33" s="111">
        <v>6306342.7407570183</v>
      </c>
      <c r="AN33" s="111">
        <v>5510894.2617028691</v>
      </c>
      <c r="AP33" s="111">
        <v>5163960.1549561555</v>
      </c>
      <c r="AR33" s="111">
        <v>4665779.7677244386</v>
      </c>
      <c r="AT33" s="111">
        <v>3902683.6924818493</v>
      </c>
      <c r="AV33" s="111">
        <v>2610349.7997912276</v>
      </c>
    </row>
    <row r="34" spans="1:49 16319:16384" x14ac:dyDescent="0.2">
      <c r="A34" t="s">
        <v>75</v>
      </c>
      <c r="B34" s="111">
        <v>1136879.4410000162</v>
      </c>
      <c r="D34" s="111">
        <v>1137014.5443358254</v>
      </c>
      <c r="F34" s="111">
        <v>1136960.1778294039</v>
      </c>
      <c r="H34" s="111">
        <v>1136686.5670150351</v>
      </c>
      <c r="J34" s="111">
        <v>1136157.9418381993</v>
      </c>
      <c r="L34" s="111">
        <v>1135331.4261989552</v>
      </c>
      <c r="N34" s="111">
        <v>1134155.3032400606</v>
      </c>
      <c r="P34" s="111">
        <v>1132567.5923542038</v>
      </c>
      <c r="R34" s="111">
        <v>1130494.4258613195</v>
      </c>
      <c r="T34" s="111">
        <v>1127847.8813798472</v>
      </c>
      <c r="V34" s="111">
        <v>1124525.4038282968</v>
      </c>
      <c r="X34" s="111">
        <v>1120409.8110658065</v>
      </c>
      <c r="Z34" s="111">
        <v>1115372.1166105526</v>
      </c>
      <c r="AB34" s="111">
        <v>1109277.1742319246</v>
      </c>
      <c r="AD34" s="111">
        <v>1101976.6834753996</v>
      </c>
      <c r="AF34" s="111">
        <v>1093195.46838978</v>
      </c>
      <c r="AH34" s="111">
        <v>1081855.0106455991</v>
      </c>
      <c r="AJ34" s="111">
        <v>1063356.5744984872</v>
      </c>
      <c r="AL34" s="111">
        <v>1021352.2588485726</v>
      </c>
      <c r="AN34" s="111">
        <v>892524.32572215213</v>
      </c>
      <c r="AP34" s="111">
        <v>836336.1437322956</v>
      </c>
      <c r="AR34" s="111">
        <v>755652.6660465512</v>
      </c>
      <c r="AT34" s="111">
        <v>632064.41018939868</v>
      </c>
      <c r="AV34" s="111">
        <v>422762.7285738489</v>
      </c>
    </row>
    <row r="35" spans="1:49 16319:16384" x14ac:dyDescent="0.2">
      <c r="A35" t="s">
        <v>78</v>
      </c>
      <c r="B35" s="192">
        <v>1</v>
      </c>
      <c r="D35" s="192">
        <v>1.0022304918598302</v>
      </c>
      <c r="F35" s="192">
        <v>1.004730370026389</v>
      </c>
      <c r="H35" s="192">
        <v>1.0075469227879903</v>
      </c>
      <c r="J35" s="192">
        <v>1.0107403013126486</v>
      </c>
      <c r="L35" s="192">
        <v>1.0143884878360736</v>
      </c>
      <c r="N35" s="192">
        <v>1.0185948696891751</v>
      </c>
      <c r="P35" s="192">
        <v>1.02349992471146</v>
      </c>
      <c r="R35" s="192">
        <v>1.0293000133142007</v>
      </c>
      <c r="T35" s="192">
        <v>1.0362787235612274</v>
      </c>
      <c r="V35" s="192">
        <v>1.044861102257618</v>
      </c>
      <c r="X35" s="192">
        <v>1.055712294975182</v>
      </c>
      <c r="Z35" s="192">
        <v>1.0699264616355928</v>
      </c>
      <c r="AB35" s="192">
        <v>1.0894098661399438</v>
      </c>
      <c r="AD35" s="192">
        <v>1.1177030433657531</v>
      </c>
      <c r="AF35" s="192">
        <v>1.1618211240880567</v>
      </c>
      <c r="AH35" s="192">
        <v>1.2364477066408865</v>
      </c>
      <c r="AJ35" s="192">
        <v>1.3741749176759419</v>
      </c>
      <c r="AL35" s="192">
        <v>1.6604526709714553</v>
      </c>
      <c r="AN35" s="192">
        <v>2.428473145120952</v>
      </c>
      <c r="AP35" s="192">
        <v>2.7480835824235221</v>
      </c>
      <c r="AR35" s="192">
        <v>3.2008357355034289</v>
      </c>
      <c r="AT35" s="192">
        <v>3.8863345765034971</v>
      </c>
      <c r="AV35" s="192">
        <v>5.0365886362818788</v>
      </c>
    </row>
    <row r="36" spans="1:49 16319:16384" x14ac:dyDescent="0.2">
      <c r="A36" t="s">
        <v>21</v>
      </c>
      <c r="B36" s="35">
        <v>0.47195767671988198</v>
      </c>
      <c r="C36" s="36">
        <v>0.31738834428178964</v>
      </c>
      <c r="D36" s="35">
        <v>0.47198189375750732</v>
      </c>
      <c r="E36" s="36">
        <v>0.32001433845423471</v>
      </c>
      <c r="F36" s="35">
        <v>0.47200728434139833</v>
      </c>
      <c r="G36" s="36">
        <v>0.32290495114308504</v>
      </c>
      <c r="H36" s="35">
        <v>0.47203402499767466</v>
      </c>
      <c r="I36" s="36">
        <v>0.3261007826899805</v>
      </c>
      <c r="J36" s="35">
        <v>0.47206232322239683</v>
      </c>
      <c r="K36" s="36">
        <v>0.32965141050589208</v>
      </c>
      <c r="L36" s="35">
        <v>0.47209241859364198</v>
      </c>
      <c r="M36" s="36">
        <v>0.33361818956185346</v>
      </c>
      <c r="N36" s="35">
        <v>0.47212458172664162</v>
      </c>
      <c r="O36" s="36">
        <v>0.33807832118453018</v>
      </c>
      <c r="P36" s="35">
        <v>0.47215910314728404</v>
      </c>
      <c r="Q36" s="36">
        <v>0.34313081580819271</v>
      </c>
      <c r="R36" s="35">
        <v>0.47219626732470626</v>
      </c>
      <c r="S36" s="36">
        <v>0.34890563164351496</v>
      </c>
      <c r="T36" s="35">
        <v>0.47223629673294032</v>
      </c>
      <c r="U36" s="36">
        <v>0.35557824356531187</v>
      </c>
      <c r="V36" s="35">
        <v>0.47227923028670632</v>
      </c>
      <c r="W36" s="36">
        <v>0.36339365942591495</v>
      </c>
      <c r="X36" s="35">
        <v>0.47232468261778499</v>
      </c>
      <c r="Y36" s="36">
        <v>0.37270807758964003</v>
      </c>
      <c r="Z36" s="35">
        <v>0.47237136183312889</v>
      </c>
      <c r="AA36" s="36">
        <v>0.38406464724237938</v>
      </c>
      <c r="AB36" s="35">
        <v>0.47241612531828364</v>
      </c>
      <c r="AC36" s="36">
        <v>0.39833837460216748</v>
      </c>
      <c r="AD36" s="35">
        <v>0.47245228328695127</v>
      </c>
      <c r="AE36" s="36">
        <v>0.41702593973565222</v>
      </c>
      <c r="AF36" s="35">
        <v>0.47246727969479385</v>
      </c>
      <c r="AG36" s="36">
        <v>0.44283698842152647</v>
      </c>
      <c r="AH36" s="35">
        <v>0.47244295190780128</v>
      </c>
      <c r="AI36" s="36">
        <v>0.48087591893658072</v>
      </c>
      <c r="AJ36" s="35">
        <v>0.47236793165422269</v>
      </c>
      <c r="AK36" s="36">
        <v>0.54108236890501671</v>
      </c>
      <c r="AL36" s="35">
        <v>0.47225979893521847</v>
      </c>
      <c r="AM36" s="36">
        <v>0.64570016739578551</v>
      </c>
      <c r="AN36" s="35">
        <v>0.47216440571964818</v>
      </c>
      <c r="AO36" s="36">
        <v>0.86700657600470366</v>
      </c>
      <c r="AP36" s="35">
        <v>0.47215309388215104</v>
      </c>
      <c r="AQ36" s="36">
        <v>0.94573783037075898</v>
      </c>
      <c r="AR36" s="35">
        <v>0.47214717424920122</v>
      </c>
      <c r="AS36" s="36">
        <v>1.0490436770646789</v>
      </c>
      <c r="AT36" s="35">
        <v>0.47214954282226634</v>
      </c>
      <c r="AU36" s="36">
        <v>1.1919760177127015</v>
      </c>
      <c r="AV36" s="35">
        <v>0.4721659928337944</v>
      </c>
      <c r="AW36" s="36">
        <v>1.4064410694281346</v>
      </c>
    </row>
    <row r="37" spans="1:49 16319:16384" x14ac:dyDescent="0.2">
      <c r="B37" s="37">
        <v>2.1403217525954466E-2</v>
      </c>
      <c r="C37" s="38">
        <v>0.3496246130199252</v>
      </c>
      <c r="D37" s="37">
        <v>2.0683246482541377E-2</v>
      </c>
      <c r="E37" s="38">
        <v>0.34532626049042103</v>
      </c>
      <c r="F37" s="37">
        <v>1.9951233082458032E-2</v>
      </c>
      <c r="G37" s="38">
        <v>0.34092874444032967</v>
      </c>
      <c r="H37" s="37">
        <v>1.9206477550149897E-2</v>
      </c>
      <c r="I37" s="38">
        <v>0.33642708676135952</v>
      </c>
      <c r="J37" s="37">
        <v>1.8448152404181531E-2</v>
      </c>
      <c r="K37" s="38">
        <v>0.33181567173653537</v>
      </c>
      <c r="L37" s="37">
        <v>1.7675252019864838E-2</v>
      </c>
      <c r="M37" s="38">
        <v>0.32708799428733171</v>
      </c>
      <c r="N37" s="37">
        <v>1.6886508408572826E-2</v>
      </c>
      <c r="O37" s="38">
        <v>0.32223622008806257</v>
      </c>
      <c r="P37" s="37">
        <v>1.6080276125905204E-2</v>
      </c>
      <c r="Q37" s="38">
        <v>0.31725057801342543</v>
      </c>
      <c r="R37" s="37">
        <v>1.5254353708796579E-2</v>
      </c>
      <c r="S37" s="38">
        <v>0.31211840049658374</v>
      </c>
      <c r="T37" s="37">
        <v>1.4405704177942255E-2</v>
      </c>
      <c r="U37" s="38">
        <v>0.30682260467606115</v>
      </c>
      <c r="V37" s="37">
        <v>1.3530040321726632E-2</v>
      </c>
      <c r="W37" s="38">
        <v>0.30133945187577726</v>
      </c>
      <c r="X37" s="37">
        <v>1.2621181287186685E-2</v>
      </c>
      <c r="Y37" s="38">
        <v>0.29563511826215944</v>
      </c>
      <c r="Z37" s="37">
        <v>1.1670088661083345E-2</v>
      </c>
      <c r="AA37" s="38">
        <v>0.28966075520550649</v>
      </c>
      <c r="AB37" s="37">
        <v>1.0663519178939573E-2</v>
      </c>
      <c r="AC37" s="38">
        <v>0.28334622579761642</v>
      </c>
      <c r="AD37" s="37">
        <v>9.5825780272365425E-3</v>
      </c>
      <c r="AE37" s="38">
        <v>0.27659562660967901</v>
      </c>
      <c r="AF37" s="37">
        <v>8.4030225185251183E-3</v>
      </c>
      <c r="AG37" s="38">
        <v>0.26929898545391023</v>
      </c>
      <c r="AH37" s="37">
        <v>7.1031295769752624E-3</v>
      </c>
      <c r="AI37" s="38">
        <v>0.26140052598988006</v>
      </c>
      <c r="AJ37" s="37">
        <v>5.6840893821573377E-3</v>
      </c>
      <c r="AK37" s="38">
        <v>0.25305344415344294</v>
      </c>
      <c r="AL37" s="37">
        <v>4.1768782304707043E-3</v>
      </c>
      <c r="AM37" s="38">
        <v>0.24469246656883387</v>
      </c>
      <c r="AN37" s="37">
        <v>2.6003306743261341E-3</v>
      </c>
      <c r="AO37" s="38">
        <v>0.23686315135773689</v>
      </c>
      <c r="AP37" s="37">
        <v>2.2742440844137858E-3</v>
      </c>
      <c r="AQ37" s="38">
        <v>0.23541658148606298</v>
      </c>
      <c r="AR37" s="37">
        <v>1.9428016447092251E-3</v>
      </c>
      <c r="AS37" s="38">
        <v>0.23402770938465542</v>
      </c>
      <c r="AT37" s="37">
        <v>1.6044037434493758E-3</v>
      </c>
      <c r="AU37" s="38">
        <v>0.23270980347931641</v>
      </c>
      <c r="AV37" s="37">
        <v>1.2563311855545867E-3</v>
      </c>
      <c r="AW37" s="38">
        <v>0.23148451478603463</v>
      </c>
    </row>
    <row r="38" spans="1:49 16319:16384" x14ac:dyDescent="0.2">
      <c r="A38" t="s">
        <v>22</v>
      </c>
      <c r="B38" s="35">
        <v>0.18079094942242827</v>
      </c>
      <c r="C38" s="36">
        <v>6.0565413429233668E-2</v>
      </c>
      <c r="D38" s="35">
        <v>0.18090713411063233</v>
      </c>
      <c r="E38" s="36">
        <v>6.0881517363537259E-2</v>
      </c>
      <c r="F38" s="35">
        <v>0.18104832656228545</v>
      </c>
      <c r="G38" s="36">
        <v>6.1231797171893622E-2</v>
      </c>
      <c r="H38" s="35">
        <v>0.1812183320147949</v>
      </c>
      <c r="I38" s="36">
        <v>6.1621598814309793E-2</v>
      </c>
      <c r="J38" s="35">
        <v>0.18142185092740037</v>
      </c>
      <c r="K38" s="36">
        <v>6.2057463407246799E-2</v>
      </c>
      <c r="L38" s="35">
        <v>0.18166478048977197</v>
      </c>
      <c r="M38" s="36">
        <v>6.2547531787188498E-2</v>
      </c>
      <c r="N38" s="35">
        <v>0.18195466811706079</v>
      </c>
      <c r="O38" s="36">
        <v>6.310205220189706E-2</v>
      </c>
      <c r="P38" s="35">
        <v>0.18230138264331391</v>
      </c>
      <c r="Q38" s="36">
        <v>6.3734217566658993E-2</v>
      </c>
      <c r="R38" s="35">
        <v>0.18271816464163451</v>
      </c>
      <c r="S38" s="36">
        <v>6.446144409717551E-2</v>
      </c>
      <c r="T38" s="35">
        <v>0.18322333547507452</v>
      </c>
      <c r="U38" s="36">
        <v>6.5307318340507861E-2</v>
      </c>
      <c r="V38" s="35">
        <v>0.18384316423205013</v>
      </c>
      <c r="W38" s="36">
        <v>6.6304929908503313E-2</v>
      </c>
      <c r="X38" s="35">
        <v>0.18461693338466287</v>
      </c>
      <c r="Y38" s="36">
        <v>6.7502638403530296E-2</v>
      </c>
      <c r="Z38" s="35">
        <v>0.18560635376606921</v>
      </c>
      <c r="AA38" s="36">
        <v>6.8974631515733062E-2</v>
      </c>
      <c r="AB38" s="35">
        <v>0.18691407118106351</v>
      </c>
      <c r="AC38" s="36">
        <v>7.0841296356954186E-2</v>
      </c>
      <c r="AD38" s="35">
        <v>0.18872213548059327</v>
      </c>
      <c r="AE38" s="36">
        <v>7.331044503313798E-2</v>
      </c>
      <c r="AF38" s="35">
        <v>0.19137573760511198</v>
      </c>
      <c r="AG38" s="36">
        <v>7.6763132483190416E-2</v>
      </c>
      <c r="AH38" s="35">
        <v>0.1955727259929943</v>
      </c>
      <c r="AI38" s="36">
        <v>8.1932480182200854E-2</v>
      </c>
      <c r="AJ38" s="35">
        <v>0.20285436734749451</v>
      </c>
      <c r="AK38" s="36">
        <v>9.0304135861480964E-2</v>
      </c>
      <c r="AL38" s="35">
        <v>0.217528516097758</v>
      </c>
      <c r="AM38" s="36">
        <v>0.1054848445301108</v>
      </c>
      <c r="AN38" s="35">
        <v>0.26055257274594928</v>
      </c>
      <c r="AO38" s="36">
        <v>0.14163435298620466</v>
      </c>
      <c r="AP38" s="35">
        <v>0.28169716479336382</v>
      </c>
      <c r="AQ38" s="36">
        <v>0.15651192347415618</v>
      </c>
      <c r="AR38" s="35">
        <v>0.31664601065337494</v>
      </c>
      <c r="AS38" s="36">
        <v>0.17847512907726165</v>
      </c>
      <c r="AT38" s="35">
        <v>0.38592468184623197</v>
      </c>
      <c r="AU38" s="36">
        <v>0.21559901579495747</v>
      </c>
      <c r="AV38" s="35">
        <v>0.59186715376409271</v>
      </c>
      <c r="AW38" s="36">
        <v>0.30013711790431191</v>
      </c>
    </row>
    <row r="39" spans="1:49 16319:16384" x14ac:dyDescent="0.2">
      <c r="A39" t="s">
        <v>23</v>
      </c>
      <c r="B39" s="37">
        <v>0.23064923795098771</v>
      </c>
      <c r="C39" s="38">
        <v>0.22092201281804777</v>
      </c>
      <c r="D39" s="37">
        <v>0.23120639537349832</v>
      </c>
      <c r="E39" s="38">
        <v>0.22227170024168183</v>
      </c>
      <c r="F39" s="37">
        <v>0.23179773945445623</v>
      </c>
      <c r="G39" s="38">
        <v>0.22374893299015725</v>
      </c>
      <c r="H39" s="37">
        <v>0.23242850367632656</v>
      </c>
      <c r="I39" s="38">
        <v>0.22537368712060293</v>
      </c>
      <c r="J39" s="37">
        <v>0.23310509424857179</v>
      </c>
      <c r="K39" s="38">
        <v>0.22717041036421334</v>
      </c>
      <c r="L39" s="37">
        <v>0.23383546448715919</v>
      </c>
      <c r="M39" s="38">
        <v>0.22916938227493155</v>
      </c>
      <c r="N39" s="37">
        <v>0.23462964908628869</v>
      </c>
      <c r="O39" s="38">
        <v>0.23140880257968519</v>
      </c>
      <c r="P39" s="37">
        <v>0.23550056844855735</v>
      </c>
      <c r="Q39" s="38">
        <v>0.23393772997245305</v>
      </c>
      <c r="R39" s="37">
        <v>0.23646527014194263</v>
      </c>
      <c r="S39" s="38">
        <v>0.23682059860273053</v>
      </c>
      <c r="T39" s="37">
        <v>0.23754692793196791</v>
      </c>
      <c r="U39" s="38">
        <v>0.24014457698566677</v>
      </c>
      <c r="V39" s="37">
        <v>0.23877821377437258</v>
      </c>
      <c r="W39" s="38">
        <v>0.24403158566602257</v>
      </c>
      <c r="X39" s="37">
        <v>0.2402072917175638</v>
      </c>
      <c r="Y39" s="38">
        <v>0.24865930511011511</v>
      </c>
      <c r="Z39" s="37">
        <v>0.24190908623537197</v>
      </c>
      <c r="AA39" s="38">
        <v>0.25429964752404111</v>
      </c>
      <c r="AB39" s="37">
        <v>0.24400782213097327</v>
      </c>
      <c r="AC39" s="38">
        <v>0.26139308509096937</v>
      </c>
      <c r="AD39" s="37">
        <v>0.24672505447643098</v>
      </c>
      <c r="AE39" s="38">
        <v>0.27069963156679544</v>
      </c>
      <c r="AF39" s="37">
        <v>0.25048771094249356</v>
      </c>
      <c r="AG39" s="38">
        <v>0.28361493705598884</v>
      </c>
      <c r="AH39" s="37">
        <v>0.25618183123517108</v>
      </c>
      <c r="AI39" s="38">
        <v>0.30283271495493691</v>
      </c>
      <c r="AJ39" s="37">
        <v>0.26581866625545458</v>
      </c>
      <c r="AK39" s="38">
        <v>0.33383730858451377</v>
      </c>
      <c r="AL39" s="37">
        <v>0.28507620479005241</v>
      </c>
      <c r="AM39" s="38">
        <v>0.38997709518384799</v>
      </c>
      <c r="AN39" s="37">
        <v>0.34146419172877551</v>
      </c>
      <c r="AO39" s="38">
        <v>0.52362470677199058</v>
      </c>
      <c r="AP39" s="37">
        <v>0.36917506229271951</v>
      </c>
      <c r="AQ39" s="38">
        <v>0.57862746624010986</v>
      </c>
      <c r="AR39" s="37">
        <v>0.41497690772454815</v>
      </c>
      <c r="AS39" s="38">
        <v>0.65982594508675108</v>
      </c>
      <c r="AT39" s="37">
        <v>0.50576930930593911</v>
      </c>
      <c r="AU39" s="38">
        <v>0.7970736514548068</v>
      </c>
      <c r="AV39" s="37">
        <v>0.77566493364885603</v>
      </c>
      <c r="AW39" s="38">
        <v>1.1096123876795987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6.1000000000000311E-2</v>
      </c>
      <c r="E42" s="126"/>
      <c r="F42" s="167">
        <v>6.099999999999875E-2</v>
      </c>
      <c r="G42" s="126"/>
      <c r="H42" s="167">
        <v>6.1000000000000207E-2</v>
      </c>
      <c r="I42" s="126"/>
      <c r="J42" s="167">
        <v>6.1000000000000207E-2</v>
      </c>
      <c r="K42" s="126"/>
      <c r="L42" s="167">
        <v>6.0999999999999582E-2</v>
      </c>
      <c r="M42" s="126"/>
      <c r="N42" s="167">
        <v>6.0999999999999999E-2</v>
      </c>
      <c r="O42" s="126"/>
      <c r="P42" s="167">
        <v>6.1000000000000519E-2</v>
      </c>
      <c r="Q42" s="126"/>
      <c r="R42" s="167">
        <v>6.0999999999999791E-2</v>
      </c>
      <c r="S42" s="126"/>
      <c r="T42" s="167">
        <v>6.0999999999999582E-2</v>
      </c>
      <c r="U42" s="126"/>
      <c r="V42" s="167">
        <v>6.1000000000000831E-2</v>
      </c>
      <c r="W42" s="126"/>
      <c r="X42" s="167">
        <v>6.1000000000000207E-2</v>
      </c>
      <c r="Y42" s="152"/>
      <c r="Z42" s="167">
        <v>6.0999999999999791E-2</v>
      </c>
      <c r="AA42" s="126"/>
      <c r="AB42" s="167">
        <v>6.0999999999999374E-2</v>
      </c>
      <c r="AC42" s="126"/>
      <c r="AD42" s="167">
        <v>6.0999999999999582E-2</v>
      </c>
      <c r="AE42" s="126"/>
      <c r="AF42" s="167">
        <v>6.0999999999999999E-2</v>
      </c>
      <c r="AG42" s="126"/>
      <c r="AH42" s="167">
        <v>6.1000000000000207E-2</v>
      </c>
      <c r="AI42" s="126"/>
      <c r="AJ42" s="167">
        <v>6.1000000000000207E-2</v>
      </c>
      <c r="AK42" s="126"/>
      <c r="AL42" s="167">
        <v>6.0999999999999999E-2</v>
      </c>
      <c r="AM42" s="126"/>
      <c r="AN42" s="167">
        <v>6.0999999999999166E-2</v>
      </c>
      <c r="AO42" s="126"/>
      <c r="AP42" s="167">
        <v>6.0999999999999791E-2</v>
      </c>
      <c r="AQ42" s="126"/>
      <c r="AR42" s="167">
        <v>6.0999999999998333E-2</v>
      </c>
      <c r="AS42" s="126"/>
      <c r="AT42" s="167">
        <v>6.0999999999999374E-2</v>
      </c>
      <c r="AU42" s="126"/>
      <c r="AV42" s="167">
        <v>6.0999999999999999E-2</v>
      </c>
      <c r="XFD42" s="167"/>
    </row>
    <row r="43" spans="1:49 16319:16384" x14ac:dyDescent="0.2">
      <c r="A43" t="s">
        <v>95</v>
      </c>
      <c r="B43" s="152">
        <v>0.56058995943839207</v>
      </c>
      <c r="C43" s="126"/>
      <c r="D43" s="152">
        <v>0.56575140399704549</v>
      </c>
      <c r="E43" s="126"/>
      <c r="F43" s="152">
        <v>0.56429789774285555</v>
      </c>
      <c r="G43" s="126"/>
      <c r="H43" s="152">
        <v>0.56283942528978304</v>
      </c>
      <c r="I43" s="126"/>
      <c r="J43" s="152">
        <v>0.56137544875401135</v>
      </c>
      <c r="K43" s="126"/>
      <c r="L43" s="152">
        <v>0.55990556859423146</v>
      </c>
      <c r="M43" s="126"/>
      <c r="N43" s="152">
        <v>0.55842975568364195</v>
      </c>
      <c r="O43" s="126"/>
      <c r="P43" s="152">
        <v>0.55694863061421596</v>
      </c>
      <c r="Q43" s="126"/>
      <c r="R43" s="152">
        <v>0.55546396227914641</v>
      </c>
      <c r="S43" s="126"/>
      <c r="T43" s="152">
        <v>0.55397953599429961</v>
      </c>
      <c r="U43" s="126"/>
      <c r="V43" s="152">
        <v>0.55250252180668813</v>
      </c>
      <c r="W43" s="126"/>
      <c r="X43" s="152">
        <v>0.55104573013733149</v>
      </c>
      <c r="Y43" s="126"/>
      <c r="Z43" s="152">
        <v>0.54963129304834102</v>
      </c>
      <c r="AA43" s="126"/>
      <c r="AB43" s="152">
        <v>0.54829641954130037</v>
      </c>
      <c r="AC43" s="126"/>
      <c r="AD43" s="152">
        <v>0.54710111204737799</v>
      </c>
      <c r="AE43" s="126"/>
      <c r="AF43" s="152">
        <v>0.54613266562770335</v>
      </c>
      <c r="AG43" s="126"/>
      <c r="AH43" s="152">
        <v>0.5454848102941362</v>
      </c>
      <c r="AI43" s="126"/>
      <c r="AJ43" s="152">
        <v>0.54517827513390593</v>
      </c>
      <c r="AK43" s="126"/>
      <c r="AL43" s="152">
        <v>0.54509518430626702</v>
      </c>
      <c r="AM43" s="126"/>
      <c r="AN43" s="152">
        <v>0.54508561050959248</v>
      </c>
      <c r="AO43" s="126"/>
      <c r="AP43" s="152">
        <v>0.5450854594504333</v>
      </c>
      <c r="AQ43" s="126"/>
      <c r="AR43" s="152">
        <v>0.54508540528681482</v>
      </c>
      <c r="AS43" s="126"/>
      <c r="AT43" s="152">
        <v>0.54508538972013176</v>
      </c>
      <c r="AU43" s="126"/>
      <c r="AV43" s="152">
        <v>0.54508538652703453</v>
      </c>
    </row>
    <row r="44" spans="1:49 16319:16384" x14ac:dyDescent="0.2">
      <c r="A44" t="s">
        <v>129</v>
      </c>
      <c r="B44" s="183">
        <v>0.29754226190682465</v>
      </c>
      <c r="D44" s="183">
        <v>0.29754226154298941</v>
      </c>
      <c r="F44" s="183">
        <v>0.29754226148197732</v>
      </c>
      <c r="H44" s="183">
        <v>0.29754226132324435</v>
      </c>
      <c r="J44" s="183">
        <v>0.29754225996668737</v>
      </c>
      <c r="L44" s="183">
        <v>0.29754226102416154</v>
      </c>
      <c r="N44" s="183">
        <v>0.29754226018364088</v>
      </c>
      <c r="P44" s="183">
        <v>0.29754225648469312</v>
      </c>
      <c r="R44" s="183">
        <v>0.29754225915251808</v>
      </c>
      <c r="T44" s="183">
        <v>0.29754225782314786</v>
      </c>
      <c r="V44" s="183">
        <v>0.29754225808636037</v>
      </c>
      <c r="X44" s="183">
        <v>0.29754226176521442</v>
      </c>
      <c r="Z44" s="183">
        <v>0.29754226059546957</v>
      </c>
      <c r="AB44" s="183">
        <v>0.29754226217676061</v>
      </c>
      <c r="AD44" s="183">
        <v>0.2975422618261101</v>
      </c>
      <c r="AF44" s="183">
        <v>0.29754226189318</v>
      </c>
      <c r="AH44" s="183">
        <v>0.2975422619217431</v>
      </c>
      <c r="AJ44" s="183">
        <v>0.29754226190879846</v>
      </c>
      <c r="AL44" s="183">
        <v>0.29754226190680966</v>
      </c>
      <c r="AN44" s="183">
        <v>0.29754226190682181</v>
      </c>
      <c r="AP44" s="183">
        <v>0.29754226190672339</v>
      </c>
      <c r="AR44" s="183">
        <v>0.29754226190682392</v>
      </c>
      <c r="AT44" s="183">
        <v>0.29754226190682487</v>
      </c>
      <c r="AV44" s="183">
        <v>0.29754226190685645</v>
      </c>
    </row>
    <row r="45" spans="1:49 16319:16384" x14ac:dyDescent="0.2">
      <c r="A45" t="s">
        <v>82</v>
      </c>
      <c r="B45" s="183">
        <v>0.22038438833194082</v>
      </c>
      <c r="D45" s="183">
        <v>0.22038438832422294</v>
      </c>
      <c r="F45" s="183">
        <v>0.22038438832222865</v>
      </c>
      <c r="H45" s="183">
        <v>0.22038438831751778</v>
      </c>
      <c r="J45" s="183">
        <v>0.2203843883541953</v>
      </c>
      <c r="L45" s="183">
        <v>0.22038438830758048</v>
      </c>
      <c r="N45" s="183">
        <v>0.22038438828326515</v>
      </c>
      <c r="P45" s="183">
        <v>0.22038438830468587</v>
      </c>
      <c r="R45" s="183">
        <v>0.220384388318727</v>
      </c>
      <c r="T45" s="183">
        <v>0.22038438831414098</v>
      </c>
      <c r="V45" s="183">
        <v>0.22038438831798771</v>
      </c>
      <c r="X45" s="183">
        <v>0.22038438833375298</v>
      </c>
      <c r="Z45" s="183">
        <v>0.22038438835187679</v>
      </c>
      <c r="AB45" s="183">
        <v>0.22038438833985527</v>
      </c>
      <c r="AD45" s="183">
        <v>0.22038438833090557</v>
      </c>
      <c r="AF45" s="183">
        <v>0.22038438833208349</v>
      </c>
      <c r="AH45" s="183">
        <v>0.22038438833198984</v>
      </c>
      <c r="AJ45" s="183">
        <v>0.22038438833191812</v>
      </c>
      <c r="AL45" s="183">
        <v>0.22038438833194154</v>
      </c>
      <c r="AN45" s="183">
        <v>0.22038438833194079</v>
      </c>
      <c r="AP45" s="183">
        <v>0.22038438833198198</v>
      </c>
      <c r="AR45" s="183">
        <v>0.22038438833194149</v>
      </c>
      <c r="AT45" s="183">
        <v>0.22038438833194077</v>
      </c>
      <c r="AV45" s="183">
        <v>0.22038438833191978</v>
      </c>
      <c r="XCQ45" s="183"/>
    </row>
    <row r="46" spans="1:49 16319:16384" x14ac:dyDescent="0.2">
      <c r="A46" t="s">
        <v>126</v>
      </c>
      <c r="B46" s="183">
        <v>7.7157873574883795E-2</v>
      </c>
      <c r="D46" s="183">
        <v>7.7157873218766396E-2</v>
      </c>
      <c r="F46" s="183">
        <v>7.7157873159748688E-2</v>
      </c>
      <c r="H46" s="183">
        <v>7.715787300572656E-2</v>
      </c>
      <c r="J46" s="183">
        <v>7.715787161249206E-2</v>
      </c>
      <c r="L46" s="183">
        <v>7.7157872716581061E-2</v>
      </c>
      <c r="N46" s="183">
        <v>7.7157871900375735E-2</v>
      </c>
      <c r="P46" s="183">
        <v>7.7157868180007236E-2</v>
      </c>
      <c r="R46" s="183">
        <v>7.7157870833791095E-2</v>
      </c>
      <c r="T46" s="183">
        <v>7.7157869509006882E-2</v>
      </c>
      <c r="V46" s="183">
        <v>7.7157869768372675E-2</v>
      </c>
      <c r="X46" s="183">
        <v>7.7157873431461438E-2</v>
      </c>
      <c r="Z46" s="183">
        <v>7.7157872243592732E-2</v>
      </c>
      <c r="AB46" s="183">
        <v>7.7157873836905366E-2</v>
      </c>
      <c r="AD46" s="183">
        <v>7.715787349520456E-2</v>
      </c>
      <c r="AF46" s="183">
        <v>7.7157873561096518E-2</v>
      </c>
      <c r="AH46" s="183">
        <v>7.7157873589753248E-2</v>
      </c>
      <c r="AJ46" s="183">
        <v>7.7157873576880309E-2</v>
      </c>
      <c r="AL46" s="183">
        <v>7.7157873574868086E-2</v>
      </c>
      <c r="AN46" s="183">
        <v>7.7157873574880978E-2</v>
      </c>
      <c r="AP46" s="183">
        <v>7.7157873574741423E-2</v>
      </c>
      <c r="AR46" s="183">
        <v>7.7157873574882477E-2</v>
      </c>
      <c r="AT46" s="183">
        <v>7.7157873574884114E-2</v>
      </c>
      <c r="AV46" s="183">
        <v>7.7157873574936683E-2</v>
      </c>
      <c r="XCS46" s="183"/>
    </row>
    <row r="48" spans="1:49 16319:16384" x14ac:dyDescent="0.2">
      <c r="A48" t="s">
        <v>143</v>
      </c>
      <c r="B48" s="181">
        <v>1</v>
      </c>
      <c r="C48" s="181"/>
      <c r="D48" s="181">
        <v>1.0016696703784878</v>
      </c>
      <c r="E48" s="181"/>
      <c r="F48" s="181">
        <v>1.003227325599463</v>
      </c>
      <c r="G48" s="181"/>
      <c r="H48" s="181">
        <v>1.0046547738442992</v>
      </c>
      <c r="I48" s="181"/>
      <c r="J48" s="181">
        <v>1.0059296301849405</v>
      </c>
      <c r="K48" s="181"/>
      <c r="L48" s="181">
        <v>1.0070241297520577</v>
      </c>
      <c r="M48" s="181"/>
      <c r="N48" s="181">
        <v>1.007903360239548</v>
      </c>
      <c r="O48" s="181"/>
      <c r="P48" s="181">
        <v>1.008522959650302</v>
      </c>
      <c r="Q48" s="181"/>
      <c r="R48" s="181">
        <v>1.0088257838743031</v>
      </c>
      <c r="S48" s="181"/>
      <c r="T48" s="181">
        <v>1.0087369102696522</v>
      </c>
      <c r="U48" s="181"/>
      <c r="V48" s="181">
        <v>1.0081561175381224</v>
      </c>
      <c r="W48" s="181"/>
      <c r="X48" s="181">
        <v>1.0069458224227694</v>
      </c>
      <c r="Y48" s="181"/>
      <c r="Z48" s="181">
        <v>1.004910412719064</v>
      </c>
      <c r="AA48" s="181"/>
      <c r="AB48" s="181">
        <v>1.001757435100985</v>
      </c>
      <c r="AC48" s="181"/>
      <c r="AD48" s="181">
        <v>0.99701493398214069</v>
      </c>
      <c r="AE48" s="181"/>
      <c r="AF48" s="181">
        <v>0.98982488539256075</v>
      </c>
      <c r="AG48" s="181"/>
      <c r="AH48" s="181">
        <v>0.97834314152452817</v>
      </c>
      <c r="AI48" s="181"/>
      <c r="AJ48" s="181">
        <v>0.95787304582997901</v>
      </c>
      <c r="AK48" s="181"/>
      <c r="AL48" s="181">
        <v>0.91468133373009763</v>
      </c>
      <c r="AM48" s="181"/>
      <c r="AN48" s="181">
        <v>0.79501412143295125</v>
      </c>
      <c r="AO48" s="181"/>
      <c r="AP48" s="181">
        <v>0.74447685652761386</v>
      </c>
      <c r="AQ48" s="181"/>
      <c r="AR48" s="181">
        <v>0.67242380127460877</v>
      </c>
      <c r="AS48" s="181"/>
      <c r="AT48" s="181">
        <v>0.562525295682481</v>
      </c>
      <c r="AU48" s="181"/>
      <c r="AV48" s="181">
        <v>0.37660948934676486</v>
      </c>
    </row>
    <row r="49" spans="1:48 16321:16384" x14ac:dyDescent="0.2">
      <c r="A49" t="s">
        <v>144</v>
      </c>
      <c r="B49" s="181">
        <v>1</v>
      </c>
      <c r="C49" s="181"/>
      <c r="D49" s="181">
        <v>0.99609205097971065</v>
      </c>
      <c r="E49" s="181"/>
      <c r="F49" s="181">
        <v>0.99161552436365763</v>
      </c>
      <c r="G49" s="181"/>
      <c r="H49" s="181">
        <v>0.98648533336233613</v>
      </c>
      <c r="I49" s="181"/>
      <c r="J49" s="181">
        <v>0.98059714400568088</v>
      </c>
      <c r="K49" s="181"/>
      <c r="L49" s="181">
        <v>0.97382123910473284</v>
      </c>
      <c r="M49" s="181"/>
      <c r="N49" s="181">
        <v>0.96599345147887439</v>
      </c>
      <c r="O49" s="181"/>
      <c r="P49" s="181">
        <v>0.95690205704925124</v>
      </c>
      <c r="Q49" s="181"/>
      <c r="R49" s="181">
        <v>0.94626774162323102</v>
      </c>
      <c r="S49" s="181"/>
      <c r="T49" s="181">
        <v>0.93371190159468709</v>
      </c>
      <c r="U49" s="181"/>
      <c r="V49" s="181">
        <v>0.91870526874179348</v>
      </c>
      <c r="W49" s="181"/>
      <c r="X49" s="181">
        <v>0.90048080747428538</v>
      </c>
      <c r="Y49" s="181"/>
      <c r="Z49" s="181">
        <v>0.87788047165680572</v>
      </c>
      <c r="AA49" s="181"/>
      <c r="AB49" s="181">
        <v>0.84907659179059514</v>
      </c>
      <c r="AC49" s="181"/>
      <c r="AD49" s="181">
        <v>0.81105987728546669</v>
      </c>
      <c r="AE49" s="181"/>
      <c r="AF49" s="181">
        <v>0.75875255526232177</v>
      </c>
      <c r="AG49" s="181"/>
      <c r="AH49" s="181">
        <v>0.68382391556492417</v>
      </c>
      <c r="AI49" s="181"/>
      <c r="AJ49" s="181">
        <v>0.57418790100319095</v>
      </c>
      <c r="AK49" s="181"/>
      <c r="AL49" s="181">
        <v>0.4156020546506704</v>
      </c>
      <c r="AM49" s="181"/>
      <c r="AN49" s="181">
        <v>0.19910231957978661</v>
      </c>
      <c r="AO49" s="181"/>
      <c r="AP49" s="181">
        <v>0.15061929964453588</v>
      </c>
      <c r="AQ49" s="181"/>
      <c r="AR49" s="181">
        <v>0.10237848359850386</v>
      </c>
      <c r="AS49" s="181"/>
      <c r="AT49" s="181">
        <v>5.6756672264494087E-2</v>
      </c>
      <c r="AU49" s="181"/>
      <c r="AV49" s="181">
        <v>1.8602743282416553E-2</v>
      </c>
    </row>
    <row r="51" spans="1:48 16321:16384" x14ac:dyDescent="0.2">
      <c r="A51" t="s">
        <v>150</v>
      </c>
      <c r="B51" s="27">
        <v>-405838.32800000021</v>
      </c>
      <c r="D51" s="27">
        <v>-345226.51058178069</v>
      </c>
      <c r="F51" s="27">
        <v>-283021.51312136929</v>
      </c>
      <c r="H51" s="27">
        <v>-218993.91490158066</v>
      </c>
      <c r="J51" s="27">
        <v>-152867.83079712046</v>
      </c>
      <c r="L51" s="27">
        <v>-84305.298559007701</v>
      </c>
      <c r="N51" s="27">
        <v>-12881.706831538584</v>
      </c>
      <c r="P51" s="27">
        <v>61951.87570822658</v>
      </c>
      <c r="R51" s="27">
        <v>140930.98499049572</v>
      </c>
      <c r="T51" s="27">
        <v>225084.25160488486</v>
      </c>
      <c r="V51" s="27">
        <v>315918.07037822716</v>
      </c>
      <c r="X51" s="27">
        <v>415755.72845088318</v>
      </c>
      <c r="Z51" s="27">
        <v>528377.82003826927</v>
      </c>
      <c r="AB51" s="27">
        <v>660270.54496885091</v>
      </c>
      <c r="AD51" s="27">
        <v>823089.52800302533</v>
      </c>
      <c r="AF51" s="27">
        <v>1038252.8510509003</v>
      </c>
      <c r="AH51" s="27">
        <v>1343733.4931929628</v>
      </c>
      <c r="AJ51" s="27">
        <v>1799275.8565547541</v>
      </c>
      <c r="AL51" s="27">
        <v>2491304.7181101716</v>
      </c>
      <c r="AN51" s="27">
        <v>3520177.4353051386</v>
      </c>
      <c r="AP51" s="27">
        <v>3738562.299377535</v>
      </c>
      <c r="AQ51" s="27"/>
      <c r="AR51" s="27">
        <v>3897945.0956607284</v>
      </c>
      <c r="AT51" s="27">
        <v>3861821.431543042</v>
      </c>
      <c r="AV51" s="27">
        <v>3187936.1035526581</v>
      </c>
      <c r="XFD51" s="27"/>
    </row>
    <row r="52" spans="1:48 16321:16384" x14ac:dyDescent="0.2">
      <c r="A52" t="s">
        <v>151</v>
      </c>
      <c r="B52" s="27">
        <v>2073093.0976150823</v>
      </c>
      <c r="D52" s="27">
        <v>2069597.5023303945</v>
      </c>
      <c r="F52" s="27">
        <v>2065435.5741581798</v>
      </c>
      <c r="H52" s="27">
        <v>2060509.9656727072</v>
      </c>
      <c r="J52" s="27">
        <v>2054702.7982026031</v>
      </c>
      <c r="L52" s="27">
        <v>2047869.8861711873</v>
      </c>
      <c r="N52" s="27">
        <v>2039832.3377035207</v>
      </c>
      <c r="P52" s="27">
        <v>2030364.9558737746</v>
      </c>
      <c r="R52" s="27">
        <v>2019178.9926965055</v>
      </c>
      <c r="T52" s="27">
        <v>2005895.3968069854</v>
      </c>
      <c r="V52" s="27">
        <v>1990002.281883212</v>
      </c>
      <c r="X52" s="27">
        <v>1970783.1749708822</v>
      </c>
      <c r="Z52" s="27">
        <v>1947189.0680408818</v>
      </c>
      <c r="AB52" s="27">
        <v>1917595.3933811998</v>
      </c>
      <c r="AD52" s="27">
        <v>1879308.8404218815</v>
      </c>
      <c r="AF52" s="27">
        <v>1827503.5986077862</v>
      </c>
      <c r="AH52" s="27">
        <v>1752826.1528779767</v>
      </c>
      <c r="AJ52" s="27">
        <v>1635742.2070699055</v>
      </c>
      <c r="AL52" s="27">
        <v>1430615.7194607249</v>
      </c>
      <c r="AN52" s="27">
        <v>1002370.8549659426</v>
      </c>
      <c r="AP52" s="27">
        <v>858083.13653642742</v>
      </c>
      <c r="AQ52" s="27"/>
      <c r="AR52" s="27">
        <v>679345.78522550943</v>
      </c>
      <c r="AT52" s="27">
        <v>457273.37628733157</v>
      </c>
      <c r="AV52" s="27">
        <v>194237.14223739566</v>
      </c>
    </row>
    <row r="53" spans="1:48 16321:16384" x14ac:dyDescent="0.2">
      <c r="A53" t="s">
        <v>152</v>
      </c>
      <c r="B53" s="27">
        <v>2716869.1663849424</v>
      </c>
      <c r="D53" s="27">
        <v>2696330.4048177814</v>
      </c>
      <c r="F53" s="27">
        <v>2675040.9198918599</v>
      </c>
      <c r="H53" s="27">
        <v>2652883.8874636809</v>
      </c>
      <c r="J53" s="27">
        <v>2629719.8871346996</v>
      </c>
      <c r="L53" s="27">
        <v>2605381.1891259784</v>
      </c>
      <c r="N53" s="27">
        <v>2579664.4783955854</v>
      </c>
      <c r="P53" s="27">
        <v>2552320.2498813351</v>
      </c>
      <c r="R53" s="27">
        <v>2523037.6587337861</v>
      </c>
      <c r="T53" s="27">
        <v>2491421.5621327031</v>
      </c>
      <c r="V53" s="27">
        <v>2456955.2516373736</v>
      </c>
      <c r="X53" s="27">
        <v>2418936.0175288999</v>
      </c>
      <c r="Z53" s="27">
        <v>2376355.2590517341</v>
      </c>
      <c r="AB53" s="27">
        <v>2327656.3078205148</v>
      </c>
      <c r="AD53" s="27">
        <v>2270201.9895064021</v>
      </c>
      <c r="AF53" s="27">
        <v>2199011.3325344669</v>
      </c>
      <c r="AH53" s="27">
        <v>2103648.1577216443</v>
      </c>
      <c r="AJ53" s="27">
        <v>1960704.7470668857</v>
      </c>
      <c r="AL53" s="27">
        <v>1714252.5477151815</v>
      </c>
      <c r="AN53" s="27">
        <v>1201056.5989090439</v>
      </c>
      <c r="AP53" s="27">
        <v>1028168.1481549933</v>
      </c>
      <c r="AQ53" s="27"/>
      <c r="AR53" s="27">
        <v>814002.18188867788</v>
      </c>
      <c r="AT53" s="27">
        <v>547911.69790936715</v>
      </c>
      <c r="AV53" s="27">
        <v>232737.80313647658</v>
      </c>
      <c r="XFD53" s="27"/>
    </row>
    <row r="55" spans="1:48 16321:16384" x14ac:dyDescent="0.2">
      <c r="A55" t="s">
        <v>153</v>
      </c>
      <c r="B55" s="183">
        <v>0.19850271905982084</v>
      </c>
      <c r="D55" s="183">
        <v>0.20261911344415615</v>
      </c>
      <c r="F55" s="183">
        <v>0.20683942983587725</v>
      </c>
      <c r="H55" s="183">
        <v>0.21118097683557499</v>
      </c>
      <c r="J55" s="183">
        <v>0.21566476372069743</v>
      </c>
      <c r="L55" s="183">
        <v>0.22031676085711274</v>
      </c>
      <c r="N55" s="183">
        <v>0.2251698474352675</v>
      </c>
      <c r="P55" s="183">
        <v>0.23026676913970415</v>
      </c>
      <c r="R55" s="183">
        <v>0.23566494702579596</v>
      </c>
      <c r="T55" s="183">
        <v>0.241444576632664</v>
      </c>
      <c r="V55" s="183">
        <v>0.24772251818858618</v>
      </c>
      <c r="X55" s="183">
        <v>0.25467753888280503</v>
      </c>
      <c r="Z55" s="183">
        <v>0.26259769059112431</v>
      </c>
      <c r="AB55" s="183">
        <v>0.27197257228420263</v>
      </c>
      <c r="AD55" s="183">
        <v>0.28367704070570765</v>
      </c>
      <c r="AF55" s="183">
        <v>0.29932622128808573</v>
      </c>
      <c r="AH55" s="183">
        <v>0.32188124529158219</v>
      </c>
      <c r="AJ55" s="183">
        <v>0.35660287990680528</v>
      </c>
      <c r="AL55" s="183">
        <v>0.41425137355589658</v>
      </c>
      <c r="AN55" s="183">
        <v>0.5303621740979837</v>
      </c>
      <c r="AP55" s="183">
        <v>0.57095479115182934</v>
      </c>
      <c r="AR55" s="183">
        <v>0.62405598922691397</v>
      </c>
      <c r="AT55" s="183">
        <v>0.69746956740570398</v>
      </c>
      <c r="AV55" s="183">
        <v>0.80787226021664404</v>
      </c>
      <c r="XCS55" s="183"/>
      <c r="XFD55" s="183"/>
    </row>
    <row r="56" spans="1:48 16321:16384" x14ac:dyDescent="0.2">
      <c r="A56" t="s">
        <v>154</v>
      </c>
      <c r="B56" s="183">
        <v>2.9221206744340551E-2</v>
      </c>
      <c r="D56" s="183">
        <v>3.3705422555349973E-2</v>
      </c>
      <c r="F56" s="183">
        <v>3.831912651642496E-2</v>
      </c>
      <c r="H56" s="183">
        <v>4.308335606591164E-2</v>
      </c>
      <c r="J56" s="183">
        <v>4.8023711947254973E-2</v>
      </c>
      <c r="L56" s="183">
        <v>5.3171937414857096E-2</v>
      </c>
      <c r="N56" s="183">
        <v>5.8568348713334488E-2</v>
      </c>
      <c r="P56" s="183">
        <v>6.4265542096777262E-2</v>
      </c>
      <c r="R56" s="183">
        <v>7.0334402802355894E-2</v>
      </c>
      <c r="T56" s="183">
        <v>7.6874189394570552E-2</v>
      </c>
      <c r="V56" s="183">
        <v>8.4029812652465299E-2</v>
      </c>
      <c r="X56" s="183">
        <v>9.2023088508507295E-2</v>
      </c>
      <c r="Z56" s="183">
        <v>0.10121116846271991</v>
      </c>
      <c r="AB56" s="183">
        <v>0.11219979122085856</v>
      </c>
      <c r="AD56" s="183">
        <v>0.12606739577147713</v>
      </c>
      <c r="AF56" s="183">
        <v>0.14479475382747647</v>
      </c>
      <c r="AH56" s="183">
        <v>0.17198928554074591</v>
      </c>
      <c r="AJ56" s="183">
        <v>0.21401444351950458</v>
      </c>
      <c r="AL56" s="183">
        <v>0.28384859562026132</v>
      </c>
      <c r="AN56" s="183">
        <v>0.42444155999051519</v>
      </c>
      <c r="AP56" s="183">
        <v>0.47357528509449581</v>
      </c>
      <c r="AR56" s="183">
        <v>0.53783935571027031</v>
      </c>
      <c r="AT56" s="183">
        <v>0.62667026389845837</v>
      </c>
      <c r="AV56" s="183">
        <v>0.760231057202717</v>
      </c>
      <c r="XFD56" s="183"/>
    </row>
    <row r="57" spans="1:48 16321:16384" x14ac:dyDescent="0.2">
      <c r="A57" t="s">
        <v>155</v>
      </c>
      <c r="B57" s="183">
        <v>0.15852881819439493</v>
      </c>
      <c r="D57" s="183">
        <v>0.15824270523526524</v>
      </c>
      <c r="F57" s="183">
        <v>0.15793203305377235</v>
      </c>
      <c r="H57" s="183">
        <v>0.157593324679486</v>
      </c>
      <c r="J57" s="183">
        <v>0.15722229159341963</v>
      </c>
      <c r="L57" s="183">
        <v>0.15681352768975768</v>
      </c>
      <c r="N57" s="183">
        <v>0.1563600369660243</v>
      </c>
      <c r="P57" s="183">
        <v>0.15585250153608834</v>
      </c>
      <c r="R57" s="183">
        <v>0.15527809980577562</v>
      </c>
      <c r="T57" s="183">
        <v>0.15461853714499157</v>
      </c>
      <c r="V57" s="183">
        <v>0.15384667388042353</v>
      </c>
      <c r="X57" s="183">
        <v>0.1529205218087554</v>
      </c>
      <c r="Y57" s="183"/>
      <c r="Z57" s="183">
        <v>0.15177217614158703</v>
      </c>
      <c r="AB57" s="183">
        <v>0.15028676355268045</v>
      </c>
      <c r="AD57" s="183">
        <v>0.1482619063956491</v>
      </c>
      <c r="AF57" s="183">
        <v>0.14533300295248261</v>
      </c>
      <c r="AH57" s="183">
        <v>0.14085543622438826</v>
      </c>
      <c r="AJ57" s="183">
        <v>0.13373336383111159</v>
      </c>
      <c r="AL57" s="183">
        <v>0.12177307369547248</v>
      </c>
      <c r="AN57" s="183">
        <v>9.763649898447696E-2</v>
      </c>
      <c r="AP57" s="183">
        <v>8.9197427729087328E-2</v>
      </c>
      <c r="AR57" s="183">
        <v>7.8157830483015597E-2</v>
      </c>
      <c r="AT57" s="183">
        <v>6.2895331213080774E-2</v>
      </c>
      <c r="AV57" s="183">
        <v>3.9942883793459678E-2</v>
      </c>
      <c r="XFD57" s="183"/>
    </row>
    <row r="58" spans="1:48 16321:16384" x14ac:dyDescent="0.2">
      <c r="A58" t="s">
        <v>156</v>
      </c>
      <c r="B58" s="183">
        <v>1.075269412108535E-2</v>
      </c>
      <c r="D58" s="183">
        <v>1.0670985653540943E-2</v>
      </c>
      <c r="F58" s="183">
        <v>1.0588270265679921E-2</v>
      </c>
      <c r="H58" s="183">
        <v>1.050429609017735E-2</v>
      </c>
      <c r="J58" s="183">
        <v>1.04187601800228E-2</v>
      </c>
      <c r="L58" s="183">
        <v>1.0331295752498016E-2</v>
      </c>
      <c r="N58" s="183">
        <v>1.0241461755908725E-2</v>
      </c>
      <c r="P58" s="183">
        <v>1.0148725506838518E-2</v>
      </c>
      <c r="R58" s="183">
        <v>1.0052444417664464E-2</v>
      </c>
      <c r="T58" s="183">
        <v>9.9518500931019046E-3</v>
      </c>
      <c r="V58" s="183">
        <v>9.8460316556973487E-3</v>
      </c>
      <c r="X58" s="183">
        <v>9.7339285655423328E-3</v>
      </c>
      <c r="Y58" s="183"/>
      <c r="Z58" s="183">
        <v>9.614345986817336E-3</v>
      </c>
      <c r="AB58" s="183">
        <v>9.4860175106635976E-3</v>
      </c>
      <c r="AD58" s="183">
        <v>9.3477385385814446E-3</v>
      </c>
      <c r="AF58" s="183">
        <v>9.1984645081266327E-3</v>
      </c>
      <c r="AH58" s="183">
        <v>9.0365235264479767E-3</v>
      </c>
      <c r="AJ58" s="183">
        <v>8.8550725561890222E-3</v>
      </c>
      <c r="AL58" s="183">
        <v>8.6297042401627579E-3</v>
      </c>
      <c r="AN58" s="183">
        <v>8.2841151229915855E-3</v>
      </c>
      <c r="AP58" s="183">
        <v>8.18207832824616E-3</v>
      </c>
      <c r="AR58" s="183">
        <v>8.0588030336281088E-3</v>
      </c>
      <c r="AT58" s="183">
        <v>7.9039722941648613E-3</v>
      </c>
      <c r="AV58" s="183">
        <v>7.6983192204674164E-3</v>
      </c>
      <c r="XFD58" s="183"/>
    </row>
    <row r="59" spans="1:48 16321:16384" x14ac:dyDescent="0.2">
      <c r="A59" t="s">
        <v>157</v>
      </c>
      <c r="B59" s="183">
        <v>5.5174232040962052E-4</v>
      </c>
      <c r="D59" s="183">
        <v>5.0920548775887434E-3</v>
      </c>
      <c r="F59" s="183">
        <v>9.7629848002964183E-3</v>
      </c>
      <c r="H59" s="183">
        <v>1.4585741883194833E-2</v>
      </c>
      <c r="J59" s="183">
        <v>1.958613345688703E-2</v>
      </c>
      <c r="L59" s="183">
        <v>2.4796156322177403E-2</v>
      </c>
      <c r="N59" s="183">
        <v>3.0256445012295127E-2</v>
      </c>
      <c r="P59" s="183">
        <v>3.6020009441378106E-2</v>
      </c>
      <c r="R59" s="183">
        <v>4.2158293670515691E-2</v>
      </c>
      <c r="T59" s="183">
        <v>4.8771344502449021E-2</v>
      </c>
      <c r="V59" s="183">
        <v>5.6005240317984414E-2</v>
      </c>
      <c r="X59" s="183">
        <v>6.4083619440024248E-2</v>
      </c>
      <c r="Z59" s="183">
        <v>7.3366633163374356E-2</v>
      </c>
      <c r="AB59" s="183">
        <v>8.4465217227914377E-2</v>
      </c>
      <c r="AD59" s="183">
        <v>9.8467202526741196E-2</v>
      </c>
      <c r="AF59" s="183">
        <v>0.11737059622924259</v>
      </c>
      <c r="AH59" s="183">
        <v>0.14481302433098284</v>
      </c>
      <c r="AJ59" s="183">
        <v>0.18720509492874621</v>
      </c>
      <c r="AL59" s="183">
        <v>0.25760284970683051</v>
      </c>
      <c r="AN59" s="183">
        <v>0.39917580577208228</v>
      </c>
      <c r="AP59" s="183">
        <v>0.44861299317158893</v>
      </c>
      <c r="AR59" s="183">
        <v>0.51324917228768585</v>
      </c>
      <c r="AT59" s="183">
        <v>0.6025540044143044</v>
      </c>
      <c r="AV59" s="183">
        <v>0.73675252928504031</v>
      </c>
      <c r="XFD59" s="183"/>
    </row>
    <row r="60" spans="1:48 16321:16384" x14ac:dyDescent="0.2">
      <c r="A60" t="s">
        <v>158</v>
      </c>
      <c r="B60" s="183">
        <v>2.8669464423930927E-2</v>
      </c>
      <c r="D60" s="183">
        <v>2.8613367677761226E-2</v>
      </c>
      <c r="F60" s="183">
        <v>2.8556141716128539E-2</v>
      </c>
      <c r="H60" s="183">
        <v>2.8497614182716808E-2</v>
      </c>
      <c r="J60" s="183">
        <v>2.8437578490367942E-2</v>
      </c>
      <c r="L60" s="183">
        <v>2.8375781092679696E-2</v>
      </c>
      <c r="N60" s="183">
        <v>2.8311903701039365E-2</v>
      </c>
      <c r="P60" s="183">
        <v>2.8245532655399155E-2</v>
      </c>
      <c r="R60" s="183">
        <v>2.81761091318402E-2</v>
      </c>
      <c r="T60" s="183">
        <v>2.8102844892121521E-2</v>
      </c>
      <c r="V60" s="183">
        <v>2.8024572334480875E-2</v>
      </c>
      <c r="X60" s="183">
        <v>2.793946906848304E-2</v>
      </c>
      <c r="Z60" s="183">
        <v>2.7844535299345548E-2</v>
      </c>
      <c r="AB60" s="183">
        <v>2.7734573992944187E-2</v>
      </c>
      <c r="AD60" s="183">
        <v>2.7600193244735945E-2</v>
      </c>
      <c r="AF60" s="183">
        <v>2.742415759823388E-2</v>
      </c>
      <c r="AH60" s="183">
        <v>2.7176261209763072E-2</v>
      </c>
      <c r="AJ60" s="183">
        <v>2.6809348590758394E-2</v>
      </c>
      <c r="AL60" s="183">
        <v>2.6245745913430797E-2</v>
      </c>
      <c r="AN60" s="183">
        <v>2.5265754218432936E-2</v>
      </c>
      <c r="AP60" s="183">
        <v>2.4962291922906926E-2</v>
      </c>
      <c r="AR60" s="183">
        <v>2.4590183422584386E-2</v>
      </c>
      <c r="AT60" s="183">
        <v>2.4116259484154058E-2</v>
      </c>
      <c r="AV60" s="183">
        <v>2.3478527917676694E-2</v>
      </c>
      <c r="XFD60" s="183"/>
    </row>
    <row r="62" spans="1:48 16321:16384" x14ac:dyDescent="0.2">
      <c r="A62" t="s">
        <v>159</v>
      </c>
      <c r="B62">
        <v>1</v>
      </c>
      <c r="D62">
        <v>1.0059182836062646</v>
      </c>
      <c r="F62">
        <v>1.0118849636681972</v>
      </c>
      <c r="H62">
        <v>1.0179030055600569</v>
      </c>
      <c r="J62">
        <v>1.0239752068939378</v>
      </c>
      <c r="L62">
        <v>1.0301038395081035</v>
      </c>
      <c r="N62">
        <v>1.0362896680453806</v>
      </c>
      <c r="P62">
        <v>1.0425307231842513</v>
      </c>
      <c r="R62">
        <v>1.048820110066272</v>
      </c>
      <c r="T62">
        <v>1.0551421750027699</v>
      </c>
      <c r="V62">
        <v>1.0614663895589393</v>
      </c>
      <c r="X62">
        <v>1.0677372256278832</v>
      </c>
      <c r="Z62">
        <v>1.0738575519011682</v>
      </c>
      <c r="AB62">
        <v>1.079662563610809</v>
      </c>
      <c r="AD62">
        <v>1.084884679177196</v>
      </c>
      <c r="AF62">
        <v>1.0891324373566553</v>
      </c>
      <c r="AH62">
        <v>1.0919824524383519</v>
      </c>
      <c r="AJ62">
        <v>1.0933333082164904</v>
      </c>
      <c r="AL62">
        <v>1.0936997390944434</v>
      </c>
      <c r="AN62">
        <v>1.0937419667525159</v>
      </c>
      <c r="AP62">
        <v>1.0937426331039877</v>
      </c>
      <c r="AR62">
        <v>1.0937428719589748</v>
      </c>
      <c r="AT62">
        <v>1.0937429406178076</v>
      </c>
      <c r="AV62">
        <v>1.0937429547612518</v>
      </c>
    </row>
    <row r="65" spans="1:48 16384:16384" x14ac:dyDescent="0.2">
      <c r="A65" t="s">
        <v>160</v>
      </c>
      <c r="B65" s="181">
        <v>1</v>
      </c>
      <c r="C65" s="181"/>
      <c r="D65" s="181">
        <v>0.99859201583249058</v>
      </c>
      <c r="E65" s="181"/>
      <c r="F65" s="181">
        <v>0.9971404657110885</v>
      </c>
      <c r="G65" s="181"/>
      <c r="H65" s="181">
        <v>0.99563794094640756</v>
      </c>
      <c r="I65" s="181"/>
      <c r="J65" s="181">
        <v>0.99407598565409772</v>
      </c>
      <c r="K65" s="181"/>
      <c r="L65" s="181">
        <v>0.99244517278773703</v>
      </c>
      <c r="M65" s="181"/>
      <c r="N65" s="181">
        <v>0.99073540023465112</v>
      </c>
      <c r="O65" s="181"/>
      <c r="P65" s="181">
        <v>0.98893658112305316</v>
      </c>
      <c r="Q65" s="181"/>
      <c r="R65" s="181">
        <v>0.98704008906454754</v>
      </c>
      <c r="S65" s="181"/>
      <c r="T65" s="181">
        <v>0.98504158180908519</v>
      </c>
      <c r="U65" s="181"/>
      <c r="V65" s="181">
        <v>0.98294641339056621</v>
      </c>
      <c r="W65" s="181"/>
      <c r="X65" s="181">
        <v>0.98077995741671009</v>
      </c>
      <c r="Y65" s="181"/>
      <c r="Z65" s="181">
        <v>0.9786073415642953</v>
      </c>
      <c r="AA65" s="181"/>
      <c r="AB65" s="181">
        <v>0.9765709097049794</v>
      </c>
      <c r="AC65" s="181"/>
      <c r="AD65" s="181">
        <v>0.97495771892604088</v>
      </c>
      <c r="AE65" s="181"/>
      <c r="AF65" s="181">
        <v>0.9742957534633846</v>
      </c>
      <c r="AG65" s="181"/>
      <c r="AH65" s="181">
        <v>0.97536761662170901</v>
      </c>
      <c r="AI65" s="181"/>
      <c r="AJ65" s="181">
        <v>0.97875788413129694</v>
      </c>
      <c r="AK65" s="181"/>
      <c r="AL65" s="181">
        <v>0.98387935968713292</v>
      </c>
      <c r="AM65" s="181"/>
      <c r="AN65" s="181">
        <v>0.98865456863128442</v>
      </c>
      <c r="AO65" s="181"/>
      <c r="AP65" s="181">
        <v>0.98923833074003409</v>
      </c>
      <c r="AQ65" s="181"/>
      <c r="AR65" s="181">
        <v>0.98954537500122253</v>
      </c>
      <c r="AS65" s="181"/>
      <c r="AT65" s="181">
        <v>0.98942239012507349</v>
      </c>
      <c r="AU65" s="181"/>
      <c r="AV65" s="181">
        <v>0.98857297294583213</v>
      </c>
    </row>
    <row r="66" spans="1:48 16384:16384" x14ac:dyDescent="0.2">
      <c r="A66" t="s">
        <v>166</v>
      </c>
      <c r="B66" s="181">
        <v>1</v>
      </c>
      <c r="C66" s="181"/>
      <c r="D66" s="181">
        <v>0.9984517562536368</v>
      </c>
      <c r="E66" s="181"/>
      <c r="F66" s="181">
        <v>0.99685384956406742</v>
      </c>
      <c r="G66" s="181"/>
      <c r="H66" s="181">
        <v>0.99519793389691469</v>
      </c>
      <c r="I66" s="181"/>
      <c r="J66" s="181">
        <v>0.99347445818484592</v>
      </c>
      <c r="K66" s="181"/>
      <c r="L66" s="181">
        <v>0.99167273804700906</v>
      </c>
      <c r="M66" s="181"/>
      <c r="N66" s="181">
        <v>0.98978126990035897</v>
      </c>
      <c r="O66" s="181"/>
      <c r="P66" s="181">
        <v>0.98778848288022292</v>
      </c>
      <c r="Q66" s="181"/>
      <c r="R66" s="181">
        <v>0.98568433430930602</v>
      </c>
      <c r="S66" s="181"/>
      <c r="T66" s="181">
        <v>0.98346345370395039</v>
      </c>
      <c r="U66" s="181"/>
      <c r="V66" s="181">
        <v>0.98113120702614487</v>
      </c>
      <c r="W66" s="181"/>
      <c r="X66" s="181">
        <v>0.97871532031016806</v>
      </c>
      <c r="Y66" s="181"/>
      <c r="Z66" s="181">
        <v>0.97628818062295242</v>
      </c>
      <c r="AA66" s="181"/>
      <c r="AB66" s="181">
        <v>0.97400926431848045</v>
      </c>
      <c r="AC66" s="181"/>
      <c r="AD66" s="181">
        <v>0.97220159552117325</v>
      </c>
      <c r="AE66" s="181"/>
      <c r="AF66" s="181">
        <v>0.97146026497863902</v>
      </c>
      <c r="AG66" s="181"/>
      <c r="AH66" s="181">
        <v>0.97266534578012664</v>
      </c>
      <c r="AI66" s="181"/>
      <c r="AJ66" s="181">
        <v>0.97646471639466381</v>
      </c>
      <c r="AK66" s="181"/>
      <c r="AL66" s="181">
        <v>0.98218053841940811</v>
      </c>
      <c r="AM66" s="181"/>
      <c r="AN66" s="181">
        <v>0.98748567867796821</v>
      </c>
      <c r="AO66" s="181"/>
      <c r="AP66" s="181">
        <v>0.98813265481214052</v>
      </c>
      <c r="AQ66" s="181"/>
      <c r="AR66" s="181">
        <v>0.98847281220050909</v>
      </c>
      <c r="AS66" s="181"/>
      <c r="AT66" s="181">
        <v>0.98833657532353758</v>
      </c>
      <c r="AU66" s="181"/>
      <c r="AV66" s="181">
        <v>0.98739522054327267</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0.9984517562536368</v>
      </c>
      <c r="E68" s="181"/>
      <c r="F68" s="181">
        <v>0.99685384956406742</v>
      </c>
      <c r="G68" s="181"/>
      <c r="H68" s="181">
        <v>0.99519793389691469</v>
      </c>
      <c r="I68" s="181"/>
      <c r="J68" s="181">
        <v>0.99347445818484592</v>
      </c>
      <c r="K68" s="181"/>
      <c r="L68" s="181">
        <v>0.99167273804700906</v>
      </c>
      <c r="M68" s="181"/>
      <c r="N68" s="181">
        <v>0.98978126990035897</v>
      </c>
      <c r="O68" s="181"/>
      <c r="P68" s="181">
        <v>0.98778848288022292</v>
      </c>
      <c r="Q68" s="181"/>
      <c r="R68" s="181">
        <v>0.98568433430930602</v>
      </c>
      <c r="S68" s="181"/>
      <c r="T68" s="181">
        <v>0.98346345370395039</v>
      </c>
      <c r="U68" s="181"/>
      <c r="V68" s="181">
        <v>0.98113120702614487</v>
      </c>
      <c r="W68" s="181"/>
      <c r="X68" s="181">
        <v>0.97871532031016806</v>
      </c>
      <c r="Y68" s="181"/>
      <c r="Z68" s="181">
        <v>0.97628818062295242</v>
      </c>
      <c r="AA68" s="181"/>
      <c r="AB68" s="181">
        <v>0.97400926431848045</v>
      </c>
      <c r="AC68" s="181"/>
      <c r="AD68" s="181">
        <v>0.97220159552117325</v>
      </c>
      <c r="AE68" s="181"/>
      <c r="AF68" s="181">
        <v>0.97146026497863902</v>
      </c>
      <c r="AG68" s="181"/>
      <c r="AH68" s="181">
        <v>0.97266534578012664</v>
      </c>
      <c r="AI68" s="181"/>
      <c r="AJ68" s="181">
        <v>0.97646471639466381</v>
      </c>
      <c r="AK68" s="181"/>
      <c r="AL68" s="181">
        <v>0.98218053841940811</v>
      </c>
      <c r="AM68" s="181"/>
      <c r="AN68" s="181">
        <v>0.98748567867796821</v>
      </c>
      <c r="AO68" s="181"/>
      <c r="AP68" s="181">
        <v>0.98813265481214052</v>
      </c>
      <c r="AQ68" s="181"/>
      <c r="AR68" s="181">
        <v>0.98847281220050909</v>
      </c>
      <c r="AS68" s="181"/>
      <c r="AT68" s="181">
        <v>0.98833657532353758</v>
      </c>
      <c r="AU68" s="181"/>
      <c r="AV68" s="181">
        <v>0.98739522054327267</v>
      </c>
      <c r="XFD68" s="181"/>
    </row>
    <row r="69" spans="1:48 16384:16384" x14ac:dyDescent="0.2">
      <c r="A69" t="s">
        <v>161</v>
      </c>
      <c r="B69" s="181">
        <v>1</v>
      </c>
      <c r="C69" s="181"/>
      <c r="D69" s="181">
        <v>1.0015289785555348</v>
      </c>
      <c r="E69" s="181"/>
      <c r="F69" s="181">
        <v>1.0029389599012843</v>
      </c>
      <c r="G69" s="181"/>
      <c r="H69" s="181">
        <v>1.0042107820083273</v>
      </c>
      <c r="I69" s="181"/>
      <c r="J69" s="181">
        <v>1.005320929829697</v>
      </c>
      <c r="K69" s="181"/>
      <c r="L69" s="181">
        <v>1.0062403481049549</v>
      </c>
      <c r="M69" s="181"/>
      <c r="N69" s="181">
        <v>1.0069326964785943</v>
      </c>
      <c r="O69" s="181"/>
      <c r="P69" s="181">
        <v>1.0073521228780264</v>
      </c>
      <c r="Q69" s="181"/>
      <c r="R69" s="181">
        <v>1.0074401053094406</v>
      </c>
      <c r="S69" s="181"/>
      <c r="T69" s="181">
        <v>1.0071208201288337</v>
      </c>
      <c r="U69" s="181"/>
      <c r="V69" s="181">
        <v>1.0062943564966955</v>
      </c>
      <c r="W69" s="181"/>
      <c r="X69" s="181">
        <v>1.0048261036197557</v>
      </c>
      <c r="Y69" s="181"/>
      <c r="Z69" s="181">
        <v>1.002528917129883</v>
      </c>
      <c r="AA69" s="181"/>
      <c r="AB69" s="181">
        <v>0.99912972284624169</v>
      </c>
      <c r="AC69" s="181"/>
      <c r="AD69" s="181">
        <v>0.99419645669163381</v>
      </c>
      <c r="AE69" s="181"/>
      <c r="AF69" s="181">
        <v>0.98694420254539583</v>
      </c>
      <c r="AG69" s="181"/>
      <c r="AH69" s="181">
        <v>0.97563262694565345</v>
      </c>
      <c r="AI69" s="181"/>
      <c r="AJ69" s="181">
        <v>0.9556288099469229</v>
      </c>
      <c r="AK69" s="181"/>
      <c r="AL69" s="181">
        <v>0.91310199365386224</v>
      </c>
      <c r="AM69" s="181"/>
      <c r="AN69" s="181">
        <v>0.79407417329659269</v>
      </c>
      <c r="AO69" s="181"/>
      <c r="AP69" s="181">
        <v>0.74364475154977905</v>
      </c>
      <c r="AQ69" s="181"/>
      <c r="AR69" s="181">
        <v>0.6716949648070919</v>
      </c>
      <c r="AS69" s="181"/>
      <c r="AT69" s="181">
        <v>0.56190796753386985</v>
      </c>
      <c r="AU69" s="181"/>
      <c r="AV69" s="181">
        <v>0.3761608095396004</v>
      </c>
    </row>
    <row r="70" spans="1:48 16384:16384" x14ac:dyDescent="0.2">
      <c r="A70" t="s">
        <v>162</v>
      </c>
      <c r="B70" s="129">
        <v>1</v>
      </c>
      <c r="C70" s="129"/>
      <c r="D70" s="129">
        <v>1.0003300175692269</v>
      </c>
      <c r="E70" s="129"/>
      <c r="F70" s="129">
        <v>1.0005244815577077</v>
      </c>
      <c r="G70" s="129"/>
      <c r="H70" s="129">
        <v>1.0005630352122967</v>
      </c>
      <c r="I70" s="129"/>
      <c r="J70" s="129">
        <v>1.000420561061756</v>
      </c>
      <c r="K70" s="129"/>
      <c r="L70" s="129">
        <v>1.0000655648964187</v>
      </c>
      <c r="M70" s="129"/>
      <c r="N70" s="129">
        <v>0.99945771584545229</v>
      </c>
      <c r="O70" s="129"/>
      <c r="P70" s="129">
        <v>0.99854424277854881</v>
      </c>
      <c r="Q70" s="129"/>
      <c r="R70" s="129">
        <v>0.99725430844792773</v>
      </c>
      <c r="S70" s="129"/>
      <c r="T70" s="129">
        <v>0.99548991840958068</v>
      </c>
      <c r="U70" s="129"/>
      <c r="V70" s="129">
        <v>0.99311088039763462</v>
      </c>
      <c r="W70" s="129"/>
      <c r="X70" s="129">
        <v>0.98990871242262113</v>
      </c>
      <c r="Y70" s="129"/>
      <c r="Z70" s="129">
        <v>0.98555937505703251</v>
      </c>
      <c r="AA70" s="129"/>
      <c r="AB70" s="129">
        <v>0.97953366995952018</v>
      </c>
      <c r="AC70" s="129"/>
      <c r="AD70" s="129">
        <v>0.97092068661457243</v>
      </c>
      <c r="AE70" s="129"/>
      <c r="AF70" s="129">
        <v>0.95807456724848383</v>
      </c>
      <c r="AG70" s="129"/>
      <c r="AH70" s="129">
        <v>0.93791802175427386</v>
      </c>
      <c r="AI70" s="129"/>
      <c r="AJ70" s="129">
        <v>0.90443479661080683</v>
      </c>
      <c r="AK70" s="129"/>
      <c r="AL70" s="129">
        <v>0.84346953891989052</v>
      </c>
      <c r="AM70" s="129"/>
      <c r="AN70" s="129">
        <v>0.70419509696353189</v>
      </c>
      <c r="AO70" s="129"/>
      <c r="AP70" s="129">
        <v>0.65133727128317642</v>
      </c>
      <c r="AQ70" s="129"/>
      <c r="AR70" s="129">
        <v>0.5794479105146243</v>
      </c>
      <c r="AS70" s="129"/>
      <c r="AT70" s="129">
        <v>0.4754292217477305</v>
      </c>
      <c r="AU70" s="129"/>
      <c r="AV70" s="129">
        <v>0.31000178058104155</v>
      </c>
    </row>
    <row r="71" spans="1:48 16384:16384" x14ac:dyDescent="0.2">
      <c r="A71" t="s">
        <v>163</v>
      </c>
      <c r="B71" s="129">
        <v>1</v>
      </c>
      <c r="D71" s="129">
        <v>0.92973571562710022</v>
      </c>
      <c r="E71" s="129"/>
      <c r="F71" s="129">
        <v>0.8595114897265913</v>
      </c>
      <c r="G71" s="129"/>
      <c r="H71" s="129">
        <v>0.78934736426650587</v>
      </c>
      <c r="I71" s="129"/>
      <c r="J71" s="129">
        <v>0.71927521974770425</v>
      </c>
      <c r="K71" s="129"/>
      <c r="L71" s="129">
        <v>0.64934488458521855</v>
      </c>
      <c r="M71" s="129"/>
      <c r="N71" s="129">
        <v>0.57963614648398099</v>
      </c>
      <c r="O71" s="129"/>
      <c r="P71" s="129">
        <v>0.51027411983858351</v>
      </c>
      <c r="Q71" s="129"/>
      <c r="R71" s="129">
        <v>0.44145400628827386</v>
      </c>
      <c r="S71" s="129"/>
      <c r="T71" s="129">
        <v>0.37348078726326916</v>
      </c>
      <c r="U71" s="129"/>
      <c r="V71" s="129">
        <v>0.30682909213981363</v>
      </c>
      <c r="W71" s="129"/>
      <c r="X71" s="129">
        <v>0.24223609464936763</v>
      </c>
      <c r="Y71" s="129"/>
      <c r="Z71" s="129">
        <v>0.18084305220833738</v>
      </c>
      <c r="AA71" s="129"/>
      <c r="AB71" s="129">
        <v>0.12439681976296842</v>
      </c>
      <c r="AC71" s="129"/>
      <c r="AD71" s="129">
        <v>7.5472838903950401E-2</v>
      </c>
      <c r="AE71" s="129"/>
      <c r="AF71" s="129">
        <v>3.7453826013339131E-2</v>
      </c>
      <c r="AG71" s="129"/>
      <c r="AH71" s="129">
        <v>1.3384622181558007E-2</v>
      </c>
      <c r="AI71" s="129"/>
      <c r="AJ71" s="129">
        <v>2.8242583437964762E-3</v>
      </c>
      <c r="AK71" s="129"/>
      <c r="AL71" s="129">
        <v>2.5503992932173017E-4</v>
      </c>
      <c r="AM71" s="129"/>
      <c r="AN71" s="129">
        <v>4.3496907535054888E-6</v>
      </c>
      <c r="AO71" s="129"/>
      <c r="AP71" s="129">
        <v>1.28595688885735E-6</v>
      </c>
      <c r="AQ71" s="129"/>
      <c r="AR71" s="129">
        <v>2.9462064798951166E-7</v>
      </c>
      <c r="AS71" s="129"/>
      <c r="AT71" s="129">
        <v>4.5654006829210998E-8</v>
      </c>
      <c r="AU71" s="129"/>
      <c r="AV71" s="129">
        <v>3.458888345427421E-9</v>
      </c>
      <c r="XFD71" s="129"/>
    </row>
    <row r="72" spans="1:48 16384:16384" x14ac:dyDescent="0.2">
      <c r="A72" t="s">
        <v>164</v>
      </c>
      <c r="B72" s="129">
        <v>1</v>
      </c>
      <c r="D72" s="129">
        <v>1.0255545366377428</v>
      </c>
      <c r="E72" s="129"/>
      <c r="F72" s="129">
        <v>1.0547979874687159</v>
      </c>
      <c r="G72" s="129"/>
      <c r="H72" s="129">
        <v>1.0882003098299859</v>
      </c>
      <c r="I72" s="129"/>
      <c r="J72" s="129">
        <v>1.1262818478092005</v>
      </c>
      <c r="K72" s="129"/>
      <c r="L72" s="129">
        <v>1.1696033023552925</v>
      </c>
      <c r="M72" s="129"/>
      <c r="N72" s="129">
        <v>1.2187425089377226</v>
      </c>
      <c r="O72" s="129"/>
      <c r="P72" s="129">
        <v>1.2742429241611315</v>
      </c>
      <c r="Q72" s="129"/>
      <c r="R72" s="129">
        <v>1.3365135901359659</v>
      </c>
      <c r="S72" s="129"/>
      <c r="T72" s="129">
        <v>1.4056426798487716</v>
      </c>
      <c r="U72" s="129"/>
      <c r="V72" s="129">
        <v>1.4810426298299302</v>
      </c>
      <c r="W72" s="129"/>
      <c r="X72" s="129">
        <v>1.5607885936746517</v>
      </c>
      <c r="Y72" s="129"/>
      <c r="Z72" s="129">
        <v>1.6403696516052586</v>
      </c>
      <c r="AA72" s="129"/>
      <c r="AB72" s="129">
        <v>1.7103501564929051</v>
      </c>
      <c r="AC72" s="129"/>
      <c r="AD72" s="129">
        <v>1.7522385562463139</v>
      </c>
      <c r="AE72" s="129"/>
      <c r="AF72" s="129">
        <v>1.732778125381689</v>
      </c>
      <c r="AG72" s="129"/>
      <c r="AH72" s="129">
        <v>1.6035127287875528</v>
      </c>
      <c r="AI72" s="129"/>
      <c r="AJ72" s="129">
        <v>1.3270836972224656</v>
      </c>
      <c r="AK72" s="129"/>
      <c r="AL72" s="129">
        <v>0.92606336416065149</v>
      </c>
      <c r="AM72" s="129"/>
      <c r="AN72" s="129">
        <v>0.4685435371589351</v>
      </c>
      <c r="AO72" s="129"/>
      <c r="AP72" s="129">
        <v>0.37503512653668825</v>
      </c>
      <c r="AQ72" s="129"/>
      <c r="AR72" s="129">
        <v>0.28135609460924854</v>
      </c>
      <c r="AS72" s="129"/>
      <c r="AT72" s="129">
        <v>0.18759540041267833</v>
      </c>
      <c r="AU72" s="129"/>
      <c r="AV72" s="129">
        <v>9.3802400064121272E-2</v>
      </c>
      <c r="XFD72" s="129"/>
    </row>
    <row r="73" spans="1:48 16384:16384" x14ac:dyDescent="0.2">
      <c r="A73" t="s">
        <v>168</v>
      </c>
      <c r="B73" s="183">
        <v>0.47641153352875076</v>
      </c>
      <c r="D73" s="183">
        <v>0.47641153389258573</v>
      </c>
      <c r="E73" s="129"/>
      <c r="F73" s="183">
        <v>0.47641153395359798</v>
      </c>
      <c r="G73" s="129"/>
      <c r="H73" s="183">
        <v>0.47641153411233106</v>
      </c>
      <c r="I73" s="129"/>
      <c r="J73" s="183">
        <v>0.47641153546888776</v>
      </c>
      <c r="K73" s="129"/>
      <c r="L73" s="183">
        <v>0.47641153441141371</v>
      </c>
      <c r="M73" s="129"/>
      <c r="N73" s="183">
        <v>0.4764115352519343</v>
      </c>
      <c r="O73" s="129"/>
      <c r="P73" s="183">
        <v>0.4764115389508819</v>
      </c>
      <c r="Q73" s="129"/>
      <c r="R73" s="183">
        <v>0.47641153628305705</v>
      </c>
      <c r="S73" s="129"/>
      <c r="T73" s="183">
        <v>0.47641153761242727</v>
      </c>
      <c r="U73" s="129"/>
      <c r="V73" s="183">
        <v>0.47641153734921488</v>
      </c>
      <c r="W73" s="129"/>
      <c r="X73" s="183">
        <v>0.47641153367036093</v>
      </c>
      <c r="Y73" s="129"/>
      <c r="Z73" s="183">
        <v>0.47641153484010573</v>
      </c>
      <c r="AA73" s="129"/>
      <c r="AB73" s="183">
        <v>0.47641153325881447</v>
      </c>
      <c r="AC73" s="129"/>
      <c r="AD73" s="183">
        <v>0.47641153360946487</v>
      </c>
      <c r="AE73" s="129"/>
      <c r="AF73" s="183">
        <v>0.47641153354239513</v>
      </c>
      <c r="AG73" s="129"/>
      <c r="AH73" s="183">
        <v>0.47641153351383203</v>
      </c>
      <c r="AI73" s="129"/>
      <c r="AJ73" s="183">
        <v>0.47641153352677656</v>
      </c>
      <c r="AK73" s="129"/>
      <c r="AL73" s="183">
        <v>0.47641153352876564</v>
      </c>
      <c r="AM73" s="129"/>
      <c r="AN73" s="183">
        <v>0.47641153352875332</v>
      </c>
      <c r="AO73" s="129"/>
      <c r="AP73" s="183">
        <v>0.47641153352885185</v>
      </c>
      <c r="AQ73" s="129"/>
      <c r="AR73" s="183">
        <v>0.47641153352875104</v>
      </c>
      <c r="AS73" s="129"/>
      <c r="AT73" s="183">
        <v>0.4764115335287501</v>
      </c>
      <c r="AU73" s="129"/>
      <c r="AV73" s="183">
        <v>0.47641153352871879</v>
      </c>
      <c r="XFD73" s="183"/>
    </row>
    <row r="74" spans="1:48 16384:16384" x14ac:dyDescent="0.2">
      <c r="A74" t="s">
        <v>169</v>
      </c>
      <c r="B74" s="183">
        <v>0.22604620456442484</v>
      </c>
      <c r="D74" s="183">
        <v>0.22604620456442484</v>
      </c>
      <c r="E74" s="129"/>
      <c r="F74" s="183">
        <v>0.22604620456442484</v>
      </c>
      <c r="G74" s="129"/>
      <c r="H74" s="183">
        <v>0.22604620456442487</v>
      </c>
      <c r="I74" s="129"/>
      <c r="J74" s="183">
        <v>0.22604620456442484</v>
      </c>
      <c r="K74" s="129"/>
      <c r="L74" s="183">
        <v>0.22604620456442484</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0.22604620456442487</v>
      </c>
      <c r="AI74" s="129"/>
      <c r="AJ74" s="183">
        <v>0.22604620456442484</v>
      </c>
      <c r="AK74" s="129"/>
      <c r="AL74" s="183">
        <v>0.22604620456442484</v>
      </c>
      <c r="AM74" s="129"/>
      <c r="AN74" s="183">
        <v>0.22604620456442484</v>
      </c>
      <c r="AO74" s="129"/>
      <c r="AP74" s="183">
        <v>0.22604620456442487</v>
      </c>
      <c r="AQ74" s="129"/>
      <c r="AR74" s="183">
        <v>0.22604620456442484</v>
      </c>
      <c r="AS74" s="129"/>
      <c r="AT74" s="183">
        <v>0.22604620456442484</v>
      </c>
      <c r="AU74" s="129"/>
      <c r="AV74" s="183">
        <v>0.22604620456442484</v>
      </c>
      <c r="XFD74" s="183"/>
    </row>
    <row r="75" spans="1:48 16384:16384" x14ac:dyDescent="0.2">
      <c r="A75" t="s">
        <v>170</v>
      </c>
      <c r="B75" s="183">
        <v>0.22038438833194082</v>
      </c>
      <c r="D75" s="183">
        <v>0.22038438832422294</v>
      </c>
      <c r="E75" s="129"/>
      <c r="F75" s="183">
        <v>0.22038438832222865</v>
      </c>
      <c r="G75" s="129"/>
      <c r="H75" s="183">
        <v>0.22038438831751778</v>
      </c>
      <c r="I75" s="129"/>
      <c r="J75" s="183">
        <v>0.2203843883541953</v>
      </c>
      <c r="K75" s="129"/>
      <c r="L75" s="183">
        <v>0.22038438830758048</v>
      </c>
      <c r="M75" s="129"/>
      <c r="N75" s="183">
        <v>0.22038438828326515</v>
      </c>
      <c r="O75" s="129"/>
      <c r="P75" s="183">
        <v>0.22038438830468587</v>
      </c>
      <c r="Q75" s="129"/>
      <c r="R75" s="183">
        <v>0.220384388318727</v>
      </c>
      <c r="S75" s="129"/>
      <c r="T75" s="183">
        <v>0.22038438831414098</v>
      </c>
      <c r="U75" s="129"/>
      <c r="V75" s="183">
        <v>0.22038438831798771</v>
      </c>
      <c r="W75" s="129"/>
      <c r="X75" s="183">
        <v>0.22038438833375298</v>
      </c>
      <c r="Y75" s="129"/>
      <c r="Z75" s="183">
        <v>0.22038438835187679</v>
      </c>
      <c r="AA75" s="129"/>
      <c r="AB75" s="183">
        <v>0.22038438833985527</v>
      </c>
      <c r="AC75" s="129"/>
      <c r="AD75" s="183">
        <v>0.22038438833090557</v>
      </c>
      <c r="AE75" s="129"/>
      <c r="AF75" s="183">
        <v>0.22038438833208349</v>
      </c>
      <c r="AG75" s="129"/>
      <c r="AH75" s="183">
        <v>0.22038438833198984</v>
      </c>
      <c r="AI75" s="129"/>
      <c r="AJ75" s="183">
        <v>0.22038438833191812</v>
      </c>
      <c r="AK75" s="129"/>
      <c r="AL75" s="183">
        <v>0.22038438833194154</v>
      </c>
      <c r="AM75" s="129"/>
      <c r="AN75" s="183">
        <v>0.22038438833194079</v>
      </c>
      <c r="AO75" s="129"/>
      <c r="AP75" s="183">
        <v>0.22038438833198198</v>
      </c>
      <c r="AQ75" s="129"/>
      <c r="AR75" s="183">
        <v>0.22038438833194149</v>
      </c>
      <c r="AS75" s="129"/>
      <c r="AT75" s="183">
        <v>0.22038438833194077</v>
      </c>
      <c r="AU75" s="129"/>
      <c r="AV75" s="183">
        <v>0.22038438833191978</v>
      </c>
      <c r="XFD75" s="183"/>
    </row>
    <row r="76" spans="1:48 16384:16384" x14ac:dyDescent="0.2">
      <c r="A76" t="s">
        <v>171</v>
      </c>
      <c r="B76" s="183">
        <v>0.22301874374724867</v>
      </c>
      <c r="D76" s="183">
        <v>0.22302399920720747</v>
      </c>
      <c r="E76" s="129"/>
      <c r="F76" s="183">
        <v>0.22308747281973698</v>
      </c>
      <c r="G76" s="129"/>
      <c r="H76" s="183">
        <v>0.22321656062456791</v>
      </c>
      <c r="I76" s="129"/>
      <c r="J76" s="183">
        <v>0.2234195286445495</v>
      </c>
      <c r="K76" s="129"/>
      <c r="L76" s="183">
        <v>0.22370538350236907</v>
      </c>
      <c r="M76" s="129"/>
      <c r="N76" s="183">
        <v>0.22408352812863913</v>
      </c>
      <c r="O76" s="129"/>
      <c r="P76" s="183">
        <v>0.22456296568141723</v>
      </c>
      <c r="Q76" s="129"/>
      <c r="R76" s="183">
        <v>0.22515068454526332</v>
      </c>
      <c r="S76" s="129"/>
      <c r="T76" s="183">
        <v>0.22584851795791427</v>
      </c>
      <c r="U76" s="129"/>
      <c r="V76" s="183">
        <v>0.2266470774696574</v>
      </c>
      <c r="W76" s="129"/>
      <c r="X76" s="183">
        <v>0.22751405473234546</v>
      </c>
      <c r="Y76" s="129"/>
      <c r="Z76" s="183">
        <v>0.22837160570540294</v>
      </c>
      <c r="AA76" s="129"/>
      <c r="AB76" s="183">
        <v>0.22905295862524563</v>
      </c>
      <c r="AC76" s="129"/>
      <c r="AD76" s="183">
        <v>0.22922351858390783</v>
      </c>
      <c r="AE76" s="129"/>
      <c r="AF76" s="183">
        <v>0.22826651563911454</v>
      </c>
      <c r="AG76" s="129"/>
      <c r="AH76" s="183">
        <v>0.2252515563450212</v>
      </c>
      <c r="AI76" s="129"/>
      <c r="AJ76" s="183">
        <v>0.2193645799730479</v>
      </c>
      <c r="AK76" s="129"/>
      <c r="AL76" s="183">
        <v>0.21065646014786599</v>
      </c>
      <c r="AM76" s="129"/>
      <c r="AN76" s="183">
        <v>0.19921659250752602</v>
      </c>
      <c r="AO76" s="129"/>
      <c r="AP76" s="183">
        <v>0.19639863838191107</v>
      </c>
      <c r="AQ76" s="129"/>
      <c r="AR76" s="183">
        <v>0.19325119738940455</v>
      </c>
      <c r="AS76" s="129"/>
      <c r="AT76" s="183">
        <v>0.18961297099883564</v>
      </c>
      <c r="AU76" s="129"/>
      <c r="AV76" s="183">
        <v>0.18518059168063986</v>
      </c>
      <c r="XFD76" s="183"/>
    </row>
    <row r="77" spans="1:48 16384:16384" x14ac:dyDescent="0.2">
      <c r="A77" t="s">
        <v>172</v>
      </c>
      <c r="B77" s="183">
        <v>0.14586087017236485</v>
      </c>
      <c r="D77" s="183">
        <v>0.14586612598844109</v>
      </c>
      <c r="E77" s="129"/>
      <c r="F77" s="183">
        <v>0.14592959965998831</v>
      </c>
      <c r="G77" s="129"/>
      <c r="H77" s="183">
        <v>0.14605868761884133</v>
      </c>
      <c r="I77" s="129"/>
      <c r="J77" s="183">
        <v>0.14626165703205743</v>
      </c>
      <c r="K77" s="129"/>
      <c r="L77" s="183">
        <v>0.14654751078578798</v>
      </c>
      <c r="M77" s="129"/>
      <c r="N77" s="183">
        <v>0.14692565622826342</v>
      </c>
      <c r="O77" s="129"/>
      <c r="P77" s="183">
        <v>0.14740509750141001</v>
      </c>
      <c r="Q77" s="129"/>
      <c r="R77" s="183">
        <v>0.14799281371147222</v>
      </c>
      <c r="S77" s="129"/>
      <c r="T77" s="183">
        <v>0.14869064844890742</v>
      </c>
      <c r="U77" s="129"/>
      <c r="V77" s="183">
        <v>0.14948920770128471</v>
      </c>
      <c r="W77" s="129"/>
      <c r="X77" s="183">
        <v>0.15035618130088402</v>
      </c>
      <c r="Y77" s="129"/>
      <c r="Z77" s="183">
        <v>0.15121373346181022</v>
      </c>
      <c r="AA77" s="129"/>
      <c r="AB77" s="183">
        <v>0.15189508478834027</v>
      </c>
      <c r="AC77" s="129"/>
      <c r="AD77" s="183">
        <v>0.15206564508870327</v>
      </c>
      <c r="AE77" s="129"/>
      <c r="AF77" s="183">
        <v>0.15110864207801805</v>
      </c>
      <c r="AG77" s="129"/>
      <c r="AH77" s="183">
        <v>0.14809368275526794</v>
      </c>
      <c r="AI77" s="129"/>
      <c r="AJ77" s="183">
        <v>0.14220670639616761</v>
      </c>
      <c r="AK77" s="129"/>
      <c r="AL77" s="183">
        <v>0.13349858657299793</v>
      </c>
      <c r="AM77" s="129"/>
      <c r="AN77" s="183">
        <v>0.12205871893264501</v>
      </c>
      <c r="AO77" s="129"/>
      <c r="AP77" s="183">
        <v>0.11924076480716965</v>
      </c>
      <c r="AQ77" s="129"/>
      <c r="AR77" s="183">
        <v>0.11609332381452207</v>
      </c>
      <c r="AS77" s="129"/>
      <c r="AT77" s="183">
        <v>0.11245509742395156</v>
      </c>
      <c r="AU77" s="129"/>
      <c r="AV77" s="183">
        <v>0.10802271810570316</v>
      </c>
      <c r="XFD77" s="183"/>
    </row>
    <row r="78" spans="1:48 16384:16384" x14ac:dyDescent="0.2">
      <c r="A78" t="s">
        <v>173</v>
      </c>
      <c r="B78" s="183">
        <v>0.346887593115773</v>
      </c>
      <c r="D78" s="183">
        <v>0.34626153006375415</v>
      </c>
      <c r="E78" s="129"/>
      <c r="F78" s="183">
        <v>0.34558172732180759</v>
      </c>
      <c r="G78" s="129"/>
      <c r="H78" s="183">
        <v>0.34484057669656115</v>
      </c>
      <c r="I78" s="129"/>
      <c r="J78" s="183">
        <v>0.34402869419054233</v>
      </c>
      <c r="K78" s="129"/>
      <c r="L78" s="183">
        <v>0.34313425033920397</v>
      </c>
      <c r="M78" s="129"/>
      <c r="N78" s="183">
        <v>0.34214193671794618</v>
      </c>
      <c r="O78" s="129"/>
      <c r="P78" s="183">
        <v>0.34103136423203029</v>
      </c>
      <c r="Q78" s="129"/>
      <c r="R78" s="183">
        <v>0.33977447708697261</v>
      </c>
      <c r="S78" s="129"/>
      <c r="T78" s="183">
        <v>0.33833124356946886</v>
      </c>
      <c r="U78" s="129"/>
      <c r="V78" s="183">
        <v>0.33664227753092718</v>
      </c>
      <c r="W78" s="129"/>
      <c r="X78" s="183">
        <v>0.33461570175335337</v>
      </c>
      <c r="Y78" s="129"/>
      <c r="Z78" s="183">
        <v>0.33210292919196022</v>
      </c>
      <c r="AA78" s="129"/>
      <c r="AB78" s="183">
        <v>0.3288525977782874</v>
      </c>
      <c r="AC78" s="129"/>
      <c r="AD78" s="183">
        <v>0.32442187134251371</v>
      </c>
      <c r="AE78" s="129"/>
      <c r="AF78" s="183">
        <v>0.31801294028858601</v>
      </c>
      <c r="AG78" s="129"/>
      <c r="AH78" s="183">
        <v>0.30821527470945265</v>
      </c>
      <c r="AI78" s="129"/>
      <c r="AJ78" s="183">
        <v>0.29263098802492993</v>
      </c>
      <c r="AK78" s="129"/>
      <c r="AL78" s="183">
        <v>0.26645987096638574</v>
      </c>
      <c r="AM78" s="129"/>
      <c r="AN78" s="183">
        <v>0.21364500485611593</v>
      </c>
      <c r="AO78" s="129"/>
      <c r="AP78" s="183">
        <v>0.1951789041858587</v>
      </c>
      <c r="AQ78" s="129"/>
      <c r="AR78" s="183">
        <v>0.17102241730054393</v>
      </c>
      <c r="AS78" s="129"/>
      <c r="AT78" s="183">
        <v>0.13762551384172461</v>
      </c>
      <c r="AU78" s="129"/>
      <c r="AV78" s="183">
        <v>8.7401716476721569E-2</v>
      </c>
      <c r="XFD78" s="183"/>
    </row>
    <row r="79" spans="1:48 16384:16384" x14ac:dyDescent="0.2">
      <c r="A79" t="s">
        <v>174</v>
      </c>
      <c r="B79" s="183">
        <v>0.45460968782440875</v>
      </c>
      <c r="D79" s="183">
        <v>0.45111935556471272</v>
      </c>
      <c r="F79" s="183">
        <v>0.44757884163466427</v>
      </c>
      <c r="H79" s="183">
        <v>0.44397844460962027</v>
      </c>
      <c r="J79" s="183">
        <v>0.44030654927284696</v>
      </c>
      <c r="L79" s="183">
        <v>0.43654898546805165</v>
      </c>
      <c r="N79" s="183">
        <v>0.43268820893113963</v>
      </c>
      <c r="P79" s="183">
        <v>0.42870187167876878</v>
      </c>
      <c r="R79" s="183">
        <v>0.42456057846668743</v>
      </c>
      <c r="T79" s="183">
        <v>0.42022418353116925</v>
      </c>
      <c r="V79" s="183">
        <v>0.41563520767425871</v>
      </c>
      <c r="X79" s="183">
        <v>0.41070676027760061</v>
      </c>
      <c r="Z79" s="183">
        <v>0.4052993904314745</v>
      </c>
      <c r="AB79" s="183">
        <v>0.39917483438052243</v>
      </c>
      <c r="AD79" s="183">
        <v>0.39190108720811889</v>
      </c>
      <c r="AF79" s="183">
        <v>0.3826608385996903</v>
      </c>
      <c r="AH79" s="183">
        <v>0.36990348059311928</v>
      </c>
      <c r="AJ79" s="183">
        <v>0.35076613226672854</v>
      </c>
      <c r="AL79" s="183">
        <v>0.3192887555018406</v>
      </c>
      <c r="AN79" s="183">
        <v>0.25599282105534804</v>
      </c>
      <c r="AP79" s="183">
        <v>0.23386630494302463</v>
      </c>
      <c r="AR79" s="183">
        <v>0.20492159348321706</v>
      </c>
      <c r="AT79" s="183">
        <v>0.16490491875320998</v>
      </c>
      <c r="AV79" s="183">
        <v>0.10472602329727371</v>
      </c>
      <c r="XFD79" s="183"/>
    </row>
    <row r="80" spans="1:48 16384:16384" x14ac:dyDescent="0.2">
      <c r="A80" t="s">
        <v>153</v>
      </c>
      <c r="B80" s="195">
        <v>0.19850271905982084</v>
      </c>
      <c r="D80" s="195">
        <v>0.20261911344415615</v>
      </c>
      <c r="F80" s="195">
        <v>0.20683942983587725</v>
      </c>
      <c r="H80" s="195">
        <v>0.21118097683557499</v>
      </c>
      <c r="J80" s="195">
        <v>0.21566476372069743</v>
      </c>
      <c r="L80" s="195">
        <v>0.22031676085711274</v>
      </c>
      <c r="N80" s="195">
        <v>0.2251698474352675</v>
      </c>
      <c r="P80" s="195">
        <v>0.23026676913970415</v>
      </c>
      <c r="R80" s="195">
        <v>0.23566494702579596</v>
      </c>
      <c r="T80" s="195">
        <v>0.241444576632664</v>
      </c>
      <c r="V80" s="195">
        <v>0.24772251818858618</v>
      </c>
      <c r="X80" s="195">
        <v>0.25467753888280503</v>
      </c>
      <c r="Z80" s="195">
        <v>0.26259769059112431</v>
      </c>
      <c r="AB80" s="195">
        <v>0.27197257228420263</v>
      </c>
      <c r="AD80" s="195">
        <v>0.28367704070570765</v>
      </c>
      <c r="AF80" s="195">
        <v>0.29932622128808573</v>
      </c>
      <c r="AH80" s="195">
        <v>0.32188124529158219</v>
      </c>
      <c r="AJ80" s="195">
        <v>0.35660287990680528</v>
      </c>
      <c r="AL80" s="195">
        <v>0.41425137355589658</v>
      </c>
      <c r="AN80" s="195">
        <v>0.5303621740979837</v>
      </c>
      <c r="AP80" s="195">
        <v>0.57095479115182934</v>
      </c>
      <c r="AR80" s="195">
        <v>0.62405598922691397</v>
      </c>
      <c r="AT80" s="195">
        <v>0.69746956740570398</v>
      </c>
      <c r="AV80" s="195">
        <v>0.80787226021664404</v>
      </c>
      <c r="XFD80" s="195"/>
    </row>
    <row r="81" spans="1:48 16384:16384" x14ac:dyDescent="0.2">
      <c r="A81" t="s">
        <v>175</v>
      </c>
      <c r="B81" s="195">
        <v>-2.7543485504603994E-2</v>
      </c>
      <c r="D81" s="195">
        <v>-2.3427091120268678E-2</v>
      </c>
      <c r="F81" s="195">
        <v>-1.9206774728547583E-2</v>
      </c>
      <c r="H81" s="195">
        <v>-1.4865227728849855E-2</v>
      </c>
      <c r="J81" s="195">
        <v>-1.0381440843727434E-2</v>
      </c>
      <c r="L81" s="195">
        <v>-5.7294437073121046E-3</v>
      </c>
      <c r="N81" s="195">
        <v>-8.7635712915735508E-4</v>
      </c>
      <c r="P81" s="195">
        <v>4.2205645752793177E-3</v>
      </c>
      <c r="R81" s="195">
        <v>9.6187424613711041E-3</v>
      </c>
      <c r="T81" s="195">
        <v>1.5398372068239182E-2</v>
      </c>
      <c r="V81" s="195">
        <v>2.1676313624161343E-2</v>
      </c>
      <c r="X81" s="195">
        <v>2.8631334318380192E-2</v>
      </c>
      <c r="Z81" s="195">
        <v>3.6551486026699456E-2</v>
      </c>
      <c r="AB81" s="195">
        <v>4.5926367719777761E-2</v>
      </c>
      <c r="AD81" s="195">
        <v>5.7630836141282844E-2</v>
      </c>
      <c r="AF81" s="195">
        <v>7.3280016723660857E-2</v>
      </c>
      <c r="AH81" s="195">
        <v>9.5835040727157303E-2</v>
      </c>
      <c r="AJ81" s="195">
        <v>0.13055667534238041</v>
      </c>
      <c r="AL81" s="195">
        <v>0.18820516899147174</v>
      </c>
      <c r="AN81" s="195">
        <v>0.30431596953355888</v>
      </c>
      <c r="AP81" s="195">
        <v>0.34490858658740448</v>
      </c>
      <c r="AR81" s="195">
        <v>0.39800978466248915</v>
      </c>
      <c r="AT81" s="195">
        <v>0.47142336284127923</v>
      </c>
      <c r="AV81" s="195">
        <v>0.58182605565221923</v>
      </c>
      <c r="XFD81" s="195"/>
    </row>
    <row r="82" spans="1:48 16384:16384" x14ac:dyDescent="0.2">
      <c r="A82" t="s">
        <v>176</v>
      </c>
      <c r="B82" s="195">
        <v>0.14069693704202227</v>
      </c>
      <c r="D82" s="195">
        <v>0.14044300707864987</v>
      </c>
      <c r="F82" s="195">
        <v>0.14016728040095133</v>
      </c>
      <c r="H82" s="195">
        <v>0.1398666711404058</v>
      </c>
      <c r="J82" s="195">
        <v>0.13953737316578285</v>
      </c>
      <c r="L82" s="195">
        <v>0.13917458846913511</v>
      </c>
      <c r="N82" s="195">
        <v>0.13877210798304446</v>
      </c>
      <c r="P82" s="195">
        <v>0.13832166193010834</v>
      </c>
      <c r="R82" s="195">
        <v>0.13781187093433153</v>
      </c>
      <c r="T82" s="195">
        <v>0.1372264982102013</v>
      </c>
      <c r="V82" s="195">
        <v>0.13654145685067506</v>
      </c>
      <c r="X82" s="195">
        <v>0.13571948163378392</v>
      </c>
      <c r="Z82" s="195">
        <v>0.13470030594146315</v>
      </c>
      <c r="AB82" s="195">
        <v>0.13338197780476727</v>
      </c>
      <c r="AD82" s="195">
        <v>0.13158488372946428</v>
      </c>
      <c r="AF82" s="195">
        <v>0.12898543368600254</v>
      </c>
      <c r="AH82" s="195">
        <v>0.12501151947141706</v>
      </c>
      <c r="AJ82" s="195">
        <v>0.11869056292522739</v>
      </c>
      <c r="AL82" s="195">
        <v>0.10807560844953804</v>
      </c>
      <c r="AN82" s="195">
        <v>8.6654000875584183E-2</v>
      </c>
      <c r="AP82" s="195">
        <v>7.9164186148922247E-2</v>
      </c>
      <c r="AR82" s="195">
        <v>6.9366361776099436E-2</v>
      </c>
      <c r="AT82" s="195">
        <v>5.5820642307903373E-2</v>
      </c>
      <c r="AV82" s="195">
        <v>3.544996720705957E-2</v>
      </c>
    </row>
    <row r="83" spans="1:48 16384:16384" x14ac:dyDescent="0.2">
      <c r="A83" t="s">
        <v>177</v>
      </c>
      <c r="B83" s="195">
        <v>0.18438881036940691</v>
      </c>
      <c r="D83" s="195">
        <v>0.18297313835361848</v>
      </c>
      <c r="F83" s="195">
        <v>0.18153711274936413</v>
      </c>
      <c r="H83" s="195">
        <v>0.18007679867756668</v>
      </c>
      <c r="J83" s="195">
        <v>0.17858748502877766</v>
      </c>
      <c r="L83" s="195">
        <v>0.17706342441500353</v>
      </c>
      <c r="N83" s="195">
        <v>0.17549750091665015</v>
      </c>
      <c r="P83" s="195">
        <v>0.17388065023488505</v>
      </c>
      <c r="R83" s="195">
        <v>0.17220094971547706</v>
      </c>
      <c r="T83" s="195">
        <v>0.17044211631428266</v>
      </c>
      <c r="V83" s="195">
        <v>0.16858083657975029</v>
      </c>
      <c r="X83" s="195">
        <v>0.16658186784508267</v>
      </c>
      <c r="Z83" s="195">
        <v>0.16438864909093306</v>
      </c>
      <c r="AB83" s="195">
        <v>0.16190454099882398</v>
      </c>
      <c r="AD83" s="195">
        <v>0.15895432320987671</v>
      </c>
      <c r="AF83" s="195">
        <v>0.15520649624081354</v>
      </c>
      <c r="AH83" s="195">
        <v>0.15003213650038311</v>
      </c>
      <c r="AJ83" s="195">
        <v>0.14227006502228673</v>
      </c>
      <c r="AL83" s="195">
        <v>0.12950290186964161</v>
      </c>
      <c r="AN83" s="195">
        <v>0.10383019324422262</v>
      </c>
      <c r="AP83" s="195">
        <v>9.4855721091867906E-2</v>
      </c>
      <c r="AR83" s="195">
        <v>8.3115802089919394E-2</v>
      </c>
      <c r="AT83" s="195">
        <v>6.6885116193811794E-2</v>
      </c>
      <c r="AV83" s="195">
        <v>4.2476672556000655E-2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4.498793784335528E-2</v>
      </c>
      <c r="E2" s="189"/>
      <c r="F2" s="188">
        <v>8.7818080562676079E-2</v>
      </c>
      <c r="G2" s="189"/>
      <c r="H2" s="188">
        <v>0.13484765708944241</v>
      </c>
      <c r="I2" s="189"/>
      <c r="J2" s="188">
        <v>0.18680577333457396</v>
      </c>
      <c r="K2" s="189"/>
      <c r="L2" s="188">
        <v>0.24461633968937727</v>
      </c>
      <c r="M2" s="189"/>
      <c r="N2" s="188">
        <v>0.30947005059658883</v>
      </c>
      <c r="O2" s="189"/>
      <c r="P2" s="188">
        <v>0.38293696094941704</v>
      </c>
      <c r="Q2" s="189"/>
      <c r="R2" s="188">
        <v>0.46714208506171412</v>
      </c>
      <c r="S2" s="189"/>
      <c r="T2" s="188">
        <v>0.56505260217226272</v>
      </c>
      <c r="U2" s="189"/>
      <c r="V2" s="188">
        <v>0.68097132057171106</v>
      </c>
      <c r="W2" s="189"/>
      <c r="X2" s="188">
        <v>0.82143071478519458</v>
      </c>
      <c r="Y2" s="189"/>
      <c r="Z2" s="188">
        <v>0.99692492903366947</v>
      </c>
      <c r="AA2" s="189"/>
      <c r="AB2" s="188">
        <v>1.2255431635882315</v>
      </c>
      <c r="AC2" s="189"/>
      <c r="AD2" s="188">
        <v>1.5413513899213398</v>
      </c>
      <c r="AE2" s="189"/>
      <c r="AF2" s="188">
        <v>2.0161408729758517</v>
      </c>
      <c r="AG2" s="189"/>
      <c r="AH2" s="188">
        <v>2.8241427328223887</v>
      </c>
      <c r="AI2" s="189"/>
      <c r="AJ2" s="188">
        <v>4.4664716371485191</v>
      </c>
      <c r="AK2" s="189"/>
      <c r="AL2" s="188">
        <v>8.7296555757122718</v>
      </c>
      <c r="AM2" s="189"/>
      <c r="AN2" s="188"/>
      <c r="AO2" s="189"/>
      <c r="AP2" s="188"/>
      <c r="AQ2" s="189"/>
      <c r="AR2" s="188"/>
      <c r="AS2" s="189"/>
      <c r="AT2" s="188"/>
      <c r="AU2" s="189"/>
      <c r="AV2" s="188"/>
      <c r="AW2" s="189"/>
    </row>
    <row r="3" spans="1:49" x14ac:dyDescent="0.2">
      <c r="A3" t="s">
        <v>12</v>
      </c>
      <c r="B3" s="81">
        <v>1000</v>
      </c>
      <c r="C3" s="82">
        <v>1000</v>
      </c>
      <c r="D3" s="81">
        <v>999.11863478605051</v>
      </c>
      <c r="E3" s="82">
        <v>1016.4621448967453</v>
      </c>
      <c r="F3" s="81">
        <v>998.21685595637655</v>
      </c>
      <c r="G3" s="82">
        <v>1034.8586581544032</v>
      </c>
      <c r="H3" s="81">
        <v>997.29130372063071</v>
      </c>
      <c r="I3" s="82">
        <v>1055.5298407003841</v>
      </c>
      <c r="J3" s="81">
        <v>996.3379170530626</v>
      </c>
      <c r="K3" s="82">
        <v>1078.9017898328223</v>
      </c>
      <c r="L3" s="81">
        <v>995.35186211264227</v>
      </c>
      <c r="M3" s="82">
        <v>1105.516561693657</v>
      </c>
      <c r="N3" s="81">
        <v>994.32744305277265</v>
      </c>
      <c r="O3" s="82">
        <v>1136.0738023249351</v>
      </c>
      <c r="P3" s="81">
        <v>993.25815241744374</v>
      </c>
      <c r="Q3" s="82">
        <v>1171.4948404032252</v>
      </c>
      <c r="R3" s="81">
        <v>992.13691718254393</v>
      </c>
      <c r="S3" s="82">
        <v>1213.0205811874184</v>
      </c>
      <c r="T3" s="81">
        <v>990.95680033831798</v>
      </c>
      <c r="U3" s="82">
        <v>1262.3676374341105</v>
      </c>
      <c r="V3" s="81">
        <v>989.71267128175634</v>
      </c>
      <c r="W3" s="82">
        <v>1321.9899186759715</v>
      </c>
      <c r="X3" s="81">
        <v>988.40490999097835</v>
      </c>
      <c r="Y3" s="82">
        <v>1395.5385373467091</v>
      </c>
      <c r="Z3" s="81">
        <v>987.04746910681263</v>
      </c>
      <c r="AA3" s="82">
        <v>1488.7257211574974</v>
      </c>
      <c r="AB3" s="81">
        <v>985.68549816501036</v>
      </c>
      <c r="AC3" s="82">
        <v>1611.0766975253703</v>
      </c>
      <c r="AD3" s="81">
        <v>984.43428094771696</v>
      </c>
      <c r="AE3" s="82">
        <v>1779.8325489182382</v>
      </c>
      <c r="AF3" s="81">
        <v>983.56528795209169</v>
      </c>
      <c r="AG3" s="82">
        <v>2029.6971890250413</v>
      </c>
      <c r="AH3" s="81">
        <v>983.67979737813084</v>
      </c>
      <c r="AI3" s="82">
        <v>2440.704663204197</v>
      </c>
      <c r="AJ3" s="81">
        <v>985.90734660270016</v>
      </c>
      <c r="AK3" s="82">
        <v>3231.3676604629995</v>
      </c>
      <c r="AL3" s="81">
        <v>991.4097897870131</v>
      </c>
      <c r="AM3" s="82">
        <v>5149.4822458808612</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999.0750182765164</v>
      </c>
      <c r="E5" s="40">
        <v>1014.3400926221237</v>
      </c>
      <c r="F5" s="39">
        <v>998.12825767693323</v>
      </c>
      <c r="G5" s="40">
        <v>1030.0958657703952</v>
      </c>
      <c r="H5" s="39">
        <v>997.15616329123702</v>
      </c>
      <c r="I5" s="40">
        <v>1047.4634338376709</v>
      </c>
      <c r="J5" s="39">
        <v>996.15443690660993</v>
      </c>
      <c r="K5" s="40">
        <v>1066.6752791374104</v>
      </c>
      <c r="L5" s="39">
        <v>995.11795973836058</v>
      </c>
      <c r="M5" s="40">
        <v>1088.0086081563074</v>
      </c>
      <c r="N5" s="39">
        <v>994.04069627160641</v>
      </c>
      <c r="O5" s="40">
        <v>1111.7953157769048</v>
      </c>
      <c r="P5" s="39">
        <v>992.91574435916914</v>
      </c>
      <c r="Q5" s="40">
        <v>1138.4346454776326</v>
      </c>
      <c r="R5" s="39">
        <v>991.73559100595162</v>
      </c>
      <c r="S5" s="40">
        <v>1168.4084853079396</v>
      </c>
      <c r="T5" s="39">
        <v>990.49284832348985</v>
      </c>
      <c r="U5" s="40">
        <v>1202.2987903563014</v>
      </c>
      <c r="V5" s="39">
        <v>989.18201228321982</v>
      </c>
      <c r="W5" s="40">
        <v>1240.8063987004834</v>
      </c>
      <c r="X5" s="39">
        <v>987.80337201519217</v>
      </c>
      <c r="Y5" s="40">
        <v>1284.7649485226148</v>
      </c>
      <c r="Z5" s="39">
        <v>986.3715318610034</v>
      </c>
      <c r="AA5" s="40">
        <v>1335.1354484473254</v>
      </c>
      <c r="AB5" s="39">
        <v>984.93406213239314</v>
      </c>
      <c r="AC5" s="40">
        <v>1392.9360050218904</v>
      </c>
      <c r="AD5" s="39">
        <v>983.61273074479641</v>
      </c>
      <c r="AE5" s="40">
        <v>1458.990325586743</v>
      </c>
      <c r="AF5" s="39">
        <v>982.69461516901401</v>
      </c>
      <c r="AG5" s="40">
        <v>1533.1502252855066</v>
      </c>
      <c r="AH5" s="39">
        <v>982.81561766313268</v>
      </c>
      <c r="AI5" s="40">
        <v>1612.1543324325717</v>
      </c>
      <c r="AJ5" s="39">
        <v>985.16826668746762</v>
      </c>
      <c r="AK5" s="40">
        <v>1685.2053402693493</v>
      </c>
      <c r="AL5" s="39">
        <v>990.96995136462851</v>
      </c>
      <c r="AM5" s="40">
        <v>1733.1371706151274</v>
      </c>
      <c r="AN5" s="39"/>
      <c r="AO5" s="40"/>
      <c r="AP5" s="39"/>
      <c r="AQ5" s="40"/>
      <c r="AR5" s="39"/>
      <c r="AS5" s="40"/>
      <c r="AT5" s="39"/>
      <c r="AU5" s="40"/>
      <c r="AV5" s="39"/>
      <c r="AW5" s="40"/>
    </row>
    <row r="6" spans="1:49" x14ac:dyDescent="0.2">
      <c r="A6" t="s">
        <v>77</v>
      </c>
      <c r="B6" s="39">
        <v>999.99999999999943</v>
      </c>
      <c r="C6" s="40">
        <v>999.99999999999909</v>
      </c>
      <c r="D6" s="39">
        <v>999.00433686205076</v>
      </c>
      <c r="E6" s="40">
        <v>1017.7471213870826</v>
      </c>
      <c r="F6" s="39">
        <v>997.98537652728623</v>
      </c>
      <c r="G6" s="40">
        <v>1037.5285267567212</v>
      </c>
      <c r="H6" s="39">
        <v>996.93930398313751</v>
      </c>
      <c r="I6" s="40">
        <v>1059.6963822031275</v>
      </c>
      <c r="J6" s="39">
        <v>995.86150707809588</v>
      </c>
      <c r="K6" s="40">
        <v>1084.691028627476</v>
      </c>
      <c r="L6" s="39">
        <v>994.74649423279345</v>
      </c>
      <c r="M6" s="40">
        <v>1113.0719442114817</v>
      </c>
      <c r="N6" s="39">
        <v>993.58779192799705</v>
      </c>
      <c r="O6" s="40">
        <v>1145.5603859596704</v>
      </c>
      <c r="P6" s="39">
        <v>992.37799974374707</v>
      </c>
      <c r="Q6" s="40">
        <v>1183.1051321618029</v>
      </c>
      <c r="R6" s="39">
        <v>991.10906664749552</v>
      </c>
      <c r="S6" s="40">
        <v>1226.9828628644277</v>
      </c>
      <c r="T6" s="39">
        <v>989.7730832422435</v>
      </c>
      <c r="U6" s="40">
        <v>1278.958257647985</v>
      </c>
      <c r="V6" s="39">
        <v>988.36417257890059</v>
      </c>
      <c r="W6" s="40">
        <v>1341.5522716657817</v>
      </c>
      <c r="X6" s="39">
        <v>986.8826892334107</v>
      </c>
      <c r="Y6" s="40">
        <v>1418.5137900834511</v>
      </c>
      <c r="Z6" s="39">
        <v>985.34436784344655</v>
      </c>
      <c r="AA6" s="40">
        <v>1515.7056231760114</v>
      </c>
      <c r="AB6" s="39">
        <v>983.80033678736515</v>
      </c>
      <c r="AC6" s="40">
        <v>1642.9010581671885</v>
      </c>
      <c r="AD6" s="39">
        <v>982.38135268090718</v>
      </c>
      <c r="AE6" s="40">
        <v>1817.7857586247339</v>
      </c>
      <c r="AF6" s="39">
        <v>981.39555262683552</v>
      </c>
      <c r="AG6" s="40">
        <v>2075.9506698937976</v>
      </c>
      <c r="AH6" s="39">
        <v>981.52546765529576</v>
      </c>
      <c r="AI6" s="40">
        <v>2499.4595956195558</v>
      </c>
      <c r="AJ6" s="39">
        <v>984.05188008422226</v>
      </c>
      <c r="AK6" s="40">
        <v>3312.3464650123051</v>
      </c>
      <c r="AL6" s="39">
        <v>990.28595243698589</v>
      </c>
      <c r="AM6" s="40">
        <v>5281.4234145802866</v>
      </c>
      <c r="AN6" s="39"/>
      <c r="AO6" s="40"/>
      <c r="AP6" s="39"/>
      <c r="AQ6" s="40"/>
      <c r="AR6" s="39"/>
      <c r="AS6" s="40"/>
      <c r="AT6" s="39"/>
      <c r="AU6" s="40"/>
      <c r="AV6" s="39"/>
      <c r="AW6" s="40"/>
    </row>
    <row r="7" spans="1:49" x14ac:dyDescent="0.2">
      <c r="A7" t="s">
        <v>13</v>
      </c>
      <c r="B7" s="31">
        <v>1015.9116825427475</v>
      </c>
      <c r="C7" s="32">
        <v>1015.9116825427475</v>
      </c>
      <c r="D7" s="31">
        <v>1014.971982803722</v>
      </c>
      <c r="E7" s="32">
        <v>1014.971982803722</v>
      </c>
      <c r="F7" s="31">
        <v>1014.0101576500342</v>
      </c>
      <c r="G7" s="32">
        <v>1014.0101576500342</v>
      </c>
      <c r="H7" s="31">
        <v>1013.0225956070713</v>
      </c>
      <c r="I7" s="32">
        <v>1013.0225956070713</v>
      </c>
      <c r="J7" s="31">
        <v>1012.0049300702173</v>
      </c>
      <c r="K7" s="32">
        <v>1012.0049300702173</v>
      </c>
      <c r="L7" s="31">
        <v>1010.9519608063039</v>
      </c>
      <c r="M7" s="32">
        <v>1010.9519608063039</v>
      </c>
      <c r="N7" s="31">
        <v>1009.8575562652518</v>
      </c>
      <c r="O7" s="32">
        <v>1009.8575562652518</v>
      </c>
      <c r="P7" s="31">
        <v>1008.714704475108</v>
      </c>
      <c r="Q7" s="32">
        <v>1008.714704475108</v>
      </c>
      <c r="R7" s="31">
        <v>1007.5157728963824</v>
      </c>
      <c r="S7" s="32">
        <v>1007.5157728963824</v>
      </c>
      <c r="T7" s="31">
        <v>1006.2532560868749</v>
      </c>
      <c r="U7" s="32">
        <v>1006.2532560868749</v>
      </c>
      <c r="V7" s="31">
        <v>1004.9215624396666</v>
      </c>
      <c r="W7" s="32">
        <v>1004.9215624396666</v>
      </c>
      <c r="X7" s="31">
        <v>1003.5209856853534</v>
      </c>
      <c r="Y7" s="32">
        <v>1003.5209856853534</v>
      </c>
      <c r="Z7" s="31">
        <v>1002.0663625451792</v>
      </c>
      <c r="AA7" s="32">
        <v>1002.0663625451792</v>
      </c>
      <c r="AB7" s="31">
        <v>1000.6060202545824</v>
      </c>
      <c r="AC7" s="32">
        <v>1000.6060202545824</v>
      </c>
      <c r="AD7" s="31">
        <v>999.26366426141249</v>
      </c>
      <c r="AE7" s="32">
        <v>999.26366426141249</v>
      </c>
      <c r="AF7" s="31">
        <v>998.33093992205067</v>
      </c>
      <c r="AG7" s="32">
        <v>998.33093992205067</v>
      </c>
      <c r="AH7" s="31">
        <v>998.4538677694427</v>
      </c>
      <c r="AI7" s="32">
        <v>998.4538677694427</v>
      </c>
      <c r="AJ7" s="31">
        <v>1000.8439513981873</v>
      </c>
      <c r="AK7" s="32">
        <v>1000.8439513981873</v>
      </c>
      <c r="AL7" s="31">
        <v>1006.7379506401444</v>
      </c>
      <c r="AM7" s="32">
        <v>1006.7379506401444</v>
      </c>
      <c r="AN7" s="31"/>
      <c r="AO7" s="32"/>
      <c r="AP7" s="31"/>
      <c r="AQ7" s="32"/>
      <c r="AR7" s="31"/>
      <c r="AS7" s="32"/>
      <c r="AT7" s="31"/>
      <c r="AU7" s="32"/>
      <c r="AV7" s="31"/>
      <c r="AW7" s="32"/>
    </row>
    <row r="8" spans="1:49" x14ac:dyDescent="0.2">
      <c r="B8" s="33">
        <v>1005.7716594496609</v>
      </c>
      <c r="C8" s="34">
        <v>1005.7716594496609</v>
      </c>
      <c r="D8" s="33">
        <v>1059.9731616610311</v>
      </c>
      <c r="E8" s="34">
        <v>1059.9731616610311</v>
      </c>
      <c r="F8" s="33">
        <v>1120.5569074978994</v>
      </c>
      <c r="G8" s="34">
        <v>1120.5569074978994</v>
      </c>
      <c r="H8" s="33">
        <v>1188.7114237775429</v>
      </c>
      <c r="I8" s="34">
        <v>1188.7114237775429</v>
      </c>
      <c r="J8" s="33">
        <v>1265.9363795535469</v>
      </c>
      <c r="K8" s="34">
        <v>1265.9363795535469</v>
      </c>
      <c r="L8" s="33">
        <v>1354.1532914340373</v>
      </c>
      <c r="M8" s="34">
        <v>1354.1532914340373</v>
      </c>
      <c r="N8" s="33">
        <v>1455.8626684034339</v>
      </c>
      <c r="O8" s="34">
        <v>1455.8626684034339</v>
      </c>
      <c r="P8" s="33">
        <v>1574.3833488563641</v>
      </c>
      <c r="Q8" s="34">
        <v>1574.3833488563641</v>
      </c>
      <c r="R8" s="33">
        <v>1714.2212613384895</v>
      </c>
      <c r="S8" s="34">
        <v>1714.2212613384895</v>
      </c>
      <c r="T8" s="33">
        <v>1881.6608504356934</v>
      </c>
      <c r="U8" s="34">
        <v>1881.6608504356934</v>
      </c>
      <c r="V8" s="33">
        <v>2085.7599705973807</v>
      </c>
      <c r="W8" s="34">
        <v>2085.7599705973807</v>
      </c>
      <c r="X8" s="33">
        <v>2340.1103385185097</v>
      </c>
      <c r="Y8" s="34">
        <v>2340.1103385185097</v>
      </c>
      <c r="Z8" s="33">
        <v>2666.1652606410116</v>
      </c>
      <c r="AA8" s="34">
        <v>2666.1652606410116</v>
      </c>
      <c r="AB8" s="33">
        <v>3100.0392032923705</v>
      </c>
      <c r="AC8" s="34">
        <v>3100.0392032923705</v>
      </c>
      <c r="AD8" s="33">
        <v>3707.8070918116573</v>
      </c>
      <c r="AE8" s="34">
        <v>3707.8070918116573</v>
      </c>
      <c r="AF8" s="33">
        <v>4624.197058895752</v>
      </c>
      <c r="AG8" s="34">
        <v>4624.197058895752</v>
      </c>
      <c r="AH8" s="33">
        <v>6165.1082745601479</v>
      </c>
      <c r="AI8" s="34">
        <v>6165.1082745601479</v>
      </c>
      <c r="AJ8" s="33">
        <v>9212.1271953536179</v>
      </c>
      <c r="AK8" s="34">
        <v>9212.1271953536179</v>
      </c>
      <c r="AL8" s="33">
        <v>16862.827735549665</v>
      </c>
      <c r="AM8" s="34">
        <v>16862.827735549665</v>
      </c>
      <c r="AN8" s="33"/>
      <c r="AO8" s="34"/>
      <c r="AP8" s="33"/>
      <c r="AQ8" s="34"/>
      <c r="AR8" s="33"/>
      <c r="AS8" s="34"/>
      <c r="AT8" s="33"/>
      <c r="AU8" s="34"/>
      <c r="AV8" s="33"/>
      <c r="AW8" s="34"/>
    </row>
    <row r="9" spans="1:49" x14ac:dyDescent="0.2">
      <c r="A9" t="s">
        <v>14</v>
      </c>
      <c r="B9" s="39">
        <v>1015.9116825427475</v>
      </c>
      <c r="C9" s="40">
        <v>1005.7716594496609</v>
      </c>
      <c r="D9" s="39">
        <v>1014.971982803722</v>
      </c>
      <c r="E9" s="40">
        <v>1059.9731616610311</v>
      </c>
      <c r="F9" s="39">
        <v>1014.0101576500342</v>
      </c>
      <c r="G9" s="40">
        <v>1120.5569074978994</v>
      </c>
      <c r="H9" s="39">
        <v>1013.0225956070713</v>
      </c>
      <c r="I9" s="40">
        <v>1188.7114237775429</v>
      </c>
      <c r="J9" s="39">
        <v>1012.0049300702173</v>
      </c>
      <c r="K9" s="40">
        <v>1265.9363795535469</v>
      </c>
      <c r="L9" s="39">
        <v>1010.9519608063039</v>
      </c>
      <c r="M9" s="40">
        <v>1354.1532914340373</v>
      </c>
      <c r="N9" s="39">
        <v>1009.8575562652518</v>
      </c>
      <c r="O9" s="40">
        <v>1455.8626684034339</v>
      </c>
      <c r="P9" s="39">
        <v>1008.714704475108</v>
      </c>
      <c r="Q9" s="40">
        <v>1574.3833488563641</v>
      </c>
      <c r="R9" s="39">
        <v>1007.5157728963824</v>
      </c>
      <c r="S9" s="40">
        <v>1714.2212613384895</v>
      </c>
      <c r="T9" s="39">
        <v>1006.2532560868749</v>
      </c>
      <c r="U9" s="40">
        <v>1881.6608504356934</v>
      </c>
      <c r="V9" s="39">
        <v>1004.9215624396666</v>
      </c>
      <c r="W9" s="40">
        <v>2085.7599705973807</v>
      </c>
      <c r="X9" s="39">
        <v>1003.5209856853534</v>
      </c>
      <c r="Y9" s="40">
        <v>2340.1103385185097</v>
      </c>
      <c r="Z9" s="39">
        <v>1002.0663625451792</v>
      </c>
      <c r="AA9" s="40">
        <v>2666.1652606410116</v>
      </c>
      <c r="AB9" s="39">
        <v>1000.6060202545824</v>
      </c>
      <c r="AC9" s="40">
        <v>3100.0392032923705</v>
      </c>
      <c r="AD9" s="39">
        <v>999.26366426141249</v>
      </c>
      <c r="AE9" s="40">
        <v>3707.8070918116573</v>
      </c>
      <c r="AF9" s="39">
        <v>998.33093992205067</v>
      </c>
      <c r="AG9" s="40">
        <v>4624.197058895752</v>
      </c>
      <c r="AH9" s="39">
        <v>998.4538677694427</v>
      </c>
      <c r="AI9" s="40">
        <v>6165.1082745601479</v>
      </c>
      <c r="AJ9" s="39">
        <v>1000.8439513981873</v>
      </c>
      <c r="AK9" s="40">
        <v>9212.1271953536179</v>
      </c>
      <c r="AL9" s="39">
        <v>1006.7379506401444</v>
      </c>
      <c r="AM9" s="40">
        <v>16862.827735549665</v>
      </c>
      <c r="AN9" s="39"/>
      <c r="AO9" s="40"/>
      <c r="AP9" s="39"/>
      <c r="AQ9" s="40"/>
      <c r="AR9" s="39"/>
      <c r="AS9" s="40"/>
      <c r="AT9" s="39"/>
      <c r="AU9" s="40"/>
      <c r="AV9" s="39"/>
      <c r="AW9" s="40"/>
    </row>
    <row r="10" spans="1:49" x14ac:dyDescent="0.2">
      <c r="A10" t="s">
        <v>15</v>
      </c>
      <c r="B10" s="39">
        <v>1015.9116825427475</v>
      </c>
      <c r="C10" s="40">
        <v>1005.7716594496609</v>
      </c>
      <c r="D10" s="39">
        <v>1014.971982803722</v>
      </c>
      <c r="E10" s="40">
        <v>1059.9731616610311</v>
      </c>
      <c r="F10" s="39">
        <v>1014.0101576500342</v>
      </c>
      <c r="G10" s="40">
        <v>1120.5569074978994</v>
      </c>
      <c r="H10" s="39">
        <v>1013.0225956070713</v>
      </c>
      <c r="I10" s="40">
        <v>1188.7114237775429</v>
      </c>
      <c r="J10" s="39">
        <v>1012.0049300702173</v>
      </c>
      <c r="K10" s="40">
        <v>1265.9363795535469</v>
      </c>
      <c r="L10" s="39">
        <v>1010.9519608063039</v>
      </c>
      <c r="M10" s="40">
        <v>1354.1532914340373</v>
      </c>
      <c r="N10" s="39">
        <v>1009.8575562652518</v>
      </c>
      <c r="O10" s="40">
        <v>1455.8626684034339</v>
      </c>
      <c r="P10" s="39">
        <v>1008.714704475108</v>
      </c>
      <c r="Q10" s="40">
        <v>1574.3833488563641</v>
      </c>
      <c r="R10" s="39">
        <v>1007.5157728963824</v>
      </c>
      <c r="S10" s="40">
        <v>1714.2212613384895</v>
      </c>
      <c r="T10" s="39">
        <v>1006.2532560868749</v>
      </c>
      <c r="U10" s="40">
        <v>1881.6608504356934</v>
      </c>
      <c r="V10" s="39">
        <v>1004.9215624396666</v>
      </c>
      <c r="W10" s="40">
        <v>2085.7599705973807</v>
      </c>
      <c r="X10" s="39">
        <v>1003.5209856853534</v>
      </c>
      <c r="Y10" s="40">
        <v>2340.1103385185097</v>
      </c>
      <c r="Z10" s="39">
        <v>1002.0663625451792</v>
      </c>
      <c r="AA10" s="40">
        <v>2666.1652606410116</v>
      </c>
      <c r="AB10" s="39">
        <v>1000.6060202545824</v>
      </c>
      <c r="AC10" s="40">
        <v>3100.0392032923705</v>
      </c>
      <c r="AD10" s="39">
        <v>999.26366426141249</v>
      </c>
      <c r="AE10" s="40">
        <v>3707.8070918116573</v>
      </c>
      <c r="AF10" s="39">
        <v>998.33093992205067</v>
      </c>
      <c r="AG10" s="40">
        <v>4624.197058895752</v>
      </c>
      <c r="AH10" s="39">
        <v>998.4538677694427</v>
      </c>
      <c r="AI10" s="40">
        <v>6165.1082745601479</v>
      </c>
      <c r="AJ10" s="39">
        <v>1000.8439513981873</v>
      </c>
      <c r="AK10" s="40">
        <v>9212.1271953536179</v>
      </c>
      <c r="AL10" s="39">
        <v>1006.7379506401444</v>
      </c>
      <c r="AM10" s="40">
        <v>16862.827735549665</v>
      </c>
      <c r="AN10" s="39"/>
      <c r="AO10" s="40"/>
      <c r="AP10" s="39"/>
      <c r="AQ10" s="40"/>
      <c r="AR10" s="39"/>
      <c r="AS10" s="40"/>
      <c r="AT10" s="39"/>
      <c r="AU10" s="40"/>
      <c r="AV10" s="39"/>
      <c r="AW10" s="40"/>
    </row>
    <row r="11" spans="1:49" x14ac:dyDescent="0.2">
      <c r="A11" t="s">
        <v>29</v>
      </c>
      <c r="B11" s="39">
        <v>1015.9116825427475</v>
      </c>
      <c r="C11" s="40">
        <v>1005.7716594496609</v>
      </c>
      <c r="D11" s="39">
        <v>1014.971982803722</v>
      </c>
      <c r="E11" s="40">
        <v>1059.9731616610311</v>
      </c>
      <c r="F11" s="39">
        <v>1014.0101576500342</v>
      </c>
      <c r="G11" s="40">
        <v>1120.5569074978994</v>
      </c>
      <c r="H11" s="39">
        <v>1013.0225956070713</v>
      </c>
      <c r="I11" s="40">
        <v>1188.7114237775429</v>
      </c>
      <c r="J11" s="39">
        <v>1012.0049300702173</v>
      </c>
      <c r="K11" s="40">
        <v>1265.9363795535469</v>
      </c>
      <c r="L11" s="39">
        <v>1010.9519608063039</v>
      </c>
      <c r="M11" s="40">
        <v>1354.1532914340373</v>
      </c>
      <c r="N11" s="39">
        <v>1009.8575562652518</v>
      </c>
      <c r="O11" s="40">
        <v>1455.8626684034339</v>
      </c>
      <c r="P11" s="39">
        <v>1008.714704475108</v>
      </c>
      <c r="Q11" s="40">
        <v>1574.3833488563641</v>
      </c>
      <c r="R11" s="39">
        <v>1007.5157728963824</v>
      </c>
      <c r="S11" s="40">
        <v>1714.2212613384895</v>
      </c>
      <c r="T11" s="39">
        <v>1006.2532560868749</v>
      </c>
      <c r="U11" s="40">
        <v>1881.6608504356934</v>
      </c>
      <c r="V11" s="39">
        <v>1004.9215624396666</v>
      </c>
      <c r="W11" s="40">
        <v>2085.7599705973807</v>
      </c>
      <c r="X11" s="39">
        <v>1003.5209856853534</v>
      </c>
      <c r="Y11" s="40">
        <v>2340.1103385185097</v>
      </c>
      <c r="Z11" s="39">
        <v>1002.0663625451792</v>
      </c>
      <c r="AA11" s="40">
        <v>2666.1652606410116</v>
      </c>
      <c r="AB11" s="39">
        <v>1000.6060202545824</v>
      </c>
      <c r="AC11" s="40">
        <v>3100.0392032923705</v>
      </c>
      <c r="AD11" s="39">
        <v>999.26366426141249</v>
      </c>
      <c r="AE11" s="40">
        <v>3707.8070918116573</v>
      </c>
      <c r="AF11" s="39">
        <v>998.33093992205067</v>
      </c>
      <c r="AG11" s="40">
        <v>4624.197058895752</v>
      </c>
      <c r="AH11" s="39">
        <v>998.4538677694427</v>
      </c>
      <c r="AI11" s="40">
        <v>6165.1082745601479</v>
      </c>
      <c r="AJ11" s="39">
        <v>1000.8439513981873</v>
      </c>
      <c r="AK11" s="40">
        <v>9212.1271953536179</v>
      </c>
      <c r="AL11" s="39">
        <v>1006.7379506401444</v>
      </c>
      <c r="AM11" s="40">
        <v>16862.827735549665</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1005.2152932610263</v>
      </c>
      <c r="E13" s="94">
        <v>1005.2152932610263</v>
      </c>
      <c r="F13" s="93">
        <v>1010.3382639486192</v>
      </c>
      <c r="G13" s="94">
        <v>1010.3382639486192</v>
      </c>
      <c r="H13" s="93">
        <v>1015.3590557390036</v>
      </c>
      <c r="I13" s="94">
        <v>1015.3590557390036</v>
      </c>
      <c r="J13" s="93">
        <v>1020.2656526417243</v>
      </c>
      <c r="K13" s="94">
        <v>1020.2656526417243</v>
      </c>
      <c r="L13" s="93">
        <v>1025.0434070046526</v>
      </c>
      <c r="M13" s="94">
        <v>1025.0434070046526</v>
      </c>
      <c r="N13" s="93">
        <v>1029.6746059019024</v>
      </c>
      <c r="O13" s="94">
        <v>1029.6746059019024</v>
      </c>
      <c r="P13" s="93">
        <v>1034.1380076093444</v>
      </c>
      <c r="Q13" s="94">
        <v>1034.1380076093444</v>
      </c>
      <c r="R13" s="93">
        <v>1038.4086830473514</v>
      </c>
      <c r="S13" s="94">
        <v>1038.4086830473514</v>
      </c>
      <c r="T13" s="93">
        <v>1042.4584570518346</v>
      </c>
      <c r="U13" s="94">
        <v>1042.4584570518346</v>
      </c>
      <c r="V13" s="93">
        <v>1046.2581986099651</v>
      </c>
      <c r="W13" s="94">
        <v>1046.2581986099651</v>
      </c>
      <c r="X13" s="93">
        <v>1049.7839077513761</v>
      </c>
      <c r="Y13" s="94">
        <v>1049.7839077513761</v>
      </c>
      <c r="Z13" s="93">
        <v>1053.0319262089733</v>
      </c>
      <c r="AA13" s="94">
        <v>1053.0319262089733</v>
      </c>
      <c r="AB13" s="93">
        <v>1056.0550954734322</v>
      </c>
      <c r="AC13" s="94">
        <v>1056.0550954734322</v>
      </c>
      <c r="AD13" s="93">
        <v>1059.0474459602883</v>
      </c>
      <c r="AE13" s="94">
        <v>1059.0474459602883</v>
      </c>
      <c r="AF13" s="93">
        <v>1062.5369964924996</v>
      </c>
      <c r="AG13" s="94">
        <v>1062.5369964924996</v>
      </c>
      <c r="AH13" s="93">
        <v>1067.762624568275</v>
      </c>
      <c r="AI13" s="94">
        <v>1067.762624568275</v>
      </c>
      <c r="AJ13" s="93">
        <v>1076.8677457954659</v>
      </c>
      <c r="AK13" s="94">
        <v>1076.8677457954659</v>
      </c>
      <c r="AL13" s="93">
        <v>1089.3690883162017</v>
      </c>
      <c r="AM13" s="94">
        <v>1089.3690883162017</v>
      </c>
      <c r="AN13" s="93"/>
      <c r="AO13" s="94"/>
      <c r="AP13" s="93"/>
      <c r="AQ13" s="94"/>
      <c r="AR13" s="93"/>
      <c r="AS13" s="94"/>
      <c r="AT13" s="93"/>
      <c r="AU13" s="94"/>
      <c r="AV13" s="93"/>
      <c r="AW13" s="94"/>
    </row>
    <row r="14" spans="1:49" x14ac:dyDescent="0.2">
      <c r="A14" t="s">
        <v>36</v>
      </c>
      <c r="B14" s="39">
        <v>1457.0034251455234</v>
      </c>
      <c r="C14" s="40">
        <v>1457.0034251455236</v>
      </c>
      <c r="D14" s="39">
        <v>1464.602125289977</v>
      </c>
      <c r="E14" s="40">
        <v>1464.6021252899773</v>
      </c>
      <c r="F14" s="39">
        <v>1472.0663111287199</v>
      </c>
      <c r="G14" s="40">
        <v>1472.0663111287201</v>
      </c>
      <c r="H14" s="39">
        <v>1479.3816219642524</v>
      </c>
      <c r="I14" s="40">
        <v>1479.3816219642526</v>
      </c>
      <c r="J14" s="39">
        <v>1486.530550457325</v>
      </c>
      <c r="K14" s="40">
        <v>1486.5305504573253</v>
      </c>
      <c r="L14" s="39">
        <v>1493.4917549286156</v>
      </c>
      <c r="M14" s="40">
        <v>1493.4917549286158</v>
      </c>
      <c r="N14" s="39">
        <v>1500.2394275844385</v>
      </c>
      <c r="O14" s="40">
        <v>1500.2394275844388</v>
      </c>
      <c r="P14" s="39">
        <v>1506.742619159982</v>
      </c>
      <c r="Q14" s="40">
        <v>1506.7426191599823</v>
      </c>
      <c r="R14" s="39">
        <v>1512.9650079008429</v>
      </c>
      <c r="S14" s="40">
        <v>1512.9650079008431</v>
      </c>
      <c r="T14" s="39">
        <v>1518.8655424964404</v>
      </c>
      <c r="U14" s="40">
        <v>1518.8655424964406</v>
      </c>
      <c r="V14" s="39">
        <v>1524.4017789613044</v>
      </c>
      <c r="W14" s="40">
        <v>1524.4017789613047</v>
      </c>
      <c r="X14" s="39">
        <v>1529.5387492564071</v>
      </c>
      <c r="Y14" s="40">
        <v>1529.5387492564073</v>
      </c>
      <c r="Z14" s="39">
        <v>1534.2711232740621</v>
      </c>
      <c r="AA14" s="40">
        <v>1534.2711232740623</v>
      </c>
      <c r="AB14" s="39">
        <v>1538.6758912471732</v>
      </c>
      <c r="AC14" s="40">
        <v>1538.6758912471735</v>
      </c>
      <c r="AD14" s="39">
        <v>1543.0357561557585</v>
      </c>
      <c r="AE14" s="40">
        <v>1543.0357561557587</v>
      </c>
      <c r="AF14" s="39">
        <v>1548.1200432334088</v>
      </c>
      <c r="AG14" s="40">
        <v>1548.120043233409</v>
      </c>
      <c r="AH14" s="39">
        <v>1555.7338012383502</v>
      </c>
      <c r="AI14" s="40">
        <v>1555.7338012383505</v>
      </c>
      <c r="AJ14" s="39">
        <v>1568.9999940527325</v>
      </c>
      <c r="AK14" s="40">
        <v>1568.9999940527327</v>
      </c>
      <c r="AL14" s="39">
        <v>1587.2144929243618</v>
      </c>
      <c r="AM14" s="40">
        <v>1587.214492924362</v>
      </c>
      <c r="AN14" s="39"/>
      <c r="AO14" s="40"/>
      <c r="AP14" s="39"/>
      <c r="AQ14" s="40"/>
      <c r="AR14" s="39"/>
      <c r="AS14" s="40"/>
      <c r="AT14" s="39"/>
      <c r="AU14" s="40"/>
      <c r="AV14" s="39"/>
      <c r="AW14" s="40"/>
    </row>
    <row r="15" spans="1:49" x14ac:dyDescent="0.2">
      <c r="A15" t="s">
        <v>18</v>
      </c>
      <c r="B15" s="144">
        <v>1000</v>
      </c>
      <c r="C15" s="145">
        <v>1000</v>
      </c>
      <c r="D15" s="144">
        <v>987.21911229602813</v>
      </c>
      <c r="E15" s="145">
        <v>987.21911229602813</v>
      </c>
      <c r="F15" s="144">
        <v>974.10321407653646</v>
      </c>
      <c r="G15" s="145">
        <v>974.10321407653646</v>
      </c>
      <c r="H15" s="144">
        <v>960.59353274277532</v>
      </c>
      <c r="I15" s="145">
        <v>960.59353274277532</v>
      </c>
      <c r="J15" s="144">
        <v>946.61844736093792</v>
      </c>
      <c r="K15" s="145">
        <v>946.61844736093792</v>
      </c>
      <c r="L15" s="144">
        <v>932.08956237491725</v>
      </c>
      <c r="M15" s="145">
        <v>932.08956237491725</v>
      </c>
      <c r="N15" s="144">
        <v>916.89614082964351</v>
      </c>
      <c r="O15" s="145">
        <v>916.89614082964351</v>
      </c>
      <c r="P15" s="144">
        <v>900.8970112332629</v>
      </c>
      <c r="Q15" s="145">
        <v>900.8970112332629</v>
      </c>
      <c r="R15" s="144">
        <v>883.90828630050351</v>
      </c>
      <c r="S15" s="145">
        <v>883.90828630050351</v>
      </c>
      <c r="T15" s="144">
        <v>865.68424669627188</v>
      </c>
      <c r="U15" s="145">
        <v>865.68424669627188</v>
      </c>
      <c r="V15" s="144">
        <v>845.88564608750039</v>
      </c>
      <c r="W15" s="145">
        <v>845.88564608750039</v>
      </c>
      <c r="X15" s="144">
        <v>824.02523391660031</v>
      </c>
      <c r="Y15" s="145">
        <v>824.02523391660031</v>
      </c>
      <c r="Z15" s="144">
        <v>799.36755197008415</v>
      </c>
      <c r="AA15" s="145">
        <v>799.36755197008415</v>
      </c>
      <c r="AB15" s="144">
        <v>770.73213195564153</v>
      </c>
      <c r="AC15" s="145">
        <v>770.73213195564153</v>
      </c>
      <c r="AD15" s="144">
        <v>736.07603074660085</v>
      </c>
      <c r="AE15" s="145">
        <v>736.07603074660085</v>
      </c>
      <c r="AF15" s="144">
        <v>691.53520377481277</v>
      </c>
      <c r="AG15" s="145">
        <v>691.53520377481277</v>
      </c>
      <c r="AH15" s="144">
        <v>629.067345537454</v>
      </c>
      <c r="AI15" s="145">
        <v>629.067345537454</v>
      </c>
      <c r="AJ15" s="144">
        <v>530.5682015472147</v>
      </c>
      <c r="AK15" s="145">
        <v>530.5682015472147</v>
      </c>
      <c r="AL15" s="144">
        <v>353.47588788485689</v>
      </c>
      <c r="AM15" s="145">
        <v>353.47588788485689</v>
      </c>
      <c r="AN15" s="144"/>
      <c r="AO15" s="145"/>
      <c r="AP15" s="144"/>
      <c r="AQ15" s="145"/>
      <c r="AR15" s="144"/>
      <c r="AS15" s="145"/>
      <c r="AT15" s="144"/>
      <c r="AU15" s="145"/>
      <c r="AV15" s="144"/>
      <c r="AW15" s="145"/>
    </row>
    <row r="16" spans="1:49" s="27" customFormat="1" x14ac:dyDescent="0.2">
      <c r="A16" t="s">
        <v>61</v>
      </c>
      <c r="B16" s="39">
        <v>1000</v>
      </c>
      <c r="C16" s="40">
        <v>1000</v>
      </c>
      <c r="D16" s="39">
        <v>996.80768308808445</v>
      </c>
      <c r="E16" s="40">
        <v>992.35253723130074</v>
      </c>
      <c r="F16" s="39">
        <v>993.39704916424205</v>
      </c>
      <c r="G16" s="40">
        <v>984.43289194972704</v>
      </c>
      <c r="H16" s="39">
        <v>989.73497970147037</v>
      </c>
      <c r="I16" s="40">
        <v>976.19601365969504</v>
      </c>
      <c r="J16" s="39">
        <v>985.78109801285223</v>
      </c>
      <c r="K16" s="40">
        <v>967.58698978067139</v>
      </c>
      <c r="L16" s="39">
        <v>981.48565221498643</v>
      </c>
      <c r="M16" s="40">
        <v>958.53810923198557</v>
      </c>
      <c r="N16" s="39">
        <v>976.78664293998213</v>
      </c>
      <c r="O16" s="40">
        <v>948.96471103024498</v>
      </c>
      <c r="P16" s="39">
        <v>971.60573509398023</v>
      </c>
      <c r="Q16" s="40">
        <v>938.75924424439029</v>
      </c>
      <c r="R16" s="39">
        <v>965.84234738738405</v>
      </c>
      <c r="S16" s="40">
        <v>927.78240087517179</v>
      </c>
      <c r="T16" s="39">
        <v>959.36482217585728</v>
      </c>
      <c r="U16" s="40">
        <v>915.84949009669799</v>
      </c>
      <c r="V16" s="39">
        <v>951.99661825156147</v>
      </c>
      <c r="W16" s="40">
        <v>902.70833019662507</v>
      </c>
      <c r="X16" s="39">
        <v>943.49373049043413</v>
      </c>
      <c r="Y16" s="40">
        <v>888.00183139639012</v>
      </c>
      <c r="Z16" s="39">
        <v>933.50529959261439</v>
      </c>
      <c r="AA16" s="40">
        <v>871.20034957364123</v>
      </c>
      <c r="AB16" s="39">
        <v>921.49959869818952</v>
      </c>
      <c r="AC16" s="40">
        <v>851.47053691501833</v>
      </c>
      <c r="AD16" s="39">
        <v>906.61130558210618</v>
      </c>
      <c r="AE16" s="40">
        <v>827.39964602497287</v>
      </c>
      <c r="AF16" s="39">
        <v>887.28996972135599</v>
      </c>
      <c r="AG16" s="40">
        <v>796.36178068925801</v>
      </c>
      <c r="AH16" s="39">
        <v>860.38432997471762</v>
      </c>
      <c r="AI16" s="40">
        <v>752.93200397599173</v>
      </c>
      <c r="AJ16" s="39">
        <v>818.46137024758502</v>
      </c>
      <c r="AK16" s="40">
        <v>684.71805851776708</v>
      </c>
      <c r="AL16" s="39">
        <v>741.12511745577353</v>
      </c>
      <c r="AM16" s="40">
        <v>561.02184421458389</v>
      </c>
      <c r="AN16" s="39"/>
      <c r="AO16" s="40"/>
      <c r="AP16" s="39"/>
      <c r="AQ16" s="40"/>
      <c r="AR16" s="39"/>
      <c r="AS16" s="40"/>
      <c r="AT16" s="39"/>
      <c r="AU16" s="40"/>
      <c r="AV16" s="39"/>
      <c r="AW16" s="40"/>
    </row>
    <row r="17" spans="1:49" x14ac:dyDescent="0.2">
      <c r="A17" t="s">
        <v>62</v>
      </c>
      <c r="B17" s="33">
        <v>1000.0000000000002</v>
      </c>
      <c r="C17" s="34">
        <v>999.99999999999977</v>
      </c>
      <c r="D17" s="33">
        <v>999.15919792666466</v>
      </c>
      <c r="E17" s="34">
        <v>1024.9841427081251</v>
      </c>
      <c r="F17" s="33">
        <v>998.29925532327195</v>
      </c>
      <c r="G17" s="34">
        <v>1052.9490780743924</v>
      </c>
      <c r="H17" s="33">
        <v>997.41699291349801</v>
      </c>
      <c r="I17" s="34">
        <v>1084.4324891606336</v>
      </c>
      <c r="J17" s="33">
        <v>996.50856499831821</v>
      </c>
      <c r="K17" s="34">
        <v>1120.1102902541938</v>
      </c>
      <c r="L17" s="33">
        <v>995.56941225517767</v>
      </c>
      <c r="M17" s="34">
        <v>1160.8453966814459</v>
      </c>
      <c r="N17" s="33">
        <v>994.59415297776957</v>
      </c>
      <c r="O17" s="34">
        <v>1207.7564755622875</v>
      </c>
      <c r="P17" s="33">
        <v>993.57664638772565</v>
      </c>
      <c r="Q17" s="34">
        <v>1262.3227789425159</v>
      </c>
      <c r="R17" s="33">
        <v>992.51022990609545</v>
      </c>
      <c r="S17" s="34">
        <v>1326.5451997191828</v>
      </c>
      <c r="T17" s="33">
        <v>991.38838539616847</v>
      </c>
      <c r="U17" s="34">
        <v>1403.2040216740907</v>
      </c>
      <c r="V17" s="33">
        <v>990.20633186581881</v>
      </c>
      <c r="W17" s="34">
        <v>1496.2915992526139</v>
      </c>
      <c r="X17" s="33">
        <v>988.96453532299881</v>
      </c>
      <c r="Y17" s="34">
        <v>1611.7761043182279</v>
      </c>
      <c r="Z17" s="33">
        <v>987.67634445062606</v>
      </c>
      <c r="AA17" s="34">
        <v>1759.0413731768358</v>
      </c>
      <c r="AB17" s="33">
        <v>986.38465389974488</v>
      </c>
      <c r="AC17" s="34">
        <v>1953.819629964861</v>
      </c>
      <c r="AD17" s="33">
        <v>985.19870489508912</v>
      </c>
      <c r="AE17" s="34">
        <v>2224.7655784006224</v>
      </c>
      <c r="AF17" s="33">
        <v>984.37544902101922</v>
      </c>
      <c r="AG17" s="34">
        <v>2630.0065675305209</v>
      </c>
      <c r="AH17" s="33">
        <v>984.48391050645319</v>
      </c>
      <c r="AI17" s="34">
        <v>3305.0047684561664</v>
      </c>
      <c r="AJ17" s="33">
        <v>986.59499540935508</v>
      </c>
      <c r="AK17" s="34">
        <v>4625.1317137106826</v>
      </c>
      <c r="AL17" s="33">
        <v>991.8189363247734</v>
      </c>
      <c r="AM17" s="34">
        <v>7900.4742385100899</v>
      </c>
      <c r="AN17" s="33"/>
      <c r="AO17" s="34"/>
      <c r="AP17" s="33"/>
      <c r="AQ17" s="34"/>
      <c r="AR17" s="33"/>
      <c r="AS17" s="34"/>
      <c r="AT17" s="33"/>
      <c r="AU17" s="34"/>
      <c r="AV17" s="33"/>
      <c r="AW17" s="34"/>
    </row>
    <row r="18" spans="1:49" x14ac:dyDescent="0.2">
      <c r="A18" t="s">
        <v>19</v>
      </c>
      <c r="B18" s="31">
        <v>27857.010133999996</v>
      </c>
      <c r="C18" s="32">
        <v>1236.7674480000003</v>
      </c>
      <c r="D18" s="31">
        <v>27871.490148741417</v>
      </c>
      <c r="E18" s="32">
        <v>1156.3498400653641</v>
      </c>
      <c r="F18" s="31">
        <v>27883.119748546425</v>
      </c>
      <c r="G18" s="32">
        <v>1075.9775863266741</v>
      </c>
      <c r="H18" s="31">
        <v>27891.454554941909</v>
      </c>
      <c r="I18" s="32">
        <v>995.66959008507388</v>
      </c>
      <c r="J18" s="31">
        <v>27895.949558348533</v>
      </c>
      <c r="K18" s="32">
        <v>915.44990966142302</v>
      </c>
      <c r="L18" s="31">
        <v>27895.925229290751</v>
      </c>
      <c r="M18" s="32">
        <v>835.35240519582715</v>
      </c>
      <c r="N18" s="31">
        <v>27890.522990256286</v>
      </c>
      <c r="O18" s="32">
        <v>755.42372344609657</v>
      </c>
      <c r="P18" s="31">
        <v>27878.636151500432</v>
      </c>
      <c r="Q18" s="32">
        <v>675.73211063297038</v>
      </c>
      <c r="R18" s="31">
        <v>27858.806409138964</v>
      </c>
      <c r="S18" s="32">
        <v>596.38067223519533</v>
      </c>
      <c r="T18" s="31">
        <v>27829.062602219041</v>
      </c>
      <c r="U18" s="32">
        <v>517.52807853972786</v>
      </c>
      <c r="V18" s="31">
        <v>27786.65578500224</v>
      </c>
      <c r="W18" s="32">
        <v>439.42510928450298</v>
      </c>
      <c r="X18" s="31">
        <v>27727.608462969809</v>
      </c>
      <c r="Y18" s="32">
        <v>362.47463819515735</v>
      </c>
      <c r="Z18" s="31">
        <v>27645.90005698031</v>
      </c>
      <c r="AA18" s="32">
        <v>287.33577088618637</v>
      </c>
      <c r="AB18" s="31">
        <v>27531.902013154584</v>
      </c>
      <c r="AC18" s="32">
        <v>215.10223694277616</v>
      </c>
      <c r="AD18" s="31">
        <v>27369.131051645098</v>
      </c>
      <c r="AE18" s="32">
        <v>147.61179039284536</v>
      </c>
      <c r="AF18" s="31">
        <v>27126.93250207802</v>
      </c>
      <c r="AG18" s="32">
        <v>87.928030971606887</v>
      </c>
      <c r="AH18" s="31">
        <v>26742.486537697889</v>
      </c>
      <c r="AI18" s="32">
        <v>40.822371265110561</v>
      </c>
      <c r="AJ18" s="31">
        <v>26072.986998733941</v>
      </c>
      <c r="AK18" s="32">
        <v>11.829020914346946</v>
      </c>
      <c r="AL18" s="31">
        <v>24747.955680083629</v>
      </c>
      <c r="AM18" s="32">
        <v>1.3634559248572384</v>
      </c>
      <c r="AN18" s="31"/>
      <c r="AO18" s="32"/>
      <c r="AP18" s="31"/>
      <c r="AQ18" s="32"/>
      <c r="AR18" s="31"/>
      <c r="AS18" s="32"/>
      <c r="AT18" s="31"/>
      <c r="AU18" s="32"/>
      <c r="AV18" s="31"/>
      <c r="AW18" s="32"/>
    </row>
    <row r="19" spans="1:49" x14ac:dyDescent="0.2">
      <c r="A19" t="s">
        <v>3</v>
      </c>
      <c r="B19" s="39">
        <v>1886.3937399999918</v>
      </c>
      <c r="C19" s="40">
        <v>262.78711299999759</v>
      </c>
      <c r="D19" s="39">
        <v>1883.1868340871645</v>
      </c>
      <c r="E19" s="40">
        <v>264.27864944397152</v>
      </c>
      <c r="F19" s="39">
        <v>1879.6895218204932</v>
      </c>
      <c r="G19" s="40">
        <v>266.29147932502082</v>
      </c>
      <c r="H19" s="39">
        <v>1875.8573823591646</v>
      </c>
      <c r="I19" s="40">
        <v>268.89248089058731</v>
      </c>
      <c r="J19" s="39">
        <v>1871.636304183023</v>
      </c>
      <c r="K19" s="40">
        <v>272.15919271012388</v>
      </c>
      <c r="L19" s="39">
        <v>1866.9600168666805</v>
      </c>
      <c r="M19" s="40">
        <v>276.18157042752046</v>
      </c>
      <c r="N19" s="39">
        <v>1861.7468921224011</v>
      </c>
      <c r="O19" s="40">
        <v>281.06162270072997</v>
      </c>
      <c r="P19" s="39">
        <v>1855.8958580774263</v>
      </c>
      <c r="Q19" s="40">
        <v>286.91282921146842</v>
      </c>
      <c r="R19" s="39">
        <v>1849.2810792912023</v>
      </c>
      <c r="S19" s="40">
        <v>293.85578520174795</v>
      </c>
      <c r="T19" s="39">
        <v>1841.7451450212106</v>
      </c>
      <c r="U19" s="40">
        <v>302.00662375741081</v>
      </c>
      <c r="V19" s="39">
        <v>1833.0902232636704</v>
      </c>
      <c r="W19" s="40">
        <v>311.45134018037123</v>
      </c>
      <c r="X19" s="39">
        <v>1823.0668475046125</v>
      </c>
      <c r="Y19" s="40">
        <v>322.1894846985594</v>
      </c>
      <c r="Z19" s="39">
        <v>1811.3595018688891</v>
      </c>
      <c r="AA19" s="40">
        <v>334.01434789913918</v>
      </c>
      <c r="AB19" s="39">
        <v>1797.5674403064745</v>
      </c>
      <c r="AC19" s="40">
        <v>346.25555263760884</v>
      </c>
      <c r="AD19" s="39">
        <v>1781.1719074912558</v>
      </c>
      <c r="AE19" s="40">
        <v>357.21945310911502</v>
      </c>
      <c r="AF19" s="39">
        <v>1761.4425658585546</v>
      </c>
      <c r="AG19" s="40">
        <v>362.98001233906672</v>
      </c>
      <c r="AH19" s="39">
        <v>1736.9943950906052</v>
      </c>
      <c r="AI19" s="40">
        <v>355.02631408343979</v>
      </c>
      <c r="AJ19" s="39">
        <v>1703.2892619305117</v>
      </c>
      <c r="AK19" s="40">
        <v>317.91179219138269</v>
      </c>
      <c r="AL19" s="39">
        <v>1639.7333951019859</v>
      </c>
      <c r="AM19" s="40">
        <v>237.10231968867757</v>
      </c>
      <c r="AN19" s="39"/>
      <c r="AO19" s="40"/>
      <c r="AP19" s="39"/>
      <c r="AQ19" s="40"/>
      <c r="AR19" s="39"/>
      <c r="AS19" s="40"/>
      <c r="AT19" s="39"/>
      <c r="AU19" s="40"/>
      <c r="AV19" s="39"/>
      <c r="AW19" s="40"/>
    </row>
    <row r="20" spans="1:49" x14ac:dyDescent="0.2">
      <c r="A20" t="s">
        <v>114</v>
      </c>
      <c r="B20" s="79">
        <v>26548.356269999993</v>
      </c>
      <c r="C20" s="80">
        <v>1408.5418709999938</v>
      </c>
      <c r="D20" s="79">
        <v>26552.32165639638</v>
      </c>
      <c r="E20" s="80">
        <v>1338.1147774499941</v>
      </c>
      <c r="F20" s="79">
        <v>26553.312656683393</v>
      </c>
      <c r="G20" s="80">
        <v>1267.6876838999945</v>
      </c>
      <c r="H20" s="79">
        <v>26550.869704995494</v>
      </c>
      <c r="I20" s="80">
        <v>1197.2605903499946</v>
      </c>
      <c r="J20" s="79">
        <v>26544.429991648085</v>
      </c>
      <c r="K20" s="80">
        <v>1126.8334967999949</v>
      </c>
      <c r="L20" s="79">
        <v>26533.294591355349</v>
      </c>
      <c r="M20" s="80">
        <v>1056.4064032499953</v>
      </c>
      <c r="N20" s="79">
        <v>26516.585403376514</v>
      </c>
      <c r="O20" s="80">
        <v>985.97930969999561</v>
      </c>
      <c r="P20" s="79">
        <v>26493.180515395077</v>
      </c>
      <c r="Q20" s="80">
        <v>915.55221614999596</v>
      </c>
      <c r="R20" s="79">
        <v>26461.619372756206</v>
      </c>
      <c r="S20" s="80">
        <v>845.12512259999642</v>
      </c>
      <c r="T20" s="79">
        <v>26419.958795926585</v>
      </c>
      <c r="U20" s="80">
        <v>774.69802904999653</v>
      </c>
      <c r="V20" s="79">
        <v>26365.54244551024</v>
      </c>
      <c r="W20" s="80">
        <v>704.27093549999688</v>
      </c>
      <c r="X20" s="79">
        <v>26294.618570323444</v>
      </c>
      <c r="Y20" s="80">
        <v>633.84384194999734</v>
      </c>
      <c r="Z20" s="79">
        <v>26201.664740738845</v>
      </c>
      <c r="AA20" s="80">
        <v>563.41674839999757</v>
      </c>
      <c r="AB20" s="79">
        <v>26078.113405676158</v>
      </c>
      <c r="AC20" s="80">
        <v>492.98965484999775</v>
      </c>
      <c r="AD20" s="79">
        <v>25909.727486534961</v>
      </c>
      <c r="AE20" s="80">
        <v>422.56256129999798</v>
      </c>
      <c r="AF20" s="79">
        <v>25670.635786682935</v>
      </c>
      <c r="AG20" s="80">
        <v>352.13546774999827</v>
      </c>
      <c r="AH20" s="79">
        <v>25308.103936476291</v>
      </c>
      <c r="AI20" s="80">
        <v>281.70837419999856</v>
      </c>
      <c r="AJ20" s="79">
        <v>24698.630354784749</v>
      </c>
      <c r="AK20" s="80">
        <v>211.28128064999876</v>
      </c>
      <c r="AL20" s="79">
        <v>23499.442575390509</v>
      </c>
      <c r="AM20" s="80">
        <v>140.85418709999905</v>
      </c>
      <c r="AN20" s="79"/>
      <c r="AO20" s="80"/>
      <c r="AP20" s="79"/>
      <c r="AQ20" s="80"/>
      <c r="AR20" s="79"/>
      <c r="AS20" s="80"/>
      <c r="AT20" s="79"/>
      <c r="AU20" s="80"/>
      <c r="AV20" s="79"/>
      <c r="AW20" s="80"/>
    </row>
    <row r="21" spans="1:49" x14ac:dyDescent="0.2">
      <c r="A21" t="s">
        <v>76</v>
      </c>
      <c r="B21" s="79">
        <v>24661.962529999968</v>
      </c>
      <c r="C21" s="80">
        <v>1145.7547579999991</v>
      </c>
      <c r="D21" s="79">
        <v>24669.136560004052</v>
      </c>
      <c r="E21" s="80">
        <v>1073.9650631396808</v>
      </c>
      <c r="F21" s="79">
        <v>24673.630250528648</v>
      </c>
      <c r="G21" s="80">
        <v>1001.9468638289439</v>
      </c>
      <c r="H21" s="79">
        <v>24675.028747159613</v>
      </c>
      <c r="I21" s="80">
        <v>929.69491837256408</v>
      </c>
      <c r="J21" s="79">
        <v>24672.823713500893</v>
      </c>
      <c r="K21" s="80">
        <v>857.20840576607588</v>
      </c>
      <c r="L21" s="79">
        <v>24666.382946996724</v>
      </c>
      <c r="M21" s="80">
        <v>784.49351118302945</v>
      </c>
      <c r="N21" s="79">
        <v>24654.910541243928</v>
      </c>
      <c r="O21" s="80">
        <v>711.56930653834593</v>
      </c>
      <c r="P21" s="79">
        <v>24637.386358794967</v>
      </c>
      <c r="Q21" s="80">
        <v>638.47547602838654</v>
      </c>
      <c r="R21" s="79">
        <v>24612.476536969272</v>
      </c>
      <c r="S21" s="80">
        <v>565.28552231229287</v>
      </c>
      <c r="T21" s="79">
        <v>24578.396308483108</v>
      </c>
      <c r="U21" s="80">
        <v>492.12858633804331</v>
      </c>
      <c r="V21" s="79">
        <v>24532.688234413206</v>
      </c>
      <c r="W21" s="80">
        <v>419.22523193393056</v>
      </c>
      <c r="X21" s="79">
        <v>24471.850915622214</v>
      </c>
      <c r="Y21" s="80">
        <v>346.9482644427469</v>
      </c>
      <c r="Z21" s="79">
        <v>24390.67748285177</v>
      </c>
      <c r="AA21" s="80">
        <v>275.92641676029046</v>
      </c>
      <c r="AB21" s="79">
        <v>24280.998730765743</v>
      </c>
      <c r="AC21" s="80">
        <v>207.2233617552248</v>
      </c>
      <c r="AD21" s="79">
        <v>24129.08778623342</v>
      </c>
      <c r="AE21" s="80">
        <v>142.64347830129572</v>
      </c>
      <c r="AF21" s="79">
        <v>23909.781256751463</v>
      </c>
      <c r="AG21" s="80">
        <v>85.212282701898246</v>
      </c>
      <c r="AH21" s="79">
        <v>23571.681193975634</v>
      </c>
      <c r="AI21" s="80">
        <v>39.661000586607571</v>
      </c>
      <c r="AJ21" s="79">
        <v>22995.756679323382</v>
      </c>
      <c r="AK21" s="80">
        <v>11.514662566766781</v>
      </c>
      <c r="AL21" s="79">
        <v>21859.85574939907</v>
      </c>
      <c r="AM21" s="80">
        <v>1.3286771386819538</v>
      </c>
      <c r="AN21" s="79"/>
      <c r="AO21" s="80"/>
      <c r="AP21" s="79"/>
      <c r="AQ21" s="80"/>
      <c r="AR21" s="79"/>
      <c r="AS21" s="80"/>
      <c r="AT21" s="79"/>
      <c r="AU21" s="80"/>
      <c r="AV21" s="79"/>
      <c r="AW21" s="80"/>
    </row>
    <row r="22" spans="1:49" x14ac:dyDescent="0.2">
      <c r="A22" t="s">
        <v>28</v>
      </c>
      <c r="B22" s="39">
        <v>6533.604468832059</v>
      </c>
      <c r="C22" s="40">
        <v>379.90788307663331</v>
      </c>
      <c r="D22" s="39">
        <v>6545.5492081555458</v>
      </c>
      <c r="E22" s="40">
        <v>356.97245588283198</v>
      </c>
      <c r="F22" s="39">
        <v>6556.8061859099498</v>
      </c>
      <c r="G22" s="40">
        <v>334.13348886027791</v>
      </c>
      <c r="H22" s="39">
        <v>6567.2632021401823</v>
      </c>
      <c r="I22" s="40">
        <v>311.41049899649653</v>
      </c>
      <c r="J22" s="39">
        <v>6576.7818684495978</v>
      </c>
      <c r="K22" s="40">
        <v>288.82576216963236</v>
      </c>
      <c r="L22" s="39">
        <v>6585.1900144716346</v>
      </c>
      <c r="M22" s="40">
        <v>266.40423897840509</v>
      </c>
      <c r="N22" s="39">
        <v>6592.2697251487316</v>
      </c>
      <c r="O22" s="40">
        <v>244.17444694507023</v>
      </c>
      <c r="P22" s="39">
        <v>6597.7418094022069</v>
      </c>
      <c r="Q22" s="40">
        <v>222.16842988270713</v>
      </c>
      <c r="R22" s="39">
        <v>6601.242323047768</v>
      </c>
      <c r="S22" s="40">
        <v>200.42193010339767</v>
      </c>
      <c r="T22" s="39">
        <v>6602.2874099775654</v>
      </c>
      <c r="U22" s="40">
        <v>178.9745002516182</v>
      </c>
      <c r="V22" s="39">
        <v>6600.2182339932469</v>
      </c>
      <c r="W22" s="40">
        <v>157.86915789803695</v>
      </c>
      <c r="X22" s="39">
        <v>6594.1110989945819</v>
      </c>
      <c r="Y22" s="40">
        <v>137.15195456803255</v>
      </c>
      <c r="Z22" s="39">
        <v>6582.6221611646288</v>
      </c>
      <c r="AA22" s="40">
        <v>116.87128595691624</v>
      </c>
      <c r="AB22" s="39">
        <v>6563.7010444460302</v>
      </c>
      <c r="AC22" s="40">
        <v>97.078150936079695</v>
      </c>
      <c r="AD22" s="39">
        <v>6534.008146687569</v>
      </c>
      <c r="AE22" s="40">
        <v>77.831037978997358</v>
      </c>
      <c r="AF22" s="39">
        <v>6487.5945552163193</v>
      </c>
      <c r="AG22" s="40">
        <v>59.219826509583719</v>
      </c>
      <c r="AH22" s="39">
        <v>6412.436941869476</v>
      </c>
      <c r="AI22" s="40">
        <v>41.45581473194293</v>
      </c>
      <c r="AJ22" s="39">
        <v>6279.7223945692431</v>
      </c>
      <c r="AK22" s="40">
        <v>25.144660141513857</v>
      </c>
      <c r="AL22" s="39">
        <v>6004.4772126627831</v>
      </c>
      <c r="AM22" s="40">
        <v>11.720767151171188</v>
      </c>
      <c r="AN22" s="39"/>
      <c r="AO22" s="40"/>
      <c r="AP22" s="39"/>
      <c r="AQ22" s="40"/>
      <c r="AR22" s="39"/>
      <c r="AS22" s="40"/>
      <c r="AT22" s="39"/>
      <c r="AU22" s="40"/>
      <c r="AV22" s="39"/>
      <c r="AW22" s="40"/>
    </row>
    <row r="23" spans="1:49" x14ac:dyDescent="0.2">
      <c r="A23" t="s">
        <v>7</v>
      </c>
      <c r="B23" s="110">
        <v>3278.5018080150408</v>
      </c>
      <c r="C23" s="8">
        <v>0</v>
      </c>
      <c r="D23" s="110">
        <v>3282.5957833377697</v>
      </c>
      <c r="E23" s="8">
        <v>0</v>
      </c>
      <c r="F23" s="110">
        <v>3286.2490856212453</v>
      </c>
      <c r="G23" s="8">
        <v>0</v>
      </c>
      <c r="H23" s="110">
        <v>3289.3962998733555</v>
      </c>
      <c r="I23" s="8">
        <v>0</v>
      </c>
      <c r="J23" s="110">
        <v>3291.9575406632716</v>
      </c>
      <c r="K23" s="8">
        <v>0</v>
      </c>
      <c r="L23" s="110">
        <v>3293.8338729104466</v>
      </c>
      <c r="M23" s="8">
        <v>0</v>
      </c>
      <c r="N23" s="110">
        <v>3294.9015062010344</v>
      </c>
      <c r="O23" s="8">
        <v>0</v>
      </c>
      <c r="P23" s="110">
        <v>3295.0030521252929</v>
      </c>
      <c r="Q23" s="8">
        <v>0</v>
      </c>
      <c r="R23" s="110">
        <v>3293.934866445567</v>
      </c>
      <c r="S23" s="8">
        <v>0</v>
      </c>
      <c r="T23" s="110">
        <v>3291.4281973672892</v>
      </c>
      <c r="U23" s="8">
        <v>0</v>
      </c>
      <c r="V23" s="110">
        <v>3287.1194241910503</v>
      </c>
      <c r="W23" s="8">
        <v>0</v>
      </c>
      <c r="X23" s="110">
        <v>3280.5018572662998</v>
      </c>
      <c r="Y23" s="8">
        <v>0</v>
      </c>
      <c r="Z23" s="110">
        <v>3270.8425035004111</v>
      </c>
      <c r="AA23" s="8">
        <v>0</v>
      </c>
      <c r="AB23" s="110">
        <v>3257.0290773742395</v>
      </c>
      <c r="AC23" s="8">
        <v>0</v>
      </c>
      <c r="AD23" s="110">
        <v>3237.2616381230368</v>
      </c>
      <c r="AE23" s="8">
        <v>0</v>
      </c>
      <c r="AF23" s="110">
        <v>3208.3628135350077</v>
      </c>
      <c r="AG23" s="8">
        <v>0</v>
      </c>
      <c r="AH23" s="110">
        <v>3164.0067145502026</v>
      </c>
      <c r="AI23" s="8">
        <v>0</v>
      </c>
      <c r="AJ23" s="110">
        <v>3089.3955165701063</v>
      </c>
      <c r="AK23" s="8">
        <v>0</v>
      </c>
      <c r="AL23" s="110">
        <v>2942.135389371063</v>
      </c>
      <c r="AM23" s="8">
        <v>0</v>
      </c>
      <c r="AN23" s="110"/>
      <c r="AO23" s="8"/>
      <c r="AP23" s="110"/>
      <c r="AQ23" s="8"/>
      <c r="AR23" s="110"/>
      <c r="AS23" s="8"/>
      <c r="AT23" s="110"/>
      <c r="AU23" s="8"/>
      <c r="AV23" s="110"/>
      <c r="AW23" s="8"/>
    </row>
    <row r="24" spans="1:49" x14ac:dyDescent="0.2">
      <c r="A24" t="s">
        <v>8</v>
      </c>
      <c r="B24" s="93">
        <v>3196.3846373657216</v>
      </c>
      <c r="C24" s="8">
        <v>0</v>
      </c>
      <c r="D24" s="93">
        <v>3200.3760705483501</v>
      </c>
      <c r="E24" s="8">
        <v>0</v>
      </c>
      <c r="F24" s="93">
        <v>3203.9378685028919</v>
      </c>
      <c r="G24" s="8">
        <v>0</v>
      </c>
      <c r="H24" s="93">
        <v>3207.0062543431841</v>
      </c>
      <c r="I24" s="8">
        <v>0</v>
      </c>
      <c r="J24" s="93">
        <v>3209.5033423047785</v>
      </c>
      <c r="K24" s="8">
        <v>0</v>
      </c>
      <c r="L24" s="93">
        <v>3211.3326773975141</v>
      </c>
      <c r="M24" s="8">
        <v>0</v>
      </c>
      <c r="N24" s="93">
        <v>3212.3735694077864</v>
      </c>
      <c r="O24" s="8">
        <v>0</v>
      </c>
      <c r="P24" s="93">
        <v>3212.4725718255045</v>
      </c>
      <c r="Q24" s="8">
        <v>0</v>
      </c>
      <c r="R24" s="93">
        <v>3211.4311411984168</v>
      </c>
      <c r="S24" s="8">
        <v>0</v>
      </c>
      <c r="T24" s="93">
        <v>3208.9872571935593</v>
      </c>
      <c r="U24" s="8">
        <v>0</v>
      </c>
      <c r="V24" s="93">
        <v>3204.786406641887</v>
      </c>
      <c r="W24" s="8">
        <v>0</v>
      </c>
      <c r="X24" s="93">
        <v>3198.3345909763666</v>
      </c>
      <c r="Y24" s="8">
        <v>0</v>
      </c>
      <c r="Z24" s="93">
        <v>3188.9171771738706</v>
      </c>
      <c r="AA24" s="8">
        <v>0</v>
      </c>
      <c r="AB24" s="93">
        <v>3175.4497381119595</v>
      </c>
      <c r="AC24" s="8">
        <v>0</v>
      </c>
      <c r="AD24" s="93">
        <v>3156.1774166977607</v>
      </c>
      <c r="AE24" s="8">
        <v>0</v>
      </c>
      <c r="AF24" s="93">
        <v>3128.0024258717071</v>
      </c>
      <c r="AG24" s="8">
        <v>0</v>
      </c>
      <c r="AH24" s="93">
        <v>3084.757321203932</v>
      </c>
      <c r="AI24" s="8">
        <v>0</v>
      </c>
      <c r="AJ24" s="93">
        <v>3012.0149221133365</v>
      </c>
      <c r="AK24" s="8">
        <v>0</v>
      </c>
      <c r="AL24" s="93">
        <v>2868.4432433878505</v>
      </c>
      <c r="AM24" s="8">
        <v>0</v>
      </c>
      <c r="AN24" s="93"/>
      <c r="AO24" s="8"/>
      <c r="AP24" s="93"/>
      <c r="AQ24" s="8"/>
      <c r="AR24" s="93"/>
      <c r="AS24" s="8"/>
      <c r="AT24" s="93"/>
      <c r="AU24" s="8"/>
      <c r="AV24" s="93"/>
      <c r="AW24" s="8"/>
    </row>
    <row r="25" spans="1:49" x14ac:dyDescent="0.2">
      <c r="A25" t="s">
        <v>0</v>
      </c>
      <c r="B25" s="39">
        <v>3195.0476040000012</v>
      </c>
      <c r="C25" s="40">
        <v>91.012690000004397</v>
      </c>
      <c r="D25" s="39">
        <v>3202.3507765167392</v>
      </c>
      <c r="E25" s="40">
        <v>82.360833073587671</v>
      </c>
      <c r="F25" s="39">
        <v>3209.4779529558937</v>
      </c>
      <c r="G25" s="40">
        <v>73.935847305499692</v>
      </c>
      <c r="H25" s="39">
        <v>3216.3990894667568</v>
      </c>
      <c r="I25" s="40">
        <v>65.763984207742709</v>
      </c>
      <c r="J25" s="39">
        <v>3223.0768697367503</v>
      </c>
      <c r="K25" s="40">
        <v>57.874155084959582</v>
      </c>
      <c r="L25" s="39">
        <v>3229.4631608445598</v>
      </c>
      <c r="M25" s="40">
        <v>50.298279039479326</v>
      </c>
      <c r="N25" s="39">
        <v>3235.4942861657437</v>
      </c>
      <c r="O25" s="40">
        <v>43.0716425146869</v>
      </c>
      <c r="P25" s="39">
        <v>3241.0824429643785</v>
      </c>
      <c r="Q25" s="40">
        <v>36.233284273650092</v>
      </c>
      <c r="R25" s="39">
        <v>3246.101659146475</v>
      </c>
      <c r="S25" s="40">
        <v>29.826419775209622</v>
      </c>
      <c r="T25" s="39">
        <v>3250.3637375674357</v>
      </c>
      <c r="U25" s="40">
        <v>23.898801256251495</v>
      </c>
      <c r="V25" s="39">
        <v>3253.5752151399906</v>
      </c>
      <c r="W25" s="40">
        <v>18.503014430749861</v>
      </c>
      <c r="X25" s="39">
        <v>3255.2583051671622</v>
      </c>
      <c r="Y25" s="40">
        <v>13.696445129062695</v>
      </c>
      <c r="Z25" s="39">
        <v>3254.598996310745</v>
      </c>
      <c r="AA25" s="40">
        <v>9.540567671290475</v>
      </c>
      <c r="AB25" s="39">
        <v>3250.1418221137628</v>
      </c>
      <c r="AC25" s="40">
        <v>6.0985473394664451</v>
      </c>
      <c r="AD25" s="39">
        <v>3239.1449486874508</v>
      </c>
      <c r="AE25" s="40">
        <v>3.4290724662425527</v>
      </c>
      <c r="AF25" s="39">
        <v>3216.1561877234772</v>
      </c>
      <c r="AG25" s="40">
        <v>1.5706475891463014</v>
      </c>
      <c r="AH25" s="39">
        <v>3169.8383315470633</v>
      </c>
      <c r="AI25" s="40">
        <v>0.50429152669109512</v>
      </c>
      <c r="AJ25" s="39">
        <v>3076.531835675919</v>
      </c>
      <c r="AK25" s="40">
        <v>8.3366190391074693E-2</v>
      </c>
      <c r="AL25" s="39">
        <v>2887.8574675203504</v>
      </c>
      <c r="AM25" s="40">
        <v>3.7837974300367616E-3</v>
      </c>
      <c r="AN25" s="39"/>
      <c r="AO25" s="40"/>
      <c r="AP25" s="39"/>
      <c r="AQ25" s="40"/>
      <c r="AR25" s="39"/>
      <c r="AS25" s="40"/>
      <c r="AT25" s="39"/>
      <c r="AU25" s="40"/>
      <c r="AV25" s="39"/>
      <c r="AW25" s="40"/>
    </row>
    <row r="26" spans="1:49" x14ac:dyDescent="0.2">
      <c r="A26" t="s">
        <v>27</v>
      </c>
      <c r="B26" s="31">
        <v>5036.2953101960647</v>
      </c>
      <c r="C26" s="32">
        <v>74.905331803938267</v>
      </c>
      <c r="D26" s="31">
        <v>5040.8568464487525</v>
      </c>
      <c r="E26" s="32">
        <v>70.343795551248334</v>
      </c>
      <c r="F26" s="31">
        <v>5045.4295280310098</v>
      </c>
      <c r="G26" s="32">
        <v>65.771113969005839</v>
      </c>
      <c r="H26" s="31">
        <v>5050.0143465958618</v>
      </c>
      <c r="I26" s="32">
        <v>61.186295404119335</v>
      </c>
      <c r="J26" s="31">
        <v>5054.6124064000778</v>
      </c>
      <c r="K26" s="32">
        <v>56.58823559992733</v>
      </c>
      <c r="L26" s="31">
        <v>5059.2247867487158</v>
      </c>
      <c r="M26" s="32">
        <v>51.975855251288579</v>
      </c>
      <c r="N26" s="31">
        <v>5063.8524599527827</v>
      </c>
      <c r="O26" s="32">
        <v>47.348182047219964</v>
      </c>
      <c r="P26" s="31">
        <v>5068.4959564528153</v>
      </c>
      <c r="Q26" s="32">
        <v>42.704685547185328</v>
      </c>
      <c r="R26" s="31">
        <v>5073.1547921976426</v>
      </c>
      <c r="S26" s="32">
        <v>38.045849802362476</v>
      </c>
      <c r="T26" s="31">
        <v>5077.8264705042684</v>
      </c>
      <c r="U26" s="32">
        <v>33.374171495735268</v>
      </c>
      <c r="V26" s="31">
        <v>5082.5045876618206</v>
      </c>
      <c r="W26" s="32">
        <v>28.696054338188254</v>
      </c>
      <c r="X26" s="31">
        <v>5087.1754501215455</v>
      </c>
      <c r="Y26" s="32">
        <v>24.025191878458209</v>
      </c>
      <c r="Z26" s="31">
        <v>5091.8118001785615</v>
      </c>
      <c r="AA26" s="32">
        <v>19.388841821439129</v>
      </c>
      <c r="AB26" s="31">
        <v>5096.3612315297278</v>
      </c>
      <c r="AC26" s="32">
        <v>14.83941047027559</v>
      </c>
      <c r="AD26" s="31">
        <v>5100.7245324596497</v>
      </c>
      <c r="AE26" s="32">
        <v>10.476109540352107</v>
      </c>
      <c r="AF26" s="31">
        <v>5104.7176342951961</v>
      </c>
      <c r="AG26" s="32">
        <v>6.4830077048101087</v>
      </c>
      <c r="AH26" s="31">
        <v>5108.0200230070368</v>
      </c>
      <c r="AI26" s="32">
        <v>3.1806189929647122</v>
      </c>
      <c r="AJ26" s="31">
        <v>5110.1942204987945</v>
      </c>
      <c r="AK26" s="32">
        <v>1.0064215012084798</v>
      </c>
      <c r="AL26" s="31">
        <v>5111.0646156353769</v>
      </c>
      <c r="AM26" s="32">
        <v>0.13602636462635126</v>
      </c>
      <c r="AN26" s="31"/>
      <c r="AO26" s="32"/>
      <c r="AP26" s="31"/>
      <c r="AQ26" s="32"/>
      <c r="AR26" s="31"/>
      <c r="AS26" s="32"/>
      <c r="AT26" s="31"/>
      <c r="AU26" s="32"/>
      <c r="AV26" s="31"/>
      <c r="AW26" s="32"/>
    </row>
    <row r="27" spans="1:49" x14ac:dyDescent="0.2">
      <c r="A27" t="s">
        <v>2</v>
      </c>
      <c r="B27" s="33">
        <v>6425.1981590000414</v>
      </c>
      <c r="C27" s="34">
        <v>273.22915400000028</v>
      </c>
      <c r="D27" s="33">
        <v>6441.5623396793662</v>
      </c>
      <c r="E27" s="34">
        <v>256.86498033583047</v>
      </c>
      <c r="F27" s="33">
        <v>6458.0020859226788</v>
      </c>
      <c r="G27" s="34">
        <v>240.42524624530785</v>
      </c>
      <c r="H27" s="33">
        <v>6474.5212796545457</v>
      </c>
      <c r="I27" s="34">
        <v>223.90606240804613</v>
      </c>
      <c r="J27" s="33">
        <v>6491.1242675971989</v>
      </c>
      <c r="K27" s="34">
        <v>207.30305108892694</v>
      </c>
      <c r="L27" s="33">
        <v>6507.8152618158338</v>
      </c>
      <c r="M27" s="34">
        <v>190.61205119930247</v>
      </c>
      <c r="N27" s="33">
        <v>6524.598172836917</v>
      </c>
      <c r="O27" s="34">
        <v>173.82913994453821</v>
      </c>
      <c r="P27" s="33">
        <v>6541.4753378975647</v>
      </c>
      <c r="Q27" s="34">
        <v>156.95197442373725</v>
      </c>
      <c r="R27" s="33">
        <v>6558.4453884589129</v>
      </c>
      <c r="S27" s="34">
        <v>139.98192778869546</v>
      </c>
      <c r="T27" s="33">
        <v>6575.49963847656</v>
      </c>
      <c r="U27" s="34">
        <v>122.92767613370468</v>
      </c>
      <c r="V27" s="33">
        <v>6592.6149719476734</v>
      </c>
      <c r="W27" s="34">
        <v>105.8123416874743</v>
      </c>
      <c r="X27" s="33">
        <v>6609.7413204172835</v>
      </c>
      <c r="Y27" s="34">
        <v>88.685993645337575</v>
      </c>
      <c r="Z27" s="33">
        <v>6626.7782452104802</v>
      </c>
      <c r="AA27" s="34">
        <v>71.649081330790736</v>
      </c>
      <c r="AB27" s="33">
        <v>6643.5318441219597</v>
      </c>
      <c r="AC27" s="34">
        <v>54.895484726532359</v>
      </c>
      <c r="AD27" s="33">
        <v>6659.6335288004002</v>
      </c>
      <c r="AE27" s="34">
        <v>38.79378266019777</v>
      </c>
      <c r="AF27" s="33">
        <v>6674.3978811793932</v>
      </c>
      <c r="AG27" s="34">
        <v>24.029440383268515</v>
      </c>
      <c r="AH27" s="33">
        <v>6686.6291945515422</v>
      </c>
      <c r="AI27" s="34">
        <v>11.798122089085448</v>
      </c>
      <c r="AJ27" s="33">
        <v>6694.6922195197167</v>
      </c>
      <c r="AK27" s="34">
        <v>3.7350933266724842</v>
      </c>
      <c r="AL27" s="33">
        <v>6697.9223815131727</v>
      </c>
      <c r="AM27" s="34">
        <v>0.50493196724695233</v>
      </c>
      <c r="AN27" s="33"/>
      <c r="AO27" s="34"/>
      <c r="AP27" s="33"/>
      <c r="AQ27" s="34"/>
      <c r="AR27" s="33"/>
      <c r="AS27" s="34"/>
      <c r="AT27" s="33"/>
      <c r="AU27" s="34"/>
      <c r="AV27" s="33"/>
      <c r="AW27" s="34"/>
    </row>
    <row r="28" spans="1:49" x14ac:dyDescent="0.2">
      <c r="A28" t="s">
        <v>35</v>
      </c>
      <c r="B28" s="39">
        <v>13763.097676000029</v>
      </c>
      <c r="C28" s="40">
        <v>382.36647899999997</v>
      </c>
      <c r="D28" s="39">
        <v>13786.092681276921</v>
      </c>
      <c r="E28" s="40">
        <v>359.35585135844201</v>
      </c>
      <c r="F28" s="39">
        <v>13809.148547607607</v>
      </c>
      <c r="G28" s="40">
        <v>336.25293350217152</v>
      </c>
      <c r="H28" s="39">
        <v>13832.270212907701</v>
      </c>
      <c r="I28" s="40">
        <v>313.05249621040434</v>
      </c>
      <c r="J28" s="39">
        <v>13855.463210936361</v>
      </c>
      <c r="K28" s="40">
        <v>289.74866015275023</v>
      </c>
      <c r="L28" s="39">
        <v>13878.732872890612</v>
      </c>
      <c r="M28" s="40">
        <v>266.33579999942646</v>
      </c>
      <c r="N28" s="39">
        <v>13902.084043528435</v>
      </c>
      <c r="O28" s="40">
        <v>242.80868766521007</v>
      </c>
      <c r="P28" s="39">
        <v>13925.519341086994</v>
      </c>
      <c r="Q28" s="40">
        <v>219.16432168129242</v>
      </c>
      <c r="R28" s="39">
        <v>13949.036237903347</v>
      </c>
      <c r="S28" s="40">
        <v>195.40489743022806</v>
      </c>
      <c r="T28" s="39">
        <v>13972.622091076511</v>
      </c>
      <c r="U28" s="40">
        <v>171.54284983589082</v>
      </c>
      <c r="V28" s="39">
        <v>13996.244476514375</v>
      </c>
      <c r="W28" s="40">
        <v>147.61075389696919</v>
      </c>
      <c r="X28" s="39">
        <v>14019.834139097062</v>
      </c>
      <c r="Y28" s="40">
        <v>123.67875217616449</v>
      </c>
      <c r="Z28" s="39">
        <v>14043.253227644249</v>
      </c>
      <c r="AA28" s="40">
        <v>99.887120035402006</v>
      </c>
      <c r="AB28" s="39">
        <v>14066.236859861223</v>
      </c>
      <c r="AC28" s="40">
        <v>76.506180008522364</v>
      </c>
      <c r="AD28" s="39">
        <v>14088.283337599683</v>
      </c>
      <c r="AE28" s="40">
        <v>54.049073695249298</v>
      </c>
      <c r="AF28" s="39">
        <v>14108.461958348551</v>
      </c>
      <c r="AG28" s="40">
        <v>33.469310752953909</v>
      </c>
      <c r="AH28" s="39">
        <v>14125.152051694953</v>
      </c>
      <c r="AI28" s="40">
        <v>16.429115282347524</v>
      </c>
      <c r="AJ28" s="39">
        <v>14136.141219258676</v>
      </c>
      <c r="AK28" s="40">
        <v>5.2003843240085379</v>
      </c>
      <c r="AL28" s="39">
        <v>14140.540708094415</v>
      </c>
      <c r="AM28" s="40">
        <v>0.7029749642228863</v>
      </c>
      <c r="AN28" s="39"/>
      <c r="AO28" s="40"/>
      <c r="AP28" s="39"/>
      <c r="AQ28" s="40"/>
      <c r="AR28" s="39"/>
      <c r="AS28" s="40"/>
      <c r="AT28" s="39"/>
      <c r="AU28" s="40"/>
      <c r="AV28" s="39"/>
      <c r="AW28" s="40"/>
    </row>
    <row r="29" spans="1:49" x14ac:dyDescent="0.2">
      <c r="A29" t="s">
        <v>53</v>
      </c>
      <c r="B29" s="33">
        <v>14362.768558000025</v>
      </c>
      <c r="C29" s="34">
        <v>817.26650999999993</v>
      </c>
      <c r="D29" s="33">
        <v>14369.825923573273</v>
      </c>
      <c r="E29" s="34">
        <v>761.8962239054963</v>
      </c>
      <c r="F29" s="33">
        <v>14375.399768056441</v>
      </c>
      <c r="G29" s="34">
        <v>706.71556990699173</v>
      </c>
      <c r="H29" s="33">
        <v>14379.259215389038</v>
      </c>
      <c r="I29" s="34">
        <v>651.75547682652837</v>
      </c>
      <c r="J29" s="33">
        <v>14381.121157034166</v>
      </c>
      <c r="K29" s="34">
        <v>597.05265719828878</v>
      </c>
      <c r="L29" s="33">
        <v>14380.632644324882</v>
      </c>
      <c r="M29" s="34">
        <v>542.65297439581616</v>
      </c>
      <c r="N29" s="33">
        <v>14377.348009306532</v>
      </c>
      <c r="O29" s="34">
        <v>488.61386285841849</v>
      </c>
      <c r="P29" s="33">
        <v>14370.693221054524</v>
      </c>
      <c r="Q29" s="34">
        <v>435.01045849450753</v>
      </c>
      <c r="R29" s="33">
        <v>14359.912660052216</v>
      </c>
      <c r="S29" s="34">
        <v>381.94458261874814</v>
      </c>
      <c r="T29" s="33">
        <v>14343.986405263035</v>
      </c>
      <c r="U29" s="34">
        <v>329.55836029245012</v>
      </c>
      <c r="V29" s="33">
        <v>14321.494592635112</v>
      </c>
      <c r="W29" s="34">
        <v>278.05755030592167</v>
      </c>
      <c r="X29" s="33">
        <v>14290.387205144854</v>
      </c>
      <c r="Y29" s="34">
        <v>227.74889205839787</v>
      </c>
      <c r="Z29" s="33">
        <v>14247.568876600742</v>
      </c>
      <c r="AA29" s="34">
        <v>179.10342013925435</v>
      </c>
      <c r="AB29" s="33">
        <v>14188.102528283038</v>
      </c>
      <c r="AC29" s="34">
        <v>132.86227906105867</v>
      </c>
      <c r="AD29" s="33">
        <v>14103.558255368003</v>
      </c>
      <c r="AE29" s="34">
        <v>90.215241229054797</v>
      </c>
      <c r="AF29" s="33">
        <v>13978.28982934801</v>
      </c>
      <c r="AG29" s="34">
        <v>53.066330035282327</v>
      </c>
      <c r="AH29" s="33">
        <v>13780.248090393663</v>
      </c>
      <c r="AI29" s="34">
        <v>24.260178092971429</v>
      </c>
      <c r="AJ29" s="33">
        <v>13436.386393851692</v>
      </c>
      <c r="AK29" s="34">
        <v>6.8947139154380253</v>
      </c>
      <c r="AL29" s="33">
        <v>12756.089415533086</v>
      </c>
      <c r="AM29" s="34">
        <v>0.77563143453971128</v>
      </c>
      <c r="AN29" s="33"/>
      <c r="AO29" s="34"/>
      <c r="AP29" s="33"/>
      <c r="AQ29" s="34"/>
      <c r="AR29" s="33"/>
      <c r="AS29" s="34"/>
      <c r="AT29" s="33"/>
      <c r="AU29" s="34"/>
      <c r="AV29" s="33"/>
      <c r="AW29" s="34"/>
    </row>
    <row r="30" spans="1:49" x14ac:dyDescent="0.2">
      <c r="A30" t="s">
        <v>48</v>
      </c>
      <c r="B30" s="112">
        <v>2924829.9599999995</v>
      </c>
      <c r="D30" s="112">
        <v>2988538.8116409043</v>
      </c>
      <c r="F30" s="112">
        <v>3052631.1488742037</v>
      </c>
      <c r="H30" s="112">
        <v>3117209.7424288522</v>
      </c>
      <c r="J30" s="112">
        <v>3182399.4924690812</v>
      </c>
      <c r="L30" s="112">
        <v>3248356.9333411008</v>
      </c>
      <c r="N30" s="112">
        <v>3315280.4608823103</v>
      </c>
      <c r="P30" s="112">
        <v>3383430.7753507849</v>
      </c>
      <c r="R30" s="112">
        <v>3453162.874236851</v>
      </c>
      <c r="T30" s="112">
        <v>3524980.1854955954</v>
      </c>
      <c r="V30" s="112">
        <v>3599632.5247528404</v>
      </c>
      <c r="X30" s="112">
        <v>3678297.0346938414</v>
      </c>
      <c r="Z30" s="112">
        <v>3762933.3212140556</v>
      </c>
      <c r="AB30" s="112">
        <v>3857016.8049239768</v>
      </c>
      <c r="AD30" s="112">
        <v>3967137.6003718395</v>
      </c>
      <c r="AF30" s="112">
        <v>4106666.2459243978</v>
      </c>
      <c r="AH30" s="112">
        <v>4304215.6869713068</v>
      </c>
      <c r="AJ30" s="112">
        <v>4620572.2160019465</v>
      </c>
      <c r="AL30" s="112">
        <v>5167619.3998710401</v>
      </c>
      <c r="AN30" s="112"/>
      <c r="AP30" s="112"/>
      <c r="AR30" s="112"/>
      <c r="AT30" s="112"/>
      <c r="AV30" s="112"/>
    </row>
    <row r="31" spans="1:49" x14ac:dyDescent="0.2">
      <c r="A31" t="s">
        <v>47</v>
      </c>
      <c r="B31" s="77">
        <v>0.999999999999998</v>
      </c>
      <c r="D31" s="77">
        <v>0.99835648065559235</v>
      </c>
      <c r="F31" s="77">
        <v>0.99644386002287533</v>
      </c>
      <c r="H31" s="77">
        <v>0.99422987977990096</v>
      </c>
      <c r="J31" s="77">
        <v>0.99167601842830733</v>
      </c>
      <c r="L31" s="77">
        <v>0.98873573442210272</v>
      </c>
      <c r="N31" s="77">
        <v>0.98535203747214894</v>
      </c>
      <c r="P31" s="77">
        <v>0.98145408692084268</v>
      </c>
      <c r="R31" s="77">
        <v>0.97695220846554376</v>
      </c>
      <c r="T31" s="77">
        <v>0.97173048069340684</v>
      </c>
      <c r="V31" s="77">
        <v>0.96563512810459218</v>
      </c>
      <c r="X31" s="77">
        <v>0.95845575448092235</v>
      </c>
      <c r="Z31" s="77">
        <v>0.94989322453788028</v>
      </c>
      <c r="AB31" s="77">
        <v>0.93950154949027298</v>
      </c>
      <c r="AD31" s="77">
        <v>0.92657394632115708</v>
      </c>
      <c r="AF31" s="77">
        <v>0.90990064006772187</v>
      </c>
      <c r="AH31" s="77">
        <v>0.88719783788471018</v>
      </c>
      <c r="AJ31" s="77">
        <v>0.85359227795184478</v>
      </c>
      <c r="AL31" s="77">
        <v>0.79673069981310629</v>
      </c>
      <c r="AN31" s="77"/>
      <c r="AP31" s="77"/>
      <c r="AR31" s="77"/>
      <c r="AT31" s="77"/>
      <c r="AV31" s="77"/>
    </row>
    <row r="32" spans="1:49" x14ac:dyDescent="0.2">
      <c r="A32" t="s">
        <v>64</v>
      </c>
      <c r="B32" s="83">
        <v>14734457.915000005</v>
      </c>
      <c r="D32" s="83">
        <v>14739211.20408771</v>
      </c>
      <c r="F32" s="83">
        <v>14741631.958869508</v>
      </c>
      <c r="H32" s="83">
        <v>14741379.020713845</v>
      </c>
      <c r="J32" s="83">
        <v>14738036.708701132</v>
      </c>
      <c r="L32" s="83">
        <v>14731093.666472023</v>
      </c>
      <c r="N32" s="83">
        <v>14719916.176422885</v>
      </c>
      <c r="P32" s="83">
        <v>14703710.846964737</v>
      </c>
      <c r="R32" s="83">
        <v>14681473.370597539</v>
      </c>
      <c r="T32" s="83">
        <v>14651917.501375435</v>
      </c>
      <c r="V32" s="83">
        <v>14613371.60714142</v>
      </c>
      <c r="X32" s="83">
        <v>14563626.333342174</v>
      </c>
      <c r="Z32" s="83">
        <v>14499696.007975591</v>
      </c>
      <c r="AB32" s="83">
        <v>14417419.258353671</v>
      </c>
      <c r="AD32" s="83">
        <v>14310693.395260103</v>
      </c>
      <c r="AF32" s="83">
        <v>14169704.239977531</v>
      </c>
      <c r="AH32" s="83">
        <v>13975526.587046789</v>
      </c>
      <c r="AJ32" s="83">
        <v>13678631.862870431</v>
      </c>
      <c r="AL32" s="83">
        <v>13103335.922444506</v>
      </c>
      <c r="AN32" s="83"/>
      <c r="AP32" s="83"/>
      <c r="AR32" s="83"/>
      <c r="AT32" s="83"/>
      <c r="AV32" s="83"/>
    </row>
    <row r="33" spans="1:49 16319:16384" x14ac:dyDescent="0.2">
      <c r="A33" t="s">
        <v>54</v>
      </c>
      <c r="B33" s="111">
        <v>7019665.6909999885</v>
      </c>
      <c r="D33" s="111">
        <v>7021930.2810290027</v>
      </c>
      <c r="F33" s="111">
        <v>7023083.6632240163</v>
      </c>
      <c r="H33" s="111">
        <v>7022963.2327082511</v>
      </c>
      <c r="J33" s="111">
        <v>7021370.7145502344</v>
      </c>
      <c r="L33" s="111">
        <v>7018062.9344767723</v>
      </c>
      <c r="N33" s="111">
        <v>7012737.8567654807</v>
      </c>
      <c r="P33" s="111">
        <v>7005017.4561231062</v>
      </c>
      <c r="R33" s="111">
        <v>6994423.2950035241</v>
      </c>
      <c r="T33" s="111">
        <v>6980342.5142610734</v>
      </c>
      <c r="V33" s="111">
        <v>6961978.7902829051</v>
      </c>
      <c r="X33" s="111">
        <v>6938279.5766144469</v>
      </c>
      <c r="Z33" s="111">
        <v>6907822.4076322978</v>
      </c>
      <c r="AB33" s="111">
        <v>6868624.8539089691</v>
      </c>
      <c r="AD33" s="111">
        <v>6817779.397554528</v>
      </c>
      <c r="AF33" s="111">
        <v>6750610.5177162141</v>
      </c>
      <c r="AH33" s="111">
        <v>6658102.0528697716</v>
      </c>
      <c r="AJ33" s="111">
        <v>6516657.9825719316</v>
      </c>
      <c r="AL33" s="111">
        <v>6242580.3611402679</v>
      </c>
      <c r="AN33" s="111"/>
      <c r="AP33" s="111"/>
      <c r="AR33" s="111"/>
      <c r="AT33" s="111"/>
      <c r="AV33" s="111"/>
    </row>
    <row r="34" spans="1:49 16319:16384" x14ac:dyDescent="0.2">
      <c r="A34" t="s">
        <v>75</v>
      </c>
      <c r="B34" s="111">
        <v>1136879.4410000162</v>
      </c>
      <c r="D34" s="111">
        <v>1137246.1260591911</v>
      </c>
      <c r="F34" s="111">
        <v>1137432.7991158795</v>
      </c>
      <c r="H34" s="111">
        <v>1137413.2104247476</v>
      </c>
      <c r="J34" s="111">
        <v>1137155.5279285628</v>
      </c>
      <c r="L34" s="111">
        <v>1136619.8525898382</v>
      </c>
      <c r="N34" s="111">
        <v>1135757.4138572994</v>
      </c>
      <c r="P34" s="111">
        <v>1134507.0399491342</v>
      </c>
      <c r="R34" s="111">
        <v>1132791.2144287345</v>
      </c>
      <c r="T34" s="111">
        <v>1130510.7700450656</v>
      </c>
      <c r="V34" s="111">
        <v>1127536.6661266987</v>
      </c>
      <c r="X34" s="111">
        <v>1123698.4180930532</v>
      </c>
      <c r="Z34" s="111">
        <v>1118765.7142140074</v>
      </c>
      <c r="AB34" s="111">
        <v>1112417.3765091458</v>
      </c>
      <c r="AD34" s="111">
        <v>1104182.6605533226</v>
      </c>
      <c r="AF34" s="111">
        <v>1093304.2571150023</v>
      </c>
      <c r="AH34" s="111">
        <v>1078321.9138997095</v>
      </c>
      <c r="AJ34" s="111">
        <v>1055414.1477444158</v>
      </c>
      <c r="AL34" s="111">
        <v>1011025.5365271172</v>
      </c>
      <c r="AN34" s="111"/>
      <c r="AP34" s="111"/>
      <c r="AR34" s="111"/>
      <c r="AT34" s="111"/>
      <c r="AV34" s="111"/>
    </row>
    <row r="35" spans="1:49 16319:16384" x14ac:dyDescent="0.2">
      <c r="A35" t="s">
        <v>78</v>
      </c>
      <c r="B35" s="192">
        <v>1</v>
      </c>
      <c r="D35" s="192">
        <v>1.0019708970635743</v>
      </c>
      <c r="F35" s="192">
        <v>1.0040708368311329</v>
      </c>
      <c r="H35" s="192">
        <v>1.0063253260318581</v>
      </c>
      <c r="J35" s="192">
        <v>1.0087668667088312</v>
      </c>
      <c r="L35" s="192">
        <v>1.0114376708850479</v>
      </c>
      <c r="N35" s="192">
        <v>1.0143934435142565</v>
      </c>
      <c r="P35" s="192">
        <v>1.0177093997284539</v>
      </c>
      <c r="R35" s="192">
        <v>1.0214896415434442</v>
      </c>
      <c r="T35" s="192">
        <v>1.0258824281895691</v>
      </c>
      <c r="V35" s="192">
        <v>1.0311062173418883</v>
      </c>
      <c r="X35" s="192">
        <v>1.0374961119360753</v>
      </c>
      <c r="Z35" s="192">
        <v>1.0455918467470029</v>
      </c>
      <c r="AB35" s="192">
        <v>1.0563163434558964</v>
      </c>
      <c r="AD35" s="192">
        <v>1.0713695497974789</v>
      </c>
      <c r="AF35" s="192">
        <v>1.094185997641191</v>
      </c>
      <c r="AH35" s="192">
        <v>1.1325255459615446</v>
      </c>
      <c r="AJ35" s="192">
        <v>1.2062561571013766</v>
      </c>
      <c r="AL35" s="192">
        <v>1.3744927016128683</v>
      </c>
      <c r="AN35" s="192"/>
      <c r="AP35" s="192"/>
      <c r="AR35" s="192"/>
      <c r="AT35" s="192"/>
      <c r="AV35" s="192"/>
    </row>
    <row r="36" spans="1:49 16319:16384" x14ac:dyDescent="0.2">
      <c r="A36" t="s">
        <v>21</v>
      </c>
      <c r="B36" s="35">
        <v>0.47195767671988198</v>
      </c>
      <c r="C36" s="36">
        <v>0.31738834428178964</v>
      </c>
      <c r="D36" s="35">
        <v>0.47197209976913035</v>
      </c>
      <c r="E36" s="36">
        <v>0.31931076474722841</v>
      </c>
      <c r="F36" s="35">
        <v>0.47198700202483651</v>
      </c>
      <c r="G36" s="36">
        <v>0.32142829758594499</v>
      </c>
      <c r="H36" s="35">
        <v>0.47200245040435718</v>
      </c>
      <c r="I36" s="36">
        <v>0.32377143726567092</v>
      </c>
      <c r="J36" s="35">
        <v>0.47201852562364416</v>
      </c>
      <c r="K36" s="36">
        <v>0.32637757108380161</v>
      </c>
      <c r="L36" s="35">
        <v>0.47203532754347494</v>
      </c>
      <c r="M36" s="36">
        <v>0.32929316332506303</v>
      </c>
      <c r="N36" s="35">
        <v>0.47205297323376733</v>
      </c>
      <c r="O36" s="36">
        <v>0.3325766892163986</v>
      </c>
      <c r="P36" s="35">
        <v>0.47207159949924671</v>
      </c>
      <c r="Q36" s="36">
        <v>0.33630301906677457</v>
      </c>
      <c r="R36" s="35">
        <v>0.47209135995242102</v>
      </c>
      <c r="S36" s="36">
        <v>0.3405699024141649</v>
      </c>
      <c r="T36" s="35">
        <v>0.47211241316118152</v>
      </c>
      <c r="U36" s="36">
        <v>0.34550795394950279</v>
      </c>
      <c r="V36" s="35">
        <v>0.47213489380836032</v>
      </c>
      <c r="W36" s="36">
        <v>0.35129676414728489</v>
      </c>
      <c r="X36" s="35">
        <v>0.47215884252852935</v>
      </c>
      <c r="Y36" s="36">
        <v>0.35819204611583988</v>
      </c>
      <c r="Z36" s="35">
        <v>0.47218404899066346</v>
      </c>
      <c r="AA36" s="36">
        <v>0.36657423298683545</v>
      </c>
      <c r="AB36" s="35">
        <v>0.47220969825016607</v>
      </c>
      <c r="AC36" s="36">
        <v>0.37704149357208955</v>
      </c>
      <c r="AD36" s="35">
        <v>0.47223357985531367</v>
      </c>
      <c r="AE36" s="36">
        <v>0.3906026849789912</v>
      </c>
      <c r="AF36" s="35">
        <v>0.47225034820178241</v>
      </c>
      <c r="AG36" s="36">
        <v>0.40911500918107563</v>
      </c>
      <c r="AH36" s="35">
        <v>0.47224812968894142</v>
      </c>
      <c r="AI36" s="36">
        <v>0.43637120811447194</v>
      </c>
      <c r="AJ36" s="35">
        <v>0.4722054949260463</v>
      </c>
      <c r="AK36" s="36">
        <v>0.48100275037191026</v>
      </c>
      <c r="AL36" s="35">
        <v>0.47210430068500525</v>
      </c>
      <c r="AM36" s="36">
        <v>0.56505022430274421</v>
      </c>
      <c r="AN36" s="35"/>
      <c r="AO36" s="36"/>
      <c r="AP36" s="35"/>
      <c r="AQ36" s="36"/>
      <c r="AR36" s="35"/>
      <c r="AS36" s="36"/>
      <c r="AT36" s="35"/>
      <c r="AU36" s="36"/>
      <c r="AV36" s="35"/>
      <c r="AW36" s="36"/>
    </row>
    <row r="37" spans="1:49 16319:16384" x14ac:dyDescent="0.2">
      <c r="B37" s="37">
        <v>2.1403217525954466E-2</v>
      </c>
      <c r="C37" s="38">
        <v>0.3496246130199252</v>
      </c>
      <c r="D37" s="37">
        <v>2.0839453763939642E-2</v>
      </c>
      <c r="E37" s="38">
        <v>0.34618905740733952</v>
      </c>
      <c r="F37" s="37">
        <v>2.0258957074641201E-2</v>
      </c>
      <c r="G37" s="38">
        <v>0.34263836434801065</v>
      </c>
      <c r="H37" s="37">
        <v>1.9660321468643584E-2</v>
      </c>
      <c r="I37" s="38">
        <v>0.33896289304776073</v>
      </c>
      <c r="J37" s="37">
        <v>1.9041943661813679E-2</v>
      </c>
      <c r="K37" s="38">
        <v>0.33515173072478988</v>
      </c>
      <c r="L37" s="37">
        <v>1.840196421460092E-2</v>
      </c>
      <c r="M37" s="38">
        <v>0.33119234433528894</v>
      </c>
      <c r="N37" s="37">
        <v>1.7738217478583597E-2</v>
      </c>
      <c r="O37" s="38">
        <v>0.32707029059030979</v>
      </c>
      <c r="P37" s="37">
        <v>1.7048129680580205E-2</v>
      </c>
      <c r="Q37" s="38">
        <v>0.3227686268620214</v>
      </c>
      <c r="R37" s="37">
        <v>1.6328581281027047E-2</v>
      </c>
      <c r="S37" s="38">
        <v>0.31826712314449374</v>
      </c>
      <c r="T37" s="37">
        <v>1.5575701950858801E-2</v>
      </c>
      <c r="U37" s="38">
        <v>0.31354109753970688</v>
      </c>
      <c r="V37" s="37">
        <v>1.4784541128954647E-2</v>
      </c>
      <c r="W37" s="38">
        <v>0.30855954869382185</v>
      </c>
      <c r="X37" s="37">
        <v>1.3948544010521837E-2</v>
      </c>
      <c r="Y37" s="38">
        <v>0.30328220759961705</v>
      </c>
      <c r="Z37" s="37">
        <v>1.3058669397284122E-2</v>
      </c>
      <c r="AA37" s="38">
        <v>0.29765461567193091</v>
      </c>
      <c r="AB37" s="37">
        <v>1.2101877865291362E-2</v>
      </c>
      <c r="AC37" s="38">
        <v>0.2915998405211368</v>
      </c>
      <c r="AD37" s="37">
        <v>1.1058497919516836E-2</v>
      </c>
      <c r="AE37" s="38">
        <v>0.28500457973566717</v>
      </c>
      <c r="AF37" s="37">
        <v>9.8978456417284349E-3</v>
      </c>
      <c r="AG37" s="38">
        <v>0.27769817220582649</v>
      </c>
      <c r="AH37" s="37">
        <v>8.5726345458694894E-3</v>
      </c>
      <c r="AI37" s="38">
        <v>0.26943548512431265</v>
      </c>
      <c r="AJ37" s="37">
        <v>7.0211182864292629E-3</v>
      </c>
      <c r="AK37" s="38">
        <v>0.25996189023476157</v>
      </c>
      <c r="AL37" s="37">
        <v>5.2042041372451289E-3</v>
      </c>
      <c r="AM37" s="38">
        <v>0.24937113279582698</v>
      </c>
      <c r="AN37" s="37"/>
      <c r="AO37" s="38"/>
      <c r="AP37" s="37"/>
      <c r="AQ37" s="38"/>
      <c r="AR37" s="37"/>
      <c r="AS37" s="38"/>
      <c r="AT37" s="37"/>
      <c r="AU37" s="38"/>
      <c r="AV37" s="37"/>
      <c r="AW37" s="38"/>
    </row>
    <row r="38" spans="1:49 16319:16384" x14ac:dyDescent="0.2">
      <c r="A38" t="s">
        <v>22</v>
      </c>
      <c r="B38" s="35">
        <v>0.18079094942242827</v>
      </c>
      <c r="C38" s="36">
        <v>6.0565413429233668E-2</v>
      </c>
      <c r="D38" s="35">
        <v>0.18086068665676924</v>
      </c>
      <c r="E38" s="36">
        <v>6.0832624448040794E-2</v>
      </c>
      <c r="F38" s="35">
        <v>0.18094924719799452</v>
      </c>
      <c r="G38" s="36">
        <v>6.1126843909030351E-2</v>
      </c>
      <c r="H38" s="35">
        <v>0.18105955487721531</v>
      </c>
      <c r="I38" s="36">
        <v>6.1452409527633901E-2</v>
      </c>
      <c r="J38" s="35">
        <v>0.18119520885380164</v>
      </c>
      <c r="K38" s="36">
        <v>6.1814671674233226E-2</v>
      </c>
      <c r="L38" s="35">
        <v>0.18136070932096293</v>
      </c>
      <c r="M38" s="36">
        <v>6.2220273656965364E-2</v>
      </c>
      <c r="N38" s="35">
        <v>0.18156176066407462</v>
      </c>
      <c r="O38" s="36">
        <v>6.2677647759361771E-2</v>
      </c>
      <c r="P38" s="35">
        <v>0.18180573572211955</v>
      </c>
      <c r="Q38" s="36">
        <v>6.3197656105439606E-2</v>
      </c>
      <c r="R38" s="35">
        <v>0.18210237429746506</v>
      </c>
      <c r="S38" s="36">
        <v>6.3794572114098114E-2</v>
      </c>
      <c r="T38" s="35">
        <v>0.18246487648848694</v>
      </c>
      <c r="U38" s="36">
        <v>6.4487653674569295E-2</v>
      </c>
      <c r="V38" s="35">
        <v>0.18291170506402166</v>
      </c>
      <c r="W38" s="36">
        <v>6.5303629064148855E-2</v>
      </c>
      <c r="X38" s="35">
        <v>0.18346967993707292</v>
      </c>
      <c r="Y38" s="36">
        <v>6.628102864819739E-2</v>
      </c>
      <c r="Z38" s="35">
        <v>0.18417963566691439</v>
      </c>
      <c r="AA38" s="36">
        <v>6.7477995383731892E-2</v>
      </c>
      <c r="AB38" s="35">
        <v>0.18510748836367047</v>
      </c>
      <c r="AC38" s="36">
        <v>6.8987708734165015E-2</v>
      </c>
      <c r="AD38" s="35">
        <v>0.18636779234366874</v>
      </c>
      <c r="AE38" s="36">
        <v>7.0970682710856658E-2</v>
      </c>
      <c r="AF38" s="35">
        <v>0.18817894850087294</v>
      </c>
      <c r="AG38" s="36">
        <v>7.3730841384399434E-2</v>
      </c>
      <c r="AH38" s="35">
        <v>0.19100766923099879</v>
      </c>
      <c r="AI38" s="36">
        <v>7.7913626631559124E-2</v>
      </c>
      <c r="AJ38" s="35">
        <v>0.19599573385078345</v>
      </c>
      <c r="AK38" s="36">
        <v>8.5080710271450394E-2</v>
      </c>
      <c r="AL38" s="35">
        <v>0.20652471992862828</v>
      </c>
      <c r="AM38" s="36">
        <v>9.9765868589110421E-2</v>
      </c>
      <c r="AN38" s="35"/>
      <c r="AO38" s="36"/>
      <c r="AP38" s="35"/>
      <c r="AQ38" s="36"/>
      <c r="AR38" s="35"/>
      <c r="AS38" s="36"/>
      <c r="AT38" s="35"/>
      <c r="AU38" s="36"/>
      <c r="AV38" s="35"/>
      <c r="AW38" s="36"/>
    </row>
    <row r="39" spans="1:49 16319:16384" x14ac:dyDescent="0.2">
      <c r="A39" t="s">
        <v>23</v>
      </c>
      <c r="B39" s="37">
        <v>0.23064923795098771</v>
      </c>
      <c r="C39" s="38">
        <v>0.22092201281804777</v>
      </c>
      <c r="D39" s="37">
        <v>0.2311165389903003</v>
      </c>
      <c r="E39" s="38">
        <v>0.22213431561620733</v>
      </c>
      <c r="F39" s="37">
        <v>0.23160973894462941</v>
      </c>
      <c r="G39" s="38">
        <v>0.22344819195175419</v>
      </c>
      <c r="H39" s="37">
        <v>0.23213279418255964</v>
      </c>
      <c r="I39" s="38">
        <v>0.22487988448950694</v>
      </c>
      <c r="J39" s="37">
        <v>0.23269056513097164</v>
      </c>
      <c r="K39" s="38">
        <v>0.22644936538974314</v>
      </c>
      <c r="L39" s="37">
        <v>0.23328909897502237</v>
      </c>
      <c r="M39" s="38">
        <v>0.22818160337327134</v>
      </c>
      <c r="N39" s="37">
        <v>0.23393602820270967</v>
      </c>
      <c r="O39" s="38">
        <v>0.23010812945026848</v>
      </c>
      <c r="P39" s="37">
        <v>0.23464115325976956</v>
      </c>
      <c r="Q39" s="38">
        <v>0.23226952212869909</v>
      </c>
      <c r="R39" s="37">
        <v>0.23541731444414798</v>
      </c>
      <c r="S39" s="38">
        <v>0.23471908850441522</v>
      </c>
      <c r="T39" s="37">
        <v>0.23628175093300632</v>
      </c>
      <c r="U39" s="38">
        <v>0.23752851532338295</v>
      </c>
      <c r="V39" s="37">
        <v>0.23725830927469929</v>
      </c>
      <c r="W39" s="38">
        <v>0.24079721311275087</v>
      </c>
      <c r="X39" s="37">
        <v>0.23838122675616202</v>
      </c>
      <c r="Y39" s="38">
        <v>0.2446681348160662</v>
      </c>
      <c r="Z39" s="37">
        <v>0.23970202567296361</v>
      </c>
      <c r="AA39" s="38">
        <v>0.249356636348528</v>
      </c>
      <c r="AB39" s="37">
        <v>0.24130304695068719</v>
      </c>
      <c r="AC39" s="38">
        <v>0.25520647998252222</v>
      </c>
      <c r="AD39" s="37">
        <v>0.24332645111142848</v>
      </c>
      <c r="AE39" s="38">
        <v>0.26280951241736361</v>
      </c>
      <c r="AF39" s="37">
        <v>0.24604322219875432</v>
      </c>
      <c r="AG39" s="38">
        <v>0.27328532343716344</v>
      </c>
      <c r="AH39" s="37">
        <v>0.25003767638157542</v>
      </c>
      <c r="AI39" s="38">
        <v>0.28901118978281609</v>
      </c>
      <c r="AJ39" s="37">
        <v>0.25676736692442642</v>
      </c>
      <c r="AK39" s="38">
        <v>0.31575676074275422</v>
      </c>
      <c r="AL39" s="37">
        <v>0.27064548151358814</v>
      </c>
      <c r="AM39" s="38">
        <v>0.37033244569297064</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6.1000000000000519E-2</v>
      </c>
      <c r="E42" s="126"/>
      <c r="F42" s="167">
        <f>6.1%+(1-6.1%)*(1-SUM(F26:G26)/SUM($B$26:$C$26))</f>
        <v>6.0999999999997917E-2</v>
      </c>
      <c r="G42" s="126"/>
      <c r="H42" s="167">
        <f>6.1%+(1-6.1%)*(1-SUM(H26:I26)/SUM($B$26:$C$26))</f>
        <v>6.1000000000004169E-2</v>
      </c>
      <c r="I42" s="126"/>
      <c r="J42" s="167">
        <f>6.1%+(1-6.1%)*(1-SUM(J26:K26)/SUM($B$26:$C$26))</f>
        <v>6.0999999999999582E-2</v>
      </c>
      <c r="K42" s="126"/>
      <c r="L42" s="167">
        <f>6.1%+(1-6.1%)*(1-SUM(L26:M26)/SUM($B$26:$C$26))</f>
        <v>6.0999999999999791E-2</v>
      </c>
      <c r="M42" s="126"/>
      <c r="N42" s="167">
        <f>6.1%+(1-6.1%)*(1-SUM(N26:O26)/SUM($B$26:$C$26))</f>
        <v>6.1000000000000207E-2</v>
      </c>
      <c r="O42" s="126"/>
      <c r="P42" s="167">
        <f>6.1%+(1-6.1%)*(1-SUM(P26:Q26)/SUM($B$26:$C$26))</f>
        <v>6.1000000000000519E-2</v>
      </c>
      <c r="Q42" s="126"/>
      <c r="R42" s="167">
        <f>6.1%+(1-6.1%)*(1-SUM(R26:S26)/SUM($B$26:$C$26))</f>
        <v>6.0999999999999582E-2</v>
      </c>
      <c r="S42" s="126"/>
      <c r="T42" s="167">
        <f>6.1%+(1-6.1%)*(1-SUM(T26:U26)/SUM($B$26:$C$26))</f>
        <v>6.0999999999999999E-2</v>
      </c>
      <c r="U42" s="126"/>
      <c r="V42" s="167">
        <f>6.1%+(1-6.1%)*(1-SUM(V26:W26)/SUM($B$26:$C$26))</f>
        <v>6.0999999999998958E-2</v>
      </c>
      <c r="W42" s="126"/>
      <c r="X42" s="167">
        <f>6.1%+(1-6.1%)*(1-SUM(X26:Y26)/SUM($B$26:$C$26))</f>
        <v>6.0999999999999999E-2</v>
      </c>
      <c r="Y42" s="152"/>
      <c r="Z42" s="167">
        <f>6.1%+(1-6.1%)*(1-SUM(Z26:AA26)/SUM($B$26:$C$26))</f>
        <v>6.1000000000000519E-2</v>
      </c>
      <c r="AA42" s="126"/>
      <c r="AB42" s="167">
        <f>6.1%+(1-6.1%)*(1-SUM(AB26:AC26)/SUM($B$26:$C$26))</f>
        <v>6.0999999999999999E-2</v>
      </c>
      <c r="AC42" s="126"/>
      <c r="AD42" s="167">
        <f>6.1%+(1-6.1%)*(1-SUM(AD26:AE26)/SUM($B$26:$C$26))</f>
        <v>6.1000000000000311E-2</v>
      </c>
      <c r="AE42" s="126"/>
      <c r="AF42" s="167">
        <f>6.1%+(1-6.1%)*(1-SUM(AF26:AG26)/SUM($B$26:$C$26))</f>
        <v>6.0999999999999582E-2</v>
      </c>
      <c r="AG42" s="126"/>
      <c r="AH42" s="167">
        <f>6.1%+(1-6.1%)*(1-SUM(AH26:AI26)/SUM($B$26:$C$26))</f>
        <v>6.1000000000000311E-2</v>
      </c>
      <c r="AI42" s="126"/>
      <c r="AJ42" s="167">
        <f>6.1%+(1-6.1%)*(1-SUM(AJ26:AK26)/SUM($B$26:$C$26))</f>
        <v>6.0999999999999999E-2</v>
      </c>
      <c r="AK42" s="126"/>
      <c r="AL42" s="167">
        <f>6.1%+(1-6.1%)*(1-SUM(AL26:AM26)/SUM($B$26:$C$26))</f>
        <v>6.0999999999999999E-2</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0.5627605959256502</v>
      </c>
      <c r="E43" s="126"/>
      <c r="F43" s="152">
        <f t="array" ref="F43">SUM(F15:G15*F27:G27)/SUM(F15:G15*F27:G27,F13:G13*F26:G26)</f>
        <v>0.55821361421737137</v>
      </c>
      <c r="G43" s="126"/>
      <c r="H43" s="152">
        <f t="array" ref="H43">SUM(H15:I15*H27:I27)/SUM(H15:I15*H27:I27,H13:I13*H26:I26)</f>
        <v>0.55354197950092121</v>
      </c>
      <c r="I43" s="126"/>
      <c r="J43" s="152">
        <f t="array" ref="J43">SUM(J15:K15*J27:K27)/SUM(J15:K15*J27:K27,J13:K13*J26:K26)</f>
        <v>0.54872394215565556</v>
      </c>
      <c r="K43" s="126"/>
      <c r="L43" s="152">
        <f t="array" ref="L43">SUM(L15:M15*L27:M27)/SUM(L15:M15*L27:M27,L13:M13*L26:M26)</f>
        <v>0.54373224296730671</v>
      </c>
      <c r="M43" s="126"/>
      <c r="N43" s="152">
        <f t="array" ref="N43">SUM(N15:O15*N27:O27)/SUM(N15:O15*N27:O27,N13:O13*N26:O26)</f>
        <v>0.53853207906960709</v>
      </c>
      <c r="O43" s="126"/>
      <c r="P43" s="152">
        <f t="array" ref="P43">SUM(P15:Q15*P27:Q27)/SUM(P15:Q15*P27:Q27,P13:Q13*P26:Q26)</f>
        <v>0.53307808188570116</v>
      </c>
      <c r="Q43" s="126"/>
      <c r="R43" s="152">
        <f t="array" ref="R43">SUM(R15:S15*R27:S27)/SUM(R15:S15*R27:S27,R13:S13*R26:S26)</f>
        <v>0.52730955296064852</v>
      </c>
      <c r="S43" s="126"/>
      <c r="T43" s="152">
        <f t="array" ref="T43">SUM(T15:U15*T27:U27)/SUM(T15:U15*T27:U27,T13:U13*T26:U26)</f>
        <v>0.52114277516932206</v>
      </c>
      <c r="U43" s="126"/>
      <c r="V43" s="152">
        <f t="array" ref="V43">SUM(V15:W15*V27:W27)/SUM(V15:W15*V27:W27,V13:W13*V26:W26)</f>
        <v>0.51445775757259538</v>
      </c>
      <c r="W43" s="126"/>
      <c r="X43" s="152">
        <f t="array" ref="X43">SUM(X15:Y15*X27:Y27)/SUM(X15:Y15*X27:Y27,X13:Y13*X26:Y26)</f>
        <v>0.50707451959375316</v>
      </c>
      <c r="Y43" s="126"/>
      <c r="Z43" s="152">
        <f t="array" ref="Z43">SUM(Z15:AA15*Z27:AA27)/SUM(Z15:AA15*Z27:AA27,Z13:AA13*Z26:AA26)</f>
        <v>0.49870761776858991</v>
      </c>
      <c r="AA43" s="126"/>
      <c r="AB43" s="152">
        <f t="array" ref="AB43">SUM(AB15:AC15*AB27:AC27)/SUM(AB15:AC15*AB27:AC27,AB13:AC13*AB26:AC26)</f>
        <v>0.48887275828055732</v>
      </c>
      <c r="AC43" s="126"/>
      <c r="AD43" s="152">
        <f t="array" ref="AD43">SUM(AD15:AE15*AD27:AE27)/SUM(AD15:AE15*AD27:AE27,AD13:AE13*AD26:AE26)</f>
        <v>0.47667860991872518</v>
      </c>
      <c r="AE43" s="126"/>
      <c r="AF43" s="152">
        <f t="array" ref="AF43">SUM(AF15:AG15*AF27:AG27)/SUM(AF15:AG15*AF27:AG27,AF13:AG13*AF26:AG26)</f>
        <v>0.46031807345988879</v>
      </c>
      <c r="AG43" s="126"/>
      <c r="AH43" s="152">
        <f t="array" ref="AH43">SUM(AH15:AI15*AH27:AI27)/SUM(AH15:AI15*AH27:AI27,AH13:AI13*AH26:AI26)</f>
        <v>0.43569707699162485</v>
      </c>
      <c r="AI43" s="126"/>
      <c r="AJ43" s="152">
        <f t="array" ref="AJ43">SUM(AJ15:AK15*AJ27:AK27)/SUM(AJ15:AK15*AJ27:AK27,AJ13:AK13*AJ26:AK26)</f>
        <v>0.39235472842692298</v>
      </c>
      <c r="AK43" s="126"/>
      <c r="AL43" s="152">
        <f t="array" ref="AL43">SUM(AL15:AM15*AL27:AM27)/SUM(AL15:AM15*AL27:AM27,AL13:AM13*AL26:AM26)</f>
        <v>0.29836405249786796</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0.29754225727391487</v>
      </c>
      <c r="F44" s="183">
        <f>(SUM(F11:G11*F24:G24)+F34)/F32</f>
        <v>0.29754225003686646</v>
      </c>
      <c r="H44" s="183">
        <f>(SUM(H11:I11*H24:I24)+H34)/H32</f>
        <v>0.29754224514303224</v>
      </c>
      <c r="J44" s="183">
        <f>(SUM(J11:K11*J24:K24)+J34)/J32</f>
        <v>0.29754225885656022</v>
      </c>
      <c r="L44" s="183">
        <f>(SUM(L11:M11*L24:M24)+L34)/L32</f>
        <v>0.29754226120917299</v>
      </c>
      <c r="N44" s="183">
        <f>(SUM(N11:O11*N24:O24)+N34)/N32</f>
        <v>0.29754226070157375</v>
      </c>
      <c r="P44" s="183">
        <f>(SUM(P11:Q11*P24:Q24)+P34)/P32</f>
        <v>0.29754226034549691</v>
      </c>
      <c r="R44" s="183">
        <f>(SUM(R11:S11*R24:S24)+R34)/R32</f>
        <v>0.29754225836115628</v>
      </c>
      <c r="T44" s="183">
        <f>(SUM(T11:U11*T24:U24)+T34)/T32</f>
        <v>0.29754225997574202</v>
      </c>
      <c r="V44" s="183">
        <f>(SUM(V11:W11*V24:W24)+V34)/V32</f>
        <v>0.29754226102412901</v>
      </c>
      <c r="X44" s="183">
        <f>(SUM(X11:Y11*X24:Y24)+X34)/X32</f>
        <v>0.29754226043691551</v>
      </c>
      <c r="Z44" s="183">
        <f>(SUM(Z11:AA11*Z24:AA24)+Z34)/Z32</f>
        <v>0.29754226212945384</v>
      </c>
      <c r="AB44" s="183">
        <f>(SUM(AB11:AC11*AB24:AC24)+AB34)/AB32</f>
        <v>0.29754225944384882</v>
      </c>
      <c r="AD44" s="183">
        <f>(SUM(AD11:AE11*AD24:AE24)+AD34)/AD32</f>
        <v>0.2975422611200772</v>
      </c>
      <c r="AF44" s="183">
        <f>(SUM(AF11:AG11*AF24:AG24)+AF34)/AF32</f>
        <v>0.29754226253494781</v>
      </c>
      <c r="AH44" s="183">
        <f>(SUM(AH11:AI11*AH24:AI24)+AH34)/AH32</f>
        <v>0.29754226193093919</v>
      </c>
      <c r="AJ44" s="183">
        <f>(SUM(AJ11:AK11*AJ24:AK24)+AJ34)/AJ32</f>
        <v>0.29754226189172084</v>
      </c>
      <c r="AL44" s="183">
        <f>(SUM(AL11:AM11*AL24:AM24)+AL34)/AL32</f>
        <v>0.29754226190788424</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0.22038438835459362</v>
      </c>
      <c r="F45" s="183">
        <f>SUM(F11:G11*F24:G24)/F32</f>
        <v>0.22038438839105812</v>
      </c>
      <c r="H45" s="183">
        <f>SUM(H11:I11*H24:I24)/H32</f>
        <v>0.2203843884169748</v>
      </c>
      <c r="J45" s="183">
        <f>SUM(J11:K11*J24:K24)/J32</f>
        <v>0.22038438834744403</v>
      </c>
      <c r="L45" s="183">
        <f>SUM(L11:M11*L24:M24)/L32</f>
        <v>0.22038438832314378</v>
      </c>
      <c r="N45" s="183">
        <f>SUM(N11:O11*N24:O24)/N32</f>
        <v>0.22038438831664406</v>
      </c>
      <c r="P45" s="183">
        <f>SUM(P11:Q11*P24:Q24)/P32</f>
        <v>0.22038438831189872</v>
      </c>
      <c r="R45" s="183">
        <f>SUM(R11:S11*R24:S24)/R32</f>
        <v>0.22038438831404192</v>
      </c>
      <c r="T45" s="183">
        <f>SUM(T11:U11*T24:U24)/T32</f>
        <v>0.22038438832249665</v>
      </c>
      <c r="V45" s="183">
        <f>SUM(V11:W11*V24:W24)/V32</f>
        <v>0.22038438832788679</v>
      </c>
      <c r="X45" s="183">
        <f>SUM(X11:Y11*X24:Y24)/X32</f>
        <v>0.22038438832642046</v>
      </c>
      <c r="Z45" s="183">
        <f>SUM(Z11:AA11*Z24:AA24)/Z32</f>
        <v>0.22038438836447091</v>
      </c>
      <c r="AB45" s="183">
        <f>SUM(AB11:AC11*AB24:AC24)/AB32</f>
        <v>0.22038438835921659</v>
      </c>
      <c r="AD45" s="183">
        <f>SUM(AD11:AE11*AD24:AE24)/AD32</f>
        <v>0.22038438832831977</v>
      </c>
      <c r="AF45" s="183">
        <f>SUM(AF11:AG11*AF24:AG24)/AF32</f>
        <v>0.22038438834090357</v>
      </c>
      <c r="AH45" s="183">
        <f>SUM(AH11:AI11*AH24:AI24)/AH32</f>
        <v>0.22038438833073068</v>
      </c>
      <c r="AJ45" s="183">
        <f>SUM(AJ11:AK11*AJ24:AK24)/AJ32</f>
        <v>0.22038438833206647</v>
      </c>
      <c r="AL45" s="183">
        <f>SUM(AL11:AM11*AL24:AM24)/AL32</f>
        <v>0.22038438833193882</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7.7157868919321276E-2</v>
      </c>
      <c r="F46" s="183">
        <f>F34/F32</f>
        <v>7.7157861645808304E-2</v>
      </c>
      <c r="H46" s="183">
        <f>H34/H32</f>
        <v>7.7157856726057419E-2</v>
      </c>
      <c r="J46" s="183">
        <f>J34/J32</f>
        <v>7.7157870509116183E-2</v>
      </c>
      <c r="L46" s="183">
        <f>L34/L32</f>
        <v>7.7157872886029197E-2</v>
      </c>
      <c r="N46" s="183">
        <f>N34/N32</f>
        <v>7.7157872384929702E-2</v>
      </c>
      <c r="P46" s="183">
        <f>P34/P32</f>
        <v>7.7157872033598141E-2</v>
      </c>
      <c r="R46" s="183">
        <f>R34/R32</f>
        <v>7.715787004711433E-2</v>
      </c>
      <c r="T46" s="183">
        <f>T34/T32</f>
        <v>7.7157871653245377E-2</v>
      </c>
      <c r="V46" s="183">
        <f>V34/V32</f>
        <v>7.7157872696242247E-2</v>
      </c>
      <c r="X46" s="183">
        <f>X34/X32</f>
        <v>7.7157872110495032E-2</v>
      </c>
      <c r="Z46" s="183">
        <f>Z34/Z32</f>
        <v>7.7157873764982912E-2</v>
      </c>
      <c r="AB46" s="183">
        <f>AB34/AB32</f>
        <v>7.7157871084632179E-2</v>
      </c>
      <c r="AD46" s="183">
        <f>AD34/AD32</f>
        <v>7.7157872791757454E-2</v>
      </c>
      <c r="AF46" s="183">
        <f>AF34/AF32</f>
        <v>7.7157874194044282E-2</v>
      </c>
      <c r="AH46" s="183">
        <f>AH34/AH32</f>
        <v>7.7157873600208496E-2</v>
      </c>
      <c r="AJ46" s="183">
        <f>AJ34/AJ32</f>
        <v>7.7157873559654339E-2</v>
      </c>
      <c r="AL46" s="183">
        <f>AL34/AL32</f>
        <v>7.7157873575945418E-2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1.0012487336899223</v>
      </c>
      <c r="E48" s="181"/>
      <c r="F48" s="181">
        <f>F24/$B$24</f>
        <v>1.0023630545112978</v>
      </c>
      <c r="G48" s="181"/>
      <c r="H48" s="181">
        <f>H24/$B$24</f>
        <v>1.003323009644489</v>
      </c>
      <c r="I48" s="181"/>
      <c r="J48" s="181">
        <f>J24/$B$24</f>
        <v>1.0041042322584395</v>
      </c>
      <c r="K48" s="181"/>
      <c r="L48" s="181">
        <f>L24/$B$24</f>
        <v>1.0046765460755411</v>
      </c>
      <c r="M48" s="181"/>
      <c r="N48" s="181">
        <f>N24/$B$24</f>
        <v>1.005002192744626</v>
      </c>
      <c r="O48" s="181"/>
      <c r="P48" s="181">
        <f>P24/$B$24</f>
        <v>1.0050331659937652</v>
      </c>
      <c r="Q48" s="181"/>
      <c r="R48" s="181">
        <f>R24/$B$24</f>
        <v>1.0047073508165449</v>
      </c>
      <c r="S48" s="181"/>
      <c r="T48" s="181">
        <f>T24/$B$24</f>
        <v>1.0039427732446569</v>
      </c>
      <c r="U48" s="181"/>
      <c r="V48" s="181">
        <f>V24/$B$24</f>
        <v>1.0026285226058056</v>
      </c>
      <c r="W48" s="181"/>
      <c r="X48" s="181">
        <f>X24/$B$24</f>
        <v>1.0006100497380228</v>
      </c>
      <c r="Y48" s="181"/>
      <c r="Z48" s="181">
        <f>Z24/$B$24</f>
        <v>0.99766377922589278</v>
      </c>
      <c r="AA48" s="181"/>
      <c r="AB48" s="181">
        <f>AB24/$B$24</f>
        <v>0.99345044428976625</v>
      </c>
      <c r="AC48" s="181"/>
      <c r="AD48" s="181">
        <f>AD24/$B$24</f>
        <v>0.98742103181264895</v>
      </c>
      <c r="AE48" s="181"/>
      <c r="AF48" s="181">
        <f>AF24/$B$24</f>
        <v>0.97860638838810987</v>
      </c>
      <c r="AG48" s="181"/>
      <c r="AH48" s="181">
        <f>AH24/$B$24</f>
        <v>0.96507700767396176</v>
      </c>
      <c r="AI48" s="181"/>
      <c r="AJ48" s="181">
        <f>AJ24/$B$24</f>
        <v>0.94231929627708011</v>
      </c>
      <c r="AK48" s="181"/>
      <c r="AL48" s="181">
        <f>AL24/$B$24</f>
        <v>0.89740239952844292</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1.0032380144043707</v>
      </c>
      <c r="E49" s="181"/>
      <c r="F49" s="181">
        <f>F13/F35/$B$13*$B$35</f>
        <v>1.0062420168852493</v>
      </c>
      <c r="G49" s="181"/>
      <c r="H49" s="181">
        <f>H13/H35/$B$13*$B$35</f>
        <v>1.0089769475868875</v>
      </c>
      <c r="I49" s="181"/>
      <c r="J49" s="181">
        <f>J13/J35/$B$13*$B$35</f>
        <v>1.0113988537018554</v>
      </c>
      <c r="K49" s="181"/>
      <c r="L49" s="181">
        <f>L13/L35/$B$13*$B$35</f>
        <v>1.0134518779666366</v>
      </c>
      <c r="M49" s="181"/>
      <c r="N49" s="181">
        <f>N13/N35/$B$13*$B$35</f>
        <v>1.0150643347365356</v>
      </c>
      <c r="O49" s="181"/>
      <c r="P49" s="181">
        <f>P13/P35/$B$13*$B$35</f>
        <v>1.0161427298256989</v>
      </c>
      <c r="Q49" s="181"/>
      <c r="R49" s="181">
        <f>R13/R35/$B$13*$B$35</f>
        <v>1.0165631062869545</v>
      </c>
      <c r="S49" s="181"/>
      <c r="T49" s="181">
        <f>T13/T35/$B$13*$B$35</f>
        <v>1.0161578251140515</v>
      </c>
      <c r="U49" s="181"/>
      <c r="V49" s="181">
        <f>V13/V35/$B$13*$B$35</f>
        <v>1.014694879163019</v>
      </c>
      <c r="W49" s="181"/>
      <c r="X49" s="181">
        <f>X13/X35/$B$13*$B$35</f>
        <v>1.0118437030018075</v>
      </c>
      <c r="Y49" s="181"/>
      <c r="Z49" s="181">
        <f>Z13/Z35/$B$13*$B$35</f>
        <v>1.0071156632342895</v>
      </c>
      <c r="AA49" s="181"/>
      <c r="AB49" s="181">
        <f>AB13/AB35/$B$13*$B$35</f>
        <v>0.99975268016623742</v>
      </c>
      <c r="AC49" s="181"/>
      <c r="AD49" s="181">
        <f>AD13/AD35/$B$13*$B$35</f>
        <v>0.98849873618349537</v>
      </c>
      <c r="AE49" s="181"/>
      <c r="AF49" s="181">
        <f>AF13/AF35/$B$13*$B$35</f>
        <v>0.97107530052758928</v>
      </c>
      <c r="AG49" s="181"/>
      <c r="AH49" s="181">
        <f>AH13/AH35/$B$13*$B$35</f>
        <v>0.94281548736431886</v>
      </c>
      <c r="AI49" s="181"/>
      <c r="AJ49" s="181">
        <f>AJ13/AJ35/$B$13*$B$35</f>
        <v>0.89273554332205041</v>
      </c>
      <c r="AK49" s="181"/>
      <c r="AL49" s="181">
        <f>AL13/AL35/$B$13*$B$35</f>
        <v>0.79256083865553117</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-343203.9393165689</v>
      </c>
      <c r="F51" s="27">
        <f>F30-F10*F23</f>
        <v>-279658.80451387586</v>
      </c>
      <c r="H51" s="27">
        <f>H30-H10*H23</f>
        <v>-215023.03524915036</v>
      </c>
      <c r="J51" s="27">
        <f>J30-J10*J23</f>
        <v>-149077.76826397749</v>
      </c>
      <c r="L51" s="27">
        <f>L30-L10*L23</f>
        <v>-81550.879047937226</v>
      </c>
      <c r="N51" s="27">
        <f>N30-N10*N23</f>
        <v>-12100.722304563504</v>
      </c>
      <c r="P51" s="27">
        <f>P30-P10*P23</f>
        <v>59712.745381641202</v>
      </c>
      <c r="R51" s="27">
        <f>R30-R10*R23</f>
        <v>134471.54139960371</v>
      </c>
      <c r="T51" s="27">
        <f>T30-T10*T23</f>
        <v>212969.84471860761</v>
      </c>
      <c r="V51" s="27">
        <f>V30-V10*V23</f>
        <v>296335.33706899313</v>
      </c>
      <c r="X51" s="27">
        <f>X30-X10*X23</f>
        <v>386244.57734733168</v>
      </c>
      <c r="Z51" s="27">
        <f>Z30-Z10*Z23</f>
        <v>485332.07127323095</v>
      </c>
      <c r="AB51" s="27">
        <f>AB30-AB10*AB23</f>
        <v>598013.90195908444</v>
      </c>
      <c r="AD51" s="27">
        <f>AD30-AD10*AD23</f>
        <v>732259.6736881109</v>
      </c>
      <c r="AF51" s="27">
        <f>AF30-AF10*AF23</f>
        <v>903658.38267703867</v>
      </c>
      <c r="AH51" s="27">
        <f>AH30-AH10*AH23</f>
        <v>1145100.9451801702</v>
      </c>
      <c r="AJ51" s="27">
        <f>AJ30-AJ10*AJ23</f>
        <v>1528569.3997660773</v>
      </c>
      <c r="AL51" s="27">
        <f>AL30-AL10*AL23</f>
        <v>2205660.0474697729</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2083904.8860765537</v>
      </c>
      <c r="F52" s="27">
        <f t="array" ref="F52">Calibration!sL*SUM(F13:G13*F26:G26)</f>
        <v>2094525.2812482931</v>
      </c>
      <c r="H52" s="27">
        <f t="array" ref="H52">Calibration!sL*SUM(H13:I13*H26:I26)</f>
        <v>2104933.8500534869</v>
      </c>
      <c r="J52" s="27">
        <f t="array" ref="J52">Calibration!sL*SUM(J13:K13*J26:K26)</f>
        <v>2115105.6822253065</v>
      </c>
      <c r="L52" s="27">
        <f t="array" ref="L52">Calibration!sL*SUM(L13:M13*L26:M26)</f>
        <v>2125010.4118171935</v>
      </c>
      <c r="N52" s="27">
        <f t="array" ref="N52">Calibration!sL*SUM(N13:O13*N26:O26)</f>
        <v>2134611.318284764</v>
      </c>
      <c r="P52" s="27">
        <f t="array" ref="P52">Calibration!sL*SUM(P13:Q13*P26:Q26)</f>
        <v>2143864.3655563449</v>
      </c>
      <c r="R52" s="27">
        <f t="array" ref="R52">Calibration!sL*SUM(R13:S13*R26:S26)</f>
        <v>2152717.8733290327</v>
      </c>
      <c r="T52" s="27">
        <f t="array" ref="T52">Calibration!sL*SUM(T13:U13*T26:U26)</f>
        <v>2161113.4318646272</v>
      </c>
      <c r="V52" s="27">
        <f t="array" ref="V52">Calibration!sL*SUM(V13:W13*V26:W26)</f>
        <v>2168990.6498615113</v>
      </c>
      <c r="X52" s="27">
        <f t="array" ref="X52">Calibration!sL*SUM(X13:Y13*X26:Y26)</f>
        <v>2176299.7731467662</v>
      </c>
      <c r="Z52" s="27">
        <f t="array" ref="Z52">Calibration!sL*SUM(Z13:AA13*Z26:AA26)</f>
        <v>2183033.2177921366</v>
      </c>
      <c r="AB52" s="27">
        <f t="array" ref="AB52">Calibration!sL*SUM(AB13:AC13*AB26:AC26)</f>
        <v>2189300.529127209</v>
      </c>
      <c r="AD52" s="27">
        <f t="array" ref="AD52">Calibration!sL*SUM(AD13:AE13*AD26:AE26)</f>
        <v>2195503.9502671557</v>
      </c>
      <c r="AF52" s="27">
        <f t="array" ref="AF52">Calibration!sL*SUM(AF13:AG13*AF26:AG26)</f>
        <v>2202738.1133892634</v>
      </c>
      <c r="AH52" s="27">
        <f t="array" ref="AH52">Calibration!sL*SUM(AH13:AI13*AH26:AI26)</f>
        <v>2213571.3268838548</v>
      </c>
      <c r="AJ52" s="27">
        <f t="array" ref="AJ52">Calibration!sL*SUM(AJ13:AK13*AJ26:AK26)</f>
        <v>2232447.0908528939</v>
      </c>
      <c r="AL52" s="27">
        <f t="array" ref="AL52">Calibration!sL*SUM(AL13:AM13*AL26:AM26)</f>
        <v>2258363.5377435531</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2682145.1694719605</v>
      </c>
      <c r="F53" s="27">
        <f t="array" ref="F53">Calibration!sK*SUM(F15:G15*F27:G27)</f>
        <v>2646510.9947741604</v>
      </c>
      <c r="H53" s="27">
        <f t="array" ref="H53">Calibration!sK*SUM(H15:I15*H27:I27)</f>
        <v>2609806.9618608332</v>
      </c>
      <c r="J53" s="27">
        <f t="array" ref="J53">Calibration!sK*SUM(J15:K15*J27:K27)</f>
        <v>2571838.4741492728</v>
      </c>
      <c r="L53" s="27">
        <f t="array" ref="L53">Calibration!sK*SUM(L15:M15*L27:M27)</f>
        <v>2532365.3923313539</v>
      </c>
      <c r="N53" s="27">
        <f t="array" ref="N53">Calibration!sK*SUM(N15:O15*N27:O27)</f>
        <v>2491086.8537161141</v>
      </c>
      <c r="P53" s="27">
        <f t="array" ref="P53">Calibration!sK*SUM(P15:Q15*P27:Q27)</f>
        <v>2447619.3116599885</v>
      </c>
      <c r="R53" s="27">
        <f t="array" ref="R53">Calibration!sK*SUM(R15:S15*R27:S27)</f>
        <v>2401463.1701262821</v>
      </c>
      <c r="T53" s="27">
        <f t="array" ref="T53">Calibration!sK*SUM(T15:U15*T27:U27)</f>
        <v>2351950.8382396582</v>
      </c>
      <c r="V53" s="27">
        <f t="array" ref="V53">Calibration!sK*SUM(V15:W15*V27:W27)</f>
        <v>2298160.6303606341</v>
      </c>
      <c r="X53" s="27">
        <f t="array" ref="X53">Calibration!sK*SUM(X15:Y15*X27:Y27)</f>
        <v>2238768.7507062899</v>
      </c>
      <c r="Z53" s="27">
        <f t="array" ref="Z53">Calibration!sK*SUM(Z15:AA15*Z27:AA27)</f>
        <v>2171777.0589464982</v>
      </c>
      <c r="AB53" s="27">
        <f t="array" ref="AB53">Calibration!sK*SUM(AB15:AC15*AB27:AC27)</f>
        <v>2093978.3698067572</v>
      </c>
      <c r="AD53" s="27">
        <f t="array" ref="AD53">Calibration!sK*SUM(AD15:AE15*AD27:AE27)</f>
        <v>1999822.2715908524</v>
      </c>
      <c r="AF53" s="27">
        <f t="array" ref="AF53">Calibration!sK*SUM(AF15:AG15*AF27:AG27)</f>
        <v>1878810.6750072064</v>
      </c>
      <c r="AH53" s="27">
        <f t="array" ref="AH53">Calibration!sK*SUM(AH15:AI15*AH27:AI27)</f>
        <v>1709093.6755992214</v>
      </c>
      <c r="AJ53" s="27">
        <f t="array" ref="AJ53">Calibration!sK*SUM(AJ15:AK15*AJ27:AK27)</f>
        <v>1441484.3874148738</v>
      </c>
      <c r="AL53" s="27">
        <f t="array" ref="AL53">Calibration!sK*SUM(AL15:AM15*AL27:AM27)</f>
        <v>960347.7409237799</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0.20276110914348494</v>
      </c>
      <c r="F55" s="183">
        <f>F30/F32</f>
        <v>0.20707552307582511</v>
      </c>
      <c r="H55" s="183">
        <f>H30/H32</f>
        <v>0.21145984633111364</v>
      </c>
      <c r="J55" s="183">
        <f>J30/J32</f>
        <v>0.21593103310634562</v>
      </c>
      <c r="L55" s="183">
        <f>L30/L32</f>
        <v>0.22051023548471238</v>
      </c>
      <c r="N55" s="183">
        <f>N30/N32</f>
        <v>0.22522413994397916</v>
      </c>
      <c r="P55" s="183">
        <f>P30/P32</f>
        <v>0.23010727091720665</v>
      </c>
      <c r="R55" s="183">
        <f>R30/R32</f>
        <v>0.23520547203065265</v>
      </c>
      <c r="T55" s="183">
        <f>T30/T32</f>
        <v>0.24058149284315117</v>
      </c>
      <c r="V55" s="183">
        <f>V30/V32</f>
        <v>0.24632457324179269</v>
      </c>
      <c r="X55" s="183">
        <f>X30/X32</f>
        <v>0.25256738606872214</v>
      </c>
      <c r="Z55" s="183">
        <f>Z30/Z32</f>
        <v>0.25951808363045992</v>
      </c>
      <c r="AB55" s="183">
        <f>AB30/AB32</f>
        <v>0.26752477234711497</v>
      </c>
      <c r="AD55" s="183">
        <f>AD30/AD32</f>
        <v>0.27721491131141202</v>
      </c>
      <c r="AF55" s="183">
        <f>AF30/AF32</f>
        <v>0.28982018088550521</v>
      </c>
      <c r="AH55" s="183">
        <f>AH30/AH32</f>
        <v>0.30798236189258638</v>
      </c>
      <c r="AJ55" s="183">
        <f>AJ30/AJ32</f>
        <v>0.33779490977779186</v>
      </c>
      <c r="AL55" s="183">
        <f>AL30/AL32</f>
        <v>0.39437433570023211</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3.2780831539617611E-2</v>
      </c>
      <c r="F56" s="183">
        <f>(Model!$C$52*F5*F20+F2*G5*G20)/F32</f>
        <v>3.6386297360782728E-2</v>
      </c>
      <c r="H56" s="183">
        <f>(Model!$C$52*H5*H20+H2*I5*I20)/H32</f>
        <v>4.0049050234203784E-2</v>
      </c>
      <c r="J56" s="183">
        <f>(Model!$C$52*J5*J20+J2*K5*K20)/J32</f>
        <v>4.378306292938193E-2</v>
      </c>
      <c r="L56" s="183">
        <f>(Model!$C$52*L5*L20+L2*M5*M20)/L32</f>
        <v>4.7605777166242459E-2</v>
      </c>
      <c r="N56" s="183">
        <f>(Model!$C$52*N5*N20+N2*O5*O20)/N32</f>
        <v>5.1539180018083615E-2</v>
      </c>
      <c r="P56" s="183">
        <f>(Model!$C$52*P5*P20+P2*Q5*Q20)/P32</f>
        <v>5.5611710018223626E-2</v>
      </c>
      <c r="R56" s="183">
        <f>(Model!$C$52*R5*R20+R2*S5*S20)/R32</f>
        <v>5.9861107525963062E-2</v>
      </c>
      <c r="T56" s="183">
        <f>(Model!$C$52*T5*T20+T2*U5*U20)/T32</f>
        <v>6.4339003586526652E-2</v>
      </c>
      <c r="V56" s="183">
        <f>(Model!$C$52*V5*V20+V2*W5*W20)/V32</f>
        <v>6.9118752838894473E-2</v>
      </c>
      <c r="X56" s="183">
        <f>(Model!$C$52*X5*X20+X2*Y5*Y20)/X32</f>
        <v>7.4309296881242742E-2</v>
      </c>
      <c r="Z56" s="183">
        <f>(Model!$C$52*Z5*Z20+Z2*AA5*AA20)/Z32</f>
        <v>8.0081346527566252E-2</v>
      </c>
      <c r="AB56" s="183">
        <f>(Model!$C$52*AB5*AB20+AB2*AC5*AC20)/AB32</f>
        <v>8.672004991349079E-2</v>
      </c>
      <c r="AD56" s="183">
        <f>(Model!$C$52*AD5*AD20+AD2*AE5*AE20)/AD32</f>
        <v>9.4738749374983611E-2</v>
      </c>
      <c r="AF56" s="183">
        <f>(Model!$C$52*AF5*AF20+AF2*AG5*AG20)/AF32</f>
        <v>0.10514415792565331</v>
      </c>
      <c r="AH56" s="183">
        <f>(Model!$C$52*AH5*AH20+AH2*AI5*AI20)/AH32</f>
        <v>0.12009420192259133</v>
      </c>
      <c r="AJ56" s="183">
        <f>(Model!$C$52*AJ5*AJ20+AJ2*AK5*AK20)/AJ32</f>
        <v>0.14456603927550404</v>
      </c>
      <c r="AL56" s="183">
        <f>(Model!$C$52*AL5*AL20+AL2*AM5*AM20)/AL32</f>
        <v>0.19091470095162397</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0.15930420144475099</v>
      </c>
      <c r="F57" s="183">
        <f t="array" ref="F57">SUM(Model!tauL*F13:G13*F26:G26)/F32</f>
        <v>0.16008978502250742</v>
      </c>
      <c r="H57" s="183">
        <f t="array" ref="H57">SUM(Model!tauL*H13:I13*H26:I26)/H32</f>
        <v>0.16088809839706042</v>
      </c>
      <c r="J57" s="183">
        <f t="array" ref="J57">SUM(Model!tauL*J13:K13*J26:K26)/J32</f>
        <v>0.16170223294736216</v>
      </c>
      <c r="L57" s="183">
        <f t="array" ref="L57">SUM(Model!tauL*L13:M13*L26:M26)/L32</f>
        <v>0.16253603098745514</v>
      </c>
      <c r="N57" s="183">
        <f t="array" ref="N57">SUM(Model!tauL*N13:O13*N26:O26)/N32</f>
        <v>0.16339435563762003</v>
      </c>
      <c r="P57" s="183">
        <f t="array" ref="P57">SUM(Model!tauL*P13:Q13*P26:Q26)/P32</f>
        <v>0.16428349408601325</v>
      </c>
      <c r="R57" s="183">
        <f t="array" ref="R57">SUM(Model!tauL*R13:S13*R26:S26)/R32</f>
        <v>0.16521179659760601</v>
      </c>
      <c r="T57" s="183">
        <f t="array" ref="T57">SUM(Model!tauL*T13:U13*T26:U26)/T32</f>
        <v>0.16619068464924372</v>
      </c>
      <c r="V57" s="183">
        <f t="array" ref="V57">SUM(Model!tauL*V13:W13*V26:W26)/V32</f>
        <v>0.16723640789820488</v>
      </c>
      <c r="X57" s="183">
        <f t="array" ref="X57">SUM(Model!tauL*X13:Y13*X26:Y26)/X32</f>
        <v>0.16837312340877617</v>
      </c>
      <c r="Y57" s="183"/>
      <c r="Z57" s="183">
        <f t="array" ref="Z57">SUM(Model!tauL*Z13:AA13*Z26:AA26)/Z32</f>
        <v>0.16963873529773849</v>
      </c>
      <c r="AB57" s="183">
        <f t="array" ref="AB57">SUM(Model!tauL*AB13:AC13*AB26:AC26)/AB32</f>
        <v>0.17109662117733127</v>
      </c>
      <c r="AD57" s="183">
        <f t="array" ref="AD57">SUM(Model!tauL*AD13:AE13*AD26:AE26)/AD32</f>
        <v>0.17286104128336138</v>
      </c>
      <c r="AF57" s="183">
        <f t="array" ref="AF57">SUM(Model!tauL*AF13:AG13*AF26:AG26)/AF32</f>
        <v>0.17515625860729961</v>
      </c>
      <c r="AH57" s="183">
        <f t="array" ref="AH57">SUM(Model!tauL*AH13:AI13*AH26:AI26)/AH32</f>
        <v>0.17846329982193707</v>
      </c>
      <c r="AJ57" s="183">
        <f t="array" ref="AJ57">SUM(Model!tauL*AJ13:AK13*AJ26:AK26)/AJ32</f>
        <v>0.18389168510845483</v>
      </c>
      <c r="AL57" s="183">
        <f t="array" ref="AL57">SUM(Model!tauL*AL13:AM13*AL26:AM26)/AL32</f>
        <v>0.19419388823661266</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1.0676076159116308E-2</v>
      </c>
      <c r="F58" s="183">
        <f t="array" ref="F58">SUM(Model!tauY/(1+Model!tauY)*F3:G3*F18:G18)/F32</f>
        <v>1.0599440692534951E-2</v>
      </c>
      <c r="H58" s="183">
        <f t="array" ref="H58">SUM(Model!tauY/(1+Model!tauY)*H3:I3*H18:I18)/H32</f>
        <v>1.0522697699849442E-2</v>
      </c>
      <c r="J58" s="183">
        <f t="array" ref="J58">SUM(Model!tauY/(1+Model!tauY)*J3:K3*J18:K18)/J32</f>
        <v>1.0445737229601506E-2</v>
      </c>
      <c r="L58" s="183">
        <f t="array" ref="L58">SUM(Model!tauY/(1+Model!tauY)*L3:M3*L18:M18)/L32</f>
        <v>1.0368427331014739E-2</v>
      </c>
      <c r="N58" s="183">
        <f t="array" ref="N58">SUM(Model!tauY/(1+Model!tauY)*N3:O3*N18:O18)/N32</f>
        <v>1.0290604288275548E-2</v>
      </c>
      <c r="P58" s="183">
        <f t="array" ref="P58">SUM(Model!tauY/(1+Model!tauY)*P3:Q3*P18:Q18)/P32</f>
        <v>1.0212066812969755E-2</v>
      </c>
      <c r="R58" s="183">
        <f t="array" ref="R58">SUM(Model!tauY/(1+Model!tauY)*R3:S3*R18:S18)/R32</f>
        <v>1.0132567907083575E-2</v>
      </c>
      <c r="T58" s="183">
        <f t="array" ref="T58">SUM(Model!tauY/(1+Model!tauY)*T3:U3*T18:U18)/T32</f>
        <v>1.0051804607380817E-2</v>
      </c>
      <c r="V58" s="183">
        <f t="array" ref="V58">SUM(Model!tauY/(1+Model!tauY)*V3:W3*V18:W18)/V32</f>
        <v>9.9694125046933327E-3</v>
      </c>
      <c r="X58" s="183">
        <f t="array" ref="X58">SUM(Model!tauY/(1+Model!tauY)*X3:Y3*X18:Y18)/X32</f>
        <v>9.8849657787032398E-3</v>
      </c>
      <c r="Y58" s="183"/>
      <c r="Z58" s="183">
        <f t="array" ref="Z58">SUM(Model!tauY/(1+Model!tauY)*Z3:AA3*Z18:AA18)/Z32</f>
        <v>9.7980018051551914E-3</v>
      </c>
      <c r="AB58" s="183">
        <f t="array" ref="AB58">SUM(Model!tauY/(1+Model!tauY)*AB3:AC3*AB18:AC18)/AB32</f>
        <v>9.708101256292909E-3</v>
      </c>
      <c r="AD58" s="183">
        <f t="array" ref="AD58">SUM(Model!tauY/(1+Model!tauY)*AD3:AE3*AD18:AE18)/AD32</f>
        <v>9.6151206530670809E-3</v>
      </c>
      <c r="AF58" s="183">
        <f t="array" ref="AF58">SUM(Model!tauY/(1+Model!tauY)*AF3:AG3*AF18:AG18)/AF32</f>
        <v>9.5197643525522704E-3</v>
      </c>
      <c r="AH58" s="183">
        <f t="array" ref="AH58">SUM(Model!tauY/(1+Model!tauY)*AH3:AI3*AH18:AI18)/AH32</f>
        <v>9.4248601480579671E-3</v>
      </c>
      <c r="AJ58" s="183">
        <f t="array" ref="AJ58">SUM(Model!tauY/(1+Model!tauY)*AJ3:AK3*AJ18:AK18)/AJ32</f>
        <v>9.3371853938330595E-3</v>
      </c>
      <c r="AL58" s="183">
        <f t="array" ref="AL58">SUM(Model!tauY/(1+Model!tauY)*AL3:AM3*AL18:AM18)/AL32</f>
        <v>9.2657465119954999E-3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4.1428461249285141E-3</v>
      </c>
      <c r="F59" s="183">
        <f>(F2*G5*G20)/F32</f>
        <v>7.779080958653554E-3</v>
      </c>
      <c r="H59" s="183">
        <f>(H2*I5*I20)/H32</f>
        <v>1.147183391618488E-2</v>
      </c>
      <c r="J59" s="183">
        <f>(J2*K5*K20)/J32</f>
        <v>1.5235006330630742E-2</v>
      </c>
      <c r="L59" s="183">
        <f>(L2*M5*M20)/L32</f>
        <v>1.9085952066508757E-2</v>
      </c>
      <c r="N59" s="183">
        <f>(N2*O5*O20)/N32</f>
        <v>2.3046550453621559E-2</v>
      </c>
      <c r="P59" s="183">
        <f>(P2*Q5*Q20)/P32</f>
        <v>2.7145106814209934E-2</v>
      </c>
      <c r="R59" s="183">
        <f>(R2*S5*S20)/R32</f>
        <v>3.1419195990455881E-2</v>
      </c>
      <c r="T59" s="183">
        <f>(T2*U5*U20)/T32</f>
        <v>3.5920243811463193E-2</v>
      </c>
      <c r="V59" s="183">
        <f>(V2*W5*W20)/V32</f>
        <v>4.0721351549226563E-2</v>
      </c>
      <c r="X59" s="183">
        <f>(X2*Y5*Y20)/X32</f>
        <v>4.5931154869565137E-2</v>
      </c>
      <c r="Z59" s="183">
        <f>(Z2*AA5*AA20)/Z32</f>
        <v>5.1720014571141941E-2</v>
      </c>
      <c r="AB59" s="183">
        <f>(AB2*AC5*AC20)/AB32</f>
        <v>5.8372736578431998E-2</v>
      </c>
      <c r="AD59" s="183">
        <f>(AD2*AE5*AE20)/AD32</f>
        <v>6.6402496817178649E-2</v>
      </c>
      <c r="AF59" s="183">
        <f>(AF2*AG5*AG20)/AF32</f>
        <v>7.6816509657241835E-2</v>
      </c>
      <c r="AH59" s="183">
        <f>(AH2*AI5*AI20)/AH32</f>
        <v>9.1775093042505904E-2</v>
      </c>
      <c r="AJ59" s="183">
        <f>(AJ2*AK5*AK20)/AJ32</f>
        <v>0.11626145837080436</v>
      </c>
      <c r="AL59" s="183">
        <f>(AL2*AM5*AM20)/AL32</f>
        <v>0.16263646740125806</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2.8637985414689097E-2</v>
      </c>
      <c r="F60" s="183">
        <f>Model!$C$52*F5*F20/F32</f>
        <v>2.8607216402129178E-2</v>
      </c>
      <c r="H60" s="183">
        <f>Model!$C$52*H5*H20/H32</f>
        <v>2.8577216318018898E-2</v>
      </c>
      <c r="J60" s="183">
        <f>Model!$C$52*J5*J20/J32</f>
        <v>2.8548056598751186E-2</v>
      </c>
      <c r="L60" s="183">
        <f>Model!$C$52*L5*L20/L32</f>
        <v>2.8519825099733706E-2</v>
      </c>
      <c r="N60" s="183">
        <f>Model!$C$52*N5*N20/N32</f>
        <v>2.8492629564462059E-2</v>
      </c>
      <c r="P60" s="183">
        <f>Model!$C$52*P5*P20/P32</f>
        <v>2.8466603204013695E-2</v>
      </c>
      <c r="R60" s="183">
        <f>Model!$C$52*R5*R20/R32</f>
        <v>2.8441911535507184E-2</v>
      </c>
      <c r="T60" s="183">
        <f>Model!$C$52*T5*T20/T32</f>
        <v>2.8418759775063456E-2</v>
      </c>
      <c r="V60" s="183">
        <f>Model!$C$52*V5*V20/V32</f>
        <v>2.8397401289667914E-2</v>
      </c>
      <c r="X60" s="183">
        <f>Model!$C$52*X5*X20/X32</f>
        <v>2.8378142011677591E-2</v>
      </c>
      <c r="Z60" s="183">
        <f>Model!$C$52*Z5*Z20/Z32</f>
        <v>2.8361331956424318E-2</v>
      </c>
      <c r="AB60" s="183">
        <f>Model!$C$52*AB5*AB20/AB32</f>
        <v>2.8347313335058782E-2</v>
      </c>
      <c r="AD60" s="183">
        <f>Model!$C$52*AD5*AD20/AD32</f>
        <v>2.8336252557804947E-2</v>
      </c>
      <c r="AF60" s="183">
        <f>Model!$C$52*AF5*AF20/AF32</f>
        <v>2.8327648268411464E-2</v>
      </c>
      <c r="AH60" s="183">
        <f>Model!$C$52*AH5*AH20/AH32</f>
        <v>2.8319108880085427E-2</v>
      </c>
      <c r="AJ60" s="183">
        <f>Model!$C$52*AJ5*AJ20/AJ32</f>
        <v>2.8304580904699689E-2</v>
      </c>
      <c r="AL60" s="183">
        <f>Model!$C$52*AL5*AL20/AL32</f>
        <v>2.8278233550365909E-2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1.0182291658871387</v>
      </c>
      <c r="F62">
        <f>F13/F15</f>
        <v>1.0371983680460741</v>
      </c>
      <c r="H62">
        <f>H13/H15</f>
        <v>1.0570121712560949</v>
      </c>
      <c r="J62">
        <f>J13/J15</f>
        <v>1.0778003064340296</v>
      </c>
      <c r="L62">
        <f>L13/L15</f>
        <v>1.0997263014005796</v>
      </c>
      <c r="N62">
        <f>N13/N15</f>
        <v>1.1230002614802288</v>
      </c>
      <c r="P62">
        <f>P13/P15</f>
        <v>1.147898144532286</v>
      </c>
      <c r="R62">
        <f>R13/R15</f>
        <v>1.174792338912775</v>
      </c>
      <c r="T62">
        <f>T13/T15</f>
        <v>1.2042017179245084</v>
      </c>
      <c r="V62">
        <f>V13/V15</f>
        <v>1.2368790077586183</v>
      </c>
      <c r="X62">
        <f>X13/X15</f>
        <v>1.2739705831115662</v>
      </c>
      <c r="Z62">
        <f>Z13/Z15</f>
        <v>1.3173313372724722</v>
      </c>
      <c r="AB62">
        <f>AB13/AB15</f>
        <v>1.3701973119945283</v>
      </c>
      <c r="AD62">
        <f>AD13/AD15</f>
        <v>1.4387745310577469</v>
      </c>
      <c r="AF62">
        <f>AF13/AF15</f>
        <v>1.5364901030237321</v>
      </c>
      <c r="AH62">
        <f>AH13/AH15</f>
        <v>1.6973741081028686</v>
      </c>
      <c r="AJ62">
        <f>AJ13/AJ15</f>
        <v>2.0296499915659507</v>
      </c>
      <c r="AL62">
        <f>AL13/AL15</f>
        <v>3.0818766587865776</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0.99915860662645495</v>
      </c>
      <c r="E65" s="181"/>
      <c r="F65" s="181">
        <f t="array" ref="F65">SQRT((F9:G9*$B$22:$C$22+F10:G10*$B$23:$C$23+F11:G11*$B$24:$C$24+F4:G4*($B$25:$C$25-$B$19:$C$19))/($B$9:$C$9*$B$22:$C$22+$B$10:$C$10*$B$23:$C$23+$B$11:$C$11*$B$24:$C$24+$B$4:$C$4*($B$25:$C$25-$B$19:$C$19))*(F9:G9*F22:G22+F10:G10*F23:G23+F11:G11*F24:G24+F4:G4*(F25:G25-F19:G19))/($B$9:$C$9*F22:G22+$B$10:$C$10*F23:G23+$B$11:$C$11*F24:G24+$B$4:$C$4*(F25:G25-F19:G19)))</f>
        <v>0.99829791331630435</v>
      </c>
      <c r="G65" s="181"/>
      <c r="H65" s="181">
        <f t="array" ref="H65">SQRT((H9:I9*$B$22:$C$22+H10:I10*$B$23:$C$23+H11:I11*$B$24:$C$24+H4:I4*($B$25:$C$25-$B$19:$C$19))/($B$9:$C$9*$B$22:$C$22+$B$10:$C$10*$B$23:$C$23+$B$11:$C$11*$B$24:$C$24+$B$4:$C$4*($B$25:$C$25-$B$19:$C$19))*(H9:I9*H22:I22+H10:I10*H23:I23+H11:I11*H24:I24+H4:I4*(H25:I25-H19:I19))/($B$9:$C$9*H22:I22+$B$10:$C$10*H23:I23+$B$11:$C$11*H24:I24+$B$4:$C$4*(H25:I25-H19:I19)))</f>
        <v>0.99741473075687381</v>
      </c>
      <c r="I65" s="181"/>
      <c r="J65" s="181">
        <f t="array" ref="J65">SQRT((J9:K9*$B$22:$C$22+J10:K10*$B$23:$C$23+J11:K11*$B$24:$C$24+J4:K4*($B$25:$C$25-$B$19:$C$19))/($B$9:$C$9*$B$22:$C$22+$B$10:$C$10*$B$23:$C$23+$B$11:$C$11*$B$24:$C$24+$B$4:$C$4*($B$25:$C$25-$B$19:$C$19))*(J9:K9*J22:K22+J10:K10*J23:K23+J11:K11*J24:K24+J4:K4*(J25:K25-J19:K19))/($B$9:$C$9*J22:K22+$B$10:$C$10*J23:K23+$B$11:$C$11*J24:K24+$B$4:$C$4*(J25:K25-J19:K19)))</f>
        <v>0.99650520522549202</v>
      </c>
      <c r="K65" s="181"/>
      <c r="L65" s="181">
        <f t="array" ref="L65">SQRT((L9:M9*$B$22:$C$22+L10:M10*$B$23:$C$23+L11:M11*$B$24:$C$24+L4:M4*($B$25:$C$25-$B$19:$C$19))/($B$9:$C$9*$B$22:$C$22+$B$10:$C$10*$B$23:$C$23+$B$11:$C$11*$B$24:$C$24+$B$4:$C$4*($B$25:$C$25-$B$19:$C$19))*(L9:M9*L22:M22+L10:M10*L23:M23+L11:M11*L24:M24+L4:M4*(L25:M25-L19:M19))/($B$9:$C$9*L22:M22+$B$10:$C$10*L23:M23+$B$11:$C$11*L24:M24+$B$4:$C$4*(L25:M25-L19:M19)))</f>
        <v>0.99556475168502767</v>
      </c>
      <c r="M65" s="181"/>
      <c r="N65" s="181">
        <f t="array" ref="N65">SQRT((N9:O9*$B$22:$C$22+N10:O10*$B$23:$C$23+N11:O11*$B$24:$C$24+N4:O4*($B$25:$C$25-$B$19:$C$19))/($B$9:$C$9*$B$22:$C$22+$B$10:$C$10*$B$23:$C$23+$B$11:$C$11*$B$24:$C$24+$B$4:$C$4*($B$25:$C$25-$B$19:$C$19))*(N9:O9*N22:O22+N10:O10*N23:O23+N11:O11*N24:O24+N4:O4*(N25:O25-N19:O19))/($B$9:$C$9*N22:O22+$B$10:$C$10*N23:O23+$B$11:$C$11*N24:O24+$B$4:$C$4*(N25:O25-N19:O19)))</f>
        <v>0.99458797050344783</v>
      </c>
      <c r="O65" s="181"/>
      <c r="P65" s="181">
        <f t="array" ref="P65">SQRT((P9:Q9*$B$22:$C$22+P10:Q10*$B$23:$C$23+P11:Q11*$B$24:$C$24+P4:Q4*($B$25:$C$25-$B$19:$C$19))/($B$9:$C$9*$B$22:$C$22+$B$10:$C$10*$B$23:$C$23+$B$11:$C$11*$B$24:$C$24+$B$4:$C$4*($B$25:$C$25-$B$19:$C$19))*(P9:Q9*P22:Q22+P10:Q10*P23:Q23+P11:Q11*P24:Q24+P4:Q4*(P25:Q25-P19:Q19))/($B$9:$C$9*P22:Q22+$B$10:$C$10*P23:Q23+$B$11:$C$11*P24:Q24+$B$4:$C$4*(P25:Q25-P19:Q19)))</f>
        <v>0.99356869753039945</v>
      </c>
      <c r="Q65" s="181"/>
      <c r="R65" s="181">
        <f t="array" ref="R65">SQRT((R9:S9*$B$22:$C$22+R10:S10*$B$23:$C$23+R11:S11*$B$24:$C$24+R4:S4*($B$25:$C$25-$B$19:$C$19))/($B$9:$C$9*$B$22:$C$22+$B$10:$C$10*$B$23:$C$23+$B$11:$C$11*$B$24:$C$24+$B$4:$C$4*($B$25:$C$25-$B$19:$C$19))*(R9:S9*R22:S22+R10:S10*R23:S23+R11:S11*R24:S24+R4:S4*(R25:S25-R19:S19))/($B$9:$C$9*R22:S22+$B$10:$C$10*R23:S23+$B$11:$C$11*R24:S24+$B$4:$C$4*(R25:S25-R19:S19)))</f>
        <v>0.99250024073356569</v>
      </c>
      <c r="S65" s="181"/>
      <c r="T65" s="181">
        <f t="array" ref="T65">SQRT((T9:U9*$B$22:$C$22+T10:U10*$B$23:$C$23+T11:U11*$B$24:$C$24+T4:U4*($B$25:$C$25-$B$19:$C$19))/($B$9:$C$9*$B$22:$C$22+$B$10:$C$10*$B$23:$C$23+$B$11:$C$11*$B$24:$C$24+$B$4:$C$4*($B$25:$C$25-$B$19:$C$19))*(T9:U9*T22:U22+T10:U10*T23:U23+T11:U11*T24:U24+T4:U4*(T25:U25-T19:U19))/($B$9:$C$9*T22:U22+$B$10:$C$10*T23:U23+$B$11:$C$11*T24:U24+$B$4:$C$4*(T25:U25-T19:U19)))</f>
        <v>0.9913760504108543</v>
      </c>
      <c r="U65" s="181"/>
      <c r="V65" s="181">
        <f t="array" ref="V65">SQRT((V9:W9*$B$22:$C$22+V10:W10*$B$23:$C$23+V11:W11*$B$24:$C$24+V4:W4*($B$25:$C$25-$B$19:$C$19))/($B$9:$C$9*$B$22:$C$22+$B$10:$C$10*$B$23:$C$23+$B$11:$C$11*$B$24:$C$24+$B$4:$C$4*($B$25:$C$25-$B$19:$C$19))*(V9:W9*V22:W22+V10:W10*V23:W23+V11:W11*V24:W24+V4:W4*(V25:W25-V19:W19))/($B$9:$C$9*V22:W22+$B$10:$C$10*V23:W23+$B$11:$C$11*V24:W24+$B$4:$C$4*(V25:W25-V19:W19)))</f>
        <v>0.99019130992721593</v>
      </c>
      <c r="W65" s="181"/>
      <c r="X65" s="181">
        <f t="array" ref="X65">SQRT((X9:Y9*$B$22:$C$22+X10:Y10*$B$23:$C$23+X11:Y11*$B$24:$C$24+X4:Y4*($B$25:$C$25-$B$19:$C$19))/($B$9:$C$9*$B$22:$C$22+$B$10:$C$10*$B$23:$C$23+$B$11:$C$11*$B$24:$C$24+$B$4:$C$4*($B$25:$C$25-$B$19:$C$19))*(X9:Y9*X22:Y22+X10:Y10*X23:Y23+X11:Y11*X24:Y24+X4:Y4*(X25:Y25-X19:Y19))/($B$9:$C$9*X22:Y22+$B$10:$C$10*X23:Y23+$B$11:$C$11*X24:Y24+$B$4:$C$4*(X25:Y25-X19:Y19)))</f>
        <v>0.98894645693474714</v>
      </c>
      <c r="Y65" s="181"/>
      <c r="Z65" s="181">
        <f t="array" ref="Z65">SQRT((Z9:AA9*$B$22:$C$22+Z10:AA10*$B$23:$C$23+Z11:AA11*$B$24:$C$24+Z4:AA4*($B$25:$C$25-$B$19:$C$19))/($B$9:$C$9*$B$22:$C$22+$B$10:$C$10*$B$23:$C$23+$B$11:$C$11*$B$24:$C$24+$B$4:$C$4*($B$25:$C$25-$B$19:$C$19))*(Z9:AA9*Z22:AA22+Z10:AA10*Z23:AA23+Z11:AA11*Z24:AA24+Z4:AA4*(Z25:AA25-Z19:AA19))/($B$9:$C$9*Z22:AA22+$B$10:$C$10*Z23:AA23+$B$11:$C$11*Z24:AA24+$B$4:$C$4*(Z25:AA25-Z19:AA19)))</f>
        <v>0.98765483717797209</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0.98635942072450711</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0.98516971464488157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0.98434335385032046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0.9844509863004578</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0.9865663975815101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0.99180203275151968</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0.99907501827651657</v>
      </c>
      <c r="E66" s="181"/>
      <c r="F66" s="181">
        <f t="array" ref="F66">SQRT((F9:G9*$B$22:$C$22)/($B$9:$C$9*$B$22:$C$22)*(F9:G9*F22:G22)/($B$9:$C$9*F22:G22))</f>
        <v>0.99812825767693325</v>
      </c>
      <c r="G66" s="181"/>
      <c r="H66" s="181">
        <f t="array" ref="H66">SQRT((H9:I9*$B$22:$C$22)/($B$9:$C$9*$B$22:$C$22)*(H9:I9*H22:I22)/($B$9:$C$9*H22:I22))</f>
        <v>0.99715616329123702</v>
      </c>
      <c r="I66" s="181"/>
      <c r="J66" s="181">
        <f t="array" ref="J66">SQRT((J9:K9*$B$22:$C$22)/($B$9:$C$9*$B$22:$C$22)*(J9:K9*J22:K22)/($B$9:$C$9*J22:K22))</f>
        <v>0.99615443690660999</v>
      </c>
      <c r="K66" s="181"/>
      <c r="L66" s="181">
        <f t="array" ref="L66">SQRT((L9:M9*$B$22:$C$22)/($B$9:$C$9*$B$22:$C$22)*(L9:M9*L22:M22)/($B$9:$C$9*L22:M22))</f>
        <v>0.99511795973836059</v>
      </c>
      <c r="M66" s="181"/>
      <c r="N66" s="181">
        <f t="array" ref="N66">SQRT((N9:O9*$B$22:$C$22)/($B$9:$C$9*$B$22:$C$22)*(N9:O9*N22:O22)/($B$9:$C$9*N22:O22))</f>
        <v>0.99404069627160629</v>
      </c>
      <c r="O66" s="181"/>
      <c r="P66" s="181">
        <f t="array" ref="P66">SQRT((P9:Q9*$B$22:$C$22)/($B$9:$C$9*$B$22:$C$22)*(P9:Q9*P22:Q22)/($B$9:$C$9*P22:Q22))</f>
        <v>0.99291574435916907</v>
      </c>
      <c r="Q66" s="181"/>
      <c r="R66" s="181">
        <f t="array" ref="R66">SQRT((R9:S9*$B$22:$C$22)/($B$9:$C$9*$B$22:$C$22)*(R9:S9*R22:S22)/($B$9:$C$9*R22:S22))</f>
        <v>0.99173559100595166</v>
      </c>
      <c r="S66" s="181"/>
      <c r="T66" s="181">
        <f t="array" ref="T66">SQRT((T9:U9*$B$22:$C$22)/($B$9:$C$9*$B$22:$C$22)*(T9:U9*T22:U22)/($B$9:$C$9*T22:U22))</f>
        <v>0.99049284832348983</v>
      </c>
      <c r="U66" s="181"/>
      <c r="V66" s="181">
        <f t="array" ref="V66">SQRT((V9:W9*$B$22:$C$22)/($B$9:$C$9*$B$22:$C$22)*(V9:W9*V22:W22)/($B$9:$C$9*V22:W22))</f>
        <v>0.98918201228321989</v>
      </c>
      <c r="W66" s="181"/>
      <c r="X66" s="181">
        <f t="array" ref="X66">SQRT((X9:Y9*$B$22:$C$22)/($B$9:$C$9*$B$22:$C$22)*(X9:Y9*X22:Y22)/($B$9:$C$9*X22:Y22))</f>
        <v>0.98780337201519208</v>
      </c>
      <c r="Y66" s="181"/>
      <c r="Z66" s="181">
        <f t="array" ref="Z66">SQRT((Z9:AA9*$B$22:$C$22)/($B$9:$C$9*$B$22:$C$22)*(Z9:AA9*Z22:AA22)/($B$9:$C$9*Z22:AA22))</f>
        <v>0.98637153186100335</v>
      </c>
      <c r="AA66" s="181"/>
      <c r="AB66" s="181">
        <f t="array" ref="AB66">SQRT((AB9:AC9*$B$22:$C$22)/($B$9:$C$9*$B$22:$C$22)*(AB9:AC9*AB22:AC22)/($B$9:$C$9*AB22:AC22))</f>
        <v>0.98493406213239298</v>
      </c>
      <c r="AC66" s="181"/>
      <c r="AD66" s="181">
        <f t="array" ref="AD66">SQRT((AD9:AE9*$B$22:$C$22)/($B$9:$C$9*$B$22:$C$22)*(AD9:AE9*AD22:AE22)/($B$9:$C$9*AD22:AE22))</f>
        <v>0.98361273074479627</v>
      </c>
      <c r="AE66" s="181"/>
      <c r="AF66" s="181">
        <f t="array" ref="AF66">SQRT((AF9:AG9*$B$22:$C$22)/($B$9:$C$9*$B$22:$C$22)*(AF9:AG9*AF22:AG22)/($B$9:$C$9*AF22:AG22))</f>
        <v>0.98269461516901402</v>
      </c>
      <c r="AG66" s="181"/>
      <c r="AH66" s="181">
        <f t="array" ref="AH66">SQRT((AH9:AI9*$B$22:$C$22)/($B$9:$C$9*$B$22:$C$22)*(AH9:AI9*AH22:AI22)/($B$9:$C$9*AH22:AI22))</f>
        <v>0.98281561766313275</v>
      </c>
      <c r="AI66" s="181"/>
      <c r="AJ66" s="181">
        <f t="array" ref="AJ66">SQRT((AJ9:AK9*$B$22:$C$22)/($B$9:$C$9*$B$22:$C$22)*(AJ9:AK9*AJ22:AK22)/($B$9:$C$9*AJ22:AK22))</f>
        <v>0.98516826668746749</v>
      </c>
      <c r="AK66" s="181"/>
      <c r="AL66" s="181">
        <f t="array" ref="AL66">SQRT((AL9:AM9*$B$22:$C$22)/($B$9:$C$9*$B$22:$C$22)*(AL9:AM9*AL22:AM22)/($B$9:$C$9*AL22:AM22))</f>
        <v>0.99096995136462851</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0.99907501827651657</v>
      </c>
      <c r="E68" s="181"/>
      <c r="F68" s="181">
        <f>F66/F67</f>
        <v>0.99812825767693325</v>
      </c>
      <c r="G68" s="181"/>
      <c r="H68" s="181">
        <f>H66/H67</f>
        <v>0.99715616329123702</v>
      </c>
      <c r="I68" s="181"/>
      <c r="J68" s="181">
        <f>J66/J67</f>
        <v>0.99615443690660999</v>
      </c>
      <c r="K68" s="181"/>
      <c r="L68" s="181">
        <f>L66/L67</f>
        <v>0.99511795973836059</v>
      </c>
      <c r="M68" s="181"/>
      <c r="N68" s="181">
        <f>N66/N67</f>
        <v>0.99404069627160629</v>
      </c>
      <c r="O68" s="181"/>
      <c r="P68" s="181">
        <f>P66/P67</f>
        <v>0.99291574435916907</v>
      </c>
      <c r="Q68" s="181"/>
      <c r="R68" s="181">
        <f>R66/R67</f>
        <v>0.99173559100595166</v>
      </c>
      <c r="S68" s="181"/>
      <c r="T68" s="181">
        <f>T66/T67</f>
        <v>0.99049284832348983</v>
      </c>
      <c r="U68" s="181"/>
      <c r="V68" s="181">
        <f>V66/V67</f>
        <v>0.98918201228321989</v>
      </c>
      <c r="W68" s="181"/>
      <c r="X68" s="181">
        <f>X66/X67</f>
        <v>0.98780337201519208</v>
      </c>
      <c r="Y68" s="181"/>
      <c r="Z68" s="181">
        <f>Z66/Z67</f>
        <v>0.98637153186100335</v>
      </c>
      <c r="AA68" s="181"/>
      <c r="AB68" s="181">
        <f>AB66/AB67</f>
        <v>0.98493406213239298</v>
      </c>
      <c r="AC68" s="181"/>
      <c r="AD68" s="181">
        <f>AD66/AD67</f>
        <v>0.98361273074479627</v>
      </c>
      <c r="AE68" s="181"/>
      <c r="AF68" s="181">
        <f>AF66/AF67</f>
        <v>0.98269461516901402</v>
      </c>
      <c r="AG68" s="181"/>
      <c r="AH68" s="181">
        <f>AH66/AH67</f>
        <v>0.98281561766313275</v>
      </c>
      <c r="AI68" s="181"/>
      <c r="AJ68" s="181">
        <f>AJ66/AJ67</f>
        <v>0.98516826668746749</v>
      </c>
      <c r="AK68" s="181"/>
      <c r="AL68" s="181">
        <f>AL66/AL67</f>
        <v>0.99096995136462851</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1.0011649703796801</v>
      </c>
      <c r="E69" s="181"/>
      <c r="F69" s="181">
        <f>F32/F65/($B$32)</f>
        <v>1.0021927077530772</v>
      </c>
      <c r="G69" s="181"/>
      <c r="H69" s="181">
        <f>H32/H65/($B$32)</f>
        <v>1.0030629101434045</v>
      </c>
      <c r="I69" s="181"/>
      <c r="J69" s="181">
        <f>J32/J65/($B$32)</f>
        <v>1.003750789022972</v>
      </c>
      <c r="K69" s="181"/>
      <c r="L69" s="181">
        <f>L32/L65/($B$32)</f>
        <v>1.0042256649559307</v>
      </c>
      <c r="M69" s="181"/>
      <c r="N69" s="181">
        <f>N32/N65/($B$32)</f>
        <v>1.0044491881336675</v>
      </c>
      <c r="O69" s="181"/>
      <c r="P69" s="181">
        <f>P32/P65/($B$32)</f>
        <v>1.0043726786980134</v>
      </c>
      <c r="Q69" s="181"/>
      <c r="R69" s="181">
        <f>R32/R65/($B$32)</f>
        <v>1.0039332964741086</v>
      </c>
      <c r="S69" s="181"/>
      <c r="T69" s="181">
        <f>T32/T65/($B$32)</f>
        <v>1.0030483756949644</v>
      </c>
      <c r="U69" s="181"/>
      <c r="V69" s="181">
        <f>V32/V65/($B$32)</f>
        <v>1.0016065477840919</v>
      </c>
      <c r="W69" s="181"/>
      <c r="X69" s="181">
        <f>X32/X65/($B$32)</f>
        <v>0.9994534833481723</v>
      </c>
      <c r="Y69" s="181"/>
      <c r="Z69" s="181">
        <f>Z32/Z65/($B$32)</f>
        <v>0.9963674686834969</v>
      </c>
      <c r="AA69" s="181"/>
      <c r="AB69" s="181">
        <f>AB32/AB65/($B$32)</f>
        <v>0.99201483854812966</v>
      </c>
      <c r="AC69" s="181"/>
      <c r="AD69" s="181">
        <f>AD32/AD65/($B$32)</f>
        <v>0.98586048989755981</v>
      </c>
      <c r="AE69" s="181"/>
      <c r="AF69" s="181">
        <f>AF32/AF65/($B$32)</f>
        <v>0.97696725887186142</v>
      </c>
      <c r="AG69" s="181"/>
      <c r="AH69" s="181">
        <f>AH32/AH65/($B$32)</f>
        <v>0.96347382306882812</v>
      </c>
      <c r="AI69" s="181"/>
      <c r="AJ69" s="181">
        <f>AJ32/AJ65/($B$32)</f>
        <v>0.94098387098392544</v>
      </c>
      <c r="AK69" s="181"/>
      <c r="AL69" s="181">
        <f>AL32/AL65/($B$32)</f>
        <v>0.89664951557727834</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1.0005197978775098</v>
      </c>
      <c r="E70" s="129"/>
      <c r="F70" s="129">
        <f>F18/$B$18</f>
        <v>1.0009372726800483</v>
      </c>
      <c r="G70" s="129"/>
      <c r="H70" s="129">
        <f>H18/$B$18</f>
        <v>1.0012364722838605</v>
      </c>
      <c r="I70" s="129"/>
      <c r="J70" s="129">
        <f>J18/$B$18</f>
        <v>1.0013978321492949</v>
      </c>
      <c r="K70" s="129"/>
      <c r="L70" s="129">
        <f>L18/$B$18</f>
        <v>1.0013969587943417</v>
      </c>
      <c r="M70" s="129"/>
      <c r="N70" s="129">
        <f>N18/$B$18</f>
        <v>1.0012030313409472</v>
      </c>
      <c r="O70" s="129"/>
      <c r="P70" s="129">
        <f>P18/$B$18</f>
        <v>1.0007763222756645</v>
      </c>
      <c r="Q70" s="129"/>
      <c r="R70" s="129">
        <f>R18/$B$18</f>
        <v>1.0000644819788744</v>
      </c>
      <c r="S70" s="129"/>
      <c r="T70" s="129">
        <f>T18/$B$18</f>
        <v>0.9989967504894991</v>
      </c>
      <c r="U70" s="129"/>
      <c r="V70" s="129">
        <f>V18/$B$18</f>
        <v>0.99747444723395184</v>
      </c>
      <c r="W70" s="129"/>
      <c r="X70" s="129">
        <f>X18/$B$18</f>
        <v>0.9953547896774374</v>
      </c>
      <c r="Y70" s="129"/>
      <c r="Z70" s="129">
        <f>Z18/$B$18</f>
        <v>0.99242165343645328</v>
      </c>
      <c r="AA70" s="129"/>
      <c r="AB70" s="129">
        <f>AB18/$B$18</f>
        <v>0.98832939646855311</v>
      </c>
      <c r="AC70" s="129"/>
      <c r="AD70" s="129">
        <f>AD18/$B$18</f>
        <v>0.98248630847287399</v>
      </c>
      <c r="AE70" s="129"/>
      <c r="AF70" s="129">
        <f>AF18/$B$18</f>
        <v>0.97379196014180636</v>
      </c>
      <c r="AG70" s="129"/>
      <c r="AH70" s="129">
        <f>AH18/$B$18</f>
        <v>0.95999127002715157</v>
      </c>
      <c r="AI70" s="129"/>
      <c r="AJ70" s="129">
        <f>AJ18/$B$18</f>
        <v>0.93595783873845739</v>
      </c>
      <c r="AK70" s="129"/>
      <c r="AL70" s="129">
        <f>AL18/$B$18</f>
        <v>0.88839238529329068</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0.93497758364785477</v>
      </c>
      <c r="E71" s="129"/>
      <c r="F71" s="129">
        <f>G18/$C$18</f>
        <v>0.86999183885916265</v>
      </c>
      <c r="G71" s="129"/>
      <c r="H71" s="129">
        <f>I18/$C$18</f>
        <v>0.80505805007658449</v>
      </c>
      <c r="I71" s="129"/>
      <c r="J71" s="129">
        <f>K18/$C$18</f>
        <v>0.74019566988265595</v>
      </c>
      <c r="K71" s="129"/>
      <c r="L71" s="129">
        <f>M18/$C$18</f>
        <v>0.67543207621343127</v>
      </c>
      <c r="M71" s="129"/>
      <c r="N71" s="129">
        <f>O18/$C$18</f>
        <v>0.61080498574546604</v>
      </c>
      <c r="O71" s="129"/>
      <c r="P71" s="129">
        <f>Q18/$C$18</f>
        <v>0.54636957960504973</v>
      </c>
      <c r="Q71" s="129"/>
      <c r="R71" s="129">
        <f>S18/$C$18</f>
        <v>0.48220922470074196</v>
      </c>
      <c r="S71" s="129"/>
      <c r="T71" s="129">
        <f>U18/$C$18</f>
        <v>0.4184522153915291</v>
      </c>
      <c r="U71" s="129"/>
      <c r="V71" s="129">
        <f>W18/$C$18</f>
        <v>0.35530132200285958</v>
      </c>
      <c r="W71" s="129"/>
      <c r="X71" s="129">
        <f>Y18/$C$18</f>
        <v>0.29308229189029988</v>
      </c>
      <c r="Y71" s="129"/>
      <c r="Z71" s="129">
        <f>AA18/$C$18</f>
        <v>0.23232805112298388</v>
      </c>
      <c r="AA71" s="129"/>
      <c r="AB71" s="129">
        <f>AC18/$C$18</f>
        <v>0.17392294508609682</v>
      </c>
      <c r="AC71" s="129"/>
      <c r="AD71" s="129">
        <f>AE18/$C$18</f>
        <v>0.11935290715449469</v>
      </c>
      <c r="AE71" s="129"/>
      <c r="AF71" s="129">
        <f>AG18/$C$18</f>
        <v>7.1095039826441858E-2</v>
      </c>
      <c r="AG71" s="129"/>
      <c r="AH71" s="129">
        <f>AI18/$C$18</f>
        <v>3.3007313809176639E-2</v>
      </c>
      <c r="AI71" s="129"/>
      <c r="AJ71" s="129">
        <f>AK18/$C$18</f>
        <v>9.5644665724958049E-3</v>
      </c>
      <c r="AK71" s="129"/>
      <c r="AL71" s="129">
        <f>AM18/$C$18</f>
        <v>1.1024351643974042E-3</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1.0056758355725532</v>
      </c>
      <c r="E72" s="129"/>
      <c r="F72" s="129">
        <f>G19/$C$19</f>
        <v>1.0133353811951322</v>
      </c>
      <c r="G72" s="129"/>
      <c r="H72" s="129">
        <f>I19/$C$19</f>
        <v>1.0232331327852815</v>
      </c>
      <c r="I72" s="129"/>
      <c r="J72" s="129">
        <f>K19/$C$19</f>
        <v>1.0356641526410253</v>
      </c>
      <c r="K72" s="129"/>
      <c r="L72" s="129">
        <f>M19/$C$19</f>
        <v>1.0509707545191647</v>
      </c>
      <c r="M72" s="129"/>
      <c r="N72" s="129">
        <f>O19/$C$19</f>
        <v>1.0695411182538945</v>
      </c>
      <c r="O72" s="129"/>
      <c r="P72" s="129">
        <f>Q19/$C$19</f>
        <v>1.0918070750732403</v>
      </c>
      <c r="Q72" s="129"/>
      <c r="R72" s="129">
        <f>S19/$C$19</f>
        <v>1.1182275334854439</v>
      </c>
      <c r="S72" s="129"/>
      <c r="T72" s="129">
        <f>U19/$C$19</f>
        <v>1.1492444218808158</v>
      </c>
      <c r="U72" s="129"/>
      <c r="V72" s="129">
        <f>W19/$C$19</f>
        <v>1.1851849834827102</v>
      </c>
      <c r="W72" s="129"/>
      <c r="X72" s="129">
        <f>Y19/$C$19</f>
        <v>1.226047506745745</v>
      </c>
      <c r="Y72" s="129"/>
      <c r="Z72" s="129">
        <f>AA19/$C$19</f>
        <v>1.2710453875991332</v>
      </c>
      <c r="AA72" s="129"/>
      <c r="AB72" s="129">
        <f>AC19/$C$19</f>
        <v>1.3176275985710608</v>
      </c>
      <c r="AC72" s="129"/>
      <c r="AD72" s="129">
        <f>AE19/$C$19</f>
        <v>1.359349204879458</v>
      </c>
      <c r="AE72" s="129"/>
      <c r="AF72" s="129">
        <f>AG19/$C$19</f>
        <v>1.3812702160134849</v>
      </c>
      <c r="AG72" s="129"/>
      <c r="AH72" s="129">
        <f>AI19/$C$19</f>
        <v>1.3510035177540956</v>
      </c>
      <c r="AI72" s="129"/>
      <c r="AJ72" s="129">
        <f>AK19/$C$19</f>
        <v>1.2097693397597682</v>
      </c>
      <c r="AK72" s="129"/>
      <c r="AL72" s="129">
        <f>AM19/$C$19</f>
        <v>0.90226007273301767</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0.47641153352875021</v>
      </c>
      <c r="D73" s="183">
        <f t="array" ref="D73">SUM(D9:E9*D22:E22)/D32</f>
        <v>0.47641153816165976</v>
      </c>
      <c r="E73" s="129"/>
      <c r="F73" s="183">
        <f t="array" ref="F73">SUM(F9:G9*F22:G22)/F32</f>
        <v>0.47641154539870934</v>
      </c>
      <c r="G73" s="129"/>
      <c r="H73" s="183">
        <f t="array" ref="H73">SUM(H9:I9*H22:I22)/H32</f>
        <v>0.47641155029254312</v>
      </c>
      <c r="I73" s="129"/>
      <c r="J73" s="183">
        <f t="array" ref="J73">SUM(J9:K9*J22:K22)/J32</f>
        <v>0.47641153657901442</v>
      </c>
      <c r="K73" s="129"/>
      <c r="L73" s="183">
        <f t="array" ref="L73">SUM(L9:M9*L22:M22)/L32</f>
        <v>0.47641153422640259</v>
      </c>
      <c r="M73" s="129"/>
      <c r="N73" s="183">
        <f t="array" ref="N73">SUM(N9:O9*N22:O22)/N32</f>
        <v>0.47641153473400161</v>
      </c>
      <c r="O73" s="129"/>
      <c r="P73" s="183">
        <f t="array" ref="P73">SUM(P9:Q9*P22:Q22)/P32</f>
        <v>0.47641153509007844</v>
      </c>
      <c r="Q73" s="129"/>
      <c r="R73" s="183">
        <f t="array" ref="R73">SUM(R9:S9*R22:S22)/R32</f>
        <v>0.47641153707441891</v>
      </c>
      <c r="S73" s="129"/>
      <c r="T73" s="183">
        <f t="array" ref="T73">SUM(T9:U9*T22:U22)/T32</f>
        <v>0.47641153545983289</v>
      </c>
      <c r="U73" s="129"/>
      <c r="V73" s="183">
        <f t="array" ref="V73">SUM(V9:W9*V22:W22)/V32</f>
        <v>0.47641153441144668</v>
      </c>
      <c r="W73" s="129"/>
      <c r="X73" s="183">
        <f t="array" ref="X73">SUM(X9:Y9*X22:Y22)/X32</f>
        <v>0.47641153499865962</v>
      </c>
      <c r="Y73" s="129"/>
      <c r="Z73" s="183">
        <f t="array" ref="Z73">SUM(Z9:AA9*Z22:AA22)/Z32</f>
        <v>0.47641153330612135</v>
      </c>
      <c r="AA73" s="129"/>
      <c r="AB73" s="183">
        <f t="array" ref="AB73">SUM(AB9:AC9*AB22:AC22)/AB32</f>
        <v>0.47641153599172636</v>
      </c>
      <c r="AC73" s="129"/>
      <c r="AD73" s="183">
        <f t="array" ref="AD73">SUM(AD9:AE9*AD22:AE22)/AD32</f>
        <v>0.47641153431549804</v>
      </c>
      <c r="AE73" s="129"/>
      <c r="AF73" s="183">
        <f t="array" ref="AF73">SUM(AF9:AG9*AF22:AG22)/AF32</f>
        <v>0.47641153290062777</v>
      </c>
      <c r="AG73" s="129"/>
      <c r="AH73" s="183">
        <f t="array" ref="AH73">SUM(AH9:AI9*AH22:AI22)/AH32</f>
        <v>0.47641153350463578</v>
      </c>
      <c r="AI73" s="129"/>
      <c r="AJ73" s="183">
        <f t="array" ref="AJ73">SUM(AJ9:AK9*AJ22:AK22)/AJ32</f>
        <v>0.47641153354385446</v>
      </c>
      <c r="AK73" s="129"/>
      <c r="AL73" s="183">
        <f t="array" ref="AL73">SUM(AL9:AM9*AL22:AM22)/AL32</f>
        <v>0.47641153352769072</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0.22604620456442487</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0.22038438835459362</v>
      </c>
      <c r="E75" s="129"/>
      <c r="F75" s="183">
        <f t="array" ref="F75">SUM(F11:G11*F24:G24)/F32</f>
        <v>0.22038438839105812</v>
      </c>
      <c r="G75" s="129"/>
      <c r="H75" s="183">
        <f t="array" ref="H75">SUM(H11:I11*H24:I24)/H32</f>
        <v>0.2203843884169748</v>
      </c>
      <c r="I75" s="129"/>
      <c r="J75" s="183">
        <f t="array" ref="J75">SUM(J11:K11*J24:K24)/J32</f>
        <v>0.22038438834744403</v>
      </c>
      <c r="K75" s="129"/>
      <c r="L75" s="183">
        <f t="array" ref="L75">SUM(L11:M11*L24:M24)/L32</f>
        <v>0.22038438832314378</v>
      </c>
      <c r="M75" s="129"/>
      <c r="N75" s="183">
        <f t="array" ref="N75">SUM(N11:O11*N24:O24)/N32</f>
        <v>0.22038438831664406</v>
      </c>
      <c r="O75" s="129"/>
      <c r="P75" s="183">
        <f t="array" ref="P75">SUM(P11:Q11*P24:Q24)/P32</f>
        <v>0.22038438831189872</v>
      </c>
      <c r="Q75" s="129"/>
      <c r="R75" s="183">
        <f t="array" ref="R75">SUM(R11:S11*R24:S24)/R32</f>
        <v>0.22038438831404192</v>
      </c>
      <c r="S75" s="129"/>
      <c r="T75" s="183">
        <f t="array" ref="T75">SUM(T11:U11*T24:U24)/T32</f>
        <v>0.22038438832249665</v>
      </c>
      <c r="U75" s="129"/>
      <c r="V75" s="183">
        <f t="array" ref="V75">SUM(V11:W11*V24:W24)/V32</f>
        <v>0.22038438832788679</v>
      </c>
      <c r="W75" s="129"/>
      <c r="X75" s="183">
        <f t="array" ref="X75">SUM(X11:Y11*X24:Y24)/X32</f>
        <v>0.22038438832642046</v>
      </c>
      <c r="Y75" s="129"/>
      <c r="Z75" s="183">
        <f t="array" ref="Z75">SUM(Z11:AA11*Z24:AA24)/Z32</f>
        <v>0.22038438836447091</v>
      </c>
      <c r="AA75" s="129"/>
      <c r="AB75" s="183">
        <f t="array" ref="AB75">SUM(AB11:AC11*AB24:AC24)/AB32</f>
        <v>0.22038438835921659</v>
      </c>
      <c r="AC75" s="129"/>
      <c r="AD75" s="183">
        <f t="array" ref="AD75">SUM(AD11:AE11*AD24:AE24)/AD32</f>
        <v>0.22038438832831977</v>
      </c>
      <c r="AE75" s="129"/>
      <c r="AF75" s="183">
        <f t="array" ref="AF75">SUM(AF11:AG11*AF24:AG24)/AF32</f>
        <v>0.22038438834090357</v>
      </c>
      <c r="AG75" s="129"/>
      <c r="AH75" s="183">
        <f t="array" ref="AH75">SUM(AH11:AI11*AH24:AI24)/AH32</f>
        <v>0.22038438833073068</v>
      </c>
      <c r="AI75" s="129"/>
      <c r="AJ75" s="183">
        <f t="array" ref="AJ75">SUM(AJ11:AK11*AJ24:AK24)/AJ32</f>
        <v>0.22038438833206647</v>
      </c>
      <c r="AK75" s="129"/>
      <c r="AL75" s="183">
        <f t="array" ref="AL75">SUM(AL11:AM11*AL24:AM24)/AL32</f>
        <v>0.22038438833193882</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0.22285531865364402</v>
      </c>
      <c r="E76" s="129"/>
      <c r="F76" s="183">
        <f t="array" ref="F76">SUM(F12:G12*F25:G25)/F32</f>
        <v>0.2227306860883799</v>
      </c>
      <c r="G76" s="129"/>
      <c r="H76" s="183">
        <f t="array" ref="H76">SUM(H12:I12*H25:I25)/H32</f>
        <v>0.22264966317347712</v>
      </c>
      <c r="I76" s="129"/>
      <c r="J76" s="183">
        <f t="array" ref="J76">SUM(J12:K12*J25:K25)/J32</f>
        <v>0.2226179164613345</v>
      </c>
      <c r="K76" s="129"/>
      <c r="L76" s="183">
        <f t="array" ref="L76">SUM(L12:M12*L25:M25)/L32</f>
        <v>0.22264208714854469</v>
      </c>
      <c r="M76" s="129"/>
      <c r="N76" s="183">
        <f t="array" ref="N76">SUM(N12:O12*N25:O25)/N32</f>
        <v>0.22272993197690621</v>
      </c>
      <c r="O76" s="129"/>
      <c r="P76" s="183">
        <f t="array" ref="P76">SUM(P12:Q12*P25:Q25)/P32</f>
        <v>0.22289038198235242</v>
      </c>
      <c r="Q76" s="129"/>
      <c r="R76" s="183">
        <f t="array" ref="R76">SUM(R12:S12*R25:S25)/R32</f>
        <v>0.22313346870773598</v>
      </c>
      <c r="S76" s="129"/>
      <c r="T76" s="183">
        <f t="array" ref="T76">SUM(T12:U12*T25:U25)/T32</f>
        <v>0.22346989999884442</v>
      </c>
      <c r="U76" s="129"/>
      <c r="V76" s="183">
        <f t="array" ref="V76">SUM(V12:W12*V25:W25)/V32</f>
        <v>0.22390987634720147</v>
      </c>
      <c r="W76" s="129"/>
      <c r="X76" s="183">
        <f t="array" ref="X76">SUM(X12:Y12*X25:Y25)/X32</f>
        <v>0.22446021859351287</v>
      </c>
      <c r="Y76" s="129"/>
      <c r="Z76" s="183">
        <f t="array" ref="Z76">SUM(Z12:AA12*Z25:AA25)/Z32</f>
        <v>0.22511779296521719</v>
      </c>
      <c r="AA76" s="129"/>
      <c r="AB76" s="183">
        <f t="array" ref="AB76">SUM(AB12:AC12*AB25:AC25)/AB32</f>
        <v>0.22585459374544539</v>
      </c>
      <c r="AC76" s="129"/>
      <c r="AD76" s="183">
        <f t="array" ref="AD76">SUM(AD12:AE12*AD25:AE25)/AD32</f>
        <v>0.22658399083776601</v>
      </c>
      <c r="AE76" s="129"/>
      <c r="AF76" s="183">
        <f t="array" ref="AF76">SUM(AF12:AG12*AF25:AG25)/AF32</f>
        <v>0.22708496809935716</v>
      </c>
      <c r="AG76" s="129"/>
      <c r="AH76" s="183">
        <f t="array" ref="AH76">SUM(AH12:AI12*AH25:AI25)/AH32</f>
        <v>0.22684960050179326</v>
      </c>
      <c r="AI76" s="129"/>
      <c r="AJ76" s="183">
        <f t="array" ref="AJ76">SUM(AJ12:AK12*AJ25:AK25)/AJ32</f>
        <v>0.2249212664475268</v>
      </c>
      <c r="AK76" s="129"/>
      <c r="AL76" s="183">
        <f t="array" ref="AL76">SUM(AL12:AM12*AL25:AM25)/AL32</f>
        <v>0.22039130099467316</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0.14569744973432278</v>
      </c>
      <c r="E77" s="129"/>
      <c r="F77" s="183">
        <f t="array" ref="F77">SUM(F4:G4*F19:G19)/F32</f>
        <v>0.14557282444257161</v>
      </c>
      <c r="G77" s="129"/>
      <c r="H77" s="183">
        <f t="array" ref="H77">SUM(H4:I4*H19:I19)/H32</f>
        <v>0.14549180644741969</v>
      </c>
      <c r="I77" s="129"/>
      <c r="J77" s="183">
        <f t="array" ref="J77">SUM(J4:K4*J19:K19)/J32</f>
        <v>0.14546004595221831</v>
      </c>
      <c r="K77" s="129"/>
      <c r="L77" s="183">
        <f t="array" ref="L77">SUM(L4:M4*L19:M19)/L32</f>
        <v>0.14548421426251551</v>
      </c>
      <c r="M77" s="129"/>
      <c r="N77" s="183">
        <f t="array" ref="N77">SUM(N4:O4*N19:O19)/N32</f>
        <v>0.14557205959197653</v>
      </c>
      <c r="O77" s="129"/>
      <c r="P77" s="183">
        <f t="array" ref="P77">SUM(P4:Q4*P19:Q19)/P32</f>
        <v>0.14573250994875428</v>
      </c>
      <c r="Q77" s="129"/>
      <c r="R77" s="183">
        <f t="array" ref="R77">SUM(R4:S4*R19:S19)/R32</f>
        <v>0.14597559866062165</v>
      </c>
      <c r="S77" s="129"/>
      <c r="T77" s="183">
        <f t="array" ref="T77">SUM(T4:U4*T19:U19)/T32</f>
        <v>0.14631202834559903</v>
      </c>
      <c r="U77" s="129"/>
      <c r="V77" s="183">
        <f t="array" ref="V77">SUM(V4:W4*V19:W19)/V32</f>
        <v>0.14675200365095922</v>
      </c>
      <c r="W77" s="129"/>
      <c r="X77" s="183">
        <f t="array" ref="X77">SUM(X4:Y4*X19:Y19)/X32</f>
        <v>0.14730234648301788</v>
      </c>
      <c r="Y77" s="129"/>
      <c r="Z77" s="183">
        <f t="array" ref="Z77">SUM(Z4:AA4*Z19:AA19)/Z32</f>
        <v>0.1479599192002343</v>
      </c>
      <c r="AA77" s="129"/>
      <c r="AB77" s="183">
        <f t="array" ref="AB77">SUM(AB4:AC4*AB19:AC19)/AB32</f>
        <v>0.14869672266081321</v>
      </c>
      <c r="AC77" s="129"/>
      <c r="AD77" s="183">
        <f t="array" ref="AD77">SUM(AD4:AE4*AD19:AE19)/AD32</f>
        <v>0.14942611804600853</v>
      </c>
      <c r="AE77" s="129"/>
      <c r="AF77" s="183">
        <f t="array" ref="AF77">SUM(AF4:AG4*AF19:AG19)/AF32</f>
        <v>0.14992709390531286</v>
      </c>
      <c r="AG77" s="129"/>
      <c r="AH77" s="183">
        <f t="array" ref="AH77">SUM(AH4:AI4*AH19:AI19)/AH32</f>
        <v>0.14969172690158475</v>
      </c>
      <c r="AI77" s="129"/>
      <c r="AJ77" s="183">
        <f t="array" ref="AJ77">SUM(AJ4:AK4*AJ19:AK19)/AJ32</f>
        <v>0.14776339288787246</v>
      </c>
      <c r="AK77" s="129"/>
      <c r="AL77" s="183">
        <f t="array" ref="AL77">SUM(AL4:AM4*AL19:AM19)/AL32</f>
        <v>0.14323342741872777</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0.34858426147249083</v>
      </c>
      <c r="E78" s="129"/>
      <c r="F78" s="183">
        <f t="array" ref="F78">SUM(F13:G13*F26:G26)/F32</f>
        <v>0.35030324985317157</v>
      </c>
      <c r="G78" s="129"/>
      <c r="H78" s="183">
        <f t="array" ref="H78">SUM(H13:I13*H26:I26)/H32</f>
        <v>0.352050093160306</v>
      </c>
      <c r="I78" s="129"/>
      <c r="J78" s="183">
        <f t="array" ref="J78">SUM(J13:K13*J26:K26)/J32</f>
        <v>0.35383155584856157</v>
      </c>
      <c r="K78" s="129"/>
      <c r="L78" s="183">
        <f t="array" ref="L78">SUM(L13:M13*L26:M26)/L32</f>
        <v>0.3556560455442952</v>
      </c>
      <c r="M78" s="129"/>
      <c r="N78" s="183">
        <f t="array" ref="N78">SUM(N13:O13*N26:O26)/N32</f>
        <v>0.3575342035688035</v>
      </c>
      <c r="O78" s="129"/>
      <c r="P78" s="183">
        <f t="array" ref="P78">SUM(P13:Q13*P26:Q26)/P32</f>
        <v>0.35947978734229519</v>
      </c>
      <c r="Q78" s="129"/>
      <c r="R78" s="183">
        <f t="array" ref="R78">SUM(R13:S13*R26:S26)/R32</f>
        <v>0.36151106864242361</v>
      </c>
      <c r="S78" s="129"/>
      <c r="T78" s="183">
        <f t="array" ref="T78">SUM(T13:U13*T26:U26)/T32</f>
        <v>0.36365303957256712</v>
      </c>
      <c r="U78" s="129"/>
      <c r="V78" s="183">
        <f t="array" ref="V78">SUM(V13:W13*V26:W26)/V32</f>
        <v>0.36594125710316472</v>
      </c>
      <c r="W78" s="129"/>
      <c r="X78" s="183">
        <f t="array" ref="X78">SUM(X13:Y13*X26:Y26)/X32</f>
        <v>0.36842858093494857</v>
      </c>
      <c r="Y78" s="129"/>
      <c r="Z78" s="183">
        <f t="array" ref="Z78">SUM(Z13:AA13*Z26:AA26)/Z32</f>
        <v>0.37119795162086699</v>
      </c>
      <c r="AA78" s="129"/>
      <c r="AB78" s="183">
        <f t="array" ref="AB78">SUM(AB13:AC13*AB26:AC26)/AB32</f>
        <v>0.37438804998638481</v>
      </c>
      <c r="AC78" s="129"/>
      <c r="AD78" s="183">
        <f t="array" ref="AD78">SUM(AD13:AE13*AD26:AE26)/AD32</f>
        <v>0.37824889655546312</v>
      </c>
      <c r="AE78" s="129"/>
      <c r="AF78" s="183">
        <f t="array" ref="AF78">SUM(AF13:AG13*AF26:AG26)/AF32</f>
        <v>0.38327121629673716</v>
      </c>
      <c r="AG78" s="129"/>
      <c r="AH78" s="183">
        <f t="array" ref="AH78">SUM(AH13:AI13*AH26:AI26)/AH32</f>
        <v>0.39050757609772652</v>
      </c>
      <c r="AI78" s="129"/>
      <c r="AJ78" s="183">
        <f t="array" ref="AJ78">SUM(AJ13:AK13*AJ26:AK26)/AJ32</f>
        <v>0.4023857918568079</v>
      </c>
      <c r="AK78" s="129"/>
      <c r="AL78" s="183">
        <f t="array" ref="AL78">SUM(AL13:AM13*AL26:AM26)/AL32</f>
        <v>0.42492873696685229</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0.44865463837107478</v>
      </c>
      <c r="F79" s="183">
        <f t="array" ref="F79">SUM(F15:G15*F27:G27)/F32</f>
        <v>0.44262125195691943</v>
      </c>
      <c r="H79" s="183">
        <f t="array" ref="H79">SUM(H15:I15*H27:I27)/H32</f>
        <v>0.43649009874119071</v>
      </c>
      <c r="J79" s="183">
        <f t="array" ref="J79">SUM(J15:K15*J27:K27)/J32</f>
        <v>0.43023741855868752</v>
      </c>
      <c r="L79" s="183">
        <f t="array" ref="L79">SUM(L15:M15*L27:M27)/L32</f>
        <v>0.42383371690852512</v>
      </c>
      <c r="N79" s="183">
        <f t="array" ref="N79">SUM(N15:O15*N27:O27)/N32</f>
        <v>0.41724165267697311</v>
      </c>
      <c r="P79" s="183">
        <f t="array" ref="P79">SUM(P15:Q15*P27:Q27)/P32</f>
        <v>0.41041293646489457</v>
      </c>
      <c r="R79" s="183">
        <f t="array" ref="R79">SUM(R15:S15*R27:S27)/R32</f>
        <v>0.40328346212652133</v>
      </c>
      <c r="T79" s="183">
        <f t="array" ref="T79">SUM(T15:U15*T27:U27)/T32</f>
        <v>0.39576546915130856</v>
      </c>
      <c r="V79" s="183">
        <f t="array" ref="V79">SUM(V15:W15*V27:W27)/V32</f>
        <v>0.38773417033995455</v>
      </c>
      <c r="X79" s="183">
        <f t="array" ref="X79">SUM(X15:Y15*X27:Y27)/X32</f>
        <v>0.37900403429789858</v>
      </c>
      <c r="Z79" s="183">
        <f t="array" ref="Z79">SUM(Z15:AA15*Z27:AA27)/Z32</f>
        <v>0.3692839802380376</v>
      </c>
      <c r="AB79" s="183">
        <f t="array" ref="AB79">SUM(AB15:AC15*AB27:AC27)/AB32</f>
        <v>0.35808719184759702</v>
      </c>
      <c r="AD79" s="183">
        <f t="array" ref="AD79">SUM(AD15:AE15*AD27:AE27)/AD32</f>
        <v>0.34453619062914226</v>
      </c>
      <c r="AF79" s="183">
        <f t="array" ref="AF79">SUM(AF15:AG15*AF27:AG27)/AF32</f>
        <v>0.32690860898272028</v>
      </c>
      <c r="AH79" s="183">
        <f t="array" ref="AH79">SUM(AH15:AI15*AH27:AI27)/AH32</f>
        <v>0.30151006225842064</v>
      </c>
      <c r="AJ79" s="183">
        <f t="array" ref="AJ79">SUM(AJ15:AK15*AJ27:AK27)/AJ32</f>
        <v>0.25981929831876166</v>
      </c>
      <c r="AL79" s="183">
        <f t="array" ref="AL79">SUM(AL15:AM15*AL27:AM27)/AL32</f>
        <v>0.18069692756704914</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0.20276110914348494</v>
      </c>
      <c r="F80" s="195">
        <f>F55</f>
        <v>0.20707552307582511</v>
      </c>
      <c r="H80" s="195">
        <f>H55</f>
        <v>0.21145984633111364</v>
      </c>
      <c r="J80" s="195">
        <f>J55</f>
        <v>0.21593103310634562</v>
      </c>
      <c r="L80" s="195">
        <f>L55</f>
        <v>0.22051023548471238</v>
      </c>
      <c r="N80" s="195">
        <f>N55</f>
        <v>0.22522413994397916</v>
      </c>
      <c r="P80" s="195">
        <f>P55</f>
        <v>0.23010727091720665</v>
      </c>
      <c r="R80" s="195">
        <f>R55</f>
        <v>0.23520547203065265</v>
      </c>
      <c r="T80" s="195">
        <f>T55</f>
        <v>0.24058149284315117</v>
      </c>
      <c r="V80" s="195">
        <f>V55</f>
        <v>0.24632457324179269</v>
      </c>
      <c r="X80" s="195">
        <f>X55</f>
        <v>0.25256738606872214</v>
      </c>
      <c r="Z80" s="195">
        <f>Z55</f>
        <v>0.25951808363045992</v>
      </c>
      <c r="AB80" s="195">
        <f>AB55</f>
        <v>0.26752477234711497</v>
      </c>
      <c r="AD80" s="195">
        <f>AD55</f>
        <v>0.27721491131141202</v>
      </c>
      <c r="AF80" s="195">
        <f>AF55</f>
        <v>0.28982018088550521</v>
      </c>
      <c r="AH80" s="195">
        <f>AH55</f>
        <v>0.30798236189258638</v>
      </c>
      <c r="AJ80" s="195">
        <f>AJ55</f>
        <v>0.33779490977779186</v>
      </c>
      <c r="AL80" s="195">
        <f>AL55</f>
        <v>0.39437433570023211</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-2.3285095420939907E-2</v>
      </c>
      <c r="F81" s="195">
        <f>F51/F$32</f>
        <v>-1.8970681488599723E-2</v>
      </c>
      <c r="H81" s="195">
        <f>H51/H$32</f>
        <v>-1.4586358233311197E-2</v>
      </c>
      <c r="J81" s="195">
        <f>J51/J$32</f>
        <v>-1.011517145807922E-2</v>
      </c>
      <c r="L81" s="195">
        <f>L51/L$32</f>
        <v>-5.5359690797124632E-3</v>
      </c>
      <c r="N81" s="195">
        <f>N51/N$32</f>
        <v>-8.2206462044569358E-4</v>
      </c>
      <c r="P81" s="195">
        <f>P51/P$32</f>
        <v>4.0610663527817946E-3</v>
      </c>
      <c r="R81" s="195">
        <f>R51/R$32</f>
        <v>9.1592674662277912E-3</v>
      </c>
      <c r="T81" s="195">
        <f>T51/T$32</f>
        <v>1.4535288278726336E-2</v>
      </c>
      <c r="V81" s="195">
        <f>V51/V$32</f>
        <v>2.027836867736784E-2</v>
      </c>
      <c r="X81" s="195">
        <f>X51/X$32</f>
        <v>2.6521181504297307E-2</v>
      </c>
      <c r="Z81" s="195">
        <f>Z51/Z$32</f>
        <v>3.3471879066035104E-2</v>
      </c>
      <c r="AB81" s="195">
        <f>AB51/AB$32</f>
        <v>4.1478567782690101E-2</v>
      </c>
      <c r="AD81" s="195">
        <f>AD51/AD$32</f>
        <v>5.1168706746987209E-2</v>
      </c>
      <c r="AF81" s="195">
        <f>AF51/AF$32</f>
        <v>6.3773976321080339E-2</v>
      </c>
      <c r="AH81" s="195">
        <f>AH51/AH$32</f>
        <v>8.1936157328161549E-2</v>
      </c>
      <c r="AJ81" s="195">
        <f>AJ51/AJ$32</f>
        <v>0.11174870521336704</v>
      </c>
      <c r="AL81" s="195">
        <f>AL51/AL$32</f>
        <v>0.16832813113580727</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0.14138510244690791</v>
      </c>
      <c r="F82" s="195">
        <f>F52/F$32</f>
        <v>0.14208232081035593</v>
      </c>
      <c r="H82" s="195">
        <f>H52/H$32</f>
        <v>0.14279083707811457</v>
      </c>
      <c r="J82" s="195">
        <f>J52/J$32</f>
        <v>0.14351339489991755</v>
      </c>
      <c r="L82" s="195">
        <f>L52/L$32</f>
        <v>0.14425340439275858</v>
      </c>
      <c r="N82" s="195">
        <f>N52/N$32</f>
        <v>0.14501518165598004</v>
      </c>
      <c r="P82" s="195">
        <f>P52/P$32</f>
        <v>0.1458043066726179</v>
      </c>
      <c r="R82" s="195">
        <f>R52/R$32</f>
        <v>0.14662819044035882</v>
      </c>
      <c r="T82" s="195">
        <f>T52/T$32</f>
        <v>0.14749696970800952</v>
      </c>
      <c r="V82" s="195">
        <f>V52/V$32</f>
        <v>0.14842506631402883</v>
      </c>
      <c r="X82" s="195">
        <f>X52/X$32</f>
        <v>0.14943392005082651</v>
      </c>
      <c r="Z82" s="195">
        <f>Z52/Z$32</f>
        <v>0.15055717144630854</v>
      </c>
      <c r="AB82" s="195">
        <f>AB52/AB$32</f>
        <v>0.15185106917513652</v>
      </c>
      <c r="AD82" s="195">
        <f>AD52/AD$32</f>
        <v>0.15341702107840116</v>
      </c>
      <c r="AF82" s="195">
        <f>AF52/AF$32</f>
        <v>0.15545406425453778</v>
      </c>
      <c r="AH82" s="195">
        <f>AH52/AH$32</f>
        <v>0.15838911779792988</v>
      </c>
      <c r="AJ82" s="195">
        <f>AJ52/AJ$32</f>
        <v>0.16320689914264713</v>
      </c>
      <c r="AL82" s="195">
        <f>AL52/AL$32</f>
        <v>0.17235027409128972</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0.18197345382554161</v>
      </c>
      <c r="F83" s="195">
        <f>F53/F$32</f>
        <v>0.17952632396183588</v>
      </c>
      <c r="H83" s="195">
        <f>H53/H$32</f>
        <v>0.17703954007244938</v>
      </c>
      <c r="J83" s="195">
        <f>J53/J$32</f>
        <v>0.174503465080318</v>
      </c>
      <c r="L83" s="195">
        <f>L53/L$32</f>
        <v>0.17190613607291214</v>
      </c>
      <c r="N83" s="195">
        <f>N53/N$32</f>
        <v>0.16923240756670382</v>
      </c>
      <c r="P83" s="195">
        <f>P53/P$32</f>
        <v>0.16646269347477316</v>
      </c>
      <c r="R83" s="195">
        <f>R53/R$32</f>
        <v>0.16357099246834939</v>
      </c>
      <c r="T83" s="195">
        <f>T53/T$32</f>
        <v>0.16052170905404503</v>
      </c>
      <c r="V83" s="195">
        <f>V53/V$32</f>
        <v>0.15726422978510612</v>
      </c>
      <c r="X83" s="195">
        <f>X53/X$32</f>
        <v>0.15372330348663374</v>
      </c>
      <c r="Z83" s="195">
        <f>Z53/Z$32</f>
        <v>0.1497808683541991</v>
      </c>
      <c r="AB83" s="195">
        <f>AB53/AB$32</f>
        <v>0.14523947263262629</v>
      </c>
      <c r="AD83" s="195">
        <f>AD53/AD$32</f>
        <v>0.13974321274000748</v>
      </c>
      <c r="AF83" s="195">
        <f>AF53/AF$32</f>
        <v>0.1325934997080917</v>
      </c>
      <c r="AH83" s="195">
        <f>AH53/AH$32</f>
        <v>0.12229189826616581</v>
      </c>
      <c r="AJ83" s="195">
        <f>AJ53/AJ$32</f>
        <v>0.1053822050235645</v>
      </c>
      <c r="AL83" s="195">
        <f>AL53/AL$32</f>
        <v>7.3290324434010332E-2</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c r="AN1" s="91"/>
      <c r="AP1" s="91"/>
      <c r="AR1" s="91"/>
      <c r="AT1" s="91"/>
      <c r="AV1" s="91"/>
    </row>
    <row r="2" spans="1:49" x14ac:dyDescent="0.2">
      <c r="A2" s="190" t="s">
        <v>139</v>
      </c>
      <c r="B2" s="188">
        <v>5.7716594496607888E-3</v>
      </c>
      <c r="C2" s="189"/>
      <c r="D2" s="188">
        <v>4.6056242055600119E-2</v>
      </c>
      <c r="E2" s="189"/>
      <c r="F2" s="188">
        <v>9.0355773714879517E-2</v>
      </c>
      <c r="G2" s="189"/>
      <c r="H2" s="188">
        <v>0.13938216944410842</v>
      </c>
      <c r="I2" s="189"/>
      <c r="J2" s="188">
        <v>0.19403846164078747</v>
      </c>
      <c r="K2" s="189"/>
      <c r="L2" s="188">
        <v>0.25549231806966299</v>
      </c>
      <c r="M2" s="189"/>
      <c r="N2" s="188">
        <v>0.32528761759660207</v>
      </c>
      <c r="O2" s="189"/>
      <c r="P2" s="188">
        <v>0.40552011199900906</v>
      </c>
      <c r="Q2" s="189"/>
      <c r="R2" s="188">
        <v>0.49912119956363959</v>
      </c>
      <c r="S2" s="189"/>
      <c r="T2" s="188">
        <v>0.6103488658813806</v>
      </c>
      <c r="U2" s="189"/>
      <c r="V2" s="188">
        <v>0.74565865537671006</v>
      </c>
      <c r="W2" s="189"/>
      <c r="X2" s="188">
        <v>0.91538559960952104</v>
      </c>
      <c r="Y2" s="189"/>
      <c r="Z2" s="188">
        <v>1.1371926020304564</v>
      </c>
      <c r="AA2" s="189"/>
      <c r="AB2" s="188">
        <v>1.4438394408782182</v>
      </c>
      <c r="AC2" s="189"/>
      <c r="AD2" s="188">
        <v>1.9025515393831385</v>
      </c>
      <c r="AE2" s="189"/>
      <c r="AF2" s="188">
        <v>2.6690574956140756</v>
      </c>
      <c r="AG2" s="189"/>
      <c r="AH2" s="188">
        <v>4.1554006817642017</v>
      </c>
      <c r="AI2" s="189"/>
      <c r="AJ2" s="188">
        <v>7.6195067332144255</v>
      </c>
      <c r="AK2" s="189"/>
      <c r="AL2" s="188"/>
      <c r="AM2" s="189"/>
      <c r="AN2" s="188"/>
      <c r="AO2" s="189"/>
      <c r="AP2" s="188"/>
      <c r="AQ2" s="189"/>
      <c r="AR2" s="188"/>
      <c r="AS2" s="189"/>
      <c r="AT2" s="188"/>
      <c r="AU2" s="189"/>
      <c r="AV2" s="188"/>
      <c r="AW2" s="189"/>
    </row>
    <row r="3" spans="1:49" x14ac:dyDescent="0.2">
      <c r="A3" t="s">
        <v>12</v>
      </c>
      <c r="B3" s="81">
        <v>1000</v>
      </c>
      <c r="C3" s="82">
        <v>1000</v>
      </c>
      <c r="D3" s="81">
        <v>998.49581138941005</v>
      </c>
      <c r="E3" s="82">
        <v>1025.1145024182144</v>
      </c>
      <c r="F3" s="81">
        <v>997.01944344167634</v>
      </c>
      <c r="G3" s="82">
        <v>1052.7491351811759</v>
      </c>
      <c r="H3" s="81">
        <v>995.56417265169682</v>
      </c>
      <c r="I3" s="82">
        <v>1083.3566357707145</v>
      </c>
      <c r="J3" s="81">
        <v>994.12326182041261</v>
      </c>
      <c r="K3" s="82">
        <v>1117.5097984972549</v>
      </c>
      <c r="L3" s="81">
        <v>992.69013826396724</v>
      </c>
      <c r="M3" s="82">
        <v>1155.9455755953229</v>
      </c>
      <c r="N3" s="81">
        <v>991.2587947459225</v>
      </c>
      <c r="O3" s="82">
        <v>1199.631351935669</v>
      </c>
      <c r="P3" s="81">
        <v>989.82453078229719</v>
      </c>
      <c r="Q3" s="82">
        <v>1249.8664229670203</v>
      </c>
      <c r="R3" s="81">
        <v>988.38535841764246</v>
      </c>
      <c r="S3" s="82">
        <v>1308.444307391547</v>
      </c>
      <c r="T3" s="81">
        <v>986.94464196912679</v>
      </c>
      <c r="U3" s="82">
        <v>1377.9254437052548</v>
      </c>
      <c r="V3" s="81">
        <v>985.51601157796119</v>
      </c>
      <c r="W3" s="82">
        <v>1462.1115209094717</v>
      </c>
      <c r="X3" s="81">
        <v>984.13275106396804</v>
      </c>
      <c r="Y3" s="82">
        <v>1566.9386331940418</v>
      </c>
      <c r="Z3" s="81">
        <v>982.86620180177056</v>
      </c>
      <c r="AA3" s="82">
        <v>1702.2559651205725</v>
      </c>
      <c r="AB3" s="81">
        <v>981.86230963789126</v>
      </c>
      <c r="AC3" s="82">
        <v>1885.712847483572</v>
      </c>
      <c r="AD3" s="81">
        <v>981.41313079098427</v>
      </c>
      <c r="AE3" s="82">
        <v>2152.1089702713161</v>
      </c>
      <c r="AF3" s="81">
        <v>982.07577898471004</v>
      </c>
      <c r="AG3" s="82">
        <v>2578.4496501677854</v>
      </c>
      <c r="AH3" s="81">
        <v>984.73098182778926</v>
      </c>
      <c r="AI3" s="82">
        <v>3358.5845066271067</v>
      </c>
      <c r="AJ3" s="81">
        <v>990.04192984200381</v>
      </c>
      <c r="AK3" s="82">
        <v>5059.4877676107462</v>
      </c>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c r="AM4" s="96"/>
      <c r="AN4" s="95"/>
      <c r="AO4" s="96"/>
      <c r="AP4" s="95"/>
      <c r="AQ4" s="96"/>
      <c r="AR4" s="95"/>
      <c r="AS4" s="96"/>
      <c r="AT4" s="95"/>
      <c r="AU4" s="96"/>
      <c r="AV4" s="95"/>
      <c r="AW4" s="96"/>
    </row>
    <row r="5" spans="1:49" x14ac:dyDescent="0.2">
      <c r="A5" t="s">
        <v>115</v>
      </c>
      <c r="B5" s="39">
        <v>1000</v>
      </c>
      <c r="C5" s="40">
        <v>1000</v>
      </c>
      <c r="D5" s="39">
        <v>998.42116615865314</v>
      </c>
      <c r="E5" s="40">
        <v>1021.7857543530333</v>
      </c>
      <c r="F5" s="39">
        <v>996.87056005678221</v>
      </c>
      <c r="G5" s="40">
        <v>1045.1478370557725</v>
      </c>
      <c r="H5" s="39">
        <v>995.34116351986233</v>
      </c>
      <c r="I5" s="40">
        <v>1070.2863169773516</v>
      </c>
      <c r="J5" s="39">
        <v>993.8259261849264</v>
      </c>
      <c r="K5" s="40">
        <v>1097.4341372102044</v>
      </c>
      <c r="L5" s="39">
        <v>992.31795334898732</v>
      </c>
      <c r="M5" s="40">
        <v>1126.8629753574667</v>
      </c>
      <c r="N5" s="39">
        <v>990.81092887118609</v>
      </c>
      <c r="O5" s="40">
        <v>1158.8908044291504</v>
      </c>
      <c r="P5" s="39">
        <v>989.29989820615253</v>
      </c>
      <c r="Q5" s="40">
        <v>1193.8883424774297</v>
      </c>
      <c r="R5" s="39">
        <v>987.78275484380481</v>
      </c>
      <c r="S5" s="40">
        <v>1232.2878464070786</v>
      </c>
      <c r="T5" s="39">
        <v>986.26303443823872</v>
      </c>
      <c r="U5" s="40">
        <v>1274.5851451206806</v>
      </c>
      <c r="V5" s="39">
        <v>984.75512045657194</v>
      </c>
      <c r="W5" s="40">
        <v>1321.3345173811022</v>
      </c>
      <c r="X5" s="39">
        <v>983.29419565808041</v>
      </c>
      <c r="Y5" s="40">
        <v>1373.1179534566959</v>
      </c>
      <c r="Z5" s="39">
        <v>981.95575607107298</v>
      </c>
      <c r="AA5" s="40">
        <v>1430.443511739026</v>
      </c>
      <c r="AB5" s="39">
        <v>980.89435102848813</v>
      </c>
      <c r="AC5" s="40">
        <v>1493.4758349041354</v>
      </c>
      <c r="AD5" s="39">
        <v>980.41928619108262</v>
      </c>
      <c r="AE5" s="40">
        <v>1561.3354733411213</v>
      </c>
      <c r="AF5" s="39">
        <v>981.12008942577449</v>
      </c>
      <c r="AG5" s="40">
        <v>1630.45101721578</v>
      </c>
      <c r="AH5" s="39">
        <v>983.9261233339339</v>
      </c>
      <c r="AI5" s="40">
        <v>1691.8522973407241</v>
      </c>
      <c r="AJ5" s="39">
        <v>989.52899332872778</v>
      </c>
      <c r="AK5" s="40">
        <v>1732.2355771378873</v>
      </c>
      <c r="AL5" s="39"/>
      <c r="AM5" s="40"/>
      <c r="AN5" s="39"/>
      <c r="AO5" s="40"/>
      <c r="AP5" s="39"/>
      <c r="AQ5" s="40"/>
      <c r="AR5" s="39"/>
      <c r="AS5" s="40"/>
      <c r="AT5" s="39"/>
      <c r="AU5" s="40"/>
      <c r="AV5" s="39"/>
      <c r="AW5" s="40"/>
    </row>
    <row r="6" spans="1:49" x14ac:dyDescent="0.2">
      <c r="A6" t="s">
        <v>77</v>
      </c>
      <c r="B6" s="39">
        <v>999.99999999999943</v>
      </c>
      <c r="C6" s="40">
        <v>999.99999999999909</v>
      </c>
      <c r="D6" s="39">
        <v>998.30060636887697</v>
      </c>
      <c r="E6" s="40">
        <v>1027.0573052463806</v>
      </c>
      <c r="F6" s="39">
        <v>996.63199536482227</v>
      </c>
      <c r="G6" s="40">
        <v>1056.7178235226427</v>
      </c>
      <c r="H6" s="39">
        <v>994.98659561768375</v>
      </c>
      <c r="I6" s="40">
        <v>1089.447335038006</v>
      </c>
      <c r="J6" s="39">
        <v>993.35680849587675</v>
      </c>
      <c r="K6" s="40">
        <v>1125.8348479002068</v>
      </c>
      <c r="L6" s="39">
        <v>991.7352099117852</v>
      </c>
      <c r="M6" s="40">
        <v>1166.6378468667449</v>
      </c>
      <c r="N6" s="39">
        <v>990.11500462425897</v>
      </c>
      <c r="O6" s="40">
        <v>1212.850309439933</v>
      </c>
      <c r="P6" s="39">
        <v>988.49086698264364</v>
      </c>
      <c r="Q6" s="40">
        <v>1265.8068237726964</v>
      </c>
      <c r="R6" s="39">
        <v>986.860536441715</v>
      </c>
      <c r="S6" s="40">
        <v>1327.3491253937668</v>
      </c>
      <c r="T6" s="39">
        <v>985.22781557118492</v>
      </c>
      <c r="U6" s="40">
        <v>1400.1059099061918</v>
      </c>
      <c r="V6" s="39">
        <v>983.60815369981412</v>
      </c>
      <c r="W6" s="40">
        <v>1487.9793832804933</v>
      </c>
      <c r="X6" s="39">
        <v>982.03931917511454</v>
      </c>
      <c r="Y6" s="40">
        <v>1597.0614808536625</v>
      </c>
      <c r="Z6" s="39">
        <v>980.60232444429721</v>
      </c>
      <c r="AA6" s="40">
        <v>1737.4579655977211</v>
      </c>
      <c r="AB6" s="39">
        <v>979.46297239513831</v>
      </c>
      <c r="AC6" s="40">
        <v>1927.2741927862082</v>
      </c>
      <c r="AD6" s="39">
        <v>978.95307979466168</v>
      </c>
      <c r="AE6" s="40">
        <v>2202.2011339811934</v>
      </c>
      <c r="AF6" s="39">
        <v>979.70527300603192</v>
      </c>
      <c r="AG6" s="40">
        <v>2641.2002754284258</v>
      </c>
      <c r="AH6" s="39">
        <v>982.71788057026174</v>
      </c>
      <c r="AI6" s="40">
        <v>3443.0257462446466</v>
      </c>
      <c r="AJ6" s="39">
        <v>988.73708670834719</v>
      </c>
      <c r="AK6" s="40">
        <v>5189.0724177638931</v>
      </c>
      <c r="AL6" s="39"/>
      <c r="AM6" s="40"/>
      <c r="AN6" s="39"/>
      <c r="AO6" s="40"/>
      <c r="AP6" s="39"/>
      <c r="AQ6" s="40"/>
      <c r="AR6" s="39"/>
      <c r="AS6" s="40"/>
      <c r="AT6" s="39"/>
      <c r="AU6" s="40"/>
      <c r="AV6" s="39"/>
      <c r="AW6" s="40"/>
    </row>
    <row r="7" spans="1:49" x14ac:dyDescent="0.2">
      <c r="A7" t="s">
        <v>13</v>
      </c>
      <c r="B7" s="31">
        <v>1015.9116825427475</v>
      </c>
      <c r="C7" s="32">
        <v>1015.9116825427475</v>
      </c>
      <c r="D7" s="31">
        <v>1014.3077267985293</v>
      </c>
      <c r="E7" s="32">
        <v>1014.3077267985293</v>
      </c>
      <c r="F7" s="31">
        <v>1012.7324479446165</v>
      </c>
      <c r="G7" s="32">
        <v>1012.7324479446165</v>
      </c>
      <c r="H7" s="31">
        <v>1011.1787161355193</v>
      </c>
      <c r="I7" s="32">
        <v>1011.1787161355193</v>
      </c>
      <c r="J7" s="31">
        <v>1009.6393688251329</v>
      </c>
      <c r="K7" s="32">
        <v>1009.6393688251329</v>
      </c>
      <c r="L7" s="31">
        <v>1008.1074016041453</v>
      </c>
      <c r="M7" s="32">
        <v>1008.1074016041453</v>
      </c>
      <c r="N7" s="31">
        <v>1006.5763978312691</v>
      </c>
      <c r="O7" s="32">
        <v>1006.5763978312691</v>
      </c>
      <c r="P7" s="31">
        <v>1005.0413241259812</v>
      </c>
      <c r="Q7" s="32">
        <v>1005.0413241259812</v>
      </c>
      <c r="R7" s="31">
        <v>1003.50004046008</v>
      </c>
      <c r="S7" s="32">
        <v>1003.50004046008</v>
      </c>
      <c r="T7" s="31">
        <v>1001.9561387458667</v>
      </c>
      <c r="U7" s="32">
        <v>1001.9561387458667</v>
      </c>
      <c r="V7" s="31">
        <v>1000.4242313156219</v>
      </c>
      <c r="W7" s="32">
        <v>1000.4242313156219</v>
      </c>
      <c r="X7" s="31">
        <v>998.94006074551794</v>
      </c>
      <c r="Y7" s="32">
        <v>998.94006074551794</v>
      </c>
      <c r="Z7" s="31">
        <v>997.58032433269943</v>
      </c>
      <c r="AA7" s="32">
        <v>997.58032433269943</v>
      </c>
      <c r="AB7" s="31">
        <v>996.50203055002771</v>
      </c>
      <c r="AC7" s="32">
        <v>996.50203055002771</v>
      </c>
      <c r="AD7" s="31">
        <v>996.01940663174219</v>
      </c>
      <c r="AE7" s="32">
        <v>996.01940663174219</v>
      </c>
      <c r="AF7" s="31">
        <v>996.73136082502936</v>
      </c>
      <c r="AG7" s="32">
        <v>996.73136082502936</v>
      </c>
      <c r="AH7" s="31">
        <v>999.5820434539396</v>
      </c>
      <c r="AI7" s="32">
        <v>999.5820434539396</v>
      </c>
      <c r="AJ7" s="31">
        <v>1005.2740645374189</v>
      </c>
      <c r="AK7" s="32">
        <v>1005.2740645374189</v>
      </c>
      <c r="AL7" s="31"/>
      <c r="AM7" s="32"/>
      <c r="AN7" s="31"/>
      <c r="AO7" s="32"/>
      <c r="AP7" s="31"/>
      <c r="AQ7" s="32"/>
      <c r="AR7" s="31"/>
      <c r="AS7" s="32"/>
      <c r="AT7" s="31"/>
      <c r="AU7" s="32"/>
      <c r="AV7" s="31"/>
      <c r="AW7" s="32"/>
    </row>
    <row r="8" spans="1:49" x14ac:dyDescent="0.2">
      <c r="B8" s="33">
        <v>1005.7716594496609</v>
      </c>
      <c r="C8" s="34">
        <v>1005.7716594496609</v>
      </c>
      <c r="D8" s="33">
        <v>1068.8453663844805</v>
      </c>
      <c r="E8" s="34">
        <v>1068.8453663844805</v>
      </c>
      <c r="F8" s="33">
        <v>1139.5829785193796</v>
      </c>
      <c r="G8" s="34">
        <v>1139.5829785193796</v>
      </c>
      <c r="H8" s="33">
        <v>1219.4651457639995</v>
      </c>
      <c r="I8" s="34">
        <v>1219.4651457639995</v>
      </c>
      <c r="J8" s="33">
        <v>1310.3785689465574</v>
      </c>
      <c r="K8" s="34">
        <v>1310.3785689465574</v>
      </c>
      <c r="L8" s="33">
        <v>1414.7678090784232</v>
      </c>
      <c r="M8" s="34">
        <v>1414.7678090784232</v>
      </c>
      <c r="N8" s="33">
        <v>1535.8636332565186</v>
      </c>
      <c r="O8" s="34">
        <v>1535.8636332565186</v>
      </c>
      <c r="P8" s="33">
        <v>1678.0340768331882</v>
      </c>
      <c r="Q8" s="34">
        <v>1678.0340768331882</v>
      </c>
      <c r="R8" s="33">
        <v>1847.3488345134738</v>
      </c>
      <c r="S8" s="34">
        <v>1847.3488345134738</v>
      </c>
      <c r="T8" s="33">
        <v>2052.5267429143428</v>
      </c>
      <c r="U8" s="34">
        <v>2052.5267429143428</v>
      </c>
      <c r="V8" s="33">
        <v>2306.5990369143287</v>
      </c>
      <c r="W8" s="34">
        <v>2306.5990369143287</v>
      </c>
      <c r="X8" s="33">
        <v>2630.0503546162518</v>
      </c>
      <c r="Y8" s="34">
        <v>2630.0503546162518</v>
      </c>
      <c r="Z8" s="33">
        <v>3057.1332909111125</v>
      </c>
      <c r="AA8" s="34">
        <v>3057.1332909111125</v>
      </c>
      <c r="AB8" s="33">
        <v>3649.815149337252</v>
      </c>
      <c r="AC8" s="34">
        <v>3649.815149337252</v>
      </c>
      <c r="AD8" s="33">
        <v>4531.8566816397724</v>
      </c>
      <c r="AE8" s="34">
        <v>4531.8566816397724</v>
      </c>
      <c r="AF8" s="33">
        <v>5982.2185259471516</v>
      </c>
      <c r="AG8" s="34">
        <v>5982.2185259471516</v>
      </c>
      <c r="AH8" s="33">
        <v>8722.1764871547002</v>
      </c>
      <c r="AI8" s="34">
        <v>8722.1764871547002</v>
      </c>
      <c r="AJ8" s="33">
        <v>14931.016220653595</v>
      </c>
      <c r="AK8" s="34">
        <v>14931.016220653595</v>
      </c>
      <c r="AL8" s="33"/>
      <c r="AM8" s="34"/>
      <c r="AN8" s="33"/>
      <c r="AO8" s="34"/>
      <c r="AP8" s="33"/>
      <c r="AQ8" s="34"/>
      <c r="AR8" s="33"/>
      <c r="AS8" s="34"/>
      <c r="AT8" s="33"/>
      <c r="AU8" s="34"/>
      <c r="AV8" s="33"/>
      <c r="AW8" s="34"/>
    </row>
    <row r="9" spans="1:49" x14ac:dyDescent="0.2">
      <c r="A9" t="s">
        <v>14</v>
      </c>
      <c r="B9" s="39">
        <v>1015.9116825427475</v>
      </c>
      <c r="C9" s="40">
        <v>1005.7716594496609</v>
      </c>
      <c r="D9" s="39">
        <v>1014.3077267985293</v>
      </c>
      <c r="E9" s="40">
        <v>1068.8453663844805</v>
      </c>
      <c r="F9" s="39">
        <v>1012.7324479446165</v>
      </c>
      <c r="G9" s="40">
        <v>1139.5829785193796</v>
      </c>
      <c r="H9" s="39">
        <v>1011.1787161355193</v>
      </c>
      <c r="I9" s="40">
        <v>1219.4651457639995</v>
      </c>
      <c r="J9" s="39">
        <v>1009.6393688251329</v>
      </c>
      <c r="K9" s="40">
        <v>1310.3785689465574</v>
      </c>
      <c r="L9" s="39">
        <v>1008.1074016041453</v>
      </c>
      <c r="M9" s="40">
        <v>1414.7678090784232</v>
      </c>
      <c r="N9" s="39">
        <v>1006.5763978312691</v>
      </c>
      <c r="O9" s="40">
        <v>1535.8636332565186</v>
      </c>
      <c r="P9" s="39">
        <v>1005.0413241259812</v>
      </c>
      <c r="Q9" s="40">
        <v>1678.0340768331882</v>
      </c>
      <c r="R9" s="39">
        <v>1003.50004046008</v>
      </c>
      <c r="S9" s="40">
        <v>1847.3488345134738</v>
      </c>
      <c r="T9" s="39">
        <v>1001.9561387458667</v>
      </c>
      <c r="U9" s="40">
        <v>2052.5267429143428</v>
      </c>
      <c r="V9" s="39">
        <v>1000.4242313156219</v>
      </c>
      <c r="W9" s="40">
        <v>2306.5990369143287</v>
      </c>
      <c r="X9" s="39">
        <v>998.94006074551794</v>
      </c>
      <c r="Y9" s="40">
        <v>2630.0503546162518</v>
      </c>
      <c r="Z9" s="39">
        <v>997.58032433269943</v>
      </c>
      <c r="AA9" s="40">
        <v>3057.1332909111125</v>
      </c>
      <c r="AB9" s="39">
        <v>996.50203055002771</v>
      </c>
      <c r="AC9" s="40">
        <v>3649.815149337252</v>
      </c>
      <c r="AD9" s="39">
        <v>996.01940663174219</v>
      </c>
      <c r="AE9" s="40">
        <v>4531.8566816397724</v>
      </c>
      <c r="AF9" s="39">
        <v>996.73136082502936</v>
      </c>
      <c r="AG9" s="40">
        <v>5982.2185259471516</v>
      </c>
      <c r="AH9" s="39">
        <v>999.5820434539396</v>
      </c>
      <c r="AI9" s="40">
        <v>8722.1764871547002</v>
      </c>
      <c r="AJ9" s="39">
        <v>1005.2740645374189</v>
      </c>
      <c r="AK9" s="40">
        <v>14931.016220653595</v>
      </c>
      <c r="AL9" s="39"/>
      <c r="AM9" s="40"/>
      <c r="AN9" s="39"/>
      <c r="AO9" s="40"/>
      <c r="AP9" s="39"/>
      <c r="AQ9" s="40"/>
      <c r="AR9" s="39"/>
      <c r="AS9" s="40"/>
      <c r="AT9" s="39"/>
      <c r="AU9" s="40"/>
      <c r="AV9" s="39"/>
      <c r="AW9" s="40"/>
    </row>
    <row r="10" spans="1:49" x14ac:dyDescent="0.2">
      <c r="A10" t="s">
        <v>15</v>
      </c>
      <c r="B10" s="39">
        <v>1015.9116825427475</v>
      </c>
      <c r="C10" s="40">
        <v>1005.7716594496609</v>
      </c>
      <c r="D10" s="39">
        <v>1014.3077267985293</v>
      </c>
      <c r="E10" s="40">
        <v>1068.8453663844805</v>
      </c>
      <c r="F10" s="39">
        <v>1012.7324479446165</v>
      </c>
      <c r="G10" s="40">
        <v>1139.5829785193796</v>
      </c>
      <c r="H10" s="39">
        <v>1011.1787161355193</v>
      </c>
      <c r="I10" s="40">
        <v>1219.4651457639995</v>
      </c>
      <c r="J10" s="39">
        <v>1009.6393688251329</v>
      </c>
      <c r="K10" s="40">
        <v>1310.3785689465574</v>
      </c>
      <c r="L10" s="39">
        <v>1008.1074016041453</v>
      </c>
      <c r="M10" s="40">
        <v>1414.7678090784232</v>
      </c>
      <c r="N10" s="39">
        <v>1006.5763978312691</v>
      </c>
      <c r="O10" s="40">
        <v>1535.8636332565186</v>
      </c>
      <c r="P10" s="39">
        <v>1005.0413241259812</v>
      </c>
      <c r="Q10" s="40">
        <v>1678.0340768331882</v>
      </c>
      <c r="R10" s="39">
        <v>1003.50004046008</v>
      </c>
      <c r="S10" s="40">
        <v>1847.3488345134738</v>
      </c>
      <c r="T10" s="39">
        <v>1001.9561387458667</v>
      </c>
      <c r="U10" s="40">
        <v>2052.5267429143428</v>
      </c>
      <c r="V10" s="39">
        <v>1000.4242313156219</v>
      </c>
      <c r="W10" s="40">
        <v>2306.5990369143287</v>
      </c>
      <c r="X10" s="39">
        <v>998.94006074551794</v>
      </c>
      <c r="Y10" s="40">
        <v>2630.0503546162518</v>
      </c>
      <c r="Z10" s="39">
        <v>997.58032433269943</v>
      </c>
      <c r="AA10" s="40">
        <v>3057.1332909111125</v>
      </c>
      <c r="AB10" s="39">
        <v>996.50203055002771</v>
      </c>
      <c r="AC10" s="40">
        <v>3649.815149337252</v>
      </c>
      <c r="AD10" s="39">
        <v>996.01940663174219</v>
      </c>
      <c r="AE10" s="40">
        <v>4531.8566816397724</v>
      </c>
      <c r="AF10" s="39">
        <v>996.73136082502936</v>
      </c>
      <c r="AG10" s="40">
        <v>5982.2185259471516</v>
      </c>
      <c r="AH10" s="39">
        <v>999.5820434539396</v>
      </c>
      <c r="AI10" s="40">
        <v>8722.1764871547002</v>
      </c>
      <c r="AJ10" s="39">
        <v>1005.2740645374189</v>
      </c>
      <c r="AK10" s="40">
        <v>14931.016220653595</v>
      </c>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1014.3077267985293</v>
      </c>
      <c r="E11" s="40">
        <v>1068.8453663844805</v>
      </c>
      <c r="F11" s="39">
        <v>1012.7324479446165</v>
      </c>
      <c r="G11" s="40">
        <v>1139.5829785193796</v>
      </c>
      <c r="H11" s="39">
        <v>1011.1787161355193</v>
      </c>
      <c r="I11" s="40">
        <v>1219.4651457639995</v>
      </c>
      <c r="J11" s="39">
        <v>1009.6393688251329</v>
      </c>
      <c r="K11" s="40">
        <v>1310.3785689465574</v>
      </c>
      <c r="L11" s="39">
        <v>1008.1074016041453</v>
      </c>
      <c r="M11" s="40">
        <v>1414.7678090784232</v>
      </c>
      <c r="N11" s="39">
        <v>1006.5763978312691</v>
      </c>
      <c r="O11" s="40">
        <v>1535.8636332565186</v>
      </c>
      <c r="P11" s="39">
        <v>1005.0413241259812</v>
      </c>
      <c r="Q11" s="40">
        <v>1678.0340768331882</v>
      </c>
      <c r="R11" s="39">
        <v>1003.50004046008</v>
      </c>
      <c r="S11" s="40">
        <v>1847.3488345134738</v>
      </c>
      <c r="T11" s="39">
        <v>1001.9561387458667</v>
      </c>
      <c r="U11" s="40">
        <v>2052.5267429143428</v>
      </c>
      <c r="V11" s="39">
        <v>1000.4242313156219</v>
      </c>
      <c r="W11" s="40">
        <v>2306.5990369143287</v>
      </c>
      <c r="X11" s="39">
        <v>998.94006074551794</v>
      </c>
      <c r="Y11" s="40">
        <v>2630.0503546162518</v>
      </c>
      <c r="Z11" s="39">
        <v>997.58032433269943</v>
      </c>
      <c r="AA11" s="40">
        <v>3057.1332909111125</v>
      </c>
      <c r="AB11" s="39">
        <v>996.50203055002771</v>
      </c>
      <c r="AC11" s="40">
        <v>3649.815149337252</v>
      </c>
      <c r="AD11" s="39">
        <v>996.01940663174219</v>
      </c>
      <c r="AE11" s="40">
        <v>4531.8566816397724</v>
      </c>
      <c r="AF11" s="39">
        <v>996.73136082502936</v>
      </c>
      <c r="AG11" s="40">
        <v>5982.2185259471516</v>
      </c>
      <c r="AH11" s="39">
        <v>999.5820434539396</v>
      </c>
      <c r="AI11" s="40">
        <v>8722.1764871547002</v>
      </c>
      <c r="AJ11" s="39">
        <v>1005.2740645374189</v>
      </c>
      <c r="AK11" s="40">
        <v>14931.016220653595</v>
      </c>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c r="AM12" s="40"/>
      <c r="AN12" s="39"/>
      <c r="AO12" s="40"/>
      <c r="AP12" s="39"/>
      <c r="AQ12" s="40"/>
      <c r="AR12" s="39"/>
      <c r="AS12" s="40"/>
      <c r="AT12" s="39"/>
      <c r="AU12" s="40"/>
      <c r="AV12" s="39"/>
      <c r="AW12" s="40"/>
    </row>
    <row r="13" spans="1:49" x14ac:dyDescent="0.2">
      <c r="A13" t="s">
        <v>17</v>
      </c>
      <c r="B13" s="93">
        <v>1000</v>
      </c>
      <c r="C13" s="94">
        <v>1000</v>
      </c>
      <c r="D13" s="93">
        <v>968.31482246972439</v>
      </c>
      <c r="E13" s="94">
        <v>968.31482246972439</v>
      </c>
      <c r="F13" s="93">
        <v>936.2939882243013</v>
      </c>
      <c r="G13" s="94">
        <v>936.2939882243013</v>
      </c>
      <c r="H13" s="93">
        <v>903.81789150362272</v>
      </c>
      <c r="I13" s="94">
        <v>903.81789150362272</v>
      </c>
      <c r="J13" s="93">
        <v>870.74504789546393</v>
      </c>
      <c r="K13" s="94">
        <v>870.74504789546393</v>
      </c>
      <c r="L13" s="93">
        <v>836.90369748973421</v>
      </c>
      <c r="M13" s="94">
        <v>836.90369748973421</v>
      </c>
      <c r="N13" s="93">
        <v>802.07915611059025</v>
      </c>
      <c r="O13" s="94">
        <v>802.07915611059025</v>
      </c>
      <c r="P13" s="93">
        <v>765.99522715456044</v>
      </c>
      <c r="Q13" s="94">
        <v>765.99522715456044</v>
      </c>
      <c r="R13" s="93">
        <v>728.28372726893338</v>
      </c>
      <c r="S13" s="94">
        <v>728.28372726893338</v>
      </c>
      <c r="T13" s="93">
        <v>688.43611934073829</v>
      </c>
      <c r="U13" s="94">
        <v>688.43611934073829</v>
      </c>
      <c r="V13" s="93">
        <v>645.72003552805472</v>
      </c>
      <c r="W13" s="94">
        <v>645.72003552805472</v>
      </c>
      <c r="X13" s="93">
        <v>599.02976387306853</v>
      </c>
      <c r="Y13" s="94">
        <v>599.02976387306853</v>
      </c>
      <c r="Z13" s="93">
        <v>546.61075503831592</v>
      </c>
      <c r="AA13" s="94">
        <v>546.61075503831592</v>
      </c>
      <c r="AB13" s="93">
        <v>485.52585226638706</v>
      </c>
      <c r="AC13" s="94">
        <v>485.52585226638706</v>
      </c>
      <c r="AD13" s="93">
        <v>410.62529067016317</v>
      </c>
      <c r="AE13" s="94">
        <v>410.62529067016317</v>
      </c>
      <c r="AF13" s="93">
        <v>312.82379490860393</v>
      </c>
      <c r="AG13" s="94">
        <v>312.82379490860393</v>
      </c>
      <c r="AH13" s="93">
        <v>178.69669231932713</v>
      </c>
      <c r="AI13" s="94">
        <v>178.69669231932713</v>
      </c>
      <c r="AJ13" s="93">
        <v>15.260127469356426</v>
      </c>
      <c r="AK13" s="94">
        <v>15.260127469356426</v>
      </c>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1410.8380129575678</v>
      </c>
      <c r="E14" s="40">
        <v>1410.838012957568</v>
      </c>
      <c r="F14" s="39">
        <v>1364.1835477859693</v>
      </c>
      <c r="G14" s="40">
        <v>1364.1835477859695</v>
      </c>
      <c r="H14" s="39">
        <v>1316.8657636285832</v>
      </c>
      <c r="I14" s="40">
        <v>1316.8657636285834</v>
      </c>
      <c r="J14" s="39">
        <v>1268.6785172121936</v>
      </c>
      <c r="K14" s="40">
        <v>1268.6785172121938</v>
      </c>
      <c r="L14" s="39">
        <v>1219.3715537594956</v>
      </c>
      <c r="M14" s="40">
        <v>1219.3715537594958</v>
      </c>
      <c r="N14" s="39">
        <v>1168.6320776909608</v>
      </c>
      <c r="O14" s="40">
        <v>1168.6320776909611</v>
      </c>
      <c r="P14" s="39">
        <v>1116.0576696093176</v>
      </c>
      <c r="Q14" s="40">
        <v>1116.0576696093178</v>
      </c>
      <c r="R14" s="39">
        <v>1061.1118851085841</v>
      </c>
      <c r="S14" s="40">
        <v>1061.1118851085841</v>
      </c>
      <c r="T14" s="39">
        <v>1003.0537838733479</v>
      </c>
      <c r="U14" s="40">
        <v>1003.053783873348</v>
      </c>
      <c r="V14" s="39">
        <v>940.81630344946473</v>
      </c>
      <c r="W14" s="40">
        <v>940.81630344946484</v>
      </c>
      <c r="X14" s="39">
        <v>872.78841772717487</v>
      </c>
      <c r="Y14" s="40">
        <v>872.78841772717499</v>
      </c>
      <c r="Z14" s="39">
        <v>796.41374231220686</v>
      </c>
      <c r="AA14" s="40">
        <v>796.41374231220698</v>
      </c>
      <c r="AB14" s="39">
        <v>707.41282974882529</v>
      </c>
      <c r="AC14" s="40">
        <v>707.4128297488254</v>
      </c>
      <c r="AD14" s="39">
        <v>598.28245495780379</v>
      </c>
      <c r="AE14" s="40">
        <v>598.28245495780391</v>
      </c>
      <c r="AF14" s="39">
        <v>455.78534064885662</v>
      </c>
      <c r="AG14" s="40">
        <v>455.78534064885667</v>
      </c>
      <c r="AH14" s="39">
        <v>260.36169277143534</v>
      </c>
      <c r="AI14" s="40">
        <v>260.3616927714354</v>
      </c>
      <c r="AJ14" s="39">
        <v>22.2340579910096</v>
      </c>
      <c r="AK14" s="40">
        <v>22.234057991009603</v>
      </c>
      <c r="AL14" s="39"/>
      <c r="AM14" s="40"/>
      <c r="AN14" s="39"/>
      <c r="AO14" s="40"/>
      <c r="AP14" s="39"/>
      <c r="AQ14" s="40"/>
      <c r="AR14" s="39"/>
      <c r="AS14" s="40"/>
      <c r="AT14" s="39"/>
      <c r="AU14" s="40"/>
      <c r="AV14" s="39"/>
      <c r="AW14" s="40"/>
    </row>
    <row r="15" spans="1:49" x14ac:dyDescent="0.2">
      <c r="A15" t="s">
        <v>18</v>
      </c>
      <c r="B15" s="144">
        <v>1000</v>
      </c>
      <c r="C15" s="145">
        <v>1000</v>
      </c>
      <c r="D15" s="144">
        <v>1027.503981650601</v>
      </c>
      <c r="E15" s="145">
        <v>1027.503981650601</v>
      </c>
      <c r="F15" s="144">
        <v>1055.5513842709195</v>
      </c>
      <c r="G15" s="145">
        <v>1055.5513842709195</v>
      </c>
      <c r="H15" s="144">
        <v>1084.2265502138007</v>
      </c>
      <c r="I15" s="145">
        <v>1084.2265502138007</v>
      </c>
      <c r="J15" s="144">
        <v>1113.6337551333106</v>
      </c>
      <c r="K15" s="145">
        <v>1113.6337551333106</v>
      </c>
      <c r="L15" s="144">
        <v>1143.905721334505</v>
      </c>
      <c r="M15" s="145">
        <v>1143.905721334505</v>
      </c>
      <c r="N15" s="144">
        <v>1175.2170103689789</v>
      </c>
      <c r="O15" s="145">
        <v>1175.2170103689789</v>
      </c>
      <c r="P15" s="144">
        <v>1207.8048793153594</v>
      </c>
      <c r="Q15" s="145">
        <v>1207.8048793153594</v>
      </c>
      <c r="R15" s="144">
        <v>1242.005042701014</v>
      </c>
      <c r="S15" s="145">
        <v>1242.005042701014</v>
      </c>
      <c r="T15" s="144">
        <v>1278.3115388407691</v>
      </c>
      <c r="U15" s="145">
        <v>1278.3115388407691</v>
      </c>
      <c r="V15" s="144">
        <v>1317.4855157167476</v>
      </c>
      <c r="W15" s="145">
        <v>1317.4855157167476</v>
      </c>
      <c r="X15" s="144">
        <v>1360.7610373376992</v>
      </c>
      <c r="Y15" s="145">
        <v>1360.7610373376992</v>
      </c>
      <c r="Z15" s="144">
        <v>1410.2519568081534</v>
      </c>
      <c r="AA15" s="145">
        <v>1410.2519568081534</v>
      </c>
      <c r="AB15" s="144">
        <v>1469.8115075194867</v>
      </c>
      <c r="AC15" s="145">
        <v>1469.8115075194867</v>
      </c>
      <c r="AD15" s="144">
        <v>1546.9394893682254</v>
      </c>
      <c r="AE15" s="145">
        <v>1546.9394893682254</v>
      </c>
      <c r="AF15" s="144">
        <v>1657.103969196331</v>
      </c>
      <c r="AG15" s="145">
        <v>1657.103969196331</v>
      </c>
      <c r="AH15" s="144">
        <v>1832.8452762627717</v>
      </c>
      <c r="AI15" s="145">
        <v>1832.8452762627717</v>
      </c>
      <c r="AJ15" s="144">
        <v>2140.508727870365</v>
      </c>
      <c r="AK15" s="145">
        <v>2140.508727870365</v>
      </c>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995.81570175750892</v>
      </c>
      <c r="E16" s="40">
        <v>1010.5563051260267</v>
      </c>
      <c r="F16" s="39">
        <v>991.43452039486544</v>
      </c>
      <c r="G16" s="40">
        <v>1021.2949201766869</v>
      </c>
      <c r="H16" s="39">
        <v>986.81457144074409</v>
      </c>
      <c r="I16" s="40">
        <v>1032.236037270397</v>
      </c>
      <c r="J16" s="39">
        <v>981.9058747809097</v>
      </c>
      <c r="K16" s="40">
        <v>1043.4057113968031</v>
      </c>
      <c r="L16" s="39">
        <v>976.64783871895702</v>
      </c>
      <c r="M16" s="40">
        <v>1054.838821995377</v>
      </c>
      <c r="N16" s="39">
        <v>970.9657073486278</v>
      </c>
      <c r="O16" s="40">
        <v>1066.5839197802636</v>
      </c>
      <c r="P16" s="39">
        <v>964.76541864531703</v>
      </c>
      <c r="Q16" s="40">
        <v>1078.7110354761967</v>
      </c>
      <c r="R16" s="39">
        <v>957.9258128933086</v>
      </c>
      <c r="S16" s="40">
        <v>1091.3255662412016</v>
      </c>
      <c r="T16" s="39">
        <v>950.28637076340624</v>
      </c>
      <c r="U16" s="40">
        <v>1104.592067332997</v>
      </c>
      <c r="V16" s="39">
        <v>941.62705667417947</v>
      </c>
      <c r="W16" s="40">
        <v>1118.7787401761127</v>
      </c>
      <c r="X16" s="39">
        <v>931.63232934505402</v>
      </c>
      <c r="Y16" s="40">
        <v>1134.3433009504624</v>
      </c>
      <c r="Z16" s="39">
        <v>919.82398594346978</v>
      </c>
      <c r="AA16" s="40">
        <v>1152.1065901874731</v>
      </c>
      <c r="AB16" s="39">
        <v>905.42265854335517</v>
      </c>
      <c r="AC16" s="40">
        <v>1173.6269086939956</v>
      </c>
      <c r="AD16" s="39">
        <v>887.03646415991159</v>
      </c>
      <c r="AE16" s="40">
        <v>1202.0513352641051</v>
      </c>
      <c r="AF16" s="39">
        <v>861.89337070812587</v>
      </c>
      <c r="AG16" s="40">
        <v>1244.1212354855102</v>
      </c>
      <c r="AH16" s="39">
        <v>823.84144733060373</v>
      </c>
      <c r="AI16" s="40">
        <v>1314.8570309169215</v>
      </c>
      <c r="AJ16" s="39">
        <v>758.17931905049852</v>
      </c>
      <c r="AK16" s="40">
        <v>1451.6200506085329</v>
      </c>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998.56523057519064</v>
      </c>
      <c r="E17" s="34">
        <v>1038.2286435538119</v>
      </c>
      <c r="F17" s="33">
        <v>997.15791022254984</v>
      </c>
      <c r="G17" s="34">
        <v>1080.3999534828595</v>
      </c>
      <c r="H17" s="33">
        <v>995.77158945804547</v>
      </c>
      <c r="I17" s="34">
        <v>1127.2430062591802</v>
      </c>
      <c r="J17" s="33">
        <v>994.39982309570075</v>
      </c>
      <c r="K17" s="34">
        <v>1179.6826423699888</v>
      </c>
      <c r="L17" s="33">
        <v>993.03633611951511</v>
      </c>
      <c r="M17" s="34">
        <v>1238.9120899648592</v>
      </c>
      <c r="N17" s="33">
        <v>991.67541083450226</v>
      </c>
      <c r="O17" s="34">
        <v>1306.5021838987379</v>
      </c>
      <c r="P17" s="33">
        <v>990.3125852816421</v>
      </c>
      <c r="Q17" s="34">
        <v>1384.5689712854337</v>
      </c>
      <c r="R17" s="33">
        <v>988.94597576904664</v>
      </c>
      <c r="S17" s="34">
        <v>1476.0432549573625</v>
      </c>
      <c r="T17" s="33">
        <v>987.57879415096011</v>
      </c>
      <c r="U17" s="34">
        <v>1585.1223021129872</v>
      </c>
      <c r="V17" s="33">
        <v>986.22396548926804</v>
      </c>
      <c r="W17" s="34">
        <v>1718.0618402051196</v>
      </c>
      <c r="X17" s="33">
        <v>984.91300741467126</v>
      </c>
      <c r="Y17" s="34">
        <v>1884.6692184211106</v>
      </c>
      <c r="Z17" s="33">
        <v>983.71339263851996</v>
      </c>
      <c r="AA17" s="34">
        <v>2101.2950378200649</v>
      </c>
      <c r="AB17" s="33">
        <v>982.76305497480621</v>
      </c>
      <c r="AC17" s="34">
        <v>2397.411147139203</v>
      </c>
      <c r="AD17" s="33">
        <v>982.33798046776326</v>
      </c>
      <c r="AE17" s="34">
        <v>2831.5702191488554</v>
      </c>
      <c r="AF17" s="33">
        <v>982.96509832594029</v>
      </c>
      <c r="AG17" s="34">
        <v>3534.6828758352317</v>
      </c>
      <c r="AH17" s="33">
        <v>985.47986631733863</v>
      </c>
      <c r="AI17" s="34">
        <v>4841.05334215524</v>
      </c>
      <c r="AJ17" s="33">
        <v>990.51909762964124</v>
      </c>
      <c r="AK17" s="34">
        <v>7746.4315007466403</v>
      </c>
      <c r="AL17" s="33"/>
      <c r="AM17" s="34"/>
      <c r="AN17" s="33"/>
      <c r="AO17" s="34"/>
      <c r="AP17" s="33"/>
      <c r="AQ17" s="34"/>
      <c r="AR17" s="33"/>
      <c r="AS17" s="34"/>
      <c r="AT17" s="33"/>
      <c r="AU17" s="34"/>
      <c r="AV17" s="33"/>
      <c r="AW17" s="34"/>
    </row>
    <row r="18" spans="1:49" x14ac:dyDescent="0.2">
      <c r="A18" t="s">
        <v>19</v>
      </c>
      <c r="B18" s="31">
        <v>27857.010133999996</v>
      </c>
      <c r="C18" s="32">
        <v>1236.7674480000003</v>
      </c>
      <c r="D18" s="31">
        <v>28169.896112279097</v>
      </c>
      <c r="E18" s="32">
        <v>1146.6416780881348</v>
      </c>
      <c r="F18" s="31">
        <v>28481.615173757029</v>
      </c>
      <c r="G18" s="32">
        <v>1057.1510576621879</v>
      </c>
      <c r="H18" s="31">
        <v>28792.602001882849</v>
      </c>
      <c r="I18" s="32">
        <v>968.30530868969981</v>
      </c>
      <c r="J18" s="31">
        <v>29103.338580468222</v>
      </c>
      <c r="K18" s="32">
        <v>880.12941806542335</v>
      </c>
      <c r="L18" s="31">
        <v>29414.383108037724</v>
      </c>
      <c r="M18" s="32">
        <v>792.66950914734355</v>
      </c>
      <c r="N18" s="31">
        <v>29726.405164399799</v>
      </c>
      <c r="O18" s="32">
        <v>706.00627006940238</v>
      </c>
      <c r="P18" s="31">
        <v>30040.253970733018</v>
      </c>
      <c r="Q18" s="32">
        <v>620.26767706309761</v>
      </c>
      <c r="R18" s="31">
        <v>30357.066248700256</v>
      </c>
      <c r="S18" s="32">
        <v>535.65791283494605</v>
      </c>
      <c r="T18" s="31">
        <v>30678.445159342598</v>
      </c>
      <c r="U18" s="32">
        <v>452.49367569303371</v>
      </c>
      <c r="V18" s="31">
        <v>31006.798320087823</v>
      </c>
      <c r="W18" s="32">
        <v>371.26909045456495</v>
      </c>
      <c r="X18" s="31">
        <v>31345.971523798209</v>
      </c>
      <c r="Y18" s="32">
        <v>292.75621342118899</v>
      </c>
      <c r="Z18" s="31">
        <v>31702.483646092667</v>
      </c>
      <c r="AA18" s="32">
        <v>218.16987173905954</v>
      </c>
      <c r="AB18" s="31">
        <v>32088.058866315274</v>
      </c>
      <c r="AC18" s="32">
        <v>149.43042036373186</v>
      </c>
      <c r="AD18" s="31">
        <v>32524.833466955555</v>
      </c>
      <c r="AE18" s="32">
        <v>89.532528027803551</v>
      </c>
      <c r="AF18" s="31">
        <v>33055.173117178645</v>
      </c>
      <c r="AG18" s="32">
        <v>42.79257014538782</v>
      </c>
      <c r="AH18" s="31">
        <v>33752.546028186669</v>
      </c>
      <c r="AI18" s="32">
        <v>13.722675740030789</v>
      </c>
      <c r="AJ18" s="31">
        <v>34698.173521182973</v>
      </c>
      <c r="AK18" s="32">
        <v>2.1901902378703229</v>
      </c>
      <c r="AL18" s="31"/>
      <c r="AM18" s="32"/>
      <c r="AN18" s="31"/>
      <c r="AO18" s="32"/>
      <c r="AP18" s="31"/>
      <c r="AQ18" s="32"/>
      <c r="AR18" s="31"/>
      <c r="AS18" s="32"/>
      <c r="AT18" s="31"/>
      <c r="AU18" s="32"/>
      <c r="AV18" s="31"/>
      <c r="AW18" s="32"/>
    </row>
    <row r="19" spans="1:49" x14ac:dyDescent="0.2">
      <c r="A19" t="s">
        <v>3</v>
      </c>
      <c r="B19" s="39">
        <v>1886.3937399999918</v>
      </c>
      <c r="C19" s="40">
        <v>262.78711299999759</v>
      </c>
      <c r="D19" s="39">
        <v>1900.360236612491</v>
      </c>
      <c r="E19" s="40">
        <v>272.12413014219578</v>
      </c>
      <c r="F19" s="39">
        <v>1914.231703408655</v>
      </c>
      <c r="G19" s="40">
        <v>282.20032140038523</v>
      </c>
      <c r="H19" s="39">
        <v>1928.0094577347297</v>
      </c>
      <c r="I19" s="40">
        <v>293.10479831074815</v>
      </c>
      <c r="J19" s="39">
        <v>1941.6961754554047</v>
      </c>
      <c r="K19" s="40">
        <v>304.93546437602106</v>
      </c>
      <c r="L19" s="39">
        <v>1955.2986650821449</v>
      </c>
      <c r="M19" s="40">
        <v>317.79704931710319</v>
      </c>
      <c r="N19" s="39">
        <v>1968.8321761096738</v>
      </c>
      <c r="O19" s="40">
        <v>331.79677066961466</v>
      </c>
      <c r="P19" s="39">
        <v>1982.3286748923958</v>
      </c>
      <c r="Q19" s="40">
        <v>347.03449794489961</v>
      </c>
      <c r="R19" s="39">
        <v>1995.851227408117</v>
      </c>
      <c r="S19" s="40">
        <v>363.58343883135848</v>
      </c>
      <c r="T19" s="39">
        <v>2009.5196644021771</v>
      </c>
      <c r="U19" s="40">
        <v>381.45406942384113</v>
      </c>
      <c r="V19" s="39">
        <v>2023.5590417371272</v>
      </c>
      <c r="W19" s="40">
        <v>400.52103574217813</v>
      </c>
      <c r="X19" s="39">
        <v>2038.3920427233463</v>
      </c>
      <c r="Y19" s="40">
        <v>420.3857244006428</v>
      </c>
      <c r="Z19" s="39">
        <v>2054.8210349915807</v>
      </c>
      <c r="AA19" s="40">
        <v>440.0954888540561</v>
      </c>
      <c r="AB19" s="39">
        <v>2074.3985580313542</v>
      </c>
      <c r="AC19" s="40">
        <v>457.57774755950038</v>
      </c>
      <c r="AD19" s="39">
        <v>2100.180904305535</v>
      </c>
      <c r="AE19" s="40">
        <v>468.50071065624553</v>
      </c>
      <c r="AF19" s="39">
        <v>2138.1051629292233</v>
      </c>
      <c r="AG19" s="40">
        <v>464.27479952450824</v>
      </c>
      <c r="AH19" s="39">
        <v>2198.2881105037663</v>
      </c>
      <c r="AI19" s="40">
        <v>430.60972017008112</v>
      </c>
      <c r="AJ19" s="39">
        <v>2290.9762172120227</v>
      </c>
      <c r="AK19" s="40">
        <v>354.91400696535027</v>
      </c>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26829.567175006465</v>
      </c>
      <c r="E20" s="80">
        <v>1338.1147774499941</v>
      </c>
      <c r="F20" s="79">
        <v>27109.54661225107</v>
      </c>
      <c r="G20" s="80">
        <v>1267.6876838999945</v>
      </c>
      <c r="H20" s="79">
        <v>27388.64331035332</v>
      </c>
      <c r="I20" s="80">
        <v>1197.2605903499946</v>
      </c>
      <c r="J20" s="79">
        <v>27667.245359541866</v>
      </c>
      <c r="K20" s="80">
        <v>1126.8334967999951</v>
      </c>
      <c r="L20" s="79">
        <v>27945.809656142545</v>
      </c>
      <c r="M20" s="80">
        <v>1056.4064032499953</v>
      </c>
      <c r="N20" s="79">
        <v>28224.900022070815</v>
      </c>
      <c r="O20" s="80">
        <v>985.97930969999561</v>
      </c>
      <c r="P20" s="79">
        <v>28505.261204410166</v>
      </c>
      <c r="Q20" s="80">
        <v>915.55221614999596</v>
      </c>
      <c r="R20" s="79">
        <v>28787.939176140811</v>
      </c>
      <c r="S20" s="80">
        <v>845.12512259999642</v>
      </c>
      <c r="T20" s="79">
        <v>29074.485562098602</v>
      </c>
      <c r="U20" s="80">
        <v>774.69795862290312</v>
      </c>
      <c r="V20" s="79">
        <v>29367.344344908968</v>
      </c>
      <c r="W20" s="80">
        <v>704.27093549999984</v>
      </c>
      <c r="X20" s="79">
        <v>29670.581282517913</v>
      </c>
      <c r="Y20" s="80">
        <v>633.84384194999734</v>
      </c>
      <c r="Z20" s="79">
        <v>29991.311181015928</v>
      </c>
      <c r="AA20" s="80">
        <v>563.41674839999757</v>
      </c>
      <c r="AB20" s="79">
        <v>30342.616322578051</v>
      </c>
      <c r="AC20" s="80">
        <v>492.98965484999775</v>
      </c>
      <c r="AD20" s="79">
        <v>30749.51741125578</v>
      </c>
      <c r="AE20" s="80">
        <v>422.56256129999798</v>
      </c>
      <c r="AF20" s="79">
        <v>31260.075019124655</v>
      </c>
      <c r="AG20" s="80">
        <v>352.13546774999827</v>
      </c>
      <c r="AH20" s="79">
        <v>31956.920260009101</v>
      </c>
      <c r="AI20" s="80">
        <v>281.70837419999856</v>
      </c>
      <c r="AJ20" s="79">
        <v>32928.263171275205</v>
      </c>
      <c r="AK20" s="80">
        <v>211.28128064999879</v>
      </c>
      <c r="AL20" s="79"/>
      <c r="AM20" s="80"/>
      <c r="AN20" s="79"/>
      <c r="AO20" s="80"/>
      <c r="AP20" s="79"/>
      <c r="AQ20" s="80"/>
      <c r="AR20" s="79"/>
      <c r="AS20" s="80"/>
      <c r="AT20" s="79"/>
      <c r="AU20" s="80"/>
      <c r="AV20" s="79"/>
      <c r="AW20" s="80"/>
    </row>
    <row r="21" spans="1:49" x14ac:dyDescent="0.2">
      <c r="A21" t="s">
        <v>76</v>
      </c>
      <c r="B21" s="79">
        <v>24661.962529999968</v>
      </c>
      <c r="C21" s="80">
        <v>1145.7547579999991</v>
      </c>
      <c r="D21" s="79">
        <v>24929.212053931005</v>
      </c>
      <c r="E21" s="80">
        <v>1066.2915204990579</v>
      </c>
      <c r="F21" s="79">
        <v>25195.33521651772</v>
      </c>
      <c r="G21" s="80">
        <v>986.75418962748086</v>
      </c>
      <c r="H21" s="79">
        <v>25460.679323164557</v>
      </c>
      <c r="I21" s="80">
        <v>907.16350515260012</v>
      </c>
      <c r="J21" s="79">
        <v>25725.629854497583</v>
      </c>
      <c r="K21" s="80">
        <v>827.55485918138265</v>
      </c>
      <c r="L21" s="79">
        <v>25990.637137585229</v>
      </c>
      <c r="M21" s="80">
        <v>747.98557273323956</v>
      </c>
      <c r="N21" s="79">
        <v>26256.250143309517</v>
      </c>
      <c r="O21" s="80">
        <v>668.54546488883841</v>
      </c>
      <c r="P21" s="79">
        <v>26523.182164564358</v>
      </c>
      <c r="Q21" s="80">
        <v>589.37339126764084</v>
      </c>
      <c r="R21" s="79">
        <v>26792.416620096399</v>
      </c>
      <c r="S21" s="80">
        <v>510.68255983926167</v>
      </c>
      <c r="T21" s="79">
        <v>27065.385558463266</v>
      </c>
      <c r="U21" s="80">
        <v>432.7990541076386</v>
      </c>
      <c r="V21" s="79">
        <v>27344.307359522136</v>
      </c>
      <c r="W21" s="80">
        <v>356.22572640728788</v>
      </c>
      <c r="X21" s="79">
        <v>27632.822621549556</v>
      </c>
      <c r="Y21" s="80">
        <v>281.74033374352297</v>
      </c>
      <c r="Z21" s="79">
        <v>27937.23707196856</v>
      </c>
      <c r="AA21" s="80">
        <v>210.56069075261959</v>
      </c>
      <c r="AB21" s="79">
        <v>28269.064955533911</v>
      </c>
      <c r="AC21" s="80">
        <v>144.60339111598435</v>
      </c>
      <c r="AD21" s="79">
        <v>28650.2382858243</v>
      </c>
      <c r="AE21" s="80">
        <v>86.850021830127645</v>
      </c>
      <c r="AF21" s="79">
        <v>29122.822160328938</v>
      </c>
      <c r="AG21" s="80">
        <v>41.596556641398138</v>
      </c>
      <c r="AH21" s="79">
        <v>29759.263704094577</v>
      </c>
      <c r="AI21" s="80">
        <v>13.360119831659654</v>
      </c>
      <c r="AJ21" s="79">
        <v>30637.563107472706</v>
      </c>
      <c r="AK21" s="80">
        <v>2.1342820825229873</v>
      </c>
      <c r="AL21" s="79"/>
      <c r="AM21" s="80"/>
      <c r="AN21" s="79"/>
      <c r="AO21" s="80"/>
      <c r="AP21" s="79"/>
      <c r="AQ21" s="80"/>
      <c r="AR21" s="79"/>
      <c r="AS21" s="80"/>
      <c r="AT21" s="79"/>
      <c r="AU21" s="80"/>
      <c r="AV21" s="79"/>
      <c r="AW21" s="80"/>
    </row>
    <row r="22" spans="1:49" x14ac:dyDescent="0.2">
      <c r="A22" t="s">
        <v>28</v>
      </c>
      <c r="B22" s="39">
        <v>6533.604468832059</v>
      </c>
      <c r="C22" s="40">
        <v>379.90788307663331</v>
      </c>
      <c r="D22" s="39">
        <v>6615.2216439886179</v>
      </c>
      <c r="E22" s="40">
        <v>356.90104436097323</v>
      </c>
      <c r="F22" s="39">
        <v>6696.6737981861843</v>
      </c>
      <c r="G22" s="40">
        <v>333.92986578912888</v>
      </c>
      <c r="H22" s="39">
        <v>6778.0533023946846</v>
      </c>
      <c r="I22" s="40">
        <v>311.02321477686593</v>
      </c>
      <c r="J22" s="39">
        <v>6859.4631111680119</v>
      </c>
      <c r="K22" s="40">
        <v>288.21137130273161</v>
      </c>
      <c r="L22" s="39">
        <v>6941.0247886643683</v>
      </c>
      <c r="M22" s="40">
        <v>265.52605857079391</v>
      </c>
      <c r="N22" s="39">
        <v>7022.8890480871569</v>
      </c>
      <c r="O22" s="40">
        <v>243.00001643972794</v>
      </c>
      <c r="P22" s="39">
        <v>7105.2568845365013</v>
      </c>
      <c r="Q22" s="40">
        <v>220.66687688194079</v>
      </c>
      <c r="R22" s="39">
        <v>7188.4123599585246</v>
      </c>
      <c r="S22" s="40">
        <v>198.56045312307486</v>
      </c>
      <c r="T22" s="39">
        <v>7272.7835434816961</v>
      </c>
      <c r="U22" s="40">
        <v>176.71365852584935</v>
      </c>
      <c r="V22" s="39">
        <v>7359.0514969638916</v>
      </c>
      <c r="W22" s="40">
        <v>155.15792037197758</v>
      </c>
      <c r="X22" s="39">
        <v>7448.3646752633194</v>
      </c>
      <c r="Y22" s="40">
        <v>133.92108663688555</v>
      </c>
      <c r="Z22" s="39">
        <v>7542.7554857493988</v>
      </c>
      <c r="AA22" s="40">
        <v>113.02846321536839</v>
      </c>
      <c r="AB22" s="39">
        <v>7646.0002596514951</v>
      </c>
      <c r="AC22" s="40">
        <v>92.508296466471464</v>
      </c>
      <c r="AD22" s="39">
        <v>7765.3893968271213</v>
      </c>
      <c r="AE22" s="40">
        <v>72.418711151114891</v>
      </c>
      <c r="AF22" s="39">
        <v>7915.0446956471542</v>
      </c>
      <c r="AG22" s="40">
        <v>52.943175194785084</v>
      </c>
      <c r="AH22" s="39">
        <v>8119.4367058365497</v>
      </c>
      <c r="AI22" s="40">
        <v>34.662172917125609</v>
      </c>
      <c r="AJ22" s="39">
        <v>8405.0874203653748</v>
      </c>
      <c r="AK22" s="40">
        <v>18.952825358799714</v>
      </c>
      <c r="AL22" s="39"/>
      <c r="AM22" s="40"/>
      <c r="AN22" s="39"/>
      <c r="AO22" s="40"/>
      <c r="AP22" s="39"/>
      <c r="AQ22" s="40"/>
      <c r="AR22" s="39"/>
      <c r="AS22" s="40"/>
      <c r="AT22" s="39"/>
      <c r="AU22" s="40"/>
      <c r="AV22" s="39"/>
      <c r="AW22" s="40"/>
    </row>
    <row r="23" spans="1:49" x14ac:dyDescent="0.2">
      <c r="A23" t="s">
        <v>7</v>
      </c>
      <c r="B23" s="110">
        <v>3278.5018080150408</v>
      </c>
      <c r="C23" s="8">
        <v>0</v>
      </c>
      <c r="D23" s="110">
        <v>3317.2154351646864</v>
      </c>
      <c r="E23" s="8">
        <v>0</v>
      </c>
      <c r="F23" s="110">
        <v>3355.7038634890141</v>
      </c>
      <c r="G23" s="8">
        <v>0</v>
      </c>
      <c r="H23" s="110">
        <v>3393.9998176813142</v>
      </c>
      <c r="I23" s="8">
        <v>0</v>
      </c>
      <c r="J23" s="110">
        <v>3432.1387941639523</v>
      </c>
      <c r="K23" s="8">
        <v>0</v>
      </c>
      <c r="L23" s="110">
        <v>3470.1624166328756</v>
      </c>
      <c r="M23" s="8">
        <v>0</v>
      </c>
      <c r="N23" s="110">
        <v>3508.1225379132329</v>
      </c>
      <c r="O23" s="8">
        <v>0</v>
      </c>
      <c r="P23" s="110">
        <v>3546.0903292040502</v>
      </c>
      <c r="Q23" s="8">
        <v>0</v>
      </c>
      <c r="R23" s="110">
        <v>3584.1706307574036</v>
      </c>
      <c r="S23" s="8">
        <v>0</v>
      </c>
      <c r="T23" s="110">
        <v>3622.527977766063</v>
      </c>
      <c r="U23" s="8">
        <v>0</v>
      </c>
      <c r="V23" s="110">
        <v>3661.4360556407473</v>
      </c>
      <c r="W23" s="8">
        <v>0</v>
      </c>
      <c r="X23" s="110">
        <v>3701.3731478222185</v>
      </c>
      <c r="Y23" s="8">
        <v>0</v>
      </c>
      <c r="Z23" s="110">
        <v>3743.2120785103511</v>
      </c>
      <c r="AA23" s="8">
        <v>0</v>
      </c>
      <c r="AB23" s="110">
        <v>3788.61330573547</v>
      </c>
      <c r="AC23" s="8">
        <v>0</v>
      </c>
      <c r="AD23" s="110">
        <v>3840.8382990119194</v>
      </c>
      <c r="AE23" s="8">
        <v>0</v>
      </c>
      <c r="AF23" s="110">
        <v>3906.2727936164306</v>
      </c>
      <c r="AG23" s="8">
        <v>0</v>
      </c>
      <c r="AH23" s="110">
        <v>3995.9924312236662</v>
      </c>
      <c r="AI23" s="8">
        <v>0</v>
      </c>
      <c r="AJ23" s="110">
        <v>4121.5840608492663</v>
      </c>
      <c r="AK23" s="8">
        <v>0</v>
      </c>
      <c r="AL23" s="110"/>
      <c r="AM23" s="8"/>
      <c r="AN23" s="110"/>
      <c r="AO23" s="8"/>
      <c r="AP23" s="110"/>
      <c r="AQ23" s="8"/>
      <c r="AR23" s="110"/>
      <c r="AS23" s="8"/>
      <c r="AT23" s="110"/>
      <c r="AU23" s="8"/>
      <c r="AV23" s="110"/>
      <c r="AW23" s="8"/>
    </row>
    <row r="24" spans="1:49" x14ac:dyDescent="0.2">
      <c r="A24" t="s">
        <v>8</v>
      </c>
      <c r="B24" s="93">
        <v>3196.3846373657216</v>
      </c>
      <c r="C24" s="8">
        <v>0</v>
      </c>
      <c r="D24" s="93">
        <v>3234.1285974392281</v>
      </c>
      <c r="E24" s="8">
        <v>0</v>
      </c>
      <c r="F24" s="93">
        <v>3271.6529993154527</v>
      </c>
      <c r="G24" s="8">
        <v>0</v>
      </c>
      <c r="H24" s="93">
        <v>3308.989748103832</v>
      </c>
      <c r="I24" s="8">
        <v>0</v>
      </c>
      <c r="J24" s="93">
        <v>3346.1734514840186</v>
      </c>
      <c r="K24" s="8">
        <v>0</v>
      </c>
      <c r="L24" s="93">
        <v>3383.2446895833173</v>
      </c>
      <c r="M24" s="8">
        <v>0</v>
      </c>
      <c r="N24" s="93">
        <v>3420.2540193350897</v>
      </c>
      <c r="O24" s="8">
        <v>0</v>
      </c>
      <c r="P24" s="93">
        <v>3457.2708256716792</v>
      </c>
      <c r="Q24" s="8">
        <v>0</v>
      </c>
      <c r="R24" s="93">
        <v>3494.3973232719895</v>
      </c>
      <c r="S24" s="8">
        <v>0</v>
      </c>
      <c r="T24" s="93">
        <v>3531.7939297191533</v>
      </c>
      <c r="U24" s="8">
        <v>0</v>
      </c>
      <c r="V24" s="93">
        <v>3569.7274683420464</v>
      </c>
      <c r="W24" s="8">
        <v>0</v>
      </c>
      <c r="X24" s="93">
        <v>3608.6642495553688</v>
      </c>
      <c r="Y24" s="8">
        <v>0</v>
      </c>
      <c r="Z24" s="93">
        <v>3649.4552337334649</v>
      </c>
      <c r="AA24" s="8">
        <v>0</v>
      </c>
      <c r="AB24" s="93">
        <v>3693.7192888957293</v>
      </c>
      <c r="AC24" s="8">
        <v>0</v>
      </c>
      <c r="AD24" s="93">
        <v>3744.6361943345155</v>
      </c>
      <c r="AE24" s="8">
        <v>0</v>
      </c>
      <c r="AF24" s="93">
        <v>3808.4317404875878</v>
      </c>
      <c r="AG24" s="8">
        <v>0</v>
      </c>
      <c r="AH24" s="93">
        <v>3895.9041556551479</v>
      </c>
      <c r="AI24" s="8">
        <v>0</v>
      </c>
      <c r="AJ24" s="93">
        <v>4018.3500711688521</v>
      </c>
      <c r="AK24" s="8">
        <v>0</v>
      </c>
      <c r="AL24" s="93"/>
      <c r="AM24" s="8"/>
      <c r="AN24" s="93"/>
      <c r="AO24" s="8"/>
      <c r="AP24" s="93"/>
      <c r="AQ24" s="8"/>
      <c r="AR24" s="93"/>
      <c r="AS24" s="8"/>
      <c r="AT24" s="93"/>
      <c r="AU24" s="8"/>
      <c r="AV24" s="93"/>
      <c r="AW24" s="8"/>
    </row>
    <row r="25" spans="1:49" x14ac:dyDescent="0.2">
      <c r="A25" t="s">
        <v>0</v>
      </c>
      <c r="B25" s="39">
        <v>3195.0476040000012</v>
      </c>
      <c r="C25" s="40">
        <v>91.012690000004397</v>
      </c>
      <c r="D25" s="39">
        <v>3240.6757674105215</v>
      </c>
      <c r="E25" s="40">
        <v>80.296547614296628</v>
      </c>
      <c r="F25" s="39">
        <v>3286.246901507227</v>
      </c>
      <c r="G25" s="40">
        <v>70.194189966607283</v>
      </c>
      <c r="H25" s="39">
        <v>3331.8483532025348</v>
      </c>
      <c r="I25" s="40">
        <v>60.713227706678886</v>
      </c>
      <c r="J25" s="39">
        <v>3377.5763157593874</v>
      </c>
      <c r="K25" s="40">
        <v>51.863015255478849</v>
      </c>
      <c r="L25" s="39">
        <v>3423.5380628694393</v>
      </c>
      <c r="M25" s="40">
        <v>43.654727692444368</v>
      </c>
      <c r="N25" s="39">
        <v>3469.8533234272718</v>
      </c>
      <c r="O25" s="40">
        <v>36.10163308803704</v>
      </c>
      <c r="P25" s="39">
        <v>3516.656955723749</v>
      </c>
      <c r="Q25" s="40">
        <v>29.219033920356292</v>
      </c>
      <c r="R25" s="39">
        <v>3564.1011658910229</v>
      </c>
      <c r="S25" s="40">
        <v>23.024539100219251</v>
      </c>
      <c r="T25" s="39">
        <v>3612.3563742935753</v>
      </c>
      <c r="U25" s="40">
        <v>17.537794594015978</v>
      </c>
      <c r="V25" s="39">
        <v>3661.6125359649182</v>
      </c>
      <c r="W25" s="40">
        <v>12.780319185971358</v>
      </c>
      <c r="X25" s="39">
        <v>3712.0788765888137</v>
      </c>
      <c r="Y25" s="40">
        <v>8.7743721303393496</v>
      </c>
      <c r="Z25" s="39">
        <v>3763.9800776779002</v>
      </c>
      <c r="AA25" s="40">
        <v>5.5406274786424419</v>
      </c>
      <c r="AB25" s="39">
        <v>3817.553202610336</v>
      </c>
      <c r="AC25" s="40">
        <v>3.0924437086435104</v>
      </c>
      <c r="AD25" s="39">
        <v>3873.0596345770559</v>
      </c>
      <c r="AE25" s="40">
        <v>1.4225457309166341</v>
      </c>
      <c r="AF25" s="39">
        <v>3930.902453221704</v>
      </c>
      <c r="AG25" s="40">
        <v>0.47365809653971808</v>
      </c>
      <c r="AH25" s="39">
        <v>3992.2172349233692</v>
      </c>
      <c r="AI25" s="40">
        <v>8.9524137494282646E-2</v>
      </c>
      <c r="AJ25" s="39">
        <v>4060.1517843065722</v>
      </c>
      <c r="AK25" s="40">
        <v>6.2962598473670179E-3</v>
      </c>
      <c r="AL25" s="39"/>
      <c r="AM25" s="40"/>
      <c r="AN25" s="39"/>
      <c r="AO25" s="40"/>
      <c r="AP25" s="39"/>
      <c r="AQ25" s="40"/>
      <c r="AR25" s="39"/>
      <c r="AS25" s="40"/>
      <c r="AT25" s="39"/>
      <c r="AU25" s="40"/>
      <c r="AV25" s="39"/>
      <c r="AW25" s="40"/>
    </row>
    <row r="26" spans="1:49" x14ac:dyDescent="0.2">
      <c r="A26" t="s">
        <v>27</v>
      </c>
      <c r="B26" s="31">
        <v>5036.2953101960647</v>
      </c>
      <c r="C26" s="32">
        <v>74.905331803938267</v>
      </c>
      <c r="D26" s="31">
        <v>5142.6651491541106</v>
      </c>
      <c r="E26" s="32">
        <v>70.054317830515231</v>
      </c>
      <c r="F26" s="31">
        <v>5252.9657866873767</v>
      </c>
      <c r="G26" s="32">
        <v>65.191361821645373</v>
      </c>
      <c r="H26" s="31">
        <v>5367.8792962526741</v>
      </c>
      <c r="I26" s="32">
        <v>60.313597417584127</v>
      </c>
      <c r="J26" s="31">
        <v>5488.2536555048391</v>
      </c>
      <c r="K26" s="32">
        <v>55.418360184331164</v>
      </c>
      <c r="L26" s="31">
        <v>5615.1679321608735</v>
      </c>
      <c r="M26" s="32">
        <v>50.503443400936902</v>
      </c>
      <c r="N26" s="31">
        <v>5750.0306350213295</v>
      </c>
      <c r="O26" s="32">
        <v>45.567674047293714</v>
      </c>
      <c r="P26" s="31">
        <v>5894.7368560288751</v>
      </c>
      <c r="Q26" s="32">
        <v>40.611614080955455</v>
      </c>
      <c r="R26" s="31">
        <v>6051.9290683264999</v>
      </c>
      <c r="S26" s="32">
        <v>35.639050411986389</v>
      </c>
      <c r="T26" s="31">
        <v>6225.4486730266599</v>
      </c>
      <c r="U26" s="32">
        <v>30.659151448049833</v>
      </c>
      <c r="V26" s="31">
        <v>6421.167787521149</v>
      </c>
      <c r="W26" s="32">
        <v>25.690451080248625</v>
      </c>
      <c r="X26" s="31">
        <v>6648.6427003092349</v>
      </c>
      <c r="Y26" s="32">
        <v>20.767478648755581</v>
      </c>
      <c r="Z26" s="31">
        <v>6924.6517742572696</v>
      </c>
      <c r="AA26" s="32">
        <v>15.952489823397498</v>
      </c>
      <c r="AB26" s="31">
        <v>7281.6835387808233</v>
      </c>
      <c r="AC26" s="32">
        <v>11.355885800152439</v>
      </c>
      <c r="AD26" s="31">
        <v>7791.3709754875053</v>
      </c>
      <c r="AE26" s="32">
        <v>7.1696200312140137</v>
      </c>
      <c r="AF26" s="31">
        <v>8644.2906282180084</v>
      </c>
      <c r="AG26" s="32">
        <v>3.7064002709243815</v>
      </c>
      <c r="AH26" s="31">
        <v>10550.482282550442</v>
      </c>
      <c r="AI26" s="32">
        <v>1.3665289460014491</v>
      </c>
      <c r="AJ26" s="31">
        <v>23133.774209580381</v>
      </c>
      <c r="AK26" s="32">
        <v>0.34396530472756187</v>
      </c>
      <c r="AL26" s="31"/>
      <c r="AM26" s="32"/>
      <c r="AN26" s="31"/>
      <c r="AO26" s="32"/>
      <c r="AP26" s="31"/>
      <c r="AQ26" s="32"/>
      <c r="AR26" s="31"/>
      <c r="AS26" s="32"/>
      <c r="AT26" s="31"/>
      <c r="AU26" s="32"/>
      <c r="AV26" s="31"/>
      <c r="AW26" s="32"/>
    </row>
    <row r="27" spans="1:49" x14ac:dyDescent="0.2">
      <c r="A27" t="s">
        <v>2</v>
      </c>
      <c r="B27" s="33">
        <v>6425.1981590000414</v>
      </c>
      <c r="C27" s="34">
        <v>273.22915400000028</v>
      </c>
      <c r="D27" s="33">
        <v>6445.1570938466321</v>
      </c>
      <c r="E27" s="34">
        <v>253.2702419590951</v>
      </c>
      <c r="F27" s="33">
        <v>6464.869613691596</v>
      </c>
      <c r="G27" s="34">
        <v>233.55774167852698</v>
      </c>
      <c r="H27" s="33">
        <v>6484.3485801609404</v>
      </c>
      <c r="I27" s="34">
        <v>214.07878913488844</v>
      </c>
      <c r="J27" s="33">
        <v>6503.6042850060794</v>
      </c>
      <c r="K27" s="34">
        <v>194.82303641565196</v>
      </c>
      <c r="L27" s="33">
        <v>6522.6439180772995</v>
      </c>
      <c r="M27" s="34">
        <v>175.78346434527631</v>
      </c>
      <c r="N27" s="33">
        <v>6541.4683881324709</v>
      </c>
      <c r="O27" s="34">
        <v>156.95894063388315</v>
      </c>
      <c r="P27" s="33">
        <v>6560.0707815672895</v>
      </c>
      <c r="Q27" s="34">
        <v>138.35628505675319</v>
      </c>
      <c r="R27" s="33">
        <v>6578.4311846553255</v>
      </c>
      <c r="S27" s="34">
        <v>119.99606370627208</v>
      </c>
      <c r="T27" s="33">
        <v>6596.5073619708864</v>
      </c>
      <c r="U27" s="34">
        <v>101.91979400806127</v>
      </c>
      <c r="V27" s="33">
        <v>6614.2236328680374</v>
      </c>
      <c r="W27" s="34">
        <v>84.203622876876068</v>
      </c>
      <c r="X27" s="33">
        <v>6631.4468594723612</v>
      </c>
      <c r="Y27" s="34">
        <v>66.980450654748509</v>
      </c>
      <c r="Z27" s="33">
        <v>6647.9495637461541</v>
      </c>
      <c r="AA27" s="34">
        <v>50.477750528681973</v>
      </c>
      <c r="AB27" s="33">
        <v>6663.3458179982863</v>
      </c>
      <c r="AC27" s="34">
        <v>35.081483942677252</v>
      </c>
      <c r="AD27" s="33">
        <v>6676.9931506770381</v>
      </c>
      <c r="AE27" s="34">
        <v>21.434151401982319</v>
      </c>
      <c r="AF27" s="33">
        <v>6687.8989916520231</v>
      </c>
      <c r="AG27" s="34">
        <v>10.528320834758873</v>
      </c>
      <c r="AH27" s="33">
        <v>6694.9118570105702</v>
      </c>
      <c r="AI27" s="34">
        <v>3.5154569342375606</v>
      </c>
      <c r="AJ27" s="33">
        <v>6697.829520148729</v>
      </c>
      <c r="AK27" s="34">
        <v>0.59770254919055921</v>
      </c>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13936.205299145919</v>
      </c>
      <c r="E28" s="40">
        <v>355.32060398537226</v>
      </c>
      <c r="F28" s="39">
        <v>14110.878018989362</v>
      </c>
      <c r="G28" s="40">
        <v>328.47042937675508</v>
      </c>
      <c r="H28" s="39">
        <v>14287.668404864933</v>
      </c>
      <c r="I28" s="40">
        <v>301.80579586884738</v>
      </c>
      <c r="J28" s="39">
        <v>14467.234805665061</v>
      </c>
      <c r="K28" s="40">
        <v>275.31916876407223</v>
      </c>
      <c r="L28" s="39">
        <v>14650.383897445656</v>
      </c>
      <c r="M28" s="40">
        <v>249.00692657539696</v>
      </c>
      <c r="N28" s="39">
        <v>14838.129783887924</v>
      </c>
      <c r="O28" s="40">
        <v>222.87291062839307</v>
      </c>
      <c r="P28" s="39">
        <v>15031.790540579173</v>
      </c>
      <c r="Q28" s="40">
        <v>196.93160815714492</v>
      </c>
      <c r="R28" s="39">
        <v>15233.140547272536</v>
      </c>
      <c r="S28" s="40">
        <v>171.21630962393363</v>
      </c>
      <c r="T28" s="39">
        <v>15444.661317500002</v>
      </c>
      <c r="U28" s="40">
        <v>145.78959123954843</v>
      </c>
      <c r="V28" s="39">
        <v>15669.986374396361</v>
      </c>
      <c r="W28" s="40">
        <v>120.7629746444797</v>
      </c>
      <c r="X28" s="39">
        <v>15914.725566431211</v>
      </c>
      <c r="Y28" s="40">
        <v>96.328864685213958</v>
      </c>
      <c r="Z28" s="39">
        <v>16188.066352320713</v>
      </c>
      <c r="AA28" s="40">
        <v>72.815422891875485</v>
      </c>
      <c r="AB28" s="39">
        <v>16506.124045765024</v>
      </c>
      <c r="AC28" s="40">
        <v>50.779738996291343</v>
      </c>
      <c r="AD28" s="39">
        <v>16899.355921223843</v>
      </c>
      <c r="AE28" s="40">
        <v>31.152407552618122</v>
      </c>
      <c r="AF28" s="39">
        <v>17429.632741782159</v>
      </c>
      <c r="AG28" s="40">
        <v>15.381013207295588</v>
      </c>
      <c r="AH28" s="39">
        <v>18228.846151475718</v>
      </c>
      <c r="AI28" s="40">
        <v>5.170965561587848</v>
      </c>
      <c r="AJ28" s="39">
        <v>19587.872948920391</v>
      </c>
      <c r="AK28" s="40">
        <v>0.88661992977509574</v>
      </c>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14523.382336329058</v>
      </c>
      <c r="E29" s="34">
        <v>754.34698683663817</v>
      </c>
      <c r="F29" s="33">
        <v>14683.380621523555</v>
      </c>
      <c r="G29" s="34">
        <v>692.26412006547969</v>
      </c>
      <c r="H29" s="33">
        <v>14842.984839301667</v>
      </c>
      <c r="I29" s="34">
        <v>631.03265428179986</v>
      </c>
      <c r="J29" s="33">
        <v>15002.440411965679</v>
      </c>
      <c r="K29" s="34">
        <v>570.67959662217527</v>
      </c>
      <c r="L29" s="33">
        <v>15162.031757605204</v>
      </c>
      <c r="M29" s="34">
        <v>511.24811799893257</v>
      </c>
      <c r="N29" s="33">
        <v>15322.100587661438</v>
      </c>
      <c r="O29" s="34">
        <v>452.80623529914914</v>
      </c>
      <c r="P29" s="33">
        <v>15483.081528712146</v>
      </c>
      <c r="Q29" s="34">
        <v>395.45488982962127</v>
      </c>
      <c r="R29" s="33">
        <v>15645.558603198044</v>
      </c>
      <c r="S29" s="34">
        <v>339.34607797632952</v>
      </c>
      <c r="T29" s="33">
        <v>15810.35901232837</v>
      </c>
      <c r="U29" s="34">
        <v>284.70506603937702</v>
      </c>
      <c r="V29" s="33">
        <v>15978.730712200284</v>
      </c>
      <c r="W29" s="34">
        <v>231.86972460509352</v>
      </c>
      <c r="X29" s="33">
        <v>16152.675308410397</v>
      </c>
      <c r="Y29" s="34">
        <v>181.35004844472962</v>
      </c>
      <c r="Z29" s="33">
        <v>16335.597315875466</v>
      </c>
      <c r="AA29" s="34">
        <v>133.92408055514755</v>
      </c>
      <c r="AB29" s="33">
        <v>16533.634904610721</v>
      </c>
      <c r="AC29" s="34">
        <v>90.786492925724104</v>
      </c>
      <c r="AD29" s="33">
        <v>16758.3938099552</v>
      </c>
      <c r="AE29" s="34">
        <v>53.746405760677249</v>
      </c>
      <c r="AF29" s="33">
        <v>17032.089388924567</v>
      </c>
      <c r="AG29" s="34">
        <v>25.321935469119875</v>
      </c>
      <c r="AH29" s="33">
        <v>17393.183970645765</v>
      </c>
      <c r="AI29" s="34">
        <v>7.9788481985529796</v>
      </c>
      <c r="AJ29" s="33">
        <v>17883.964082767001</v>
      </c>
      <c r="AK29" s="34">
        <v>1.2468356132688441</v>
      </c>
      <c r="AL29" s="33"/>
      <c r="AM29" s="34"/>
      <c r="AN29" s="33"/>
      <c r="AO29" s="34"/>
      <c r="AP29" s="33"/>
      <c r="AQ29" s="34"/>
      <c r="AR29" s="33"/>
      <c r="AS29" s="34"/>
      <c r="AT29" s="33"/>
      <c r="AU29" s="34"/>
      <c r="AV29" s="33"/>
      <c r="AW29" s="34"/>
    </row>
    <row r="30" spans="1:49" x14ac:dyDescent="0.2">
      <c r="A30" t="s">
        <v>48</v>
      </c>
      <c r="B30" s="112">
        <v>2924829.9599999995</v>
      </c>
      <c r="D30" s="112">
        <v>2954694.9721998209</v>
      </c>
      <c r="F30" s="112">
        <v>2984335.1652233172</v>
      </c>
      <c r="H30" s="112">
        <v>3013762.1880768789</v>
      </c>
      <c r="J30" s="112">
        <v>3042988.8955094009</v>
      </c>
      <c r="L30" s="112">
        <v>3072032.841152234</v>
      </c>
      <c r="N30" s="112">
        <v>3100921.2543987026</v>
      </c>
      <c r="P30" s="112">
        <v>3129702.1970571135</v>
      </c>
      <c r="R30" s="112">
        <v>3158459.6191994953</v>
      </c>
      <c r="T30" s="112">
        <v>3187350.0735835056</v>
      </c>
      <c r="V30" s="112">
        <v>3216658.181247985</v>
      </c>
      <c r="X30" s="112">
        <v>3246919.6615378628</v>
      </c>
      <c r="Z30" s="112">
        <v>3279152.0083395084</v>
      </c>
      <c r="AB30" s="112">
        <v>3315337.2696423335</v>
      </c>
      <c r="AD30" s="112">
        <v>3359410.4360726941</v>
      </c>
      <c r="AF30" s="112">
        <v>3419085.2730726013</v>
      </c>
      <c r="AH30" s="112">
        <v>3507618.4355973662</v>
      </c>
      <c r="AJ30" s="112">
        <v>3638462.3912057285</v>
      </c>
      <c r="AL30" s="112"/>
      <c r="AN30" s="112"/>
      <c r="AP30" s="112"/>
      <c r="AR30" s="112"/>
      <c r="AT30" s="112"/>
      <c r="AV30" s="112"/>
    </row>
    <row r="31" spans="1:49" x14ac:dyDescent="0.2">
      <c r="A31" t="s">
        <v>47</v>
      </c>
      <c r="B31" s="77">
        <v>0.999999999999998</v>
      </c>
      <c r="D31" s="77">
        <v>1.0083973575718683</v>
      </c>
      <c r="F31" s="77">
        <v>1.0165240976770251</v>
      </c>
      <c r="H31" s="77">
        <v>1.0243718203389249</v>
      </c>
      <c r="J31" s="77">
        <v>1.031929604618355</v>
      </c>
      <c r="L31" s="77">
        <v>1.0391840422896437</v>
      </c>
      <c r="N31" s="77">
        <v>1.0461190861437148</v>
      </c>
      <c r="P31" s="77">
        <v>1.052716744320259</v>
      </c>
      <c r="R31" s="77">
        <v>1.0589581534167491</v>
      </c>
      <c r="T31" s="77">
        <v>1.0648265795374336</v>
      </c>
      <c r="V31" s="77">
        <v>1.0703138944057373</v>
      </c>
      <c r="X31" s="77">
        <v>1.0754350717029195</v>
      </c>
      <c r="Z31" s="77">
        <v>1.0802594842197486</v>
      </c>
      <c r="AB31" s="77">
        <v>1.0849801054637678</v>
      </c>
      <c r="AD31" s="77">
        <v>1.0900629657006373</v>
      </c>
      <c r="AF31" s="77">
        <v>1.0965291674760924</v>
      </c>
      <c r="AH31" s="77">
        <v>1.1061908746498113</v>
      </c>
      <c r="AJ31" s="77">
        <v>1.1204318088706291</v>
      </c>
      <c r="AL31" s="77"/>
      <c r="AN31" s="77"/>
      <c r="AP31" s="77"/>
      <c r="AR31" s="77"/>
      <c r="AT31" s="77"/>
      <c r="AV31" s="77"/>
    </row>
    <row r="32" spans="1:49" x14ac:dyDescent="0.2">
      <c r="A32" t="s">
        <v>64</v>
      </c>
      <c r="B32" s="83">
        <v>14734457.915000005</v>
      </c>
      <c r="D32" s="83">
        <v>14884909.276961248</v>
      </c>
      <c r="F32" s="83">
        <v>15034228.045531543</v>
      </c>
      <c r="H32" s="83">
        <v>15182472.914421571</v>
      </c>
      <c r="J32" s="83">
        <v>15329708.598899882</v>
      </c>
      <c r="L32" s="83">
        <v>15476023.690453468</v>
      </c>
      <c r="N32" s="83">
        <v>15621555.576072395</v>
      </c>
      <c r="P32" s="83">
        <v>15766543.511761632</v>
      </c>
      <c r="R32" s="83">
        <v>15911416.782739187</v>
      </c>
      <c r="T32" s="83">
        <v>16056956.81595437</v>
      </c>
      <c r="V32" s="83">
        <v>16204604.534431448</v>
      </c>
      <c r="X32" s="83">
        <v>16357053.7459458</v>
      </c>
      <c r="Z32" s="83">
        <v>16519431.177895192</v>
      </c>
      <c r="AB32" s="83">
        <v>16701721.930740239</v>
      </c>
      <c r="AD32" s="83">
        <v>16923750.128527425</v>
      </c>
      <c r="AF32" s="83">
        <v>17224375.01146106</v>
      </c>
      <c r="AH32" s="83">
        <v>17670379.76915298</v>
      </c>
      <c r="AJ32" s="83">
        <v>18329533.863072254</v>
      </c>
      <c r="AL32" s="83"/>
      <c r="AN32" s="83"/>
      <c r="AP32" s="83"/>
      <c r="AR32" s="83"/>
      <c r="AT32" s="83"/>
      <c r="AV32" s="83"/>
    </row>
    <row r="33" spans="1:49 16319:16384" x14ac:dyDescent="0.2">
      <c r="A33" t="s">
        <v>54</v>
      </c>
      <c r="B33" s="111">
        <v>7019665.6909999885</v>
      </c>
      <c r="D33" s="111">
        <v>7091342.4555055313</v>
      </c>
      <c r="F33" s="111">
        <v>7162479.6397962272</v>
      </c>
      <c r="H33" s="111">
        <v>7233105.2061574291</v>
      </c>
      <c r="J33" s="111">
        <v>7303250.0103207547</v>
      </c>
      <c r="L33" s="111">
        <v>7372956.1843078425</v>
      </c>
      <c r="N33" s="111">
        <v>7442289.2485227482</v>
      </c>
      <c r="P33" s="111">
        <v>7511363.3265260579</v>
      </c>
      <c r="R33" s="111">
        <v>7580382.5157194985</v>
      </c>
      <c r="T33" s="111">
        <v>7649719.6271239463</v>
      </c>
      <c r="V33" s="111">
        <v>7720060.5467618126</v>
      </c>
      <c r="X33" s="111">
        <v>7792689.0625622608</v>
      </c>
      <c r="Z33" s="111">
        <v>7870047.5415523537</v>
      </c>
      <c r="AB33" s="111">
        <v>7956892.9662114661</v>
      </c>
      <c r="AD33" s="111">
        <v>8062669.7592981011</v>
      </c>
      <c r="AF33" s="111">
        <v>8205890.9139560256</v>
      </c>
      <c r="AH33" s="111">
        <v>8418372.7237264682</v>
      </c>
      <c r="AJ33" s="111">
        <v>8732401.3367224857</v>
      </c>
      <c r="AL33" s="111"/>
      <c r="AN33" s="111"/>
      <c r="AP33" s="111"/>
      <c r="AR33" s="111"/>
      <c r="AT33" s="111"/>
      <c r="AV33" s="111"/>
    </row>
    <row r="34" spans="1:49 16319:16384" x14ac:dyDescent="0.2">
      <c r="A34" t="s">
        <v>75</v>
      </c>
      <c r="B34" s="111">
        <v>1136879.4410000162</v>
      </c>
      <c r="D34" s="111">
        <v>1148487.9482701311</v>
      </c>
      <c r="F34" s="111">
        <v>1160009.0666647942</v>
      </c>
      <c r="H34" s="111">
        <v>1171447.3248637361</v>
      </c>
      <c r="J34" s="111">
        <v>1182807.6911834404</v>
      </c>
      <c r="L34" s="111">
        <v>1194097.0761626356</v>
      </c>
      <c r="N34" s="111">
        <v>1205326.0097360201</v>
      </c>
      <c r="P34" s="111">
        <v>1216512.81680681</v>
      </c>
      <c r="R34" s="111">
        <v>1227691.0387517668</v>
      </c>
      <c r="T34" s="111">
        <v>1238920.4350615733</v>
      </c>
      <c r="V34" s="111">
        <v>1250312.7776715842</v>
      </c>
      <c r="X34" s="111">
        <v>1262075.4815951642</v>
      </c>
      <c r="Z34" s="111">
        <v>1274604.1813109061</v>
      </c>
      <c r="AB34" s="111">
        <v>1288669.3407281251</v>
      </c>
      <c r="AD34" s="111">
        <v>1305800.5653461921</v>
      </c>
      <c r="AF34" s="111">
        <v>1328996.1488645119</v>
      </c>
      <c r="AH34" s="111">
        <v>1363408.9283870161</v>
      </c>
      <c r="AJ34" s="111">
        <v>1414267.8563890466</v>
      </c>
      <c r="AL34" s="111"/>
      <c r="AN34" s="111"/>
      <c r="AP34" s="111"/>
      <c r="AR34" s="111"/>
      <c r="AT34" s="111"/>
      <c r="AV34" s="111"/>
    </row>
    <row r="35" spans="1:49 16319:16384" x14ac:dyDescent="0.2">
      <c r="A35" t="s">
        <v>78</v>
      </c>
      <c r="B35" s="192">
        <v>1</v>
      </c>
      <c r="D35" s="192">
        <v>1.0018008372319949</v>
      </c>
      <c r="F35" s="192">
        <v>1.0037796904144303</v>
      </c>
      <c r="H35" s="192">
        <v>1.0059674284936477</v>
      </c>
      <c r="J35" s="192">
        <v>1.0084049864257696</v>
      </c>
      <c r="L35" s="192">
        <v>1.011147368303416</v>
      </c>
      <c r="N35" s="192">
        <v>1.0142697902623876</v>
      </c>
      <c r="P35" s="192">
        <v>1.0178771698713476</v>
      </c>
      <c r="R35" s="192">
        <v>1.0221195259130822</v>
      </c>
      <c r="T35" s="192">
        <v>1.0272179340737138</v>
      </c>
      <c r="V35" s="192">
        <v>1.0335099116432436</v>
      </c>
      <c r="X35" s="192">
        <v>1.0415344698945119</v>
      </c>
      <c r="Z35" s="192">
        <v>1.0522000770815738</v>
      </c>
      <c r="AB35" s="192">
        <v>1.0671448243031889</v>
      </c>
      <c r="AD35" s="192">
        <v>1.0895746919893228</v>
      </c>
      <c r="AF35" s="192">
        <v>1.1263831837871525</v>
      </c>
      <c r="AH35" s="192">
        <v>1.1938393299126382</v>
      </c>
      <c r="AJ35" s="192">
        <v>1.3339035469708389</v>
      </c>
      <c r="AL35" s="192"/>
      <c r="AN35" s="192"/>
      <c r="AP35" s="192"/>
      <c r="AR35" s="192"/>
      <c r="AT35" s="192"/>
      <c r="AV35" s="192"/>
    </row>
    <row r="36" spans="1:49 16319:16384" x14ac:dyDescent="0.2">
      <c r="A36" t="s">
        <v>21</v>
      </c>
      <c r="B36" s="35">
        <v>0.47195767671988198</v>
      </c>
      <c r="C36" s="36">
        <v>0.31738834428178964</v>
      </c>
      <c r="D36" s="35">
        <v>0.47198237601686066</v>
      </c>
      <c r="E36" s="36">
        <v>0.32033285391961941</v>
      </c>
      <c r="F36" s="35">
        <v>0.47200701669516054</v>
      </c>
      <c r="G36" s="36">
        <v>0.32350508864571692</v>
      </c>
      <c r="H36" s="35">
        <v>0.47203169471069717</v>
      </c>
      <c r="I36" s="36">
        <v>0.32694205802291987</v>
      </c>
      <c r="J36" s="35">
        <v>0.47205651356559103</v>
      </c>
      <c r="K36" s="36">
        <v>0.33068944156164098</v>
      </c>
      <c r="L36" s="35">
        <v>0.47208158054266974</v>
      </c>
      <c r="M36" s="36">
        <v>0.33480448040529204</v>
      </c>
      <c r="N36" s="35">
        <v>0.47210700047749987</v>
      </c>
      <c r="O36" s="36">
        <v>0.33936021839297131</v>
      </c>
      <c r="P36" s="35">
        <v>0.47213286090818751</v>
      </c>
      <c r="Q36" s="36">
        <v>0.34445178326881276</v>
      </c>
      <c r="R36" s="35">
        <v>0.47215920310225101</v>
      </c>
      <c r="S36" s="36">
        <v>0.35020617706284873</v>
      </c>
      <c r="T36" s="35">
        <v>0.47218597268986273</v>
      </c>
      <c r="U36" s="36">
        <v>0.35679807745950448</v>
      </c>
      <c r="V36" s="35">
        <v>0.47221291470910526</v>
      </c>
      <c r="W36" s="36">
        <v>0.36447627139716143</v>
      </c>
      <c r="X36" s="35">
        <v>0.47223938130926324</v>
      </c>
      <c r="Y36" s="36">
        <v>0.37361125716965932</v>
      </c>
      <c r="Z36" s="35">
        <v>0.47226394559343904</v>
      </c>
      <c r="AA36" s="36">
        <v>0.38478444235727449</v>
      </c>
      <c r="AB36" s="35">
        <v>0.47228364224212055</v>
      </c>
      <c r="AC36" s="36">
        <v>0.39896944712501847</v>
      </c>
      <c r="AD36" s="35">
        <v>0.47229252015268303</v>
      </c>
      <c r="AE36" s="36">
        <v>0.4179259301982306</v>
      </c>
      <c r="AF36" s="35">
        <v>0.47227943691861857</v>
      </c>
      <c r="AG36" s="36">
        <v>0.44510630286068742</v>
      </c>
      <c r="AH36" s="35">
        <v>0.47222788889731687</v>
      </c>
      <c r="AI36" s="36">
        <v>0.48776294036127671</v>
      </c>
      <c r="AJ36" s="35">
        <v>0.47212891564419651</v>
      </c>
      <c r="AK36" s="36">
        <v>0.5618602176296198</v>
      </c>
      <c r="AL36" s="35"/>
      <c r="AM36" s="36"/>
      <c r="AN36" s="35"/>
      <c r="AO36" s="36"/>
      <c r="AP36" s="35"/>
      <c r="AQ36" s="36"/>
      <c r="AR36" s="35"/>
      <c r="AS36" s="36"/>
      <c r="AT36" s="35"/>
      <c r="AU36" s="36"/>
      <c r="AV36" s="35"/>
      <c r="AW36" s="36"/>
    </row>
    <row r="37" spans="1:49 16319:16384" x14ac:dyDescent="0.2">
      <c r="B37" s="37">
        <v>2.1403217525954466E-2</v>
      </c>
      <c r="C37" s="38">
        <v>0.3496246130199252</v>
      </c>
      <c r="D37" s="37">
        <v>2.074619272583713E-2</v>
      </c>
      <c r="E37" s="38">
        <v>0.3460502432107278</v>
      </c>
      <c r="F37" s="37">
        <v>2.0076848285629736E-2</v>
      </c>
      <c r="G37" s="38">
        <v>0.34236993103062208</v>
      </c>
      <c r="H37" s="37">
        <v>1.9393696799747034E-2</v>
      </c>
      <c r="I37" s="38">
        <v>0.33857333418226576</v>
      </c>
      <c r="J37" s="37">
        <v>1.8695037009188835E-2</v>
      </c>
      <c r="K37" s="38">
        <v>0.3346486678629163</v>
      </c>
      <c r="L37" s="37">
        <v>1.797888459829591E-2</v>
      </c>
      <c r="M37" s="38">
        <v>0.33058229487224888</v>
      </c>
      <c r="N37" s="37">
        <v>1.7242866362268485E-2</v>
      </c>
      <c r="O37" s="38">
        <v>0.32635810422553613</v>
      </c>
      <c r="P37" s="37">
        <v>1.6484078116054637E-2</v>
      </c>
      <c r="Q37" s="38">
        <v>0.32195668343994671</v>
      </c>
      <c r="R37" s="37">
        <v>1.5698863226754577E-2</v>
      </c>
      <c r="S37" s="38">
        <v>0.31735404865770372</v>
      </c>
      <c r="T37" s="37">
        <v>1.4882467908866041E-2</v>
      </c>
      <c r="U37" s="38">
        <v>0.31251967200821928</v>
      </c>
      <c r="V37" s="37">
        <v>1.4028530417477708E-2</v>
      </c>
      <c r="W37" s="38">
        <v>0.30741362626590085</v>
      </c>
      <c r="X37" s="37">
        <v>1.3128186432614914E-2</v>
      </c>
      <c r="Y37" s="38">
        <v>0.30198162208656043</v>
      </c>
      <c r="Z37" s="37">
        <v>1.2168693126257646E-2</v>
      </c>
      <c r="AA37" s="38">
        <v>0.29614762404533718</v>
      </c>
      <c r="AB37" s="37">
        <v>1.1131122849816592E-2</v>
      </c>
      <c r="AC37" s="38">
        <v>0.28980196416975085</v>
      </c>
      <c r="AD37" s="37">
        <v>9.9869941792815903E-3</v>
      </c>
      <c r="AE37" s="38">
        <v>0.28278577666303711</v>
      </c>
      <c r="AF37" s="37">
        <v>8.6954388665502914E-3</v>
      </c>
      <c r="AG37" s="38">
        <v>0.27488545617317939</v>
      </c>
      <c r="AH37" s="37">
        <v>7.2112258498589505E-3</v>
      </c>
      <c r="AI37" s="38">
        <v>0.26590796177690762</v>
      </c>
      <c r="AJ37" s="37">
        <v>5.526739816264962E-3</v>
      </c>
      <c r="AK37" s="38">
        <v>0.25599508637393553</v>
      </c>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0.18255889651337592</v>
      </c>
      <c r="E38" s="36">
        <v>6.1095213238124266E-2</v>
      </c>
      <c r="F38" s="35">
        <v>0.18443356370910668</v>
      </c>
      <c r="G38" s="36">
        <v>6.1667026059465231E-2</v>
      </c>
      <c r="H38" s="35">
        <v>0.18643258764531423</v>
      </c>
      <c r="I38" s="36">
        <v>6.2287789684020045E-2</v>
      </c>
      <c r="J38" s="35">
        <v>0.18857814681055546</v>
      </c>
      <c r="K38" s="36">
        <v>6.2966149121732581E-2</v>
      </c>
      <c r="L38" s="35">
        <v>0.19089871480685525</v>
      </c>
      <c r="M38" s="36">
        <v>6.3713114757324649E-2</v>
      </c>
      <c r="N38" s="35">
        <v>0.19343175211470032</v>
      </c>
      <c r="O38" s="36">
        <v>6.4542874446163606E-2</v>
      </c>
      <c r="P38" s="35">
        <v>0.19622793008913555</v>
      </c>
      <c r="Q38" s="36">
        <v>6.5474335650129611E-2</v>
      </c>
      <c r="R38" s="35">
        <v>0.19935816652195812</v>
      </c>
      <c r="S38" s="36">
        <v>6.6533228685763779E-2</v>
      </c>
      <c r="T38" s="35">
        <v>0.20292582106726506</v>
      </c>
      <c r="U38" s="36">
        <v>6.7755977806966378E-2</v>
      </c>
      <c r="V38" s="35">
        <v>0.20708903000027518</v>
      </c>
      <c r="W38" s="36">
        <v>6.9196310010064155E-2</v>
      </c>
      <c r="X38" s="35">
        <v>0.21210517259806452</v>
      </c>
      <c r="Y38" s="36">
        <v>7.0937789521404171E-2</v>
      </c>
      <c r="Z38" s="35">
        <v>0.21842616028320966</v>
      </c>
      <c r="AA38" s="36">
        <v>7.3119581985533519E-2</v>
      </c>
      <c r="AB38" s="35">
        <v>0.226928140749107</v>
      </c>
      <c r="AC38" s="36">
        <v>7.5994471356707879E-2</v>
      </c>
      <c r="AD38" s="35">
        <v>0.23955144869237685</v>
      </c>
      <c r="AE38" s="36">
        <v>8.0078382562676548E-2</v>
      </c>
      <c r="AF38" s="35">
        <v>0.26151097734610274</v>
      </c>
      <c r="AG38" s="36">
        <v>8.6613172761810783E-2</v>
      </c>
      <c r="AH38" s="35">
        <v>0.31258330182676469</v>
      </c>
      <c r="AI38" s="36">
        <v>9.9581814209535713E-2</v>
      </c>
      <c r="AJ38" s="35">
        <v>0.66671446540139601</v>
      </c>
      <c r="AK38" s="36">
        <v>0.15704814074142878</v>
      </c>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0.22879591277715877</v>
      </c>
      <c r="E39" s="38">
        <v>0.22088002450895378</v>
      </c>
      <c r="F39" s="37">
        <v>0.22698395348197561</v>
      </c>
      <c r="G39" s="38">
        <v>0.22093128506632043</v>
      </c>
      <c r="H39" s="37">
        <v>0.22520884287348902</v>
      </c>
      <c r="I39" s="38">
        <v>0.22108604302146967</v>
      </c>
      <c r="J39" s="37">
        <v>0.22346591842115207</v>
      </c>
      <c r="K39" s="38">
        <v>0.22135725998556502</v>
      </c>
      <c r="L39" s="37">
        <v>0.22175015175806739</v>
      </c>
      <c r="M39" s="38">
        <v>0.22176135491115656</v>
      </c>
      <c r="N39" s="37">
        <v>0.22005581744430039</v>
      </c>
      <c r="O39" s="38">
        <v>0.22231947121157103</v>
      </c>
      <c r="P39" s="37">
        <v>0.21837600933595622</v>
      </c>
      <c r="Q39" s="38">
        <v>0.22305899561275819</v>
      </c>
      <c r="R39" s="37">
        <v>0.21670180941601966</v>
      </c>
      <c r="S39" s="38">
        <v>0.22401622533903806</v>
      </c>
      <c r="T39" s="37">
        <v>0.21502091542478424</v>
      </c>
      <c r="U39" s="38">
        <v>0.22524026187098015</v>
      </c>
      <c r="V39" s="37">
        <v>0.21331527249567711</v>
      </c>
      <c r="W39" s="38">
        <v>0.2267994428886633</v>
      </c>
      <c r="X39" s="37">
        <v>0.21155659043579789</v>
      </c>
      <c r="Y39" s="38">
        <v>0.22879258435544661</v>
      </c>
      <c r="Z39" s="37">
        <v>0.20969806775897554</v>
      </c>
      <c r="AA39" s="38">
        <v>0.2313690250918583</v>
      </c>
      <c r="AB39" s="37">
        <v>0.20765811499408562</v>
      </c>
      <c r="AC39" s="38">
        <v>0.23476802017477194</v>
      </c>
      <c r="AD39" s="37">
        <v>0.20528908034104776</v>
      </c>
      <c r="AE39" s="38">
        <v>0.23940071696988305</v>
      </c>
      <c r="AF39" s="37">
        <v>0.20232533552142698</v>
      </c>
      <c r="AG39" s="38">
        <v>0.24603151432570858</v>
      </c>
      <c r="AH39" s="37">
        <v>0.19835279541340869</v>
      </c>
      <c r="AI39" s="38">
        <v>0.25617867833038754</v>
      </c>
      <c r="AJ39" s="37">
        <v>0.19303118407831335</v>
      </c>
      <c r="AK39" s="38">
        <v>0.27289983256054862</v>
      </c>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4.2349553003800777E-2</v>
      </c>
      <c r="E42" s="126"/>
      <c r="F42" s="167">
        <f>6.1%+(1-6.1%)*(1-SUM(F26:G26)/SUM($B$26:$C$26))</f>
        <v>2.2979156518510978E-2</v>
      </c>
      <c r="G42" s="126"/>
      <c r="H42" s="167">
        <f>6.1%+(1-6.1%)*(1-SUM(H26:I26)/SUM($B$26:$C$26))</f>
        <v>2.7640305738619239E-3</v>
      </c>
      <c r="I42" s="126"/>
      <c r="J42" s="167">
        <f>6.1%+(1-6.1%)*(1-SUM(J26:K26)/SUM($B$26:$C$26))</f>
        <v>-1.8451120849606442E-2</v>
      </c>
      <c r="K42" s="126"/>
      <c r="L42" s="167">
        <f>6.1%+(1-6.1%)*(1-SUM(L26:M26)/SUM($B$26:$C$26))</f>
        <v>-4.0864132379434023E-2</v>
      </c>
      <c r="M42" s="126"/>
      <c r="N42" s="167">
        <f>6.1%+(1-6.1%)*(1-SUM(N26:O26)/SUM($B$26:$C$26))</f>
        <v>-6.4733551544939205E-2</v>
      </c>
      <c r="O42" s="126"/>
      <c r="P42" s="167">
        <f>6.1%+(1-6.1%)*(1-SUM(P26:Q26)/SUM($B$26:$C$26))</f>
        <v>-9.040763683507283E-2</v>
      </c>
      <c r="Q42" s="126"/>
      <c r="R42" s="167">
        <f>6.1%+(1-6.1%)*(1-SUM(R26:S26)/SUM($B$26:$C$26))</f>
        <v>-0.11837254372755157</v>
      </c>
      <c r="S42" s="126"/>
      <c r="T42" s="167">
        <f>6.1%+(1-6.1%)*(1-SUM(T26:U26)/SUM($B$26:$C$26))</f>
        <v>-0.14933567641810999</v>
      </c>
      <c r="U42" s="126"/>
      <c r="V42" s="167">
        <f>6.1%+(1-6.1%)*(1-SUM(V26:W26)/SUM($B$26:$C$26))</f>
        <v>-0.18437923103679016</v>
      </c>
      <c r="W42" s="126"/>
      <c r="X42" s="167">
        <f>6.1%+(1-6.1%)*(1-SUM(X26:Y26)/SUM($B$26:$C$26))</f>
        <v>-0.22526517675326846</v>
      </c>
      <c r="Y42" s="152"/>
      <c r="Z42" s="167">
        <f>6.1%+(1-6.1%)*(1-SUM(Z26:AA26)/SUM($B$26:$C$26))</f>
        <v>-0.27508737387808113</v>
      </c>
      <c r="AA42" s="126"/>
      <c r="AB42" s="167">
        <f>6.1%+(1-6.1%)*(1-SUM(AB26:AC26)/SUM($B$26:$C$26))</f>
        <v>-0.33983470799570525</v>
      </c>
      <c r="AC42" s="126"/>
      <c r="AD42" s="167">
        <f>6.1%+(1-6.1%)*(1-SUM(AD26:AE26)/SUM($B$26:$C$26))</f>
        <v>-0.43270243766573574</v>
      </c>
      <c r="AE42" s="126"/>
      <c r="AF42" s="167">
        <f>6.1%+(1-6.1%)*(1-SUM(AF26:AG26)/SUM($B$26:$C$26))</f>
        <v>-0.58875962391755832</v>
      </c>
      <c r="AG42" s="126"/>
      <c r="AH42" s="167">
        <f>6.1%+(1-6.1%)*(1-SUM(AH26:AI26)/SUM($B$26:$C$26))</f>
        <v>-0.93852418012651251</v>
      </c>
      <c r="AI42" s="126"/>
      <c r="AJ42" s="167">
        <f>6.1%+(1-6.1%)*(1-SUM(AJ26:AK26)/SUM($B$26:$C$26))</f>
        <v>-3.2500653931904684</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0.57691007007322948</v>
      </c>
      <c r="E43" s="126"/>
      <c r="F43" s="152">
        <f t="array" ref="F43">SUM(F15:G15*F27:G27)/SUM(F15:G15*F27:G27,F13:G13*F26:G26)</f>
        <v>0.58677154766559436</v>
      </c>
      <c r="G43" s="126"/>
      <c r="H43" s="152">
        <f t="array" ref="H43">SUM(H15:I15*H27:I27)/SUM(H15:I15*H27:I27,H13:I13*H26:I26)</f>
        <v>0.5968268130282296</v>
      </c>
      <c r="I43" s="126"/>
      <c r="J43" s="152">
        <f t="array" ref="J43">SUM(J15:K15*J27:K27)/SUM(J15:K15*J27:K27,J13:K13*J26:K26)</f>
        <v>0.60712663246472731</v>
      </c>
      <c r="K43" s="126"/>
      <c r="L43" s="152">
        <f t="array" ref="L43">SUM(L15:M15*L27:M27)/SUM(L15:M15*L27:M27,L13:M13*L26:M26)</f>
        <v>0.61773420939206225</v>
      </c>
      <c r="M43" s="126"/>
      <c r="N43" s="152">
        <f t="array" ref="N43">SUM(N15:O15*N27:O27)/SUM(N15:O15*N27:O27,N13:O13*N26:O26)</f>
        <v>0.62873058388889103</v>
      </c>
      <c r="O43" s="126"/>
      <c r="P43" s="152">
        <f t="array" ref="P43">SUM(P15:Q15*P27:Q27)/SUM(P15:Q15*P27:Q27,P13:Q13*P26:Q26)</f>
        <v>0.64022270900410805</v>
      </c>
      <c r="Q43" s="126"/>
      <c r="R43" s="152">
        <f t="array" ref="R43">SUM(R15:S15*R27:S27)/SUM(R15:S15*R27:S27,R13:S13*R26:S26)</f>
        <v>0.65235696137099841</v>
      </c>
      <c r="S43" s="126"/>
      <c r="T43" s="152">
        <f t="array" ref="T43">SUM(T15:U15*T27:U27)/SUM(T15:U15*T27:U27,T13:U13*T26:U26)</f>
        <v>0.66534094737369731</v>
      </c>
      <c r="U43" s="126"/>
      <c r="V43" s="152">
        <f t="array" ref="V43">SUM(V15:W15*V27:W27)/SUM(V15:W15*V27:W27,V13:W13*V26:W26)</f>
        <v>0.67948239107481778</v>
      </c>
      <c r="W43" s="126"/>
      <c r="X43" s="152">
        <f t="array" ref="X43">SUM(X15:Y15*X27:Y27)/SUM(X15:Y15*X27:Y27,X13:Y13*X26:Y26)</f>
        <v>0.69526053858175008</v>
      </c>
      <c r="Y43" s="126"/>
      <c r="Z43" s="152">
        <f t="array" ref="Z43">SUM(Z15:AA15*Z27:AA27)/SUM(Z15:AA15*Z27:AA27,Z13:AA13*Z26:AA26)</f>
        <v>0.71346458106980992</v>
      </c>
      <c r="AA43" s="126"/>
      <c r="AB43" s="152">
        <f t="array" ref="AB43">SUM(AB15:AC15*AB27:AC27)/SUM(AB15:AC15*AB27:AC27,AB13:AC13*AB26:AC26)</f>
        <v>0.73548054548157915</v>
      </c>
      <c r="AC43" s="126"/>
      <c r="AD43" s="152">
        <f t="array" ref="AD43">SUM(AD15:AE15*AD27:AE27)/SUM(AD15:AE15*AD27:AE27,AD13:AE13*AD26:AE26)</f>
        <v>0.76391936006344219</v>
      </c>
      <c r="AE43" s="126"/>
      <c r="AF43" s="152">
        <f t="array" ref="AF43">SUM(AF15:AG15*AF27:AG27)/SUM(AF15:AG15*AF27:AG27,AF13:AG13*AF26:AG26)</f>
        <v>0.80403893720438113</v>
      </c>
      <c r="AG43" s="126"/>
      <c r="AH43" s="152">
        <f t="array" ref="AH43">SUM(AH15:AI15*AH27:AI27)/SUM(AH15:AI15*AH27:AI27,AH13:AI13*AH26:AI26)</f>
        <v>0.8668634996354857</v>
      </c>
      <c r="AI43" s="126"/>
      <c r="AJ43" s="152">
        <f t="array" ref="AJ43">SUM(AJ15:AK15*AJ27:AK27)/SUM(AJ15:AK15*AJ27:AK27,AJ13:AK13*AJ26:AK26)</f>
        <v>0.97596978602759976</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0.29754226187779548</v>
      </c>
      <c r="F44" s="183">
        <f>(SUM(F11:G11*F24:G24)+F34)/F32</f>
        <v>0.29754226182676768</v>
      </c>
      <c r="H44" s="183">
        <f>(SUM(H11:I11*H24:I24)+H34)/H32</f>
        <v>0.29754226175934334</v>
      </c>
      <c r="J44" s="183">
        <f>(SUM(J11:K11*J24:K24)+J34)/J32</f>
        <v>0.29754226006921702</v>
      </c>
      <c r="L44" s="183">
        <f>(SUM(L11:M11*L24:M24)+L34)/L32</f>
        <v>0.29754226158299263</v>
      </c>
      <c r="N44" s="183">
        <f>(SUM(N11:O11*N24:O24)+N34)/N32</f>
        <v>0.29754226187984301</v>
      </c>
      <c r="P44" s="183">
        <f>(SUM(P11:Q11*P24:Q24)+P34)/P32</f>
        <v>0.29754225216214419</v>
      </c>
      <c r="R44" s="183">
        <f>(SUM(R11:S11*R24:S24)+R34)/R32</f>
        <v>0.29754225903846754</v>
      </c>
      <c r="T44" s="183">
        <f>(SUM(T11:U11*T24:U24)+T34)/T32</f>
        <v>0.29754224903824661</v>
      </c>
      <c r="V44" s="183">
        <f>(SUM(V11:W11*V24:W24)+V34)/V32</f>
        <v>0.29754225880360891</v>
      </c>
      <c r="X44" s="183">
        <f>(SUM(X11:Y11*X24:Y24)+X34)/X32</f>
        <v>0.29754226169627151</v>
      </c>
      <c r="Z44" s="183">
        <f>(SUM(Z11:AA11*Z24:AA24)+Z34)/Z32</f>
        <v>0.297542261842134</v>
      </c>
      <c r="AB44" s="183">
        <f>(SUM(AB11:AC11*AB24:AC24)+AB34)/AB32</f>
        <v>0.29754226139090506</v>
      </c>
      <c r="AD44" s="183">
        <f>(SUM(AD11:AE11*AD24:AE24)+AD34)/AD32</f>
        <v>0.29754226146313084</v>
      </c>
      <c r="AF44" s="183">
        <f>(SUM(AF11:AG11*AF24:AG24)+AF34)/AF32</f>
        <v>0.297542261867835</v>
      </c>
      <c r="AH44" s="183">
        <f>(SUM(AH11:AI11*AH24:AI24)+AH34)/AH32</f>
        <v>0.29754226191424449</v>
      </c>
      <c r="AJ44" s="183">
        <f>(SUM(AJ11:AK11*AJ24:AK24)+AJ34)/AJ32</f>
        <v>0.29754226189869182</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0.22038438829587498</v>
      </c>
      <c r="F45" s="183">
        <f>SUM(F11:G11*F24:G24)/F32</f>
        <v>0.22038438826307835</v>
      </c>
      <c r="H45" s="183">
        <f>SUM(H11:I11*H24:I24)/H32</f>
        <v>0.22038438823855491</v>
      </c>
      <c r="J45" s="183">
        <f>SUM(J11:K11*J24:K24)/J32</f>
        <v>0.22038438824454823</v>
      </c>
      <c r="L45" s="183">
        <f>SUM(L11:M11*L24:M24)/L32</f>
        <v>0.22038438821405834</v>
      </c>
      <c r="N45" s="183">
        <f>SUM(N11:O11*N24:O24)/N32</f>
        <v>0.22038438833348359</v>
      </c>
      <c r="P45" s="183">
        <f>SUM(P11:Q11*P24:Q24)/P32</f>
        <v>0.2203843883666137</v>
      </c>
      <c r="R45" s="183">
        <f>SUM(R11:S11*R24:S24)/R32</f>
        <v>0.22038438834001572</v>
      </c>
      <c r="T45" s="183">
        <f>SUM(T11:U11*T24:U24)/T32</f>
        <v>0.22038438847586608</v>
      </c>
      <c r="V45" s="183">
        <f>SUM(V11:W11*V24:W24)/V32</f>
        <v>0.22038438833445143</v>
      </c>
      <c r="X45" s="183">
        <f>SUM(X11:Y11*X24:Y24)/X32</f>
        <v>0.22038438832876622</v>
      </c>
      <c r="Z45" s="183">
        <f>SUM(Z11:AA11*Z24:AA24)/Z32</f>
        <v>0.220384388330335</v>
      </c>
      <c r="AB45" s="183">
        <f>SUM(AB11:AC11*AB24:AC24)/AB32</f>
        <v>0.22038438832416016</v>
      </c>
      <c r="AD45" s="183">
        <f>SUM(AD11:AE11*AD24:AE24)/AD32</f>
        <v>0.22038438833044516</v>
      </c>
      <c r="AF45" s="183">
        <f>SUM(AF11:AG11*AF24:AG24)/AF32</f>
        <v>0.22038438833220883</v>
      </c>
      <c r="AH45" s="183">
        <f>SUM(AH11:AI11*AH24:AI24)/AH32</f>
        <v>0.2203843883315213</v>
      </c>
      <c r="AJ45" s="183">
        <f>SUM(AJ11:AK11*AJ24:AK24)/AJ32</f>
        <v>0.2203843883295056</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7.7157873581920458E-2</v>
      </c>
      <c r="F46" s="183">
        <f>F34/F32</f>
        <v>7.7157873563689278E-2</v>
      </c>
      <c r="H46" s="183">
        <f>H34/H32</f>
        <v>7.7157873520788456E-2</v>
      </c>
      <c r="J46" s="183">
        <f>J34/J32</f>
        <v>7.7157871824668808E-2</v>
      </c>
      <c r="L46" s="183">
        <f>L34/L32</f>
        <v>7.7157873368934274E-2</v>
      </c>
      <c r="N46" s="183">
        <f>N34/N32</f>
        <v>7.7157873546359446E-2</v>
      </c>
      <c r="P46" s="183">
        <f>P34/P32</f>
        <v>7.7157863795530551E-2</v>
      </c>
      <c r="R46" s="183">
        <f>R34/R32</f>
        <v>7.7157870698451841E-2</v>
      </c>
      <c r="T46" s="183">
        <f>T34/T32</f>
        <v>7.7157860562380554E-2</v>
      </c>
      <c r="V46" s="183">
        <f>V34/V32</f>
        <v>7.7157870469157508E-2</v>
      </c>
      <c r="X46" s="183">
        <f>X34/X32</f>
        <v>7.7157873367505292E-2</v>
      </c>
      <c r="Z46" s="183">
        <f>Z34/Z32</f>
        <v>7.7157873511799008E-2</v>
      </c>
      <c r="AB46" s="183">
        <f>AB34/AB32</f>
        <v>7.7157873066744903E-2</v>
      </c>
      <c r="AD46" s="183">
        <f>AD34/AD32</f>
        <v>7.7157873132685684E-2</v>
      </c>
      <c r="AF46" s="183">
        <f>AF34/AF32</f>
        <v>7.7157873535626156E-2</v>
      </c>
      <c r="AH46" s="183">
        <f>AH34/AH32</f>
        <v>7.7157873582723246E-2</v>
      </c>
      <c r="AJ46" s="183">
        <f>AJ34/AJ32</f>
        <v>7.7157873569186228E-2</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1.0118083285823238</v>
      </c>
      <c r="E48" s="181"/>
      <c r="F48" s="181">
        <f>F24/$B$24</f>
        <v>1.0235479676224959</v>
      </c>
      <c r="G48" s="181"/>
      <c r="H48" s="181">
        <f>H24/$B$24</f>
        <v>1.0352288987444618</v>
      </c>
      <c r="I48" s="181"/>
      <c r="J48" s="181">
        <f>J24/$B$24</f>
        <v>1.0468619490806164</v>
      </c>
      <c r="K48" s="181"/>
      <c r="L48" s="181">
        <f>L24/$B$24</f>
        <v>1.0584598142642792</v>
      </c>
      <c r="M48" s="181"/>
      <c r="N48" s="181">
        <f>N24/$B$24</f>
        <v>1.0700383112070857</v>
      </c>
      <c r="O48" s="181"/>
      <c r="P48" s="181">
        <f>P24/$B$24</f>
        <v>1.0816191472253367</v>
      </c>
      <c r="Q48" s="181"/>
      <c r="R48" s="181">
        <f>R24/$B$24</f>
        <v>1.093234300535205</v>
      </c>
      <c r="S48" s="181"/>
      <c r="T48" s="181">
        <f>T24/$B$24</f>
        <v>1.1049339583329549</v>
      </c>
      <c r="U48" s="181"/>
      <c r="V48" s="181">
        <f>V24/$B$24</f>
        <v>1.1168015972207941</v>
      </c>
      <c r="W48" s="181"/>
      <c r="X48" s="181">
        <f>X24/$B$24</f>
        <v>1.1289831040263743</v>
      </c>
      <c r="Y48" s="181"/>
      <c r="Z48" s="181">
        <f>Z24/$B$24</f>
        <v>1.141744704648918</v>
      </c>
      <c r="AA48" s="181"/>
      <c r="AB48" s="181">
        <f>AB24/$B$24</f>
        <v>1.1555928675529747</v>
      </c>
      <c r="AC48" s="181"/>
      <c r="AD48" s="181">
        <f>AD24/$B$24</f>
        <v>1.1715223976988676</v>
      </c>
      <c r="AE48" s="181"/>
      <c r="AF48" s="181">
        <f>AF24/$B$24</f>
        <v>1.1914810551793544</v>
      </c>
      <c r="AG48" s="181"/>
      <c r="AH48" s="181">
        <f>AH24/$B$24</f>
        <v>1.2188471031026886</v>
      </c>
      <c r="AI48" s="181"/>
      <c r="AJ48" s="181">
        <f>AJ24/$B$24</f>
        <v>1.2571547316910356</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0.96657417969943671</v>
      </c>
      <c r="E49" s="181"/>
      <c r="F49" s="181">
        <f>F13/F35/$B$13*$B$35</f>
        <v>0.93276841239708075</v>
      </c>
      <c r="G49" s="181"/>
      <c r="H49" s="181">
        <f>H13/H35/$B$13*$B$35</f>
        <v>0.89845641708003854</v>
      </c>
      <c r="I49" s="181"/>
      <c r="J49" s="181">
        <f>J13/J35/$B$13*$B$35</f>
        <v>0.86348744761940044</v>
      </c>
      <c r="K49" s="181"/>
      <c r="L49" s="181">
        <f>L13/L35/$B$13*$B$35</f>
        <v>0.82767727407920588</v>
      </c>
      <c r="M49" s="181"/>
      <c r="N49" s="181">
        <f>N13/N35/$B$13*$B$35</f>
        <v>0.79079468185983881</v>
      </c>
      <c r="O49" s="181"/>
      <c r="P49" s="181">
        <f>P13/P35/$B$13*$B$35</f>
        <v>0.75254190763643591</v>
      </c>
      <c r="Q49" s="181"/>
      <c r="R49" s="181">
        <f>R13/R35/$B$13*$B$35</f>
        <v>0.71252305508824054</v>
      </c>
      <c r="S49" s="181"/>
      <c r="T49" s="181">
        <f>T13/T35/$B$13*$B$35</f>
        <v>0.67019480141916576</v>
      </c>
      <c r="U49" s="181"/>
      <c r="V49" s="181">
        <f>V13/V35/$B$13*$B$35</f>
        <v>0.62478359254570004</v>
      </c>
      <c r="W49" s="181"/>
      <c r="X49" s="181">
        <f>X13/X35/$B$13*$B$35</f>
        <v>0.57514156390209448</v>
      </c>
      <c r="Y49" s="181"/>
      <c r="Z49" s="181">
        <f>Z13/Z35/$B$13*$B$35</f>
        <v>0.51949317144550911</v>
      </c>
      <c r="AA49" s="181"/>
      <c r="AB49" s="181">
        <f>AB13/AB35/$B$13*$B$35</f>
        <v>0.45497653290256995</v>
      </c>
      <c r="AC49" s="181"/>
      <c r="AD49" s="181">
        <f>AD13/AD35/$B$13*$B$35</f>
        <v>0.37686750040096106</v>
      </c>
      <c r="AE49" s="181"/>
      <c r="AF49" s="181">
        <f>AF13/AF35/$B$13*$B$35</f>
        <v>0.27772413456743938</v>
      </c>
      <c r="AG49" s="181"/>
      <c r="AH49" s="181">
        <f>AH13/AH35/$B$13*$B$35</f>
        <v>0.14968236331467119</v>
      </c>
      <c r="AI49" s="181"/>
      <c r="AJ49" s="181">
        <f>AJ13/AJ35/$B$13*$B$35</f>
        <v>1.144020308215736E-2</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-409982.27514306642</v>
      </c>
      <c r="F51" s="27">
        <f>F30-F10*F23</f>
        <v>-414095.02302511921</v>
      </c>
      <c r="H51" s="27">
        <f>H30-H10*H23</f>
        <v>-418178.19013029896</v>
      </c>
      <c r="J51" s="27">
        <f>J30-J10*J23</f>
        <v>-422233.55035054451</v>
      </c>
      <c r="L51" s="27">
        <f>L30-L10*L23</f>
        <v>-426263.57582389563</v>
      </c>
      <c r="N51" s="27">
        <f>N30-N10*N23</f>
        <v>-430272.09296468925</v>
      </c>
      <c r="P51" s="27">
        <f>P30-P10*P23</f>
        <v>-434265.1228764616</v>
      </c>
      <c r="R51" s="27">
        <f>R30-R10*R23</f>
        <v>-438255.75378138945</v>
      </c>
      <c r="T51" s="27">
        <f>T30-T10*T23</f>
        <v>-442264.07151785167</v>
      </c>
      <c r="V51" s="27">
        <f>V30-V10*V23</f>
        <v>-446331.17022771249</v>
      </c>
      <c r="X51" s="27">
        <f>X30-X10*X23</f>
        <v>-450530.25558949308</v>
      </c>
      <c r="Z51" s="27">
        <f>Z30-Z10*Z23</f>
        <v>-455002.71098692575</v>
      </c>
      <c r="AB51" s="27">
        <f>AB30-AB10*AB23</f>
        <v>-460023.58249191521</v>
      </c>
      <c r="AD51" s="27">
        <f>AD30-AD10*AD23</f>
        <v>-466139.04747762764</v>
      </c>
      <c r="AF51" s="27">
        <f>AF30-AF10*AF23</f>
        <v>-474419.32426249282</v>
      </c>
      <c r="AH51" s="27">
        <f>AH30-AH10*AH23</f>
        <v>-486703.84443166247</v>
      </c>
      <c r="AJ51" s="27">
        <f>AJ30-AJ10*AJ23</f>
        <v>-504859.16997685377</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2047277.9501295104</v>
      </c>
      <c r="F52" s="27">
        <f t="array" ref="F52">Calibration!sL*SUM(F13:G13*F26:G26)</f>
        <v>2019618.2067488837</v>
      </c>
      <c r="H52" s="27">
        <f t="array" ref="H52">Calibration!sL*SUM(H13:I13*H26:I26)</f>
        <v>1989903.8041225602</v>
      </c>
      <c r="J52" s="27">
        <f t="array" ref="J52">Calibration!sL*SUM(J13:K13*J26:K26)</f>
        <v>1957872.5481696178</v>
      </c>
      <c r="L52" s="27">
        <f t="array" ref="L52">Calibration!sL*SUM(L13:M13*L26:M26)</f>
        <v>1923192.4404176832</v>
      </c>
      <c r="N52" s="27">
        <f t="array" ref="N52">Calibration!sL*SUM(N13:O13*N26:O26)</f>
        <v>1885434.212343541</v>
      </c>
      <c r="P52" s="27">
        <f t="array" ref="P52">Calibration!sL*SUM(P13:Q13*P26:Q26)</f>
        <v>1844030.7611972739</v>
      </c>
      <c r="R52" s="27">
        <f t="array" ref="R52">Calibration!sL*SUM(R13:S13*R26:S26)</f>
        <v>1798209.6175198795</v>
      </c>
      <c r="T52" s="27">
        <f t="array" ref="T52">Calibration!sL*SUM(T13:U13*T26:U26)</f>
        <v>1746882.7207825328</v>
      </c>
      <c r="V52" s="27">
        <f t="array" ref="V52">Calibration!sL*SUM(V13:W13*V26:W26)</f>
        <v>1688450.2101991023</v>
      </c>
      <c r="X52" s="27">
        <f t="array" ref="X52">Calibration!sL*SUM(X13:Y13*X26:Y26)</f>
        <v>1620435.338130533</v>
      </c>
      <c r="Z52" s="27">
        <f t="array" ref="Z52">Calibration!sL*SUM(Z13:AA13*Z26:AA26)</f>
        <v>1538761.5694001804</v>
      </c>
      <c r="AB52" s="27">
        <f t="array" ref="AB52">Calibration!sL*SUM(AB13:AC13*AB26:AC26)</f>
        <v>1436206.1976791369</v>
      </c>
      <c r="AD52" s="27">
        <f t="array" ref="AD52">Calibration!sL*SUM(AD13:AE13*AD26:AE26)</f>
        <v>1298837.7645526936</v>
      </c>
      <c r="AF52" s="27">
        <f t="array" ref="AF52">Calibration!sL*SUM(AF13:AG13*AF26:AG26)</f>
        <v>1097264.1444764808</v>
      </c>
      <c r="AH52" s="27">
        <f t="array" ref="AH52">Calibration!sL*SUM(AH13:AI13*AH26:AI26)</f>
        <v>764787.79700701428</v>
      </c>
      <c r="AJ52" s="27">
        <f t="array" ref="AJ52">Calibration!sL*SUM(AJ13:AK13*AJ26:AK26)</f>
        <v>143188.1200108848</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2791593.8955886294</v>
      </c>
      <c r="F53" s="27">
        <f t="array" ref="F53">Calibration!sK*SUM(F15:G15*F27:G27)</f>
        <v>2867795.0276004914</v>
      </c>
      <c r="H53" s="27">
        <f t="array" ref="H53">Calibration!sK*SUM(H15:I15*H27:I27)</f>
        <v>2945701.7084084372</v>
      </c>
      <c r="J53" s="27">
        <f t="array" ref="J53">Calibration!sK*SUM(J15:K15*J27:K27)</f>
        <v>3025597.2157711447</v>
      </c>
      <c r="L53" s="27">
        <f t="array" ref="L53">Calibration!sK*SUM(L15:M15*L27:M27)</f>
        <v>3107842.2157547348</v>
      </c>
      <c r="N53" s="27">
        <f t="array" ref="N53">Calibration!sK*SUM(N15:O15*N27:O27)</f>
        <v>3192910.8667978332</v>
      </c>
      <c r="P53" s="27">
        <f t="array" ref="P53">Calibration!sK*SUM(P15:Q15*P27:Q27)</f>
        <v>3281447.7149256938</v>
      </c>
      <c r="R53" s="27">
        <f t="array" ref="R53">Calibration!sK*SUM(R15:S15*R27:S27)</f>
        <v>3374365.17244707</v>
      </c>
      <c r="T53" s="27">
        <f t="array" ref="T53">Calibration!sK*SUM(T15:U15*T27:U27)</f>
        <v>3473005.1234981688</v>
      </c>
      <c r="V53" s="27">
        <f t="array" ref="V53">Calibration!sK*SUM(V15:W15*V27:W27)</f>
        <v>3579435.7442141972</v>
      </c>
      <c r="X53" s="27">
        <f t="array" ref="X53">Calibration!sK*SUM(X15:Y15*X27:Y27)</f>
        <v>3697009.7035751501</v>
      </c>
      <c r="Z53" s="27">
        <f t="array" ref="Z53">Calibration!sK*SUM(Z15:AA15*Z27:AA27)</f>
        <v>3831470.0590152787</v>
      </c>
      <c r="AB53" s="27">
        <f t="array" ref="AB53">Calibration!sK*SUM(AB15:AC15*AB27:AC27)</f>
        <v>3993285.5585845639</v>
      </c>
      <c r="AD53" s="27">
        <f t="array" ref="AD53">Calibration!sK*SUM(AD15:AE15*AD27:AE27)</f>
        <v>4202832.1940755611</v>
      </c>
      <c r="AF53" s="27">
        <f t="array" ref="AF53">Calibration!sK*SUM(AF15:AG15*AF27:AG27)</f>
        <v>4502134.6790586449</v>
      </c>
      <c r="AH53" s="27">
        <f t="array" ref="AH53">Calibration!sK*SUM(AH15:AI15*AH27:AI27)</f>
        <v>4979600.8185349535</v>
      </c>
      <c r="AJ53" s="27">
        <f t="array" ref="AJ53">Calibration!sK*SUM(AJ15:AK15*AJ27:AK27)</f>
        <v>5815482.0847297963</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0.1985027195814405</v>
      </c>
      <c r="F55" s="183">
        <f>F30/F32</f>
        <v>0.19850272033822969</v>
      </c>
      <c r="H55" s="183">
        <f>H30/H32</f>
        <v>0.19850272120124501</v>
      </c>
      <c r="J55" s="183">
        <f>J30/J32</f>
        <v>0.19850272272806133</v>
      </c>
      <c r="L55" s="183">
        <f>L30/L32</f>
        <v>0.19850272283101031</v>
      </c>
      <c r="N55" s="183">
        <f>N30/N32</f>
        <v>0.19850271884244342</v>
      </c>
      <c r="P55" s="183">
        <f>P30/P32</f>
        <v>0.19850274695416895</v>
      </c>
      <c r="R55" s="183">
        <f>R30/R32</f>
        <v>0.19850272683610512</v>
      </c>
      <c r="T55" s="183">
        <f>T30/T32</f>
        <v>0.1985027493140244</v>
      </c>
      <c r="V55" s="183">
        <f>V30/V32</f>
        <v>0.19850272645736269</v>
      </c>
      <c r="X55" s="183">
        <f>X30/X32</f>
        <v>0.19850272010890913</v>
      </c>
      <c r="Z55" s="183">
        <f>Z30/Z32</f>
        <v>0.19850271919334445</v>
      </c>
      <c r="AB55" s="183">
        <f>AB30/AB32</f>
        <v>0.19850272225765611</v>
      </c>
      <c r="AD55" s="183">
        <f>AD30/AD32</f>
        <v>0.19850272017488149</v>
      </c>
      <c r="AF55" s="183">
        <f>AF30/AF32</f>
        <v>0.19850271901288433</v>
      </c>
      <c r="AH55" s="183">
        <f>AH30/AH32</f>
        <v>0.19850271932019162</v>
      </c>
      <c r="AJ55" s="183">
        <f>AJ30/AJ32</f>
        <v>0.19850272344000994</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3.2865548526042933E-2</v>
      </c>
      <c r="F56" s="183">
        <f>(Model!$C$52*F5*F20+F2*G5*G20)/F32</f>
        <v>3.6564754315916111E-2</v>
      </c>
      <c r="H56" s="183">
        <f>(Model!$C$52*H5*H20+H2*I5*I20)/H32</f>
        <v>4.0334339179905317E-2</v>
      </c>
      <c r="J56" s="183">
        <f>(Model!$C$52*J5*J20+J2*K5*K20)/J32</f>
        <v>4.4193098112237865E-2</v>
      </c>
      <c r="L56" s="183">
        <f>(Model!$C$52*L5*L20+L2*M5*M20)/L32</f>
        <v>4.8164401935065826E-2</v>
      </c>
      <c r="N56" s="183">
        <f>(Model!$C$52*N5*N20+N2*O5*O20)/N32</f>
        <v>5.2278160824979561E-2</v>
      </c>
      <c r="P56" s="183">
        <f>(Model!$C$52*P5*P20+P2*Q5*Q20)/P32</f>
        <v>5.6573855705162733E-2</v>
      </c>
      <c r="R56" s="183">
        <f>(Model!$C$52*R5*R20+R2*S5*S20)/R32</f>
        <v>6.1105291162379873E-2</v>
      </c>
      <c r="T56" s="183">
        <f>(Model!$C$52*T5*T20+T2*U5*U20)/T32</f>
        <v>6.5948903923255073E-2</v>
      </c>
      <c r="V56" s="183">
        <f>(Model!$C$52*V5*V20+V2*W5*W20)/V32</f>
        <v>7.1217618215290157E-2</v>
      </c>
      <c r="X56" s="183">
        <f>(Model!$C$52*X5*X20+X2*Y5*Y20)/X32</f>
        <v>7.7087279507598527E-2</v>
      </c>
      <c r="Z56" s="183">
        <f>(Model!$C$52*Z5*Z20+Z2*AA5*AA20)/Z32</f>
        <v>8.3847048964587598E-2</v>
      </c>
      <c r="AB56" s="183">
        <f>(Model!$C$52*AB5*AB20+AB2*AC5*AC20)/AB32</f>
        <v>9.2004334172362409E-2</v>
      </c>
      <c r="AD56" s="183">
        <f>(Model!$C$52*AD5*AD20+AD2*AE5*AE20)/AD32</f>
        <v>0.10251434889468869</v>
      </c>
      <c r="AF56" s="183">
        <f>(Model!$C$52*AF5*AF20+AF2*AG5*AG20)/AF32</f>
        <v>0.11730011689635228</v>
      </c>
      <c r="AH56" s="183">
        <f>(Model!$C$52*AH5*AH20+AH2*AI5*AI20)/AH32</f>
        <v>0.14039405043315775</v>
      </c>
      <c r="AJ56" s="183">
        <f>(Model!$C$52*AJ5*AJ20+AJ2*AK5*AK20)/AJ32</f>
        <v>0.18042538072685907</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0.15497234190190842</v>
      </c>
      <c r="F57" s="183">
        <f t="array" ref="F57">SUM(Model!tauL*F13:G13*F26:G26)/F32</f>
        <v>0.15136021038550151</v>
      </c>
      <c r="H57" s="183">
        <f t="array" ref="H57">SUM(Model!tauL*H13:I13*H26:I26)/H32</f>
        <v>0.14767709692961792</v>
      </c>
      <c r="J57" s="183">
        <f t="array" ref="J57">SUM(Model!tauL*J13:K13*J26:K26)/J32</f>
        <v>0.1439044078186569</v>
      </c>
      <c r="L57" s="183">
        <f t="array" ref="L57">SUM(Model!tauL*L13:M13*L26:M26)/L32</f>
        <v>0.1400189886422035</v>
      </c>
      <c r="N57" s="183">
        <f t="array" ref="N57">SUM(Model!tauL*N13:O13*N26:O26)/N32</f>
        <v>0.1359911618372566</v>
      </c>
      <c r="P57" s="183">
        <f t="array" ref="P57">SUM(Model!tauL*P13:Q13*P26:Q26)/P32</f>
        <v>0.13178174282250171</v>
      </c>
      <c r="R57" s="183">
        <f t="array" ref="R57">SUM(Model!tauL*R13:S13*R26:S26)/R32</f>
        <v>0.12733712593595442</v>
      </c>
      <c r="T57" s="183">
        <f t="array" ref="T57">SUM(Model!tauL*T13:U13*T26:U26)/T32</f>
        <v>0.12258126215079009</v>
      </c>
      <c r="V57" s="183">
        <f t="array" ref="V57">SUM(Model!tauL*V13:W13*V26:W26)/V32</f>
        <v>0.11740143377071412</v>
      </c>
      <c r="X57" s="183">
        <f t="array" ref="X57">SUM(Model!tauL*X13:Y13*X26:Y26)/X32</f>
        <v>0.11162210389172028</v>
      </c>
      <c r="Y57" s="183"/>
      <c r="Z57" s="183">
        <f t="array" ref="Z57">SUM(Model!tauL*Z13:AA13*Z26:AA26)/Z32</f>
        <v>0.10495419969261709</v>
      </c>
      <c r="AB57" s="183">
        <f t="array" ref="AB57">SUM(Model!tauL*AB13:AC13*AB26:AC26)/AB32</f>
        <v>9.6890038122483077E-2</v>
      </c>
      <c r="AD57" s="183">
        <f t="array" ref="AD57">SUM(Model!tauL*AD13:AE13*AD26:AE26)/AD32</f>
        <v>8.6473269968116093E-2</v>
      </c>
      <c r="AF57" s="183">
        <f t="array" ref="AF57">SUM(Model!tauL*AF13:AG13*AF26:AG26)/AF32</f>
        <v>7.1777990314727716E-2</v>
      </c>
      <c r="AH57" s="183">
        <f t="array" ref="AH57">SUM(Model!tauL*AH13:AI13*AH26:AI26)/AH32</f>
        <v>4.8766169670316072E-2</v>
      </c>
      <c r="AJ57" s="183">
        <f t="array" ref="AJ57">SUM(Model!tauL*AJ13:AK13*AJ26:AK26)/AJ32</f>
        <v>8.8019550326044593E-3</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1.066482915348917E-2</v>
      </c>
      <c r="F58" s="183">
        <f t="array" ref="F58">SUM(Model!tauY/(1+Model!tauY)*F3:G3*F18:G18)/F32</f>
        <v>1.0577755636812075E-2</v>
      </c>
      <c r="H58" s="183">
        <f t="array" ref="H58">SUM(Model!tauY/(1+Model!tauY)*H3:I3*H18:I18)/H32</f>
        <v>1.0491285091721776E-2</v>
      </c>
      <c r="J58" s="183">
        <f t="array" ref="J58">SUM(Model!tauY/(1+Model!tauY)*J3:K3*J18:K18)/J32</f>
        <v>1.0405216797166576E-2</v>
      </c>
      <c r="L58" s="183">
        <f t="array" ref="L58">SUM(Model!tauY/(1+Model!tauY)*L3:M3*L18:M18)/L32</f>
        <v>1.031933225374101E-2</v>
      </c>
      <c r="N58" s="183">
        <f t="array" ref="N58">SUM(Model!tauY/(1+Model!tauY)*N3:O3*N18:O18)/N32</f>
        <v>1.0233396180207213E-2</v>
      </c>
      <c r="P58" s="183">
        <f t="array" ref="P58">SUM(Model!tauY/(1+Model!tauY)*P3:Q3*P18:Q18)/P32</f>
        <v>1.0147148426504516E-2</v>
      </c>
      <c r="R58" s="183">
        <f t="array" ref="R58">SUM(Model!tauY/(1+Model!tauY)*R3:S3*R18:S18)/R32</f>
        <v>1.0060309737770827E-2</v>
      </c>
      <c r="T58" s="183">
        <f t="array" ref="T58">SUM(Model!tauY/(1+Model!tauY)*T3:U3*T18:U18)/T32</f>
        <v>9.9725832399792397E-3</v>
      </c>
      <c r="V58" s="183">
        <f t="array" ref="V58">SUM(Model!tauY/(1+Model!tauY)*V3:W3*V18:W18)/V32</f>
        <v>9.8836744713584213E-3</v>
      </c>
      <c r="X58" s="183">
        <f t="array" ref="X58">SUM(Model!tauY/(1+Model!tauY)*X3:Y3*X18:Y18)/X32</f>
        <v>9.7933367095903376E-3</v>
      </c>
      <c r="Y58" s="183"/>
      <c r="Z58" s="183">
        <f t="array" ref="Z58">SUM(Model!tauY/(1+Model!tauY)*Z3:AA3*Z18:AA18)/Z32</f>
        <v>9.70147053613977E-3</v>
      </c>
      <c r="AB58" s="183">
        <f t="array" ref="AB58">SUM(Model!tauY/(1+Model!tauY)*AB3:AC3*AB18:AC18)/AB32</f>
        <v>9.6083499628106216E-3</v>
      </c>
      <c r="AD58" s="183">
        <f t="array" ref="AD58">SUM(Model!tauY/(1+Model!tauY)*AD3:AE3*AD18:AE18)/AD32</f>
        <v>9.5151013120766958E-3</v>
      </c>
      <c r="AF58" s="183">
        <f t="array" ref="AF58">SUM(Model!tauY/(1+Model!tauY)*AF3:AG3*AF18:AG18)/AF32</f>
        <v>9.4246118018043341E-3</v>
      </c>
      <c r="AH58" s="183">
        <f t="array" ref="AH58">SUM(Model!tauY/(1+Model!tauY)*AH3:AI3*AH18:AI18)/AH32</f>
        <v>9.3424992167177746E-3</v>
      </c>
      <c r="AJ58" s="183">
        <f t="array" ref="AJ58">SUM(Model!tauY/(1+Model!tauY)*AJ3:AK3*AJ18:AK18)/AJ32</f>
        <v>9.2753876805463931E-3</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4.230537190966251E-3</v>
      </c>
      <c r="F59" s="183">
        <f>(F2*G5*G20)/F32</f>
        <v>7.9627810219594104E-3</v>
      </c>
      <c r="H59" s="183">
        <f>(H2*I5*I20)/H32</f>
        <v>1.1763955294210877E-2</v>
      </c>
      <c r="J59" s="183">
        <f>(J2*K5*K20)/J32</f>
        <v>1.5652803645255356E-2</v>
      </c>
      <c r="L59" s="183">
        <f>(L2*M5*M20)/L32</f>
        <v>1.9652626278742272E-2</v>
      </c>
      <c r="N59" s="183">
        <f>(N2*O5*O20)/N32</f>
        <v>2.3793239266912587E-2</v>
      </c>
      <c r="P59" s="183">
        <f>(P2*Q5*Q20)/P32</f>
        <v>2.8114006072308458E-2</v>
      </c>
      <c r="R59" s="183">
        <f>(R2*S5*S20)/R32</f>
        <v>3.2668586341335647E-2</v>
      </c>
      <c r="T59" s="183">
        <f>(T2*U5*U20)/T32</f>
        <v>3.7533249584365228E-2</v>
      </c>
      <c r="V59" s="183">
        <f>(V2*W5*W20)/V32</f>
        <v>4.2820740451409559E-2</v>
      </c>
      <c r="X59" s="183">
        <f>(X2*Y5*Y20)/X32</f>
        <v>4.8706746006741894E-2</v>
      </c>
      <c r="Z59" s="183">
        <f>(Z2*AA5*AA20)/Z32</f>
        <v>5.548037678579576E-2</v>
      </c>
      <c r="AB59" s="183">
        <f>(AB2*AC5*AC20)/AB32</f>
        <v>6.3649303872391053E-2</v>
      </c>
      <c r="AD59" s="183">
        <f>(AD2*AE5*AE20)/AD32</f>
        <v>7.4169793375687437E-2</v>
      </c>
      <c r="AF59" s="183">
        <f>(AF2*AG5*AG20)/AF32</f>
        <v>8.8967622117301956E-2</v>
      </c>
      <c r="AH59" s="183">
        <f>(AH2*AI5*AI20)/AH32</f>
        <v>0.11208028483172501</v>
      </c>
      <c r="AJ59" s="183">
        <f>(AJ2*AK5*AK20)/AJ32</f>
        <v>0.15213999975190867</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2.8635011335076684E-2</v>
      </c>
      <c r="F60" s="183">
        <f>Model!$C$52*F5*F20/F32</f>
        <v>2.8601973293956702E-2</v>
      </c>
      <c r="H60" s="183">
        <f>Model!$C$52*H5*H20/H32</f>
        <v>2.8570383885694439E-2</v>
      </c>
      <c r="J60" s="183">
        <f>Model!$C$52*J5*J20/J32</f>
        <v>2.8540294466982509E-2</v>
      </c>
      <c r="L60" s="183">
        <f>Model!$C$52*L5*L20/L32</f>
        <v>2.8511775656323558E-2</v>
      </c>
      <c r="N60" s="183">
        <f>Model!$C$52*N5*N20/N32</f>
        <v>2.8484921558066978E-2</v>
      </c>
      <c r="P60" s="183">
        <f>Model!$C$52*P5*P20/P32</f>
        <v>2.8459849632854275E-2</v>
      </c>
      <c r="R60" s="183">
        <f>Model!$C$52*R5*R20/R32</f>
        <v>2.8436704821044229E-2</v>
      </c>
      <c r="T60" s="183">
        <f>Model!$C$52*T5*T20/T32</f>
        <v>2.8415654338889842E-2</v>
      </c>
      <c r="V60" s="183">
        <f>Model!$C$52*V5*V20/V32</f>
        <v>2.8396877763880606E-2</v>
      </c>
      <c r="X60" s="183">
        <f>Model!$C$52*X5*X20/X32</f>
        <v>2.8380533500856633E-2</v>
      </c>
      <c r="Z60" s="183">
        <f>Model!$C$52*Z5*Z20/Z32</f>
        <v>2.8366672178791838E-2</v>
      </c>
      <c r="AB60" s="183">
        <f>Model!$C$52*AB5*AB20/AB32</f>
        <v>2.8355030299971364E-2</v>
      </c>
      <c r="AD60" s="183">
        <f>Model!$C$52*AD5*AD20/AD32</f>
        <v>2.8344555519001249E-2</v>
      </c>
      <c r="AF60" s="183">
        <f>Model!$C$52*AF5*AF20/AF32</f>
        <v>2.8332494779050324E-2</v>
      </c>
      <c r="AH60" s="183">
        <f>Model!$C$52*AH5*AH20/AH32</f>
        <v>2.8313765601432755E-2</v>
      </c>
      <c r="AJ60" s="183">
        <f>Model!$C$52*AJ5*AJ20/AJ32</f>
        <v>2.8285380974950394E-2</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0.94239520212292116</v>
      </c>
      <c r="F62">
        <f>F13/F15</f>
        <v>0.88701886253600959</v>
      </c>
      <c r="H62">
        <f>H13/H15</f>
        <v>0.83360612348535201</v>
      </c>
      <c r="J62">
        <f>J13/J15</f>
        <v>0.78189534385227843</v>
      </c>
      <c r="L62">
        <f>L13/L15</f>
        <v>0.73161946992745552</v>
      </c>
      <c r="N62">
        <f>N13/N15</f>
        <v>0.68249450870249417</v>
      </c>
      <c r="P62">
        <f>P13/P15</f>
        <v>0.63420444831185196</v>
      </c>
      <c r="R62">
        <f>R13/R15</f>
        <v>0.58637743183805413</v>
      </c>
      <c r="T62">
        <f>T13/T15</f>
        <v>0.5385511265626558</v>
      </c>
      <c r="V62">
        <f>V13/V15</f>
        <v>0.49011547210579059</v>
      </c>
      <c r="X62">
        <f>X13/X15</f>
        <v>0.44021672243427684</v>
      </c>
      <c r="Z62">
        <f>Z13/Z15</f>
        <v>0.38759794120439944</v>
      </c>
      <c r="AB62">
        <f>AB13/AB15</f>
        <v>0.33033205263563359</v>
      </c>
      <c r="AD62">
        <f>AD13/AD15</f>
        <v>0.26544366699040295</v>
      </c>
      <c r="AF62">
        <f>AF13/AF15</f>
        <v>0.18877740970007964</v>
      </c>
      <c r="AH62">
        <f>AH13/AH15</f>
        <v>9.7496878014545346E-2</v>
      </c>
      <c r="AJ62">
        <f>AJ13/AJ15</f>
        <v>7.1292059082324012E-3</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0.99856419149908582</v>
      </c>
      <c r="E65" s="181"/>
      <c r="F65" s="181">
        <f t="array" ref="F65">SQRT((F9:G9*$B$22:$C$22+F10:G10*$B$23:$C$23+F11:G11*$B$24:$C$24+F4:G4*($B$25:$C$25-$B$19:$C$19))/($B$9:$C$9*$B$22:$C$22+$B$10:$C$10*$B$23:$C$23+$B$11:$C$11*$B$24:$C$24+$B$4:$C$4*($B$25:$C$25-$B$19:$C$19))*(F9:G9*F22:G22+F10:G10*F23:G23+F11:G11*F24:G24+F4:G4*(F25:G25-F19:G19))/($B$9:$C$9*F22:G22+$B$10:$C$10*F23:G23+$B$11:$C$11*F24:G24+$B$4:$C$4*(F25:G25-F19:G19)))</f>
        <v>0.99715554852521349</v>
      </c>
      <c r="G65" s="181"/>
      <c r="H65" s="181">
        <f t="array" ref="H65">SQRT((H9:I9*$B$22:$C$22+H10:I10*$B$23:$C$23+H11:I11*$B$24:$C$24+H4:I4*($B$25:$C$25-$B$19:$C$19))/($B$9:$C$9*$B$22:$C$22+$B$10:$C$10*$B$23:$C$23+$B$11:$C$11*$B$24:$C$24+$B$4:$C$4*($B$25:$C$25-$B$19:$C$19))*(H9:I9*H22:I22+H10:I10*H23:I23+H11:I11*H24:I24+H4:I4*(H25:I25-H19:I19))/($B$9:$C$9*H22:I22+$B$10:$C$10*H23:I23+$B$11:$C$11*H24:I24+$B$4:$C$4*(H25:I25-H19:I19)))</f>
        <v>0.99576762237052863</v>
      </c>
      <c r="I65" s="181"/>
      <c r="J65" s="181">
        <f t="array" ref="J65">SQRT((J9:K9*$B$22:$C$22+J10:K10*$B$23:$C$23+J11:K11*$B$24:$C$24+J4:K4*($B$25:$C$25-$B$19:$C$19))/($B$9:$C$9*$B$22:$C$22+$B$10:$C$10*$B$23:$C$23+$B$11:$C$11*$B$24:$C$24+$B$4:$C$4*($B$25:$C$25-$B$19:$C$19))*(J9:K9*J22:K22+J10:K10*J23:K23+J11:K11*J24:K24+J4:K4*(J25:K25-J19:K19))/($B$9:$C$9*J22:K22+$B$10:$C$10*J23:K23+$B$11:$C$11*J24:K24+$B$4:$C$4*(J25:K25-J19:K19)))</f>
        <v>0.99439396488070886</v>
      </c>
      <c r="K65" s="181"/>
      <c r="L65" s="181">
        <f t="array" ref="L65">SQRT((L9:M9*$B$22:$C$22+L10:M10*$B$23:$C$23+L11:M11*$B$24:$C$24+L4:M4*($B$25:$C$25-$B$19:$C$19))/($B$9:$C$9*$B$22:$C$22+$B$10:$C$10*$B$23:$C$23+$B$11:$C$11*$B$24:$C$24+$B$4:$C$4*($B$25:$C$25-$B$19:$C$19))*(L9:M9*L22:M22+L10:M10*L23:M23+L11:M11*L24:M24+L4:M4*(L25:M25-L19:M19))/($B$9:$C$9*L22:M22+$B$10:$C$10*L23:M23+$B$11:$C$11*L24:M24+$B$4:$C$4*(L25:M25-L19:M19)))</f>
        <v>0.99302829777528934</v>
      </c>
      <c r="M65" s="181"/>
      <c r="N65" s="181">
        <f t="array" ref="N65">SQRT((N9:O9*$B$22:$C$22+N10:O10*$B$23:$C$23+N11:O11*$B$24:$C$24+N4:O4*($B$25:$C$25-$B$19:$C$19))/($B$9:$C$9*$B$22:$C$22+$B$10:$C$10*$B$23:$C$23+$B$11:$C$11*$B$24:$C$24+$B$4:$C$4*($B$25:$C$25-$B$19:$C$19))*(N9:O9*N22:O22+N10:O10*N23:O23+N11:O11*N24:O24+N4:O4*(N25:O25-N19:O19))/($B$9:$C$9*N22:O22+$B$10:$C$10*N23:O23+$B$11:$C$11*N24:O24+$B$4:$C$4*(N25:O25-N19:O19)))</f>
        <v>0.99166489368585042</v>
      </c>
      <c r="O65" s="181"/>
      <c r="P65" s="181">
        <f t="array" ref="P65">SQRT((P9:Q9*$B$22:$C$22+P10:Q10*$B$23:$C$23+P11:Q11*$B$24:$C$24+P4:Q4*($B$25:$C$25-$B$19:$C$19))/($B$9:$C$9*$B$22:$C$22+$B$10:$C$10*$B$23:$C$23+$B$11:$C$11*$B$24:$C$24+$B$4:$C$4*($B$25:$C$25-$B$19:$C$19))*(P9:Q9*P22:Q22+P10:Q10*P23:Q23+P11:Q11*P24:Q24+P4:Q4*(P25:Q25-P19:Q19))/($B$9:$C$9*P22:Q22+$B$10:$C$10*P23:Q23+$B$11:$C$11*P24:Q24+$B$4:$C$4*(P25:Q25-P19:Q19)))</f>
        <v>0.9902992801190359</v>
      </c>
      <c r="Q65" s="181"/>
      <c r="R65" s="181">
        <f t="array" ref="R65">SQRT((R9:S9*$B$22:$C$22+R10:S10*$B$23:$C$23+R11:S11*$B$24:$C$24+R4:S4*($B$25:$C$25-$B$19:$C$19))/($B$9:$C$9*$B$22:$C$22+$B$10:$C$10*$B$23:$C$23+$B$11:$C$11*$B$24:$C$24+$B$4:$C$4*($B$25:$C$25-$B$19:$C$19))*(R9:S9*R22:S22+R10:S10*R23:S23+R11:S11*R24:S24+R4:S4*(R25:S25-R19:S19))/($B$9:$C$9*R22:S22+$B$10:$C$10*R23:S23+$B$11:$C$11*R24:S24+$B$4:$C$4*(R25:S25-R19:S19)))</f>
        <v>0.98892957340365206</v>
      </c>
      <c r="S65" s="181"/>
      <c r="T65" s="181">
        <f t="array" ref="T65">SQRT((T9:U9*$B$22:$C$22+T10:U10*$B$23:$C$23+T11:U11*$B$24:$C$24+T4:U4*($B$25:$C$25-$B$19:$C$19))/($B$9:$C$9*$B$22:$C$22+$B$10:$C$10*$B$23:$C$23+$B$11:$C$11*$B$24:$C$24+$B$4:$C$4*($B$25:$C$25-$B$19:$C$19))*(T9:U9*T22:U22+T10:U10*T23:U23+T11:U11*T24:U24+T4:U4*(T25:U25-T19:U19))/($B$9:$C$9*T22:U22+$B$10:$C$10*T23:U23+$B$11:$C$11*T24:U24+$B$4:$C$4*(T25:U25-T19:U19)))</f>
        <v>0.98755898150130073</v>
      </c>
      <c r="U65" s="181"/>
      <c r="V65" s="181">
        <f t="array" ref="V65">SQRT((V9:W9*$B$22:$C$22+V10:W10*$B$23:$C$23+V11:W11*$B$24:$C$24+V4:W4*($B$25:$C$25-$B$19:$C$19))/($B$9:$C$9*$B$22:$C$22+$B$10:$C$10*$B$23:$C$23+$B$11:$C$11*$B$24:$C$24+$B$4:$C$4*($B$25:$C$25-$B$19:$C$19))*(V9:W9*V22:W22+V10:W10*V23:W23+V11:W11*V24:W24+V4:W4*(V25:W25-V19:W19))/($B$9:$C$9*V22:W22+$B$10:$C$10*V23:W23+$B$11:$C$11*V24:W24+$B$4:$C$4*(V25:W25-V19:W19)))</f>
        <v>0.98620045972975123</v>
      </c>
      <c r="W65" s="181"/>
      <c r="X65" s="181">
        <f t="array" ref="X65">SQRT((X9:Y9*$B$22:$C$22+X10:Y10*$B$23:$C$23+X11:Y11*$B$24:$C$24+X4:Y4*($B$25:$C$25-$B$19:$C$19))/($B$9:$C$9*$B$22:$C$22+$B$10:$C$10*$B$23:$C$23+$B$11:$C$11*$B$24:$C$24+$B$4:$C$4*($B$25:$C$25-$B$19:$C$19))*(X9:Y9*X22:Y22+X10:Y10*X23:Y23+X11:Y11*X24:Y24+X4:Y4*(X25:Y25-X19:Y19))/($B$9:$C$9*X22:Y22+$B$10:$C$10*X23:Y23+$B$11:$C$11*X24:Y24+$B$4:$C$4*(X25:Y25-X19:Y19)))</f>
        <v>0.98488560118982105</v>
      </c>
      <c r="Y65" s="181"/>
      <c r="Z65" s="181">
        <f t="array" ref="Z65">SQRT((Z9:AA9*$B$22:$C$22+Z10:AA10*$B$23:$C$23+Z11:AA11*$B$24:$C$24+Z4:AA4*($B$25:$C$25-$B$19:$C$19))/($B$9:$C$9*$B$22:$C$22+$B$10:$C$10*$B$23:$C$23+$B$11:$C$11*$B$24:$C$24+$B$4:$C$4*($B$25:$C$25-$B$19:$C$19))*(Z9:AA9*Z22:AA22+Z10:AA10*Z23:AA23+Z11:AA11*Z24:AA24+Z4:AA4*(Z25:AA25-Z19:AA19))/($B$9:$C$9*Z22:AA22+$B$10:$C$10*Z23:AA23+$B$11:$C$11*Z24:AA24+$B$4:$C$4*(Z25:AA25-Z19:AA19)))</f>
        <v>0.98368206327220431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0.98272818313362698</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0.98230078356183015</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0.98292835284497926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0.98544858588410844</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0.99049931198020769</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0.99842116615865317</v>
      </c>
      <c r="E66" s="181"/>
      <c r="F66" s="181">
        <f t="array" ref="F66">SQRT((F9:G9*$B$22:$C$22)/($B$9:$C$9*$B$22:$C$22)*(F9:G9*F22:G22)/($B$9:$C$9*F22:G22))</f>
        <v>0.99687056005678221</v>
      </c>
      <c r="G66" s="181"/>
      <c r="H66" s="181">
        <f t="array" ref="H66">SQRT((H9:I9*$B$22:$C$22)/($B$9:$C$9*$B$22:$C$22)*(H9:I9*H22:I22)/($B$9:$C$9*H22:I22))</f>
        <v>0.99534116351986224</v>
      </c>
      <c r="I66" s="181"/>
      <c r="J66" s="181">
        <f t="array" ref="J66">SQRT((J9:K9*$B$22:$C$22)/($B$9:$C$9*$B$22:$C$22)*(J9:K9*J22:K22)/($B$9:$C$9*J22:K22))</f>
        <v>0.99382592618492649</v>
      </c>
      <c r="K66" s="181"/>
      <c r="L66" s="181">
        <f t="array" ref="L66">SQRT((L9:M9*$B$22:$C$22)/($B$9:$C$9*$B$22:$C$22)*(L9:M9*L22:M22)/($B$9:$C$9*L22:M22))</f>
        <v>0.99231795334898731</v>
      </c>
      <c r="M66" s="181"/>
      <c r="N66" s="181">
        <f t="array" ref="N66">SQRT((N9:O9*$B$22:$C$22)/($B$9:$C$9*$B$22:$C$22)*(N9:O9*N22:O22)/($B$9:$C$9*N22:O22))</f>
        <v>0.99081092887118605</v>
      </c>
      <c r="O66" s="181"/>
      <c r="P66" s="181">
        <f t="array" ref="P66">SQRT((P9:Q9*$B$22:$C$22)/($B$9:$C$9*$B$22:$C$22)*(P9:Q9*P22:Q22)/($B$9:$C$9*P22:Q22))</f>
        <v>0.98929989820615261</v>
      </c>
      <c r="Q66" s="181"/>
      <c r="R66" s="181">
        <f t="array" ref="R66">SQRT((R9:S9*$B$22:$C$22)/($B$9:$C$9*$B$22:$C$22)*(R9:S9*R22:S22)/($B$9:$C$9*R22:S22))</f>
        <v>0.98778275484380473</v>
      </c>
      <c r="S66" s="181"/>
      <c r="T66" s="181">
        <f t="array" ref="T66">SQRT((T9:U9*$B$22:$C$22)/($B$9:$C$9*$B$22:$C$22)*(T9:U9*T22:U22)/($B$9:$C$9*T22:U22))</f>
        <v>0.98626303443823859</v>
      </c>
      <c r="U66" s="181"/>
      <c r="V66" s="181">
        <f t="array" ref="V66">SQRT((V9:W9*$B$22:$C$22)/($B$9:$C$9*$B$22:$C$22)*(V9:W9*V22:W22)/($B$9:$C$9*V22:W22))</f>
        <v>0.98475512045657188</v>
      </c>
      <c r="W66" s="181"/>
      <c r="X66" s="181">
        <f t="array" ref="X66">SQRT((X9:Y9*$B$22:$C$22)/($B$9:$C$9*$B$22:$C$22)*(X9:Y9*X22:Y22)/($B$9:$C$9*X22:Y22))</f>
        <v>0.98329419565808041</v>
      </c>
      <c r="Y66" s="181"/>
      <c r="Z66" s="181">
        <f t="array" ref="Z66">SQRT((Z9:AA9*$B$22:$C$22)/($B$9:$C$9*$B$22:$C$22)*(Z9:AA9*Z22:AA22)/($B$9:$C$9*Z22:AA22))</f>
        <v>0.98195575607107299</v>
      </c>
      <c r="AA66" s="181"/>
      <c r="AB66" s="181">
        <f t="array" ref="AB66">SQRT((AB9:AC9*$B$22:$C$22)/($B$9:$C$9*$B$22:$C$22)*(AB9:AC9*AB22:AC22)/($B$9:$C$9*AB22:AC22))</f>
        <v>0.98089435102848821</v>
      </c>
      <c r="AC66" s="181"/>
      <c r="AD66" s="181">
        <f t="array" ref="AD66">SQRT((AD9:AE9*$B$22:$C$22)/($B$9:$C$9*$B$22:$C$22)*(AD9:AE9*AD22:AE22)/($B$9:$C$9*AD22:AE22))</f>
        <v>0.98041928619108265</v>
      </c>
      <c r="AE66" s="181"/>
      <c r="AF66" s="181">
        <f t="array" ref="AF66">SQRT((AF9:AG9*$B$22:$C$22)/($B$9:$C$9*$B$22:$C$22)*(AF9:AG9*AF22:AG22)/($B$9:$C$9*AF22:AG22))</f>
        <v>0.98112008942577433</v>
      </c>
      <c r="AG66" s="181"/>
      <c r="AH66" s="181">
        <f t="array" ref="AH66">SQRT((AH9:AI9*$B$22:$C$22)/($B$9:$C$9*$B$22:$C$22)*(AH9:AI9*AH22:AI22)/($B$9:$C$9*AH22:AI22))</f>
        <v>0.98392612333393381</v>
      </c>
      <c r="AI66" s="181"/>
      <c r="AJ66" s="181">
        <f t="array" ref="AJ66">SQRT((AJ9:AK9*$B$22:$C$22)/($B$9:$C$9*$B$22:$C$22)*(AJ9:AK9*AJ22:AK22)/($B$9:$C$9*AJ22:AK22))</f>
        <v>0.98952899332872768</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0.99842116615865317</v>
      </c>
      <c r="E68" s="181"/>
      <c r="F68" s="181">
        <f>F66/F67</f>
        <v>0.99687056005678221</v>
      </c>
      <c r="G68" s="181"/>
      <c r="H68" s="181">
        <f>H66/H67</f>
        <v>0.99534116351986224</v>
      </c>
      <c r="I68" s="181"/>
      <c r="J68" s="181">
        <f>J66/J67</f>
        <v>0.99382592618492649</v>
      </c>
      <c r="K68" s="181"/>
      <c r="L68" s="181">
        <f>L66/L67</f>
        <v>0.99231795334898731</v>
      </c>
      <c r="M68" s="181"/>
      <c r="N68" s="181">
        <f>N66/N67</f>
        <v>0.99081092887118605</v>
      </c>
      <c r="O68" s="181"/>
      <c r="P68" s="181">
        <f>P66/P67</f>
        <v>0.98929989820615261</v>
      </c>
      <c r="Q68" s="181"/>
      <c r="R68" s="181">
        <f>R66/R67</f>
        <v>0.98778275484380473</v>
      </c>
      <c r="S68" s="181"/>
      <c r="T68" s="181">
        <f>T66/T67</f>
        <v>0.98626303443823859</v>
      </c>
      <c r="U68" s="181"/>
      <c r="V68" s="181">
        <f>V66/V67</f>
        <v>0.98475512045657188</v>
      </c>
      <c r="W68" s="181"/>
      <c r="X68" s="181">
        <f>X66/X67</f>
        <v>0.98329419565808041</v>
      </c>
      <c r="Y68" s="181"/>
      <c r="Z68" s="181">
        <f>Z66/Z67</f>
        <v>0.98195575607107299</v>
      </c>
      <c r="AA68" s="181"/>
      <c r="AB68" s="181">
        <f>AB66/AB67</f>
        <v>0.98089435102848821</v>
      </c>
      <c r="AC68" s="181"/>
      <c r="AD68" s="181">
        <f>AD66/AD67</f>
        <v>0.98041928619108265</v>
      </c>
      <c r="AE68" s="181"/>
      <c r="AF68" s="181">
        <f>AF66/AF67</f>
        <v>0.98112008942577433</v>
      </c>
      <c r="AG68" s="181"/>
      <c r="AH68" s="181">
        <f>AH66/AH67</f>
        <v>0.98392612333393381</v>
      </c>
      <c r="AI68" s="181"/>
      <c r="AJ68" s="181">
        <f>AJ66/AJ67</f>
        <v>0.98952899332872768</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1.0116634064365475</v>
      </c>
      <c r="E69" s="181"/>
      <c r="F69" s="181">
        <f>F32/F65/($B$32)</f>
        <v>1.0232554364830282</v>
      </c>
      <c r="G69" s="181"/>
      <c r="H69" s="181">
        <f>H32/H65/($B$32)</f>
        <v>1.0347855401939408</v>
      </c>
      <c r="I69" s="181"/>
      <c r="J69" s="181">
        <f>J32/J65/($B$32)</f>
        <v>1.0462639389310624</v>
      </c>
      <c r="K69" s="181"/>
      <c r="L69" s="181">
        <f>L32/L65/($B$32)</f>
        <v>1.0577026651786023</v>
      </c>
      <c r="M69" s="181"/>
      <c r="N69" s="181">
        <f>N32/N65/($B$32)</f>
        <v>1.069116855701951</v>
      </c>
      <c r="O69" s="181"/>
      <c r="P69" s="181">
        <f>P32/P65/($B$32)</f>
        <v>1.0805276077256971</v>
      </c>
      <c r="Q69" s="181"/>
      <c r="R69" s="181">
        <f>R32/R65/($B$32)</f>
        <v>1.0919665242856109</v>
      </c>
      <c r="S69" s="181"/>
      <c r="T69" s="181">
        <f>T32/T65/($B$32)</f>
        <v>1.1034839825272735</v>
      </c>
      <c r="U69" s="181"/>
      <c r="V69" s="181">
        <f>V32/V65/($B$32)</f>
        <v>1.1151648536912042</v>
      </c>
      <c r="W69" s="181"/>
      <c r="X69" s="181">
        <f>X32/X65/($B$32)</f>
        <v>1.1271588617602393</v>
      </c>
      <c r="Y69" s="181"/>
      <c r="Z69" s="181">
        <f>Z32/Z65/($B$32)</f>
        <v>1.1397410063291953</v>
      </c>
      <c r="AA69" s="181"/>
      <c r="AB69" s="181">
        <f>AB32/AB65/($B$32)</f>
        <v>1.153436459201876</v>
      </c>
      <c r="AC69" s="181"/>
      <c r="AD69" s="181">
        <f>AD32/AD65/($B$32)</f>
        <v>1.169278465554932</v>
      </c>
      <c r="AE69" s="181"/>
      <c r="AF69" s="181">
        <f>AF32/AF65/($B$32)</f>
        <v>1.1892891236902055</v>
      </c>
      <c r="AG69" s="181"/>
      <c r="AH69" s="181">
        <f>AH32/AH65/($B$32)</f>
        <v>1.216964052994179</v>
      </c>
      <c r="AI69" s="181"/>
      <c r="AJ69" s="181">
        <f>AJ32/AJ65/($B$32)</f>
        <v>1.2559231905324948</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1.0112318578617745</v>
      </c>
      <c r="E70" s="129"/>
      <c r="F70" s="129">
        <f>F18/$B$18</f>
        <v>1.0224218262029021</v>
      </c>
      <c r="G70" s="129"/>
      <c r="H70" s="129">
        <f>H18/$B$18</f>
        <v>1.0335855091189756</v>
      </c>
      <c r="I70" s="129"/>
      <c r="J70" s="129">
        <f>J18/$B$18</f>
        <v>1.0447402086754121</v>
      </c>
      <c r="K70" s="129"/>
      <c r="L70" s="129">
        <f>L18/$B$18</f>
        <v>1.0559059628634346</v>
      </c>
      <c r="M70" s="129"/>
      <c r="N70" s="129">
        <f>N18/$B$18</f>
        <v>1.0671068079958148</v>
      </c>
      <c r="O70" s="129"/>
      <c r="P70" s="129">
        <f>P18/$B$18</f>
        <v>1.0783732290806158</v>
      </c>
      <c r="Q70" s="129"/>
      <c r="R70" s="129">
        <f>R18/$B$18</f>
        <v>1.0897460317052796</v>
      </c>
      <c r="S70" s="129"/>
      <c r="T70" s="129">
        <f>T18/$B$18</f>
        <v>1.1012827655147022</v>
      </c>
      <c r="U70" s="129"/>
      <c r="V70" s="129">
        <f>V18/$B$18</f>
        <v>1.1130698582129406</v>
      </c>
      <c r="W70" s="129"/>
      <c r="X70" s="129">
        <f>X18/$B$18</f>
        <v>1.1252453645604943</v>
      </c>
      <c r="Y70" s="129"/>
      <c r="Z70" s="129">
        <f>Z18/$B$18</f>
        <v>1.1380432965919483</v>
      </c>
      <c r="AA70" s="129"/>
      <c r="AB70" s="129">
        <f>AB18/$B$18</f>
        <v>1.1518845242889582</v>
      </c>
      <c r="AC70" s="129"/>
      <c r="AD70" s="129">
        <f>AD18/$B$18</f>
        <v>1.1675636872191963</v>
      </c>
      <c r="AE70" s="129"/>
      <c r="AF70" s="129">
        <f>AF18/$B$18</f>
        <v>1.1866016115216254</v>
      </c>
      <c r="AG70" s="129"/>
      <c r="AH70" s="129">
        <f>AH18/$B$18</f>
        <v>1.2116356301637361</v>
      </c>
      <c r="AI70" s="129"/>
      <c r="AJ70" s="129">
        <f>AJ18/$B$18</f>
        <v>1.2455813942083185</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0.9271279575981648</v>
      </c>
      <c r="E71" s="129"/>
      <c r="F71" s="129">
        <f>G18/$C$18</f>
        <v>0.8547694713114633</v>
      </c>
      <c r="G71" s="129"/>
      <c r="H71" s="129">
        <f>I18/$C$18</f>
        <v>0.78293240192856339</v>
      </c>
      <c r="I71" s="129"/>
      <c r="J71" s="129">
        <f>K18/$C$18</f>
        <v>0.71163695283919148</v>
      </c>
      <c r="K71" s="129"/>
      <c r="L71" s="129">
        <f>M18/$C$18</f>
        <v>0.64092041752003115</v>
      </c>
      <c r="M71" s="129"/>
      <c r="N71" s="129">
        <f>O18/$C$18</f>
        <v>0.57084803712379262</v>
      </c>
      <c r="O71" s="129"/>
      <c r="P71" s="129">
        <f>Q18/$C$18</f>
        <v>0.50152328804104929</v>
      </c>
      <c r="Q71" s="129"/>
      <c r="R71" s="129">
        <f>S18/$C$18</f>
        <v>0.43311126412743839</v>
      </c>
      <c r="S71" s="129"/>
      <c r="T71" s="129">
        <f>U18/$C$18</f>
        <v>0.36586803479083291</v>
      </c>
      <c r="U71" s="129"/>
      <c r="V71" s="129">
        <f>W18/$C$18</f>
        <v>0.30019312931865333</v>
      </c>
      <c r="W71" s="129"/>
      <c r="X71" s="129">
        <f>Y18/$C$18</f>
        <v>0.2367108011248279</v>
      </c>
      <c r="Y71" s="129"/>
      <c r="Z71" s="129">
        <f>AA18/$C$18</f>
        <v>0.17640331017109653</v>
      </c>
      <c r="AA71" s="129"/>
      <c r="AB71" s="129">
        <f>AC18/$C$18</f>
        <v>0.12082337759243145</v>
      </c>
      <c r="AC71" s="129"/>
      <c r="AD71" s="129">
        <f>AE18/$C$18</f>
        <v>7.239237107395434E-2</v>
      </c>
      <c r="AE71" s="129"/>
      <c r="AF71" s="129">
        <f>AG18/$C$18</f>
        <v>3.4600336720204336E-2</v>
      </c>
      <c r="AG71" s="129"/>
      <c r="AH71" s="129">
        <f>AI18/$C$18</f>
        <v>1.1095599065306889E-2</v>
      </c>
      <c r="AI71" s="129"/>
      <c r="AJ71" s="129">
        <f>AK18/$C$18</f>
        <v>1.770899000787998E-3</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1.0355307268899381</v>
      </c>
      <c r="E72" s="129"/>
      <c r="F72" s="129">
        <f>G19/$C$19</f>
        <v>1.0738742786081288</v>
      </c>
      <c r="G72" s="129"/>
      <c r="H72" s="129">
        <f>I19/$C$19</f>
        <v>1.1153697567762801</v>
      </c>
      <c r="I72" s="129"/>
      <c r="J72" s="129">
        <f>K19/$C$19</f>
        <v>1.1603897196283892</v>
      </c>
      <c r="K72" s="129"/>
      <c r="L72" s="129">
        <f>M19/$C$19</f>
        <v>1.2093327016272144</v>
      </c>
      <c r="M72" s="129"/>
      <c r="N72" s="129">
        <f>O19/$C$19</f>
        <v>1.2626067042702269</v>
      </c>
      <c r="O72" s="129"/>
      <c r="P72" s="129">
        <f>Q19/$C$19</f>
        <v>1.3205917671651684</v>
      </c>
      <c r="Q72" s="129"/>
      <c r="R72" s="129">
        <f>S19/$C$19</f>
        <v>1.3835664720414269</v>
      </c>
      <c r="S72" s="129"/>
      <c r="T72" s="129">
        <f>U19/$C$19</f>
        <v>1.4515706842285094</v>
      </c>
      <c r="U72" s="129"/>
      <c r="V72" s="129">
        <f>W19/$C$19</f>
        <v>1.5241273864985221</v>
      </c>
      <c r="W72" s="129"/>
      <c r="X72" s="129">
        <f>Y19/$C$19</f>
        <v>1.5997197107631631</v>
      </c>
      <c r="Y72" s="129"/>
      <c r="Z72" s="129">
        <f>AA19/$C$19</f>
        <v>1.6747224924003794</v>
      </c>
      <c r="AA72" s="129"/>
      <c r="AB72" s="129">
        <f>AC19/$C$19</f>
        <v>1.7412488091054319</v>
      </c>
      <c r="AC72" s="129"/>
      <c r="AD72" s="129">
        <f>AE19/$C$19</f>
        <v>1.7828146338981616</v>
      </c>
      <c r="AE72" s="129"/>
      <c r="AF72" s="129">
        <f>AG19/$C$19</f>
        <v>1.766733513772087</v>
      </c>
      <c r="AG72" s="129"/>
      <c r="AH72" s="129">
        <f>AI19/$C$19</f>
        <v>1.6386257120990748</v>
      </c>
      <c r="AI72" s="129"/>
      <c r="AJ72" s="129">
        <f>AK19/$C$19</f>
        <v>1.3505761485547183</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0.47641153352875021</v>
      </c>
      <c r="D73" s="183">
        <f t="array" ref="D73">SUM(D9:E9*D22:E22)/D32</f>
        <v>0.47641153355777988</v>
      </c>
      <c r="E73" s="129"/>
      <c r="F73" s="183">
        <f t="array" ref="F73">SUM(F9:G9*F22:G22)/F32</f>
        <v>0.476411533608807</v>
      </c>
      <c r="G73" s="129"/>
      <c r="H73" s="183">
        <f t="array" ref="H73">SUM(H9:I9*H22:I22)/H32</f>
        <v>0.47641153367623196</v>
      </c>
      <c r="I73" s="129"/>
      <c r="J73" s="183">
        <f t="array" ref="J73">SUM(J9:K9*J22:K22)/J32</f>
        <v>0.47641153536635794</v>
      </c>
      <c r="K73" s="129"/>
      <c r="L73" s="183">
        <f t="array" ref="L73">SUM(L9:M9*L22:M22)/L32</f>
        <v>0.47641153385258173</v>
      </c>
      <c r="M73" s="129"/>
      <c r="N73" s="183">
        <f t="array" ref="N73">SUM(N9:O9*N22:O22)/N32</f>
        <v>0.47641153355573257</v>
      </c>
      <c r="O73" s="129"/>
      <c r="P73" s="183">
        <f t="array" ref="P73">SUM(P9:Q9*P22:Q22)/P32</f>
        <v>0.47641154327343105</v>
      </c>
      <c r="Q73" s="129"/>
      <c r="R73" s="183">
        <f t="array" ref="R73">SUM(R9:S9*R22:S22)/R32</f>
        <v>0.47641153639710754</v>
      </c>
      <c r="S73" s="129"/>
      <c r="T73" s="183">
        <f t="array" ref="T73">SUM(T9:U9*T22:U22)/T32</f>
        <v>0.47641154639732824</v>
      </c>
      <c r="U73" s="129"/>
      <c r="V73" s="183">
        <f t="array" ref="V73">SUM(V9:W9*V22:W22)/V32</f>
        <v>0.47641153663196611</v>
      </c>
      <c r="W73" s="129"/>
      <c r="X73" s="183">
        <f t="array" ref="X73">SUM(X9:Y9*X22:Y22)/X32</f>
        <v>0.47641153373930267</v>
      </c>
      <c r="Y73" s="129"/>
      <c r="Z73" s="183">
        <f t="array" ref="Z73">SUM(Z9:AA9*Z22:AA22)/Z32</f>
        <v>0.47641153359344141</v>
      </c>
      <c r="AA73" s="129"/>
      <c r="AB73" s="183">
        <f t="array" ref="AB73">SUM(AB9:AC9*AB22:AC22)/AB32</f>
        <v>0.4764115340446699</v>
      </c>
      <c r="AC73" s="129"/>
      <c r="AD73" s="183">
        <f t="array" ref="AD73">SUM(AD9:AE9*AD22:AE22)/AD32</f>
        <v>0.47641153397244373</v>
      </c>
      <c r="AE73" s="129"/>
      <c r="AF73" s="183">
        <f t="array" ref="AF73">SUM(AF9:AG9*AF22:AG22)/AF32</f>
        <v>0.47641153356774024</v>
      </c>
      <c r="AG73" s="129"/>
      <c r="AH73" s="183">
        <f t="array" ref="AH73">SUM(AH9:AI9*AH22:AI22)/AH32</f>
        <v>0.47641153352133053</v>
      </c>
      <c r="AI73" s="129"/>
      <c r="AJ73" s="183">
        <f t="array" ref="AJ73">SUM(AJ9:AK9*AJ22:AK22)/AJ32</f>
        <v>0.47641153353688326</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0.22604620456442487</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0.22604620456442481</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0.22038438829587498</v>
      </c>
      <c r="E75" s="129"/>
      <c r="F75" s="183">
        <f t="array" ref="F75">SUM(F11:G11*F24:G24)/F32</f>
        <v>0.22038438826307835</v>
      </c>
      <c r="G75" s="129"/>
      <c r="H75" s="183">
        <f t="array" ref="H75">SUM(H11:I11*H24:I24)/H32</f>
        <v>0.22038438823855491</v>
      </c>
      <c r="I75" s="129"/>
      <c r="J75" s="183">
        <f t="array" ref="J75">SUM(J11:K11*J24:K24)/J32</f>
        <v>0.22038438824454823</v>
      </c>
      <c r="K75" s="129"/>
      <c r="L75" s="183">
        <f t="array" ref="L75">SUM(L11:M11*L24:M24)/L32</f>
        <v>0.22038438821405834</v>
      </c>
      <c r="M75" s="129"/>
      <c r="N75" s="183">
        <f t="array" ref="N75">SUM(N11:O11*N24:O24)/N32</f>
        <v>0.22038438833348359</v>
      </c>
      <c r="O75" s="129"/>
      <c r="P75" s="183">
        <f t="array" ref="P75">SUM(P11:Q11*P24:Q24)/P32</f>
        <v>0.2203843883666137</v>
      </c>
      <c r="Q75" s="129"/>
      <c r="R75" s="183">
        <f t="array" ref="R75">SUM(R11:S11*R24:S24)/R32</f>
        <v>0.22038438834001572</v>
      </c>
      <c r="S75" s="129"/>
      <c r="T75" s="183">
        <f t="array" ref="T75">SUM(T11:U11*T24:U24)/T32</f>
        <v>0.22038438847586608</v>
      </c>
      <c r="U75" s="129"/>
      <c r="V75" s="183">
        <f t="array" ref="V75">SUM(V11:W11*V24:W24)/V32</f>
        <v>0.22038438833445143</v>
      </c>
      <c r="W75" s="129"/>
      <c r="X75" s="183">
        <f t="array" ref="X75">SUM(X11:Y11*X24:Y24)/X32</f>
        <v>0.22038438832876622</v>
      </c>
      <c r="Y75" s="129"/>
      <c r="Z75" s="183">
        <f t="array" ref="Z75">SUM(Z11:AA11*Z24:AA24)/Z32</f>
        <v>0.220384388330335</v>
      </c>
      <c r="AA75" s="129"/>
      <c r="AB75" s="183">
        <f t="array" ref="AB75">SUM(AB11:AC11*AB24:AC24)/AB32</f>
        <v>0.22038438832416016</v>
      </c>
      <c r="AC75" s="129"/>
      <c r="AD75" s="183">
        <f t="array" ref="AD75">SUM(AD11:AE11*AD24:AE24)/AD32</f>
        <v>0.22038438833044516</v>
      </c>
      <c r="AE75" s="129"/>
      <c r="AF75" s="183">
        <f t="array" ref="AF75">SUM(AF11:AG11*AF24:AG24)/AF32</f>
        <v>0.22038438833220883</v>
      </c>
      <c r="AG75" s="129"/>
      <c r="AH75" s="183">
        <f t="array" ref="AH75">SUM(AH11:AI11*AH24:AI24)/AH32</f>
        <v>0.2203843883315213</v>
      </c>
      <c r="AI75" s="129"/>
      <c r="AJ75" s="183">
        <f t="array" ref="AJ75">SUM(AJ11:AK11*AJ24:AK24)/AJ32</f>
        <v>0.2203843883295056</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0.22311001385577767</v>
      </c>
      <c r="E76" s="129"/>
      <c r="F76" s="183">
        <f t="array" ref="F76">SUM(F12:G12*F25:G25)/F32</f>
        <v>0.22325330448020125</v>
      </c>
      <c r="G76" s="129"/>
      <c r="H76" s="183">
        <f t="array" ref="H76">SUM(H12:I12*H25:I25)/H32</f>
        <v>0.22345250342496428</v>
      </c>
      <c r="I76" s="129"/>
      <c r="J76" s="183">
        <f t="array" ref="J76">SUM(J12:K12*J25:K25)/J32</f>
        <v>0.22371197135873644</v>
      </c>
      <c r="K76" s="129"/>
      <c r="L76" s="183">
        <f t="array" ref="L76">SUM(L12:M12*L25:M25)/L32</f>
        <v>0.22403641012133205</v>
      </c>
      <c r="M76" s="129"/>
      <c r="N76" s="183">
        <f t="array" ref="N76">SUM(N12:O12*N25:O25)/N32</f>
        <v>0.22443059139932228</v>
      </c>
      <c r="O76" s="129"/>
      <c r="P76" s="183">
        <f t="array" ref="P76">SUM(P12:Q12*P25:Q25)/P32</f>
        <v>0.22489875393417261</v>
      </c>
      <c r="Q76" s="129"/>
      <c r="R76" s="183">
        <f t="array" ref="R76">SUM(R12:S12*R25:S25)/R32</f>
        <v>0.22544351354573153</v>
      </c>
      <c r="S76" s="129"/>
      <c r="T76" s="183">
        <f t="array" ref="T76">SUM(T12:U12*T25:U25)/T32</f>
        <v>0.22606364397025022</v>
      </c>
      <c r="U76" s="129"/>
      <c r="V76" s="183">
        <f t="array" ref="V76">SUM(V12:W12*V25:W25)/V32</f>
        <v>0.22674992452568413</v>
      </c>
      <c r="W76" s="129"/>
      <c r="X76" s="183">
        <f t="array" ref="X76">SUM(X12:Y12*X25:Y25)/X32</f>
        <v>0.22747698372278019</v>
      </c>
      <c r="Y76" s="129"/>
      <c r="Z76" s="183">
        <f t="array" ref="Z76">SUM(Z12:AA12*Z25:AA25)/Z32</f>
        <v>0.2281870764533693</v>
      </c>
      <c r="AA76" s="129"/>
      <c r="AB76" s="183">
        <f t="array" ref="AB76">SUM(AB12:AC12*AB25:AC25)/AB32</f>
        <v>0.2287575893169983</v>
      </c>
      <c r="AC76" s="129"/>
      <c r="AD76" s="183">
        <f t="array" ref="AD76">SUM(AD12:AE12*AD25:AE25)/AD32</f>
        <v>0.22893756708077209</v>
      </c>
      <c r="AE76" s="129"/>
      <c r="AF76" s="183">
        <f t="array" ref="AF76">SUM(AF12:AG12*AF25:AG25)/AF32</f>
        <v>0.22824492085793038</v>
      </c>
      <c r="AG76" s="129"/>
      <c r="AH76" s="183">
        <f t="array" ref="AH76">SUM(AH12:AI12*AH25:AI25)/AH32</f>
        <v>0.22593214244496299</v>
      </c>
      <c r="AI76" s="129"/>
      <c r="AJ76" s="183">
        <f t="array" ref="AJ76">SUM(AJ12:AK12*AJ25:AK25)/AJ32</f>
        <v>0.22150907442039486</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0.14595214027385722</v>
      </c>
      <c r="E77" s="129"/>
      <c r="F77" s="183">
        <f t="array" ref="F77">SUM(F4:G4*F19:G19)/F32</f>
        <v>0.14609543091651195</v>
      </c>
      <c r="G77" s="129"/>
      <c r="H77" s="183">
        <f t="array" ref="H77">SUM(H4:I4*H19:I19)/H32</f>
        <v>0.14629462990417585</v>
      </c>
      <c r="I77" s="129"/>
      <c r="J77" s="183">
        <f t="array" ref="J77">SUM(J4:K4*J19:K19)/J32</f>
        <v>0.14655409953406762</v>
      </c>
      <c r="K77" s="129"/>
      <c r="L77" s="183">
        <f t="array" ref="L77">SUM(L4:M4*L19:M19)/L32</f>
        <v>0.14687853675239779</v>
      </c>
      <c r="M77" s="129"/>
      <c r="N77" s="183">
        <f t="array" ref="N77">SUM(N4:O4*N19:O19)/N32</f>
        <v>0.14727271785296284</v>
      </c>
      <c r="O77" s="129"/>
      <c r="P77" s="183">
        <f t="array" ref="P77">SUM(P4:Q4*P19:Q19)/P32</f>
        <v>0.14774089013864208</v>
      </c>
      <c r="Q77" s="129"/>
      <c r="R77" s="183">
        <f t="array" ref="R77">SUM(R4:S4*R19:S19)/R32</f>
        <v>0.14828564284727971</v>
      </c>
      <c r="S77" s="129"/>
      <c r="T77" s="183">
        <f t="array" ref="T77">SUM(T4:U4*T19:U19)/T32</f>
        <v>0.1489057834078697</v>
      </c>
      <c r="U77" s="129"/>
      <c r="V77" s="183">
        <f t="array" ref="V77">SUM(V4:W4*V19:W19)/V32</f>
        <v>0.14959205405652662</v>
      </c>
      <c r="W77" s="129"/>
      <c r="X77" s="183">
        <f t="array" ref="X77">SUM(X4:Y4*X19:Y19)/X32</f>
        <v>0.15031911035527487</v>
      </c>
      <c r="Y77" s="129"/>
      <c r="Z77" s="183">
        <f t="array" ref="Z77">SUM(Z4:AA4*Z19:AA19)/Z32</f>
        <v>0.1510292029415703</v>
      </c>
      <c r="AA77" s="129"/>
      <c r="AB77" s="183">
        <f t="array" ref="AB77">SUM(AB4:AC4*AB19:AC19)/AB32</f>
        <v>0.15159971625025342</v>
      </c>
      <c r="AC77" s="129"/>
      <c r="AD77" s="183">
        <f t="array" ref="AD77">SUM(AD4:AE4*AD19:AE19)/AD32</f>
        <v>0.15177969394808641</v>
      </c>
      <c r="AE77" s="129"/>
      <c r="AF77" s="183">
        <f t="array" ref="AF77">SUM(AF4:AG4*AF19:AG19)/AF32</f>
        <v>0.15108704732230424</v>
      </c>
      <c r="AG77" s="129"/>
      <c r="AH77" s="183">
        <f t="array" ref="AH77">SUM(AH4:AI4*AH19:AI19)/AH32</f>
        <v>0.14877426886223974</v>
      </c>
      <c r="AI77" s="129"/>
      <c r="AJ77" s="183">
        <f t="array" ref="AJ77">SUM(AJ4:AK4*AJ19:AK19)/AJ32</f>
        <v>0.14435120085120864</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0.33910542760715784</v>
      </c>
      <c r="E78" s="129"/>
      <c r="F78" s="183">
        <f t="array" ref="F78">SUM(F13:G13*F26:G26)/F32</f>
        <v>0.33120147915150522</v>
      </c>
      <c r="G78" s="129"/>
      <c r="H78" s="183">
        <f t="array" ref="H78">SUM(H13:I13*H26:I26)/H32</f>
        <v>0.32314221032937152</v>
      </c>
      <c r="I78" s="129"/>
      <c r="J78" s="183">
        <f t="array" ref="J78">SUM(J13:K13*J26:K26)/J32</f>
        <v>0.31488693497829578</v>
      </c>
      <c r="K78" s="129"/>
      <c r="L78" s="183">
        <f t="array" ref="L78">SUM(L13:M13*L26:M26)/L32</f>
        <v>0.30638498737206904</v>
      </c>
      <c r="M78" s="129"/>
      <c r="N78" s="183">
        <f t="array" ref="N78">SUM(N13:O13*N26:O26)/N32</f>
        <v>0.29757142803459957</v>
      </c>
      <c r="O78" s="129"/>
      <c r="P78" s="183">
        <f t="array" ref="P78">SUM(P13:Q13*P26:Q26)/P32</f>
        <v>0.28836051454217992</v>
      </c>
      <c r="Q78" s="129"/>
      <c r="R78" s="183">
        <f t="array" ref="R78">SUM(R13:S13*R26:S26)/R32</f>
        <v>0.27863494873240069</v>
      </c>
      <c r="S78" s="129"/>
      <c r="T78" s="183">
        <f t="array" ref="T78">SUM(T13:U13*T26:U26)/T32</f>
        <v>0.26822832260339541</v>
      </c>
      <c r="U78" s="129"/>
      <c r="V78" s="183">
        <f t="array" ref="V78">SUM(V13:W13*V26:W26)/V32</f>
        <v>0.25689399096588844</v>
      </c>
      <c r="W78" s="129"/>
      <c r="X78" s="183">
        <f t="array" ref="X78">SUM(X13:Y13*X26:Y26)/X32</f>
        <v>0.2442478496877272</v>
      </c>
      <c r="Y78" s="129"/>
      <c r="Z78" s="183">
        <f t="array" ref="Z78">SUM(Z13:AA13*Z26:AA26)/Z32</f>
        <v>0.22965735904319881</v>
      </c>
      <c r="AA78" s="129"/>
      <c r="AB78" s="183">
        <f t="array" ref="AB78">SUM(AB13:AC13*AB26:AC26)/AB32</f>
        <v>0.21201162352695807</v>
      </c>
      <c r="AC78" s="129"/>
      <c r="AD78" s="183">
        <f t="array" ref="AD78">SUM(AD13:AE13*AD26:AE26)/AD32</f>
        <v>0.1892179909605283</v>
      </c>
      <c r="AE78" s="129"/>
      <c r="AF78" s="183">
        <f t="array" ref="AF78">SUM(AF13:AG13*AF26:AG26)/AF32</f>
        <v>0.15706225897950654</v>
      </c>
      <c r="AG78" s="129"/>
      <c r="AH78" s="183">
        <f t="array" ref="AH78">SUM(AH13:AI13*AH26:AI26)/AH32</f>
        <v>0.10670854305914115</v>
      </c>
      <c r="AI78" s="129"/>
      <c r="AJ78" s="183">
        <f t="array" ref="AJ78">SUM(AJ13:AK13*AJ26:AK26)/AJ32</f>
        <v>1.9260151124253954E-2</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0.46239185138941641</v>
      </c>
      <c r="F79" s="183">
        <f t="array" ref="F79">SUM(F15:G15*F27:G27)/F32</f>
        <v>0.47029579742876282</v>
      </c>
      <c r="H79" s="183">
        <f t="array" ref="H79">SUM(H15:I15*H27:I27)/H32</f>
        <v>0.47835506372421643</v>
      </c>
      <c r="J79" s="183">
        <f t="array" ref="J79">SUM(J15:K15*J27:K27)/J32</f>
        <v>0.48661034378551565</v>
      </c>
      <c r="L79" s="183">
        <f t="array" ref="L79">SUM(L15:M15*L27:M27)/L32</f>
        <v>0.49511228206658159</v>
      </c>
      <c r="N79" s="183">
        <f t="array" ref="N79">SUM(N15:O15*N27:O27)/N32</f>
        <v>0.50392585432044934</v>
      </c>
      <c r="P79" s="183">
        <f t="array" ref="P79">SUM(P15:Q15*P27:Q27)/P32</f>
        <v>0.51313674990154079</v>
      </c>
      <c r="R79" s="183">
        <f t="array" ref="R79">SUM(R15:S15*R27:S27)/R32</f>
        <v>0.52286232798929699</v>
      </c>
      <c r="T79" s="183">
        <f t="array" ref="T79">SUM(T15:U15*T27:U27)/T32</f>
        <v>0.53326896395861723</v>
      </c>
      <c r="V79" s="183">
        <f t="array" ref="V79">SUM(V15:W15*V27:W27)/V32</f>
        <v>0.54460328660133139</v>
      </c>
      <c r="X79" s="183">
        <f t="array" ref="X79">SUM(X15:Y15*X27:Y27)/X32</f>
        <v>0.55724943114030789</v>
      </c>
      <c r="Z79" s="183">
        <f t="array" ref="Z79">SUM(Z15:AA15*Z27:AA27)/Z32</f>
        <v>0.57183992146979512</v>
      </c>
      <c r="AB79" s="183">
        <f t="array" ref="AB79">SUM(AB15:AC15*AB27:AC27)/AB32</f>
        <v>0.58948565731744129</v>
      </c>
      <c r="AD79" s="183">
        <f t="array" ref="AD79">SUM(AD15:AE15*AD27:AE27)/AD32</f>
        <v>0.61227928984732216</v>
      </c>
      <c r="AF79" s="183">
        <f t="array" ref="AF79">SUM(AF15:AG15*AF27:AG27)/AF32</f>
        <v>0.64443502185182633</v>
      </c>
      <c r="AH79" s="183">
        <f t="array" ref="AH79">SUM(AH15:AI15*AH27:AI27)/AH32</f>
        <v>0.69478873805448305</v>
      </c>
      <c r="AJ79" s="183">
        <f t="array" ref="AJ79">SUM(AJ15:AK15*AJ27:AK27)/AJ32</f>
        <v>0.78223712835794479</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0.1985027195814405</v>
      </c>
      <c r="F80" s="195">
        <f>F55</f>
        <v>0.19850272033822969</v>
      </c>
      <c r="H80" s="195">
        <f>H55</f>
        <v>0.19850272120124501</v>
      </c>
      <c r="J80" s="195">
        <f>J55</f>
        <v>0.19850272272806133</v>
      </c>
      <c r="L80" s="195">
        <f>L55</f>
        <v>0.19850272283101031</v>
      </c>
      <c r="N80" s="195">
        <f>N55</f>
        <v>0.19850271884244342</v>
      </c>
      <c r="P80" s="195">
        <f>P55</f>
        <v>0.19850274695416895</v>
      </c>
      <c r="R80" s="195">
        <f>R55</f>
        <v>0.19850272683610512</v>
      </c>
      <c r="T80" s="195">
        <f>T55</f>
        <v>0.1985027493140244</v>
      </c>
      <c r="V80" s="195">
        <f>V55</f>
        <v>0.19850272645736269</v>
      </c>
      <c r="X80" s="195">
        <f>X55</f>
        <v>0.19850272010890913</v>
      </c>
      <c r="Z80" s="195">
        <f>Z55</f>
        <v>0.19850271919334445</v>
      </c>
      <c r="AB80" s="195">
        <f>AB55</f>
        <v>0.19850272225765611</v>
      </c>
      <c r="AD80" s="195">
        <f>AD55</f>
        <v>0.19850272017488149</v>
      </c>
      <c r="AF80" s="195">
        <f>AF55</f>
        <v>0.19850271901288433</v>
      </c>
      <c r="AH80" s="195">
        <f>AH55</f>
        <v>0.19850271932019162</v>
      </c>
      <c r="AJ80" s="195">
        <f>AJ55</f>
        <v>0.19850272344000994</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-2.754348498298434E-2</v>
      </c>
      <c r="F81" s="195">
        <f>F51/F$32</f>
        <v>-2.7543484226195177E-2</v>
      </c>
      <c r="H81" s="195">
        <f>H51/H$32</f>
        <v>-2.7543483363179831E-2</v>
      </c>
      <c r="J81" s="195">
        <f>J51/J$32</f>
        <v>-2.7543481836363515E-2</v>
      </c>
      <c r="L81" s="195">
        <f>L51/L$32</f>
        <v>-2.7543481733414532E-2</v>
      </c>
      <c r="N81" s="195">
        <f>N51/N$32</f>
        <v>-2.7543485721981419E-2</v>
      </c>
      <c r="P81" s="195">
        <f>P51/P$32</f>
        <v>-2.7543457610255895E-2</v>
      </c>
      <c r="R81" s="195">
        <f>R51/R$32</f>
        <v>-2.7543477728319724E-2</v>
      </c>
      <c r="T81" s="195">
        <f>T51/T$32</f>
        <v>-2.7543455250400448E-2</v>
      </c>
      <c r="V81" s="195">
        <f>V51/V$32</f>
        <v>-2.754347810706214E-2</v>
      </c>
      <c r="X81" s="195">
        <f>X51/X$32</f>
        <v>-2.7543484455515705E-2</v>
      </c>
      <c r="Z81" s="195">
        <f>Z51/Z$32</f>
        <v>-2.7543485371080405E-2</v>
      </c>
      <c r="AB81" s="195">
        <f>AB51/AB$32</f>
        <v>-2.754348230676874E-2</v>
      </c>
      <c r="AD81" s="195">
        <f>AD51/AD$32</f>
        <v>-2.7543484389543363E-2</v>
      </c>
      <c r="AF81" s="195">
        <f>AF51/AF$32</f>
        <v>-2.7543485551540493E-2</v>
      </c>
      <c r="AH81" s="195">
        <f>AH51/AH$32</f>
        <v>-2.7543485244233227E-2</v>
      </c>
      <c r="AJ81" s="195">
        <f>AJ51/AJ$32</f>
        <v>-2.7543481124414869E-2</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0.13754050575896165</v>
      </c>
      <c r="F82" s="195">
        <f>F52/F$32</f>
        <v>0.1343346795480565</v>
      </c>
      <c r="H82" s="195">
        <f>H52/H$32</f>
        <v>0.13106585569682688</v>
      </c>
      <c r="J82" s="195">
        <f>J52/J$32</f>
        <v>0.1277175319764475</v>
      </c>
      <c r="L82" s="195">
        <f>L52/L$32</f>
        <v>0.12426915846633284</v>
      </c>
      <c r="N82" s="195">
        <f>N52/N$32</f>
        <v>0.12069439584054413</v>
      </c>
      <c r="P82" s="195">
        <f>P52/P$32</f>
        <v>0.11695846713781315</v>
      </c>
      <c r="R82" s="195">
        <f>R52/R$32</f>
        <v>0.11301379645026893</v>
      </c>
      <c r="T82" s="195">
        <f>T52/T$32</f>
        <v>0.10879288901411323</v>
      </c>
      <c r="V82" s="195">
        <f>V52/V$32</f>
        <v>0.10419570601747752</v>
      </c>
      <c r="X82" s="195">
        <f>X52/X$32</f>
        <v>9.9066455567046616E-2</v>
      </c>
      <c r="Z82" s="195">
        <f>Z52/Z$32</f>
        <v>9.3148580773120798E-2</v>
      </c>
      <c r="AB82" s="195">
        <f>AB52/AB$32</f>
        <v>8.5991504566708024E-2</v>
      </c>
      <c r="AD82" s="195">
        <f>AD52/AD$32</f>
        <v>7.6746451270473137E-2</v>
      </c>
      <c r="AF82" s="195">
        <f>AF52/AF$32</f>
        <v>6.3704148553800286E-2</v>
      </c>
      <c r="AH82" s="195">
        <f>AH52/AH$32</f>
        <v>4.3280778738105978E-2</v>
      </c>
      <c r="AJ82" s="195">
        <f>AJ52/AJ$32</f>
        <v>7.8118800554639262E-3</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0.18754524086414404</v>
      </c>
      <c r="F83" s="195">
        <f>F53/F$32</f>
        <v>0.19075106609500009</v>
      </c>
      <c r="H83" s="195">
        <f>H53/H$32</f>
        <v>0.19401988892141317</v>
      </c>
      <c r="J83" s="195">
        <f>J53/J$32</f>
        <v>0.19736821455225007</v>
      </c>
      <c r="L83" s="195">
        <f>L53/L$32</f>
        <v>0.20081658428009752</v>
      </c>
      <c r="N83" s="195">
        <f>N53/N$32</f>
        <v>0.2043913521447524</v>
      </c>
      <c r="P83" s="195">
        <f>P53/P$32</f>
        <v>0.20812727358268332</v>
      </c>
      <c r="R83" s="195">
        <f>R53/R$32</f>
        <v>0.21207194925015127</v>
      </c>
      <c r="T83" s="195">
        <f>T53/T$32</f>
        <v>0.21629286067751968</v>
      </c>
      <c r="V83" s="195">
        <f>V53/V$32</f>
        <v>0.2208900400258848</v>
      </c>
      <c r="X83" s="195">
        <f>X53/X$32</f>
        <v>0.2260192917988961</v>
      </c>
      <c r="Z83" s="195">
        <f>Z53/Z$32</f>
        <v>0.23193716646504181</v>
      </c>
      <c r="AB83" s="195">
        <f>AB53/AB$32</f>
        <v>0.23909424280587199</v>
      </c>
      <c r="AD83" s="195">
        <f>AD53/AD$32</f>
        <v>0.24833929608728272</v>
      </c>
      <c r="AF83" s="195">
        <f>AF53/AF$32</f>
        <v>0.26138159881348</v>
      </c>
      <c r="AH83" s="195">
        <f>AH53/AH$32</f>
        <v>0.28180496874367111</v>
      </c>
      <c r="AJ83" s="195">
        <f>AJ53/AJ$32</f>
        <v>0.31727386676461017</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G16"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c r="AD1" s="91"/>
      <c r="AF1" s="91"/>
      <c r="AH1" s="91"/>
      <c r="AJ1" s="91"/>
      <c r="AL1" s="91"/>
      <c r="AN1" s="91"/>
      <c r="AP1" s="91"/>
      <c r="AR1" s="91"/>
      <c r="AT1" s="91"/>
      <c r="AV1" s="91"/>
    </row>
    <row r="2" spans="1:49" x14ac:dyDescent="0.2">
      <c r="A2" s="190"/>
      <c r="B2" s="188">
        <v>5.7716594496607888E-3</v>
      </c>
      <c r="C2" s="189"/>
      <c r="D2" s="188">
        <v>3.0883928244494003E-2</v>
      </c>
      <c r="E2" s="189"/>
      <c r="F2" s="188">
        <v>5.734226788759738E-2</v>
      </c>
      <c r="G2" s="189"/>
      <c r="H2" s="188">
        <v>8.5196393665276468E-2</v>
      </c>
      <c r="I2" s="189"/>
      <c r="J2" s="188">
        <v>0.11447773295340509</v>
      </c>
      <c r="K2" s="189"/>
      <c r="L2" s="188">
        <v>0.14518813678405584</v>
      </c>
      <c r="M2" s="189"/>
      <c r="N2" s="188">
        <v>0.17728353598760505</v>
      </c>
      <c r="O2" s="189"/>
      <c r="P2" s="188">
        <v>0.21065196964339525</v>
      </c>
      <c r="Q2" s="189"/>
      <c r="R2" s="188">
        <v>0.245080412692806</v>
      </c>
      <c r="S2" s="189"/>
      <c r="T2" s="188">
        <v>0.28020701842999696</v>
      </c>
      <c r="U2" s="189"/>
      <c r="V2" s="188">
        <v>0.31544438569309446</v>
      </c>
      <c r="W2" s="189"/>
      <c r="X2" s="188">
        <v>0.34982572018994967</v>
      </c>
      <c r="Y2" s="189"/>
      <c r="Z2" s="188">
        <v>0.38157990129323077</v>
      </c>
      <c r="AA2" s="189"/>
      <c r="AB2" s="188"/>
      <c r="AC2" s="189"/>
      <c r="AD2" s="188"/>
      <c r="AE2" s="189"/>
      <c r="AF2" s="188"/>
      <c r="AG2" s="189"/>
      <c r="AH2" s="188"/>
      <c r="AI2" s="189"/>
      <c r="AJ2" s="188"/>
      <c r="AK2" s="189"/>
      <c r="AL2" s="188"/>
      <c r="AM2" s="189"/>
      <c r="AN2" s="188"/>
      <c r="AO2" s="189"/>
      <c r="AP2" s="188"/>
      <c r="AQ2" s="189"/>
      <c r="AR2" s="188"/>
      <c r="AS2" s="189"/>
      <c r="AT2" s="188"/>
      <c r="AU2" s="189"/>
      <c r="AV2" s="188"/>
      <c r="AW2" s="189"/>
    </row>
    <row r="3" spans="1:49" x14ac:dyDescent="0.2">
      <c r="B3" s="81">
        <v>1000</v>
      </c>
      <c r="C3" s="82">
        <v>1000</v>
      </c>
      <c r="D3" s="81">
        <v>999.40456709431351</v>
      </c>
      <c r="E3" s="82">
        <v>1010.8247656532538</v>
      </c>
      <c r="F3" s="81">
        <v>998.82863439444361</v>
      </c>
      <c r="G3" s="82">
        <v>1022.0521910529555</v>
      </c>
      <c r="H3" s="81">
        <v>998.2731196837176</v>
      </c>
      <c r="I3" s="82">
        <v>1033.6809469074326</v>
      </c>
      <c r="J3" s="81">
        <v>997.73905850263964</v>
      </c>
      <c r="K3" s="82">
        <v>1045.7013574989562</v>
      </c>
      <c r="L3" s="81">
        <v>997.22742502639244</v>
      </c>
      <c r="M3" s="82">
        <v>1058.0957286140399</v>
      </c>
      <c r="N3" s="81">
        <v>996.73877251050124</v>
      </c>
      <c r="O3" s="82">
        <v>1070.8403528370704</v>
      </c>
      <c r="P3" s="81">
        <v>996.27249773802862</v>
      </c>
      <c r="Q3" s="82">
        <v>1083.9138482068017</v>
      </c>
      <c r="R3" s="81">
        <v>995.8250386374857</v>
      </c>
      <c r="S3" s="82">
        <v>1097.3250951961666</v>
      </c>
      <c r="T3" s="81">
        <v>995.38577472926488</v>
      </c>
      <c r="U3" s="82">
        <v>1111.1864828177931</v>
      </c>
      <c r="V3" s="81">
        <v>994.92675619413922</v>
      </c>
      <c r="W3" s="82">
        <v>1125.9132401923173</v>
      </c>
      <c r="X3" s="81">
        <v>994.37373656088937</v>
      </c>
      <c r="Y3" s="82">
        <v>1142.8122738007698</v>
      </c>
      <c r="Z3" s="81">
        <v>993.50733435853908</v>
      </c>
      <c r="AA3" s="82">
        <v>1166.1589402121474</v>
      </c>
      <c r="AB3" s="81"/>
      <c r="AC3" s="82"/>
      <c r="AD3" s="81"/>
      <c r="AE3" s="82"/>
      <c r="AF3" s="81"/>
      <c r="AG3" s="82"/>
      <c r="AH3" s="81"/>
      <c r="AI3" s="82"/>
      <c r="AJ3" s="81"/>
      <c r="AK3" s="82"/>
      <c r="AL3" s="81"/>
      <c r="AM3" s="82"/>
      <c r="AN3" s="81"/>
      <c r="AO3" s="82"/>
      <c r="AP3" s="81"/>
      <c r="AQ3" s="82"/>
      <c r="AR3" s="81"/>
      <c r="AS3" s="82"/>
      <c r="AT3" s="81"/>
      <c r="AU3" s="82"/>
      <c r="AV3" s="81"/>
      <c r="AW3" s="82"/>
    </row>
    <row r="4" spans="1:49" x14ac:dyDescent="0.2">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c r="AC4" s="96"/>
      <c r="AD4" s="95"/>
      <c r="AE4" s="96"/>
      <c r="AF4" s="95"/>
      <c r="AG4" s="96"/>
      <c r="AH4" s="95"/>
      <c r="AI4" s="96"/>
      <c r="AJ4" s="95"/>
      <c r="AK4" s="96"/>
      <c r="AL4" s="95"/>
      <c r="AM4" s="96"/>
      <c r="AN4" s="95"/>
      <c r="AO4" s="96"/>
      <c r="AP4" s="95"/>
      <c r="AQ4" s="96"/>
      <c r="AR4" s="95"/>
      <c r="AS4" s="96"/>
      <c r="AT4" s="95"/>
      <c r="AU4" s="96"/>
      <c r="AV4" s="95"/>
      <c r="AW4" s="96"/>
    </row>
    <row r="5" spans="1:49" x14ac:dyDescent="0.2">
      <c r="B5" s="39">
        <v>1000</v>
      </c>
      <c r="C5" s="40">
        <v>1000</v>
      </c>
      <c r="D5" s="39">
        <v>999.37513815803652</v>
      </c>
      <c r="E5" s="40">
        <v>1009.4551463169468</v>
      </c>
      <c r="F5" s="39">
        <v>998.77059153987705</v>
      </c>
      <c r="G5" s="40">
        <v>1019.1577187384851</v>
      </c>
      <c r="H5" s="39">
        <v>998.18733839862705</v>
      </c>
      <c r="I5" s="40">
        <v>1029.0957623740887</v>
      </c>
      <c r="J5" s="39">
        <v>997.62648122190546</v>
      </c>
      <c r="K5" s="40">
        <v>1039.2500158137279</v>
      </c>
      <c r="L5" s="39">
        <v>997.0890583846691</v>
      </c>
      <c r="M5" s="40">
        <v>1049.5946687661369</v>
      </c>
      <c r="N5" s="39">
        <v>996.57566628080815</v>
      </c>
      <c r="O5" s="40">
        <v>1060.0994951036635</v>
      </c>
      <c r="P5" s="39">
        <v>996.08568578865902</v>
      </c>
      <c r="Q5" s="40">
        <v>1070.7368697579759</v>
      </c>
      <c r="R5" s="39">
        <v>995.61538645572966</v>
      </c>
      <c r="S5" s="40">
        <v>1081.5040520713744</v>
      </c>
      <c r="T5" s="39">
        <v>995.15361369898278</v>
      </c>
      <c r="U5" s="40">
        <v>1092.4791206125658</v>
      </c>
      <c r="V5" s="39">
        <v>994.67098187092415</v>
      </c>
      <c r="W5" s="40">
        <v>1103.9693679727538</v>
      </c>
      <c r="X5" s="39">
        <v>994.08938796226221</v>
      </c>
      <c r="Y5" s="40">
        <v>1116.9400278580699</v>
      </c>
      <c r="Z5" s="39">
        <v>993.1779432413075</v>
      </c>
      <c r="AA5" s="40">
        <v>1134.485302052311</v>
      </c>
      <c r="AB5" s="39"/>
      <c r="AC5" s="40"/>
      <c r="AD5" s="39"/>
      <c r="AE5" s="40"/>
      <c r="AF5" s="39"/>
      <c r="AG5" s="40"/>
      <c r="AH5" s="39"/>
      <c r="AI5" s="40"/>
      <c r="AJ5" s="39"/>
      <c r="AK5" s="40"/>
      <c r="AL5" s="39"/>
      <c r="AM5" s="40"/>
      <c r="AN5" s="39"/>
      <c r="AO5" s="40"/>
      <c r="AP5" s="39"/>
      <c r="AQ5" s="40"/>
      <c r="AR5" s="39"/>
      <c r="AS5" s="40"/>
      <c r="AT5" s="39"/>
      <c r="AU5" s="40"/>
      <c r="AV5" s="39"/>
      <c r="AW5" s="40"/>
    </row>
    <row r="6" spans="1:49" x14ac:dyDescent="0.2">
      <c r="B6" s="39">
        <v>999.99999999999943</v>
      </c>
      <c r="C6" s="40">
        <v>999.99999999999909</v>
      </c>
      <c r="D6" s="39">
        <v>999.32737464922786</v>
      </c>
      <c r="E6" s="40">
        <v>1011.6747375324244</v>
      </c>
      <c r="F6" s="39">
        <v>998.67667853374166</v>
      </c>
      <c r="G6" s="40">
        <v>1023.7635095769093</v>
      </c>
      <c r="H6" s="39">
        <v>998.04895844477062</v>
      </c>
      <c r="I6" s="40">
        <v>1036.2636960800824</v>
      </c>
      <c r="J6" s="39">
        <v>997.44539456057635</v>
      </c>
      <c r="K6" s="40">
        <v>1049.1638077852397</v>
      </c>
      <c r="L6" s="39">
        <v>996.86709800363212</v>
      </c>
      <c r="M6" s="40">
        <v>1062.4439091117774</v>
      </c>
      <c r="N6" s="39">
        <v>996.3147042462881</v>
      </c>
      <c r="O6" s="40">
        <v>1076.0778254027439</v>
      </c>
      <c r="P6" s="39">
        <v>995.78754109620434</v>
      </c>
      <c r="Q6" s="40">
        <v>1090.0420842547103</v>
      </c>
      <c r="R6" s="39">
        <v>995.28158977978262</v>
      </c>
      <c r="S6" s="40">
        <v>1104.3456595715577</v>
      </c>
      <c r="T6" s="39">
        <v>994.78484681888767</v>
      </c>
      <c r="U6" s="40">
        <v>1119.1076774931066</v>
      </c>
      <c r="V6" s="39">
        <v>994.2657026228643</v>
      </c>
      <c r="W6" s="40">
        <v>1134.7684575572928</v>
      </c>
      <c r="X6" s="39">
        <v>993.64016049008478</v>
      </c>
      <c r="Y6" s="40">
        <v>1152.7119312394909</v>
      </c>
      <c r="Z6" s="39">
        <v>992.65995423496202</v>
      </c>
      <c r="AA6" s="40">
        <v>1177.456625495463</v>
      </c>
      <c r="AB6" s="39"/>
      <c r="AC6" s="40"/>
      <c r="AD6" s="39"/>
      <c r="AE6" s="40"/>
      <c r="AF6" s="39"/>
      <c r="AG6" s="40"/>
      <c r="AH6" s="39"/>
      <c r="AI6" s="40"/>
      <c r="AJ6" s="39"/>
      <c r="AK6" s="40"/>
      <c r="AL6" s="39"/>
      <c r="AM6" s="40"/>
      <c r="AN6" s="39"/>
      <c r="AO6" s="40"/>
      <c r="AP6" s="39"/>
      <c r="AQ6" s="40"/>
      <c r="AR6" s="39"/>
      <c r="AS6" s="40"/>
      <c r="AT6" s="39"/>
      <c r="AU6" s="40"/>
      <c r="AV6" s="39"/>
      <c r="AW6" s="40"/>
    </row>
    <row r="7" spans="1:49" x14ac:dyDescent="0.2">
      <c r="B7" s="31">
        <v>1015.9116825427475</v>
      </c>
      <c r="C7" s="32">
        <v>1015.9116825427475</v>
      </c>
      <c r="D7" s="31">
        <v>1015.2768780975216</v>
      </c>
      <c r="E7" s="32">
        <v>1015.2768780975216</v>
      </c>
      <c r="F7" s="31">
        <v>1014.6627121254917</v>
      </c>
      <c r="G7" s="32">
        <v>1014.6627121254917</v>
      </c>
      <c r="H7" s="31">
        <v>1014.070178445416</v>
      </c>
      <c r="I7" s="32">
        <v>1014.070178445416</v>
      </c>
      <c r="J7" s="31">
        <v>1013.5003970873466</v>
      </c>
      <c r="K7" s="32">
        <v>1013.5003970873466</v>
      </c>
      <c r="L7" s="31">
        <v>1012.954422948533</v>
      </c>
      <c r="M7" s="32">
        <v>1012.954422948533</v>
      </c>
      <c r="N7" s="31">
        <v>1012.4328619124954</v>
      </c>
      <c r="O7" s="32">
        <v>1012.4328619124954</v>
      </c>
      <c r="P7" s="31">
        <v>1011.935085006303</v>
      </c>
      <c r="Q7" s="32">
        <v>1011.935085006303</v>
      </c>
      <c r="R7" s="31">
        <v>1011.4573024196881</v>
      </c>
      <c r="S7" s="32">
        <v>1011.4573024196881</v>
      </c>
      <c r="T7" s="31">
        <v>1010.9881820814289</v>
      </c>
      <c r="U7" s="32">
        <v>1010.9881820814289</v>
      </c>
      <c r="V7" s="31">
        <v>1010.4978707689372</v>
      </c>
      <c r="W7" s="32">
        <v>1010.4978707689372</v>
      </c>
      <c r="X7" s="31">
        <v>1009.9070227226318</v>
      </c>
      <c r="Y7" s="32">
        <v>1009.9070227226318</v>
      </c>
      <c r="Z7" s="31">
        <v>1008.9810753826221</v>
      </c>
      <c r="AA7" s="32">
        <v>1008.9810753826221</v>
      </c>
      <c r="AB7" s="31"/>
      <c r="AC7" s="32"/>
      <c r="AD7" s="31"/>
      <c r="AE7" s="32"/>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1040.6310866218344</v>
      </c>
      <c r="E8" s="34">
        <v>1040.6310866218344</v>
      </c>
      <c r="F8" s="33">
        <v>1077.5985336660999</v>
      </c>
      <c r="G8" s="34">
        <v>1077.5985336660999</v>
      </c>
      <c r="H8" s="33">
        <v>1116.7710100645793</v>
      </c>
      <c r="I8" s="34">
        <v>1116.7710100645793</v>
      </c>
      <c r="J8" s="33">
        <v>1158.2210015958738</v>
      </c>
      <c r="K8" s="34">
        <v>1158.2210015958738</v>
      </c>
      <c r="L8" s="33">
        <v>1201.9833631027705</v>
      </c>
      <c r="M8" s="34">
        <v>1201.9833631027705</v>
      </c>
      <c r="N8" s="33">
        <v>1248.0376820943156</v>
      </c>
      <c r="O8" s="34">
        <v>1248.0376820943156</v>
      </c>
      <c r="P8" s="33">
        <v>1296.2897003422972</v>
      </c>
      <c r="Q8" s="34">
        <v>1296.2897003422972</v>
      </c>
      <c r="R8" s="33">
        <v>1346.5595114819687</v>
      </c>
      <c r="S8" s="34">
        <v>1346.5595114819687</v>
      </c>
      <c r="T8" s="33">
        <v>1398.5994376964379</v>
      </c>
      <c r="U8" s="34">
        <v>1398.5994376964379</v>
      </c>
      <c r="V8" s="33">
        <v>1452.2103070769128</v>
      </c>
      <c r="W8" s="34">
        <v>1452.2103070769128</v>
      </c>
      <c r="X8" s="33">
        <v>1507.6743775125017</v>
      </c>
      <c r="Y8" s="34">
        <v>1507.6743775125017</v>
      </c>
      <c r="Z8" s="33">
        <v>1567.3820916280531</v>
      </c>
      <c r="AA8" s="34">
        <v>1567.3820916280531</v>
      </c>
      <c r="AB8" s="33"/>
      <c r="AC8" s="34"/>
      <c r="AD8" s="33"/>
      <c r="AE8" s="34"/>
      <c r="AF8" s="33"/>
      <c r="AG8" s="34"/>
      <c r="AH8" s="33"/>
      <c r="AI8" s="34"/>
      <c r="AJ8" s="33"/>
      <c r="AK8" s="34"/>
      <c r="AL8" s="33"/>
      <c r="AM8" s="34"/>
      <c r="AN8" s="33"/>
      <c r="AO8" s="34"/>
      <c r="AP8" s="33"/>
      <c r="AQ8" s="34"/>
      <c r="AR8" s="33"/>
      <c r="AS8" s="34"/>
      <c r="AT8" s="33"/>
      <c r="AU8" s="34"/>
      <c r="AV8" s="33"/>
      <c r="AW8" s="34"/>
    </row>
    <row r="9" spans="1:49" x14ac:dyDescent="0.2">
      <c r="B9" s="39">
        <v>1015.9116825427475</v>
      </c>
      <c r="C9" s="40">
        <v>1005.7716594496609</v>
      </c>
      <c r="D9" s="39">
        <v>1015.2768780975216</v>
      </c>
      <c r="E9" s="40">
        <v>1040.6310866218344</v>
      </c>
      <c r="F9" s="39">
        <v>1014.6627121254917</v>
      </c>
      <c r="G9" s="40">
        <v>1077.5985336660999</v>
      </c>
      <c r="H9" s="39">
        <v>1014.070178445416</v>
      </c>
      <c r="I9" s="40">
        <v>1116.7710100645793</v>
      </c>
      <c r="J9" s="39">
        <v>1013.5003970873466</v>
      </c>
      <c r="K9" s="40">
        <v>1158.2210015958738</v>
      </c>
      <c r="L9" s="39">
        <v>1012.954422948533</v>
      </c>
      <c r="M9" s="40">
        <v>1201.9833631027705</v>
      </c>
      <c r="N9" s="39">
        <v>1012.4328619124954</v>
      </c>
      <c r="O9" s="40">
        <v>1248.0376820943156</v>
      </c>
      <c r="P9" s="39">
        <v>1011.935085006303</v>
      </c>
      <c r="Q9" s="40">
        <v>1296.2897003422972</v>
      </c>
      <c r="R9" s="39">
        <v>1011.4573024196881</v>
      </c>
      <c r="S9" s="40">
        <v>1346.5595114819687</v>
      </c>
      <c r="T9" s="39">
        <v>1010.9881820814289</v>
      </c>
      <c r="U9" s="40">
        <v>1398.5994376964379</v>
      </c>
      <c r="V9" s="39">
        <v>1010.4978707689372</v>
      </c>
      <c r="W9" s="40">
        <v>1452.2103070769128</v>
      </c>
      <c r="X9" s="39">
        <v>1009.9070227226318</v>
      </c>
      <c r="Y9" s="40">
        <v>1507.6743775125017</v>
      </c>
      <c r="Z9" s="39">
        <v>1008.9810753826221</v>
      </c>
      <c r="AA9" s="40">
        <v>1567.3820916280531</v>
      </c>
      <c r="AB9" s="39"/>
      <c r="AC9" s="40"/>
      <c r="AD9" s="39"/>
      <c r="AE9" s="40"/>
      <c r="AF9" s="39"/>
      <c r="AG9" s="40"/>
      <c r="AH9" s="39"/>
      <c r="AI9" s="40"/>
      <c r="AJ9" s="39"/>
      <c r="AK9" s="40"/>
      <c r="AL9" s="39"/>
      <c r="AM9" s="40"/>
      <c r="AN9" s="39"/>
      <c r="AO9" s="40"/>
      <c r="AP9" s="39"/>
      <c r="AQ9" s="40"/>
      <c r="AR9" s="39"/>
      <c r="AS9" s="40"/>
      <c r="AT9" s="39"/>
      <c r="AU9" s="40"/>
      <c r="AV9" s="39"/>
      <c r="AW9" s="40"/>
    </row>
    <row r="10" spans="1:49" x14ac:dyDescent="0.2">
      <c r="B10" s="39">
        <v>1015.9116825427475</v>
      </c>
      <c r="C10" s="40">
        <v>1005.7716594496609</v>
      </c>
      <c r="D10" s="39">
        <v>1015.2768780975216</v>
      </c>
      <c r="E10" s="40">
        <v>1040.6310866218344</v>
      </c>
      <c r="F10" s="39">
        <v>1014.6627121254917</v>
      </c>
      <c r="G10" s="40">
        <v>1077.5985336660999</v>
      </c>
      <c r="H10" s="39">
        <v>1014.070178445416</v>
      </c>
      <c r="I10" s="40">
        <v>1116.7710100645793</v>
      </c>
      <c r="J10" s="39">
        <v>1013.5003970873466</v>
      </c>
      <c r="K10" s="40">
        <v>1158.2210015958738</v>
      </c>
      <c r="L10" s="39">
        <v>1012.954422948533</v>
      </c>
      <c r="M10" s="40">
        <v>1201.9833631027705</v>
      </c>
      <c r="N10" s="39">
        <v>1012.4328619124954</v>
      </c>
      <c r="O10" s="40">
        <v>1248.0376820943156</v>
      </c>
      <c r="P10" s="39">
        <v>1011.935085006303</v>
      </c>
      <c r="Q10" s="40">
        <v>1296.2897003422972</v>
      </c>
      <c r="R10" s="39">
        <v>1011.4573024196881</v>
      </c>
      <c r="S10" s="40">
        <v>1346.5595114819687</v>
      </c>
      <c r="T10" s="39">
        <v>1010.9881820814289</v>
      </c>
      <c r="U10" s="40">
        <v>1398.5994376964379</v>
      </c>
      <c r="V10" s="39">
        <v>1010.4978707689372</v>
      </c>
      <c r="W10" s="40">
        <v>1452.2103070769128</v>
      </c>
      <c r="X10" s="39">
        <v>1009.9070227226318</v>
      </c>
      <c r="Y10" s="40">
        <v>1507.6743775125017</v>
      </c>
      <c r="Z10" s="39">
        <v>1008.9810753826221</v>
      </c>
      <c r="AA10" s="40">
        <v>1567.3820916280531</v>
      </c>
      <c r="AB10" s="39"/>
      <c r="AC10" s="40"/>
      <c r="AD10" s="39"/>
      <c r="AE10" s="40"/>
      <c r="AF10" s="39"/>
      <c r="AG10" s="40"/>
      <c r="AH10" s="39"/>
      <c r="AI10" s="40"/>
      <c r="AJ10" s="39"/>
      <c r="AK10" s="40"/>
      <c r="AL10" s="39"/>
      <c r="AM10" s="40"/>
      <c r="AN10" s="39"/>
      <c r="AO10" s="40"/>
      <c r="AP10" s="39"/>
      <c r="AQ10" s="40"/>
      <c r="AR10" s="39"/>
      <c r="AS10" s="40"/>
      <c r="AT10" s="39"/>
      <c r="AU10" s="40"/>
      <c r="AV10" s="39"/>
      <c r="AW10" s="40"/>
    </row>
    <row r="11" spans="1:49" x14ac:dyDescent="0.2">
      <c r="B11" s="39">
        <v>1015.9116825427475</v>
      </c>
      <c r="C11" s="40">
        <v>1005.7716594496609</v>
      </c>
      <c r="D11" s="39">
        <v>1015.2768780975216</v>
      </c>
      <c r="E11" s="40">
        <v>1040.6310866218344</v>
      </c>
      <c r="F11" s="39">
        <v>1014.6627121254917</v>
      </c>
      <c r="G11" s="40">
        <v>1077.5985336660999</v>
      </c>
      <c r="H11" s="39">
        <v>1014.070178445416</v>
      </c>
      <c r="I11" s="40">
        <v>1116.7710100645793</v>
      </c>
      <c r="J11" s="39">
        <v>1013.5003970873466</v>
      </c>
      <c r="K11" s="40">
        <v>1158.2210015958738</v>
      </c>
      <c r="L11" s="39">
        <v>1012.954422948533</v>
      </c>
      <c r="M11" s="40">
        <v>1201.9833631027705</v>
      </c>
      <c r="N11" s="39">
        <v>1012.4328619124954</v>
      </c>
      <c r="O11" s="40">
        <v>1248.0376820943156</v>
      </c>
      <c r="P11" s="39">
        <v>1011.935085006303</v>
      </c>
      <c r="Q11" s="40">
        <v>1296.2897003422972</v>
      </c>
      <c r="R11" s="39">
        <v>1011.4573024196881</v>
      </c>
      <c r="S11" s="40">
        <v>1346.5595114819687</v>
      </c>
      <c r="T11" s="39">
        <v>1010.9881820814289</v>
      </c>
      <c r="U11" s="40">
        <v>1398.5994376964379</v>
      </c>
      <c r="V11" s="39">
        <v>1010.4978707689372</v>
      </c>
      <c r="W11" s="40">
        <v>1452.2103070769128</v>
      </c>
      <c r="X11" s="39">
        <v>1009.9070227226318</v>
      </c>
      <c r="Y11" s="40">
        <v>1507.6743775125017</v>
      </c>
      <c r="Z11" s="39">
        <v>1008.9810753826221</v>
      </c>
      <c r="AA11" s="40">
        <v>1567.3820916280531</v>
      </c>
      <c r="AB11" s="39"/>
      <c r="AC11" s="40"/>
      <c r="AD11" s="39"/>
      <c r="AE11" s="40"/>
      <c r="AF11" s="39"/>
      <c r="AG11" s="40"/>
      <c r="AH11" s="39"/>
      <c r="AI11" s="40"/>
      <c r="AJ11" s="39"/>
      <c r="AK11" s="40"/>
      <c r="AL11" s="39"/>
      <c r="AM11" s="40"/>
      <c r="AN11" s="39"/>
      <c r="AO11" s="40"/>
      <c r="AP11" s="39"/>
      <c r="AQ11" s="40"/>
      <c r="AR11" s="39"/>
      <c r="AS11" s="40"/>
      <c r="AT11" s="39"/>
      <c r="AU11" s="40"/>
      <c r="AV11" s="39"/>
      <c r="AW11" s="40"/>
    </row>
    <row r="12" spans="1:49" x14ac:dyDescent="0.2">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c r="AC12" s="40"/>
      <c r="AD12" s="39"/>
      <c r="AE12" s="40"/>
      <c r="AF12" s="39"/>
      <c r="AG12" s="40"/>
      <c r="AH12" s="39"/>
      <c r="AI12" s="40"/>
      <c r="AJ12" s="39"/>
      <c r="AK12" s="40"/>
      <c r="AL12" s="39"/>
      <c r="AM12" s="40"/>
      <c r="AN12" s="39"/>
      <c r="AO12" s="40"/>
      <c r="AP12" s="39"/>
      <c r="AQ12" s="40"/>
      <c r="AR12" s="39"/>
      <c r="AS12" s="40"/>
      <c r="AT12" s="39"/>
      <c r="AU12" s="40"/>
      <c r="AV12" s="39"/>
      <c r="AW12" s="40"/>
    </row>
    <row r="13" spans="1:49" x14ac:dyDescent="0.2">
      <c r="B13" s="93">
        <v>1000</v>
      </c>
      <c r="C13" s="94">
        <v>1000</v>
      </c>
      <c r="D13" s="93">
        <v>1001.2586426359875</v>
      </c>
      <c r="E13" s="94">
        <v>1001.2586426359875</v>
      </c>
      <c r="F13" s="93">
        <v>1002.5730818867473</v>
      </c>
      <c r="G13" s="94">
        <v>1002.5730818867473</v>
      </c>
      <c r="H13" s="93">
        <v>1003.9446702241451</v>
      </c>
      <c r="I13" s="94">
        <v>1003.9446702241451</v>
      </c>
      <c r="J13" s="93">
        <v>1005.3739211677936</v>
      </c>
      <c r="K13" s="94">
        <v>1005.3739211677936</v>
      </c>
      <c r="L13" s="93">
        <v>1006.8599424392886</v>
      </c>
      <c r="M13" s="94">
        <v>1006.8599424392886</v>
      </c>
      <c r="N13" s="93">
        <v>1008.3995983233353</v>
      </c>
      <c r="O13" s="94">
        <v>1008.3995983233353</v>
      </c>
      <c r="P13" s="93">
        <v>1009.9863417961894</v>
      </c>
      <c r="Q13" s="94">
        <v>1009.9863417961894</v>
      </c>
      <c r="R13" s="93">
        <v>1011.6082652781793</v>
      </c>
      <c r="S13" s="94">
        <v>1011.6082652781793</v>
      </c>
      <c r="T13" s="93">
        <v>1013.2449672616392</v>
      </c>
      <c r="U13" s="94">
        <v>1013.2449672616392</v>
      </c>
      <c r="V13" s="93">
        <v>1014.8616468951913</v>
      </c>
      <c r="W13" s="94">
        <v>1014.8616468951913</v>
      </c>
      <c r="X13" s="93">
        <v>1016.3951192806223</v>
      </c>
      <c r="Y13" s="94">
        <v>1016.3951192806223</v>
      </c>
      <c r="Z13" s="93">
        <v>1017.709409359296</v>
      </c>
      <c r="AA13" s="94">
        <v>1017.709409359296</v>
      </c>
      <c r="AB13" s="93"/>
      <c r="AC13" s="94"/>
      <c r="AD13" s="93"/>
      <c r="AE13" s="94"/>
      <c r="AF13" s="93"/>
      <c r="AG13" s="94"/>
      <c r="AH13" s="93"/>
      <c r="AI13" s="94"/>
      <c r="AJ13" s="93"/>
      <c r="AK13" s="94"/>
      <c r="AL13" s="93"/>
      <c r="AM13" s="94"/>
      <c r="AN13" s="93"/>
      <c r="AO13" s="94"/>
      <c r="AP13" s="93"/>
      <c r="AQ13" s="94"/>
      <c r="AR13" s="93"/>
      <c r="AS13" s="94"/>
      <c r="AT13" s="93"/>
      <c r="AU13" s="94"/>
      <c r="AV13" s="93"/>
      <c r="AW13" s="94"/>
    </row>
    <row r="14" spans="1:49" x14ac:dyDescent="0.2">
      <c r="B14" s="39">
        <v>1457.0034251455234</v>
      </c>
      <c r="C14" s="40">
        <v>1457.0034251455236</v>
      </c>
      <c r="D14" s="39">
        <v>1458.8372717771913</v>
      </c>
      <c r="E14" s="40">
        <v>1458.8372717771915</v>
      </c>
      <c r="F14" s="39">
        <v>1460.7524142676941</v>
      </c>
      <c r="G14" s="40">
        <v>1460.7524142676943</v>
      </c>
      <c r="H14" s="39">
        <v>1462.7508231731722</v>
      </c>
      <c r="I14" s="40">
        <v>1462.7508231731724</v>
      </c>
      <c r="J14" s="39">
        <v>1464.8332466934605</v>
      </c>
      <c r="K14" s="40">
        <v>1464.8332466934608</v>
      </c>
      <c r="L14" s="39">
        <v>1466.9983847758679</v>
      </c>
      <c r="M14" s="40">
        <v>1466.9983847758681</v>
      </c>
      <c r="N14" s="39">
        <v>1469.2416686724694</v>
      </c>
      <c r="O14" s="40">
        <v>1469.2416686724696</v>
      </c>
      <c r="P14" s="39">
        <v>1471.5535593472453</v>
      </c>
      <c r="Q14" s="40">
        <v>1471.5535593472455</v>
      </c>
      <c r="R14" s="39">
        <v>1473.9167074158283</v>
      </c>
      <c r="S14" s="40">
        <v>1473.9167074158286</v>
      </c>
      <c r="T14" s="39">
        <v>1476.3013878116719</v>
      </c>
      <c r="U14" s="40">
        <v>1476.3013878116722</v>
      </c>
      <c r="V14" s="39">
        <v>1478.6568955751202</v>
      </c>
      <c r="W14" s="40">
        <v>1478.6568955751204</v>
      </c>
      <c r="X14" s="39">
        <v>1480.8911700930594</v>
      </c>
      <c r="Y14" s="40">
        <v>1480.8911700930596</v>
      </c>
      <c r="Z14" s="39">
        <v>1482.8060952393218</v>
      </c>
      <c r="AA14" s="40">
        <v>1482.8060952393221</v>
      </c>
      <c r="AB14" s="39"/>
      <c r="AC14" s="40"/>
      <c r="AD14" s="39"/>
      <c r="AE14" s="40"/>
      <c r="AF14" s="39"/>
      <c r="AG14" s="40"/>
      <c r="AH14" s="39"/>
      <c r="AI14" s="40"/>
      <c r="AJ14" s="39"/>
      <c r="AK14" s="40"/>
      <c r="AL14" s="39"/>
      <c r="AM14" s="40"/>
      <c r="AN14" s="39"/>
      <c r="AO14" s="40"/>
      <c r="AP14" s="39"/>
      <c r="AQ14" s="40"/>
      <c r="AR14" s="39"/>
      <c r="AS14" s="40"/>
      <c r="AT14" s="39"/>
      <c r="AU14" s="40"/>
      <c r="AV14" s="39"/>
      <c r="AW14" s="40"/>
    </row>
    <row r="15" spans="1:49" x14ac:dyDescent="0.2">
      <c r="B15" s="144">
        <v>1000</v>
      </c>
      <c r="C15" s="145">
        <v>1000</v>
      </c>
      <c r="D15" s="144">
        <v>993.16382214168641</v>
      </c>
      <c r="E15" s="145">
        <v>993.16382214168641</v>
      </c>
      <c r="F15" s="144">
        <v>984.14506741568232</v>
      </c>
      <c r="G15" s="145">
        <v>984.14506741568232</v>
      </c>
      <c r="H15" s="144">
        <v>972.63434041388371</v>
      </c>
      <c r="I15" s="145">
        <v>972.63434041388371</v>
      </c>
      <c r="J15" s="144">
        <v>958.27600266863408</v>
      </c>
      <c r="K15" s="145">
        <v>958.27600266863408</v>
      </c>
      <c r="L15" s="144">
        <v>940.66185414493862</v>
      </c>
      <c r="M15" s="145">
        <v>940.66185414493862</v>
      </c>
      <c r="N15" s="144">
        <v>919.32859437929278</v>
      </c>
      <c r="O15" s="145">
        <v>919.32859437929278</v>
      </c>
      <c r="P15" s="144">
        <v>893.76419941143422</v>
      </c>
      <c r="Q15" s="145">
        <v>893.76419941143422</v>
      </c>
      <c r="R15" s="144">
        <v>863.42239089392785</v>
      </c>
      <c r="S15" s="145">
        <v>863.42239089392785</v>
      </c>
      <c r="T15" s="144">
        <v>827.76523153548283</v>
      </c>
      <c r="U15" s="145">
        <v>827.76523153548283</v>
      </c>
      <c r="V15" s="144">
        <v>786.36104056698923</v>
      </c>
      <c r="W15" s="145">
        <v>786.36104056698923</v>
      </c>
      <c r="X15" s="144">
        <v>739.11777586185428</v>
      </c>
      <c r="Y15" s="145">
        <v>739.11777586185428</v>
      </c>
      <c r="Z15" s="144">
        <v>686.97146839657944</v>
      </c>
      <c r="AA15" s="145">
        <v>686.97146839657944</v>
      </c>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c r="B16" s="39">
        <v>1000</v>
      </c>
      <c r="C16" s="40">
        <v>1000</v>
      </c>
      <c r="D16" s="39">
        <v>997.91091429255755</v>
      </c>
      <c r="E16" s="40">
        <v>995.79099430074893</v>
      </c>
      <c r="F16" s="39">
        <v>995.78011326919079</v>
      </c>
      <c r="G16" s="40">
        <v>990.75386617125719</v>
      </c>
      <c r="H16" s="39">
        <v>993.60789944404132</v>
      </c>
      <c r="I16" s="40">
        <v>984.81809217240811</v>
      </c>
      <c r="J16" s="39">
        <v>991.39585819364186</v>
      </c>
      <c r="K16" s="40">
        <v>977.91761880040974</v>
      </c>
      <c r="L16" s="39">
        <v>989.1470939693528</v>
      </c>
      <c r="M16" s="40">
        <v>970.00518192797938</v>
      </c>
      <c r="N16" s="39">
        <v>986.86639678150914</v>
      </c>
      <c r="O16" s="40">
        <v>961.07604425656461</v>
      </c>
      <c r="P16" s="39">
        <v>984.55999193477749</v>
      </c>
      <c r="Q16" s="40">
        <v>951.21098179677188</v>
      </c>
      <c r="R16" s="39">
        <v>982.23392609656059</v>
      </c>
      <c r="S16" s="40">
        <v>940.6713964490076</v>
      </c>
      <c r="T16" s="39">
        <v>979.88908270681316</v>
      </c>
      <c r="U16" s="40">
        <v>930.10127738591746</v>
      </c>
      <c r="V16" s="39">
        <v>977.50675049952179</v>
      </c>
      <c r="W16" s="40">
        <v>921.01434231065741</v>
      </c>
      <c r="X16" s="39">
        <v>975.0053391322657</v>
      </c>
      <c r="Y16" s="40">
        <v>917.15818142692592</v>
      </c>
      <c r="Z16" s="39">
        <v>972.08964979694701</v>
      </c>
      <c r="AA16" s="40">
        <v>929.28275818692839</v>
      </c>
      <c r="AB16" s="39"/>
      <c r="AC16" s="40"/>
      <c r="AD16" s="39"/>
      <c r="AE16" s="40"/>
      <c r="AF16" s="39"/>
      <c r="AG16" s="40"/>
      <c r="AH16" s="39"/>
      <c r="AI16" s="40"/>
      <c r="AJ16" s="39"/>
      <c r="AK16" s="40"/>
      <c r="AL16" s="39"/>
      <c r="AM16" s="40"/>
      <c r="AN16" s="39"/>
      <c r="AO16" s="40"/>
      <c r="AP16" s="39"/>
      <c r="AQ16" s="40"/>
      <c r="AR16" s="39"/>
      <c r="AS16" s="40"/>
      <c r="AT16" s="39"/>
      <c r="AU16" s="40"/>
      <c r="AV16" s="39"/>
      <c r="AW16" s="40"/>
    </row>
    <row r="17" spans="2:49" x14ac:dyDescent="0.2">
      <c r="B17" s="33">
        <v>1000.0000000000002</v>
      </c>
      <c r="C17" s="34">
        <v>999.99999999999977</v>
      </c>
      <c r="D17" s="33">
        <v>999.43193563421823</v>
      </c>
      <c r="E17" s="34">
        <v>1016.4281066122188</v>
      </c>
      <c r="F17" s="33">
        <v>998.8826133995974</v>
      </c>
      <c r="G17" s="34">
        <v>1033.4803447244242</v>
      </c>
      <c r="H17" s="33">
        <v>998.35289699526675</v>
      </c>
      <c r="I17" s="34">
        <v>1051.1569092505918</v>
      </c>
      <c r="J17" s="33">
        <v>997.84375762446177</v>
      </c>
      <c r="K17" s="34">
        <v>1069.4454093658953</v>
      </c>
      <c r="L17" s="33">
        <v>997.35610964060481</v>
      </c>
      <c r="M17" s="34">
        <v>1088.321263586135</v>
      </c>
      <c r="N17" s="33">
        <v>996.89046817876829</v>
      </c>
      <c r="O17" s="34">
        <v>1107.7508289927118</v>
      </c>
      <c r="P17" s="33">
        <v>996.4462436457984</v>
      </c>
      <c r="Q17" s="34">
        <v>1127.704262890134</v>
      </c>
      <c r="R17" s="33">
        <v>996.02003066225791</v>
      </c>
      <c r="S17" s="34">
        <v>1148.1987875417672</v>
      </c>
      <c r="T17" s="33">
        <v>995.60170526714637</v>
      </c>
      <c r="U17" s="34">
        <v>1169.4123659928127</v>
      </c>
      <c r="V17" s="33">
        <v>995.16465225027673</v>
      </c>
      <c r="W17" s="34">
        <v>1191.9936136114034</v>
      </c>
      <c r="X17" s="33">
        <v>994.63821511965784</v>
      </c>
      <c r="Y17" s="34">
        <v>1217.9790501211714</v>
      </c>
      <c r="Z17" s="33">
        <v>993.81371724007022</v>
      </c>
      <c r="AA17" s="34">
        <v>1254.0369221020776</v>
      </c>
      <c r="AB17" s="33"/>
      <c r="AC17" s="34"/>
      <c r="AD17" s="33"/>
      <c r="AE17" s="34"/>
      <c r="AF17" s="33"/>
      <c r="AG17" s="34"/>
      <c r="AH17" s="33"/>
      <c r="AI17" s="34"/>
      <c r="AJ17" s="33"/>
      <c r="AK17" s="34"/>
      <c r="AL17" s="33"/>
      <c r="AM17" s="34"/>
      <c r="AN17" s="33"/>
      <c r="AO17" s="34"/>
      <c r="AP17" s="33"/>
      <c r="AQ17" s="34"/>
      <c r="AR17" s="33"/>
      <c r="AS17" s="34"/>
      <c r="AT17" s="33"/>
      <c r="AU17" s="34"/>
      <c r="AV17" s="33"/>
      <c r="AW17" s="34"/>
    </row>
    <row r="18" spans="2:49" x14ac:dyDescent="0.2">
      <c r="B18" s="31">
        <v>27857.010133999996</v>
      </c>
      <c r="C18" s="32">
        <v>1236.7674480000003</v>
      </c>
      <c r="D18" s="31">
        <v>27373.210651886995</v>
      </c>
      <c r="E18" s="32">
        <v>1162.6959948980882</v>
      </c>
      <c r="F18" s="31">
        <v>26838.585249662021</v>
      </c>
      <c r="G18" s="32">
        <v>1089.5432674886247</v>
      </c>
      <c r="H18" s="31">
        <v>26246.828444473773</v>
      </c>
      <c r="I18" s="32">
        <v>1017.3762738668501</v>
      </c>
      <c r="J18" s="31">
        <v>25590.769517917292</v>
      </c>
      <c r="K18" s="32">
        <v>946.26733014213562</v>
      </c>
      <c r="L18" s="31">
        <v>24862.314357297946</v>
      </c>
      <c r="M18" s="32">
        <v>876.29357939873546</v>
      </c>
      <c r="N18" s="31">
        <v>24052.471165386458</v>
      </c>
      <c r="O18" s="32">
        <v>807.53240780896658</v>
      </c>
      <c r="P18" s="31">
        <v>23151.564818811919</v>
      </c>
      <c r="Q18" s="32">
        <v>740.05222764140456</v>
      </c>
      <c r="R18" s="31">
        <v>22149.74259730885</v>
      </c>
      <c r="S18" s="32">
        <v>673.89517547062849</v>
      </c>
      <c r="T18" s="31">
        <v>21038.178362243856</v>
      </c>
      <c r="U18" s="32">
        <v>609.04018935058821</v>
      </c>
      <c r="V18" s="31">
        <v>19811.78715849443</v>
      </c>
      <c r="W18" s="32">
        <v>545.32131167701289</v>
      </c>
      <c r="X18" s="31">
        <v>18475.845628522395</v>
      </c>
      <c r="Y18" s="32">
        <v>482.21978378812213</v>
      </c>
      <c r="Z18" s="31">
        <v>17066.022542207276</v>
      </c>
      <c r="AA18" s="32">
        <v>418.20528986402786</v>
      </c>
      <c r="AB18" s="31"/>
      <c r="AC18" s="32"/>
      <c r="AD18" s="31"/>
      <c r="AE18" s="32"/>
      <c r="AF18" s="31"/>
      <c r="AG18" s="32"/>
      <c r="AH18" s="31"/>
      <c r="AI18" s="32"/>
      <c r="AJ18" s="31"/>
      <c r="AK18" s="32"/>
      <c r="AL18" s="31"/>
      <c r="AM18" s="32"/>
      <c r="AN18" s="31"/>
      <c r="AO18" s="32"/>
      <c r="AP18" s="31"/>
      <c r="AQ18" s="32"/>
      <c r="AR18" s="31"/>
      <c r="AS18" s="32"/>
      <c r="AT18" s="31"/>
      <c r="AU18" s="32"/>
      <c r="AV18" s="31"/>
      <c r="AW18" s="32"/>
    </row>
    <row r="19" spans="2:49" x14ac:dyDescent="0.2">
      <c r="B19" s="39">
        <v>1886.3937399999918</v>
      </c>
      <c r="C19" s="40">
        <v>262.78711299999759</v>
      </c>
      <c r="D19" s="39">
        <v>1850.8535707913909</v>
      </c>
      <c r="E19" s="40">
        <v>259.22433174771362</v>
      </c>
      <c r="F19" s="39">
        <v>1812.0706560397889</v>
      </c>
      <c r="G19" s="40">
        <v>255.15974452301896</v>
      </c>
      <c r="H19" s="39">
        <v>1769.63339602976</v>
      </c>
      <c r="I19" s="40">
        <v>250.52215022488204</v>
      </c>
      <c r="J19" s="39">
        <v>1723.0733266237758</v>
      </c>
      <c r="K19" s="40">
        <v>245.23033640408755</v>
      </c>
      <c r="L19" s="39">
        <v>1671.8604312941013</v>
      </c>
      <c r="M19" s="40">
        <v>239.19483949518732</v>
      </c>
      <c r="N19" s="39">
        <v>1615.4034359543302</v>
      </c>
      <c r="O19" s="40">
        <v>232.321084502747</v>
      </c>
      <c r="P19" s="39">
        <v>1553.0615381195053</v>
      </c>
      <c r="Q19" s="40">
        <v>224.51659981868053</v>
      </c>
      <c r="R19" s="39">
        <v>1484.1723189918353</v>
      </c>
      <c r="S19" s="40">
        <v>215.70882631768836</v>
      </c>
      <c r="T19" s="39">
        <v>1408.1203074493094</v>
      </c>
      <c r="U19" s="40">
        <v>205.88245153959988</v>
      </c>
      <c r="V19" s="39">
        <v>1324.4913062155108</v>
      </c>
      <c r="W19" s="40">
        <v>195.16510096714865</v>
      </c>
      <c r="X19" s="39">
        <v>1233.4439636043701</v>
      </c>
      <c r="Y19" s="40">
        <v>184.05007272867408</v>
      </c>
      <c r="Z19" s="39">
        <v>1136.8155676020442</v>
      </c>
      <c r="AA19" s="40">
        <v>174.1243654068775</v>
      </c>
      <c r="AB19" s="39"/>
      <c r="AC19" s="40"/>
      <c r="AD19" s="39"/>
      <c r="AE19" s="40"/>
      <c r="AF19" s="39"/>
      <c r="AG19" s="40"/>
      <c r="AH19" s="39"/>
      <c r="AI19" s="40"/>
      <c r="AJ19" s="39"/>
      <c r="AK19" s="40"/>
      <c r="AL19" s="39"/>
      <c r="AM19" s="40"/>
      <c r="AN19" s="39"/>
      <c r="AO19" s="40"/>
      <c r="AP19" s="39"/>
      <c r="AQ19" s="40"/>
      <c r="AR19" s="39"/>
      <c r="AS19" s="40"/>
      <c r="AT19" s="39"/>
      <c r="AU19" s="40"/>
      <c r="AV19" s="39"/>
      <c r="AW19" s="40"/>
    </row>
    <row r="20" spans="2:49" x14ac:dyDescent="0.2">
      <c r="B20" s="79">
        <v>26548.356269999993</v>
      </c>
      <c r="C20" s="80">
        <v>1408.5418709999938</v>
      </c>
      <c r="D20" s="79">
        <v>26080.76160488899</v>
      </c>
      <c r="E20" s="80">
        <v>1338.1147774499941</v>
      </c>
      <c r="F20" s="79">
        <v>25565.184171805238</v>
      </c>
      <c r="G20" s="80">
        <v>1267.6876838999945</v>
      </c>
      <c r="H20" s="79">
        <v>24995.652752113077</v>
      </c>
      <c r="I20" s="80">
        <v>1197.2605903499946</v>
      </c>
      <c r="J20" s="79">
        <v>24365.375726867554</v>
      </c>
      <c r="K20" s="80">
        <v>1126.8334967999951</v>
      </c>
      <c r="L20" s="79">
        <v>23666.68381824511</v>
      </c>
      <c r="M20" s="80">
        <v>1056.4064032499953</v>
      </c>
      <c r="N20" s="79">
        <v>22891.051135721835</v>
      </c>
      <c r="O20" s="80">
        <v>985.97930969999561</v>
      </c>
      <c r="P20" s="79">
        <v>22029.292870210375</v>
      </c>
      <c r="Q20" s="80">
        <v>915.55221614999607</v>
      </c>
      <c r="R20" s="79">
        <v>21072.03207083459</v>
      </c>
      <c r="S20" s="80">
        <v>845.12512259999642</v>
      </c>
      <c r="T20" s="79">
        <v>20010.816226324238</v>
      </c>
      <c r="U20" s="80">
        <v>774.69802904999653</v>
      </c>
      <c r="V20" s="79">
        <v>18840.633702564952</v>
      </c>
      <c r="W20" s="80">
        <v>704.27093549999688</v>
      </c>
      <c r="X20" s="79">
        <v>17566.038857906646</v>
      </c>
      <c r="Y20" s="80">
        <v>633.84384194999711</v>
      </c>
      <c r="Z20" s="79">
        <v>16219.638504239023</v>
      </c>
      <c r="AA20" s="80">
        <v>563.41674839999746</v>
      </c>
      <c r="AB20" s="79"/>
      <c r="AC20" s="80"/>
      <c r="AD20" s="79"/>
      <c r="AE20" s="80"/>
      <c r="AF20" s="79"/>
      <c r="AG20" s="80"/>
      <c r="AH20" s="79"/>
      <c r="AI20" s="80"/>
      <c r="AJ20" s="79"/>
      <c r="AK20" s="80"/>
      <c r="AL20" s="79"/>
      <c r="AM20" s="80"/>
      <c r="AN20" s="79"/>
      <c r="AO20" s="80"/>
      <c r="AP20" s="79"/>
      <c r="AQ20" s="80"/>
      <c r="AR20" s="79"/>
      <c r="AS20" s="80"/>
      <c r="AT20" s="79"/>
      <c r="AU20" s="80"/>
      <c r="AV20" s="79"/>
      <c r="AW20" s="80"/>
    </row>
    <row r="21" spans="2:49" x14ac:dyDescent="0.2">
      <c r="B21" s="79">
        <v>24661.962529999968</v>
      </c>
      <c r="C21" s="80">
        <v>1145.7547579999991</v>
      </c>
      <c r="D21" s="79">
        <v>24229.908813017773</v>
      </c>
      <c r="E21" s="80">
        <v>1078.9460954637193</v>
      </c>
      <c r="F21" s="79">
        <v>23753.116471367921</v>
      </c>
      <c r="G21" s="80">
        <v>1012.7475035599608</v>
      </c>
      <c r="H21" s="79">
        <v>23226.025638151546</v>
      </c>
      <c r="I21" s="80">
        <v>947.22380074361206</v>
      </c>
      <c r="J21" s="79">
        <v>22642.312899611876</v>
      </c>
      <c r="K21" s="80">
        <v>882.44693089911902</v>
      </c>
      <c r="L21" s="79">
        <v>21994.838726377056</v>
      </c>
      <c r="M21" s="80">
        <v>818.49374915784767</v>
      </c>
      <c r="N21" s="79">
        <v>21275.668231358872</v>
      </c>
      <c r="O21" s="80">
        <v>755.44265654978597</v>
      </c>
      <c r="P21" s="79">
        <v>20476.257149736666</v>
      </c>
      <c r="Q21" s="80">
        <v>693.36673206968851</v>
      </c>
      <c r="R21" s="79">
        <v>19587.890738431906</v>
      </c>
      <c r="S21" s="80">
        <v>632.31779934178689</v>
      </c>
      <c r="T21" s="79">
        <v>18602.731869427829</v>
      </c>
      <c r="U21" s="80">
        <v>572.29432050669539</v>
      </c>
      <c r="V21" s="79">
        <v>17516.183321907858</v>
      </c>
      <c r="W21" s="80">
        <v>513.16939127656849</v>
      </c>
      <c r="X21" s="79">
        <v>16332.64183434283</v>
      </c>
      <c r="Y21" s="80">
        <v>454.50686314915487</v>
      </c>
      <c r="Z21" s="79">
        <v>15082.880676605146</v>
      </c>
      <c r="AA21" s="80">
        <v>394.97306594506409</v>
      </c>
      <c r="AB21" s="79"/>
      <c r="AC21" s="80"/>
      <c r="AD21" s="79"/>
      <c r="AE21" s="80"/>
      <c r="AF21" s="79"/>
      <c r="AG21" s="80"/>
      <c r="AH21" s="79"/>
      <c r="AI21" s="80"/>
      <c r="AJ21" s="79"/>
      <c r="AK21" s="80"/>
      <c r="AL21" s="79"/>
      <c r="AM21" s="80"/>
      <c r="AN21" s="79"/>
      <c r="AO21" s="80"/>
      <c r="AP21" s="79"/>
      <c r="AQ21" s="80"/>
      <c r="AR21" s="79"/>
      <c r="AS21" s="80"/>
      <c r="AT21" s="79"/>
      <c r="AU21" s="80"/>
      <c r="AV21" s="79"/>
      <c r="AW21" s="80"/>
    </row>
    <row r="22" spans="2:49" x14ac:dyDescent="0.2">
      <c r="B22" s="39">
        <v>6533.604468832059</v>
      </c>
      <c r="C22" s="40">
        <v>379.90788307663331</v>
      </c>
      <c r="D22" s="39">
        <v>6425.5711047337581</v>
      </c>
      <c r="E22" s="40">
        <v>358.38891387676733</v>
      </c>
      <c r="F22" s="39">
        <v>6305.3970019086601</v>
      </c>
      <c r="G22" s="40">
        <v>337.01379608382513</v>
      </c>
      <c r="H22" s="39">
        <v>6171.5597980591219</v>
      </c>
      <c r="I22" s="40">
        <v>315.80368237826684</v>
      </c>
      <c r="J22" s="39">
        <v>6022.3269698310169</v>
      </c>
      <c r="K22" s="40">
        <v>294.78196463005213</v>
      </c>
      <c r="L22" s="39">
        <v>5855.7408397300933</v>
      </c>
      <c r="M22" s="40">
        <v>273.97389173521276</v>
      </c>
      <c r="N22" s="39">
        <v>5669.6230665791827</v>
      </c>
      <c r="O22" s="40">
        <v>253.4066581044226</v>
      </c>
      <c r="P22" s="39">
        <v>5461.6239399620399</v>
      </c>
      <c r="Q22" s="40">
        <v>233.10956093031567</v>
      </c>
      <c r="R22" s="39">
        <v>5229.3391861166674</v>
      </c>
      <c r="S22" s="40">
        <v>213.11342445102596</v>
      </c>
      <c r="T22" s="39">
        <v>4970.5906633803261</v>
      </c>
      <c r="U22" s="40">
        <v>193.45005974690415</v>
      </c>
      <c r="V22" s="39">
        <v>4684.0592039563999</v>
      </c>
      <c r="W22" s="40">
        <v>174.15142564799703</v>
      </c>
      <c r="X22" s="39">
        <v>4370.8233424936916</v>
      </c>
      <c r="Y22" s="40">
        <v>155.24922908739171</v>
      </c>
      <c r="Z22" s="39">
        <v>4038.9966427294848</v>
      </c>
      <c r="AA22" s="40">
        <v>136.77945009452245</v>
      </c>
      <c r="AB22" s="39"/>
      <c r="AC22" s="40"/>
      <c r="AD22" s="39"/>
      <c r="AE22" s="40"/>
      <c r="AF22" s="39"/>
      <c r="AG22" s="40"/>
      <c r="AH22" s="39"/>
      <c r="AI22" s="40"/>
      <c r="AJ22" s="39"/>
      <c r="AK22" s="40"/>
      <c r="AL22" s="39"/>
      <c r="AM22" s="40"/>
      <c r="AN22" s="39"/>
      <c r="AO22" s="40"/>
      <c r="AP22" s="39"/>
      <c r="AQ22" s="40"/>
      <c r="AR22" s="39"/>
      <c r="AS22" s="40"/>
      <c r="AT22" s="39"/>
      <c r="AU22" s="40"/>
      <c r="AV22" s="39"/>
      <c r="AW22" s="40"/>
    </row>
    <row r="23" spans="2:49" x14ac:dyDescent="0.2">
      <c r="B23" s="110">
        <v>3278.5018080150408</v>
      </c>
      <c r="C23" s="8">
        <v>0</v>
      </c>
      <c r="D23" s="110">
        <v>3223.0779352237587</v>
      </c>
      <c r="E23" s="8">
        <v>0</v>
      </c>
      <c r="F23" s="110">
        <v>3161.5879264478062</v>
      </c>
      <c r="G23" s="8">
        <v>0</v>
      </c>
      <c r="H23" s="110">
        <v>3093.2785442917793</v>
      </c>
      <c r="I23" s="8">
        <v>0</v>
      </c>
      <c r="J23" s="110">
        <v>3017.2934341185182</v>
      </c>
      <c r="K23" s="8">
        <v>0</v>
      </c>
      <c r="L23" s="110">
        <v>2932.6656499875717</v>
      </c>
      <c r="M23" s="8">
        <v>0</v>
      </c>
      <c r="N23" s="110">
        <v>2838.320203112758</v>
      </c>
      <c r="O23" s="8">
        <v>0</v>
      </c>
      <c r="P23" s="110">
        <v>2733.098862092017</v>
      </c>
      <c r="Q23" s="8">
        <v>0</v>
      </c>
      <c r="R23" s="110">
        <v>2615.8181492758663</v>
      </c>
      <c r="S23" s="8">
        <v>0</v>
      </c>
      <c r="T23" s="110">
        <v>2485.4085569193767</v>
      </c>
      <c r="U23" s="8">
        <v>0</v>
      </c>
      <c r="V23" s="110">
        <v>2341.2279496107553</v>
      </c>
      <c r="W23" s="8">
        <v>0</v>
      </c>
      <c r="X23" s="110">
        <v>2183.8232099159723</v>
      </c>
      <c r="Y23" s="8">
        <v>0</v>
      </c>
      <c r="Z23" s="110">
        <v>2017.2256542583448</v>
      </c>
      <c r="AA23" s="8">
        <v>0</v>
      </c>
      <c r="AB23" s="110"/>
      <c r="AC23" s="8"/>
      <c r="AD23" s="110"/>
      <c r="AE23" s="8"/>
      <c r="AF23" s="110"/>
      <c r="AG23" s="8"/>
      <c r="AH23" s="110"/>
      <c r="AI23" s="8"/>
      <c r="AJ23" s="110"/>
      <c r="AK23" s="8"/>
      <c r="AL23" s="110"/>
      <c r="AM23" s="8"/>
      <c r="AN23" s="110"/>
      <c r="AO23" s="8"/>
      <c r="AP23" s="110"/>
      <c r="AQ23" s="8"/>
      <c r="AR23" s="110"/>
      <c r="AS23" s="8"/>
      <c r="AT23" s="110"/>
      <c r="AU23" s="8"/>
      <c r="AV23" s="110"/>
      <c r="AW23" s="8"/>
    </row>
    <row r="24" spans="2:49" x14ac:dyDescent="0.2">
      <c r="B24" s="93">
        <v>3196.3846373657216</v>
      </c>
      <c r="C24" s="8">
        <v>0</v>
      </c>
      <c r="D24" s="93">
        <v>3142.3489788744037</v>
      </c>
      <c r="E24" s="8">
        <v>0</v>
      </c>
      <c r="F24" s="93">
        <v>3082.3991186336293</v>
      </c>
      <c r="G24" s="8">
        <v>0</v>
      </c>
      <c r="H24" s="93">
        <v>3015.8006945948259</v>
      </c>
      <c r="I24" s="8">
        <v>0</v>
      </c>
      <c r="J24" s="93">
        <v>2941.7187948275773</v>
      </c>
      <c r="K24" s="8">
        <v>0</v>
      </c>
      <c r="L24" s="93">
        <v>2859.2106915769214</v>
      </c>
      <c r="M24" s="8">
        <v>0</v>
      </c>
      <c r="N24" s="93">
        <v>2767.2283306171098</v>
      </c>
      <c r="O24" s="8">
        <v>0</v>
      </c>
      <c r="P24" s="93">
        <v>2664.6424864344817</v>
      </c>
      <c r="Q24" s="8">
        <v>0</v>
      </c>
      <c r="R24" s="93">
        <v>2550.2993265062014</v>
      </c>
      <c r="S24" s="8">
        <v>0</v>
      </c>
      <c r="T24" s="93">
        <v>2423.1561286966294</v>
      </c>
      <c r="U24" s="8">
        <v>0</v>
      </c>
      <c r="V24" s="93">
        <v>2282.5868270866067</v>
      </c>
      <c r="W24" s="8">
        <v>0</v>
      </c>
      <c r="X24" s="93">
        <v>2129.124635782367</v>
      </c>
      <c r="Y24" s="8">
        <v>0</v>
      </c>
      <c r="Z24" s="93">
        <v>1966.6998727533262</v>
      </c>
      <c r="AA24" s="8">
        <v>0</v>
      </c>
      <c r="AB24" s="93"/>
      <c r="AC24" s="8"/>
      <c r="AD24" s="93"/>
      <c r="AE24" s="8"/>
      <c r="AF24" s="93"/>
      <c r="AG24" s="8"/>
      <c r="AH24" s="93"/>
      <c r="AI24" s="8"/>
      <c r="AJ24" s="93"/>
      <c r="AK24" s="8"/>
      <c r="AL24" s="93"/>
      <c r="AM24" s="8"/>
      <c r="AN24" s="93"/>
      <c r="AO24" s="8"/>
      <c r="AP24" s="93"/>
      <c r="AQ24" s="8"/>
      <c r="AR24" s="93"/>
      <c r="AS24" s="8"/>
      <c r="AT24" s="93"/>
      <c r="AU24" s="8"/>
      <c r="AV24" s="93"/>
      <c r="AW24" s="8"/>
    </row>
    <row r="25" spans="2:49" x14ac:dyDescent="0.2">
      <c r="B25" s="39">
        <v>3195.0476040000012</v>
      </c>
      <c r="C25" s="40">
        <v>91.012690000004397</v>
      </c>
      <c r="D25" s="39">
        <v>3143.300568571171</v>
      </c>
      <c r="E25" s="40">
        <v>83.739108614660807</v>
      </c>
      <c r="F25" s="39">
        <v>3085.4639861595133</v>
      </c>
      <c r="G25" s="40">
        <v>76.755983171454432</v>
      </c>
      <c r="H25" s="39">
        <v>3020.7926049833654</v>
      </c>
      <c r="I25" s="40">
        <v>70.068446270658853</v>
      </c>
      <c r="J25" s="39">
        <v>2948.4395535481253</v>
      </c>
      <c r="K25" s="40">
        <v>63.681371389064878</v>
      </c>
      <c r="L25" s="39">
        <v>2867.4506819635117</v>
      </c>
      <c r="M25" s="40">
        <v>57.598823395574463</v>
      </c>
      <c r="N25" s="39">
        <v>2776.7694909206994</v>
      </c>
      <c r="O25" s="40">
        <v>51.823221678959975</v>
      </c>
      <c r="P25" s="39">
        <v>2675.2655557720318</v>
      </c>
      <c r="Q25" s="40">
        <v>46.353949693998587</v>
      </c>
      <c r="R25" s="39">
        <v>2561.8012373135666</v>
      </c>
      <c r="S25" s="40">
        <v>41.184673667865894</v>
      </c>
      <c r="T25" s="39">
        <v>2435.3876764201959</v>
      </c>
      <c r="U25" s="40">
        <v>36.298272532539031</v>
      </c>
      <c r="V25" s="39">
        <v>2295.5368244079132</v>
      </c>
      <c r="W25" s="40">
        <v>31.656035395799254</v>
      </c>
      <c r="X25" s="39">
        <v>2143.1267920422824</v>
      </c>
      <c r="Y25" s="40">
        <v>27.171219856570843</v>
      </c>
      <c r="Z25" s="39">
        <v>1983.0469242442186</v>
      </c>
      <c r="AA25" s="40">
        <v>22.630176147798743</v>
      </c>
      <c r="AB25" s="39"/>
      <c r="AC25" s="40"/>
      <c r="AD25" s="39"/>
      <c r="AE25" s="40"/>
      <c r="AF25" s="39"/>
      <c r="AG25" s="40"/>
      <c r="AH25" s="39"/>
      <c r="AI25" s="40"/>
      <c r="AJ25" s="39"/>
      <c r="AK25" s="40"/>
      <c r="AL25" s="39"/>
      <c r="AM25" s="40"/>
      <c r="AN25" s="39"/>
      <c r="AO25" s="40"/>
      <c r="AP25" s="39"/>
      <c r="AQ25" s="40"/>
      <c r="AR25" s="39"/>
      <c r="AS25" s="40"/>
      <c r="AT25" s="39"/>
      <c r="AU25" s="40"/>
      <c r="AV25" s="39"/>
      <c r="AW25" s="40"/>
    </row>
    <row r="26" spans="2:49" x14ac:dyDescent="0.2">
      <c r="B26" s="31">
        <v>5036.2953101960647</v>
      </c>
      <c r="C26" s="32">
        <v>74.905331803938267</v>
      </c>
      <c r="D26" s="31">
        <v>4874.3403599892272</v>
      </c>
      <c r="E26" s="32">
        <v>69.529481630371748</v>
      </c>
      <c r="F26" s="31">
        <v>4705.6620150966519</v>
      </c>
      <c r="G26" s="32">
        <v>64.326301040772208</v>
      </c>
      <c r="H26" s="31">
        <v>4529.7080334887314</v>
      </c>
      <c r="I26" s="32">
        <v>59.298354390722984</v>
      </c>
      <c r="J26" s="31">
        <v>4345.8831026066882</v>
      </c>
      <c r="K26" s="32">
        <v>54.448039974642249</v>
      </c>
      <c r="L26" s="31">
        <v>4153.5590278695927</v>
      </c>
      <c r="M26" s="32">
        <v>49.77777272667354</v>
      </c>
      <c r="N26" s="31">
        <v>3952.0994445201632</v>
      </c>
      <c r="O26" s="32">
        <v>45.289529043550658</v>
      </c>
      <c r="P26" s="31">
        <v>3740.9072742077642</v>
      </c>
      <c r="Q26" s="32">
        <v>40.983924023438625</v>
      </c>
      <c r="R26" s="31">
        <v>3519.518620073588</v>
      </c>
      <c r="S26" s="32">
        <v>36.859043513287027</v>
      </c>
      <c r="T26" s="31">
        <v>3287.789097276634</v>
      </c>
      <c r="U26" s="32">
        <v>32.90769695783613</v>
      </c>
      <c r="V26" s="31">
        <v>3046.2936112589241</v>
      </c>
      <c r="W26" s="32">
        <v>29.111621357879329</v>
      </c>
      <c r="X26" s="31">
        <v>2797.3120391486896</v>
      </c>
      <c r="Y26" s="32">
        <v>25.427142175919975</v>
      </c>
      <c r="Z26" s="31">
        <v>2547.8853884654677</v>
      </c>
      <c r="AA26" s="32">
        <v>21.740859692722886</v>
      </c>
      <c r="AB26" s="31"/>
      <c r="AC26" s="32"/>
      <c r="AD26" s="31"/>
      <c r="AE26" s="32"/>
      <c r="AF26" s="31"/>
      <c r="AG26" s="32"/>
      <c r="AH26" s="31"/>
      <c r="AI26" s="32"/>
      <c r="AJ26" s="31"/>
      <c r="AK26" s="32"/>
      <c r="AL26" s="31"/>
      <c r="AM26" s="32"/>
      <c r="AN26" s="31"/>
      <c r="AO26" s="32"/>
      <c r="AP26" s="31"/>
      <c r="AQ26" s="32"/>
      <c r="AR26" s="31"/>
      <c r="AS26" s="32"/>
      <c r="AT26" s="31"/>
      <c r="AU26" s="32"/>
      <c r="AV26" s="31"/>
      <c r="AW26" s="32"/>
    </row>
    <row r="27" spans="2:49" x14ac:dyDescent="0.2">
      <c r="B27" s="33">
        <v>6425.1981590000414</v>
      </c>
      <c r="C27" s="34">
        <v>273.22915400000028</v>
      </c>
      <c r="D27" s="33">
        <v>6438.987645756848</v>
      </c>
      <c r="E27" s="34">
        <v>259.43920573306707</v>
      </c>
      <c r="F27" s="33">
        <v>6452.526517659333</v>
      </c>
      <c r="G27" s="34">
        <v>245.90029601951471</v>
      </c>
      <c r="H27" s="33">
        <v>6465.7875412809644</v>
      </c>
      <c r="I27" s="34">
        <v>232.63777386680869</v>
      </c>
      <c r="J27" s="33">
        <v>6478.7418944477313</v>
      </c>
      <c r="K27" s="34">
        <v>219.68316906044319</v>
      </c>
      <c r="L27" s="33">
        <v>6491.3525652498192</v>
      </c>
      <c r="M27" s="34">
        <v>207.0755995718558</v>
      </c>
      <c r="N27" s="33">
        <v>6503.56420303913</v>
      </c>
      <c r="O27" s="34">
        <v>194.86426836869916</v>
      </c>
      <c r="P27" s="33">
        <v>6515.3147814089843</v>
      </c>
      <c r="Q27" s="34">
        <v>183.11352128002002</v>
      </c>
      <c r="R27" s="33">
        <v>6526.5161014015421</v>
      </c>
      <c r="S27" s="34">
        <v>171.90994632040304</v>
      </c>
      <c r="T27" s="33">
        <v>6537.0444691539305</v>
      </c>
      <c r="U27" s="34">
        <v>161.377635454353</v>
      </c>
      <c r="V27" s="33">
        <v>6546.7190877465291</v>
      </c>
      <c r="W27" s="34">
        <v>151.71233629849257</v>
      </c>
      <c r="X27" s="33">
        <v>6555.1560216526095</v>
      </c>
      <c r="Y27" s="34">
        <v>143.26965605113458</v>
      </c>
      <c r="Z27" s="33">
        <v>6561.5795518184141</v>
      </c>
      <c r="AA27" s="34">
        <v>136.84854728810967</v>
      </c>
      <c r="AB27" s="33"/>
      <c r="AC27" s="34"/>
      <c r="AD27" s="33"/>
      <c r="AE27" s="34"/>
      <c r="AF27" s="33"/>
      <c r="AG27" s="34"/>
      <c r="AH27" s="33"/>
      <c r="AI27" s="34"/>
      <c r="AJ27" s="33"/>
      <c r="AK27" s="34"/>
      <c r="AL27" s="33"/>
      <c r="AM27" s="34"/>
      <c r="AN27" s="33"/>
      <c r="AO27" s="34"/>
      <c r="AP27" s="33"/>
      <c r="AQ27" s="34"/>
      <c r="AR27" s="33"/>
      <c r="AS27" s="34"/>
      <c r="AT27" s="33"/>
      <c r="AU27" s="34"/>
      <c r="AV27" s="33"/>
      <c r="AW27" s="34"/>
    </row>
    <row r="28" spans="2:49" x14ac:dyDescent="0.2">
      <c r="B28" s="39">
        <v>13763.097676000029</v>
      </c>
      <c r="C28" s="40">
        <v>382.36647899999997</v>
      </c>
      <c r="D28" s="39">
        <v>13534.113977030051</v>
      </c>
      <c r="E28" s="40">
        <v>360.61582613141724</v>
      </c>
      <c r="F28" s="39">
        <v>13280.070566585136</v>
      </c>
      <c r="G28" s="40">
        <v>339.10184807863345</v>
      </c>
      <c r="H28" s="39">
        <v>12997.767145528287</v>
      </c>
      <c r="I28" s="40">
        <v>317.83585603780443</v>
      </c>
      <c r="J28" s="39">
        <v>12683.550957152738</v>
      </c>
      <c r="K28" s="40">
        <v>296.82936779849837</v>
      </c>
      <c r="L28" s="39">
        <v>12333.283158507893</v>
      </c>
      <c r="M28" s="40">
        <v>276.0933245724525</v>
      </c>
      <c r="N28" s="39">
        <v>11942.346554813277</v>
      </c>
      <c r="O28" s="40">
        <v>255.63583574487654</v>
      </c>
      <c r="P28" s="39">
        <v>11505.748390131203</v>
      </c>
      <c r="Q28" s="40">
        <v>235.45806325781317</v>
      </c>
      <c r="R28" s="39">
        <v>11018.371802799084</v>
      </c>
      <c r="S28" s="40">
        <v>215.54615457292124</v>
      </c>
      <c r="T28" s="39">
        <v>10475.583856402271</v>
      </c>
      <c r="U28" s="40">
        <v>195.85462074264581</v>
      </c>
      <c r="V28" s="39">
        <v>9874.6167680475992</v>
      </c>
      <c r="W28" s="40">
        <v>176.26941753981814</v>
      </c>
      <c r="X28" s="39">
        <v>9217.9477316239972</v>
      </c>
      <c r="Y28" s="40">
        <v>156.51391711338294</v>
      </c>
      <c r="Z28" s="39">
        <v>8523.5321222763796</v>
      </c>
      <c r="AA28" s="40">
        <v>135.85589778271014</v>
      </c>
      <c r="AB28" s="39"/>
      <c r="AC28" s="40"/>
      <c r="AD28" s="39"/>
      <c r="AE28" s="40"/>
      <c r="AF28" s="39"/>
      <c r="AG28" s="40"/>
      <c r="AH28" s="39"/>
      <c r="AI28" s="40"/>
      <c r="AJ28" s="39"/>
      <c r="AK28" s="40"/>
      <c r="AL28" s="39"/>
      <c r="AM28" s="40"/>
      <c r="AN28" s="39"/>
      <c r="AO28" s="40"/>
      <c r="AP28" s="39"/>
      <c r="AQ28" s="40"/>
      <c r="AR28" s="39"/>
      <c r="AS28" s="40"/>
      <c r="AT28" s="39"/>
      <c r="AU28" s="40"/>
      <c r="AV28" s="39"/>
      <c r="AW28" s="40"/>
    </row>
    <row r="29" spans="2:49" x14ac:dyDescent="0.2">
      <c r="B29" s="33">
        <v>14362.768558000025</v>
      </c>
      <c r="C29" s="34">
        <v>817.26650999999993</v>
      </c>
      <c r="D29" s="33">
        <v>14113.056323713616</v>
      </c>
      <c r="E29" s="34">
        <v>766.83434422608605</v>
      </c>
      <c r="F29" s="33">
        <v>13837.156422086651</v>
      </c>
      <c r="G29" s="34">
        <v>717.18291664814626</v>
      </c>
      <c r="H29" s="33">
        <v>13531.819593519278</v>
      </c>
      <c r="I29" s="34">
        <v>668.35761080852285</v>
      </c>
      <c r="J29" s="33">
        <v>13193.350675429772</v>
      </c>
      <c r="K29" s="34">
        <v>620.40697314702095</v>
      </c>
      <c r="L29" s="33">
        <v>12817.578510534591</v>
      </c>
      <c r="M29" s="34">
        <v>573.3819696101724</v>
      </c>
      <c r="N29" s="33">
        <v>12399.869055619536</v>
      </c>
      <c r="O29" s="34">
        <v>527.33250509248762</v>
      </c>
      <c r="P29" s="33">
        <v>11935.235636269666</v>
      </c>
      <c r="Q29" s="34">
        <v>482.30067157727035</v>
      </c>
      <c r="R29" s="33">
        <v>11418.599018614685</v>
      </c>
      <c r="S29" s="34">
        <v>438.3079861355356</v>
      </c>
      <c r="T29" s="33">
        <v>10845.406924695439</v>
      </c>
      <c r="U29" s="34">
        <v>395.32870767312909</v>
      </c>
      <c r="V29" s="33">
        <v>10213.030567794061</v>
      </c>
      <c r="W29" s="34">
        <v>353.23113471845562</v>
      </c>
      <c r="X29" s="33">
        <v>9524.1699804035306</v>
      </c>
      <c r="Y29" s="34">
        <v>311.62906610478814</v>
      </c>
      <c r="Z29" s="33">
        <v>8797.1548892301016</v>
      </c>
      <c r="AA29" s="34">
        <v>269.41500290554291</v>
      </c>
      <c r="AB29" s="33"/>
      <c r="AC29" s="34"/>
      <c r="AD29" s="33"/>
      <c r="AE29" s="34"/>
      <c r="AF29" s="33"/>
      <c r="AG29" s="34"/>
      <c r="AH29" s="33"/>
      <c r="AI29" s="34"/>
      <c r="AJ29" s="33"/>
      <c r="AK29" s="34"/>
      <c r="AL29" s="33"/>
      <c r="AM29" s="34"/>
      <c r="AN29" s="33"/>
      <c r="AO29" s="34"/>
      <c r="AP29" s="33"/>
      <c r="AQ29" s="34"/>
      <c r="AR29" s="33"/>
      <c r="AS29" s="34"/>
      <c r="AT29" s="33"/>
      <c r="AU29" s="34"/>
      <c r="AV29" s="33"/>
      <c r="AW29" s="34"/>
    </row>
    <row r="30" spans="2:49" x14ac:dyDescent="0.2">
      <c r="B30" s="112">
        <v>2924829.9599999995</v>
      </c>
      <c r="D30" s="112">
        <v>2873588.398772032</v>
      </c>
      <c r="F30" s="112">
        <v>2817060.7900391463</v>
      </c>
      <c r="H30" s="112">
        <v>2754585.9084815066</v>
      </c>
      <c r="J30" s="112">
        <v>2685410.9159161309</v>
      </c>
      <c r="L30" s="112">
        <v>2608685.2652051486</v>
      </c>
      <c r="N30" s="112">
        <v>2523462.4552131034</v>
      </c>
      <c r="P30" s="112">
        <v>2428718.745734748</v>
      </c>
      <c r="R30" s="112">
        <v>2323401.9781413605</v>
      </c>
      <c r="T30" s="112">
        <v>2206546.8208989273</v>
      </c>
      <c r="V30" s="112">
        <v>2077534.855523291</v>
      </c>
      <c r="X30" s="112">
        <v>1936725.7113536024</v>
      </c>
      <c r="Z30" s="112">
        <v>1787338.2164887218</v>
      </c>
      <c r="AB30" s="112"/>
      <c r="AD30" s="112"/>
      <c r="AF30" s="112"/>
      <c r="AH30" s="112"/>
      <c r="AJ30" s="112"/>
      <c r="AL30" s="112"/>
      <c r="AN30" s="112"/>
      <c r="AP30" s="112"/>
      <c r="AR30" s="112"/>
      <c r="AT30" s="112"/>
      <c r="AV30" s="112"/>
    </row>
    <row r="31" spans="2:49" x14ac:dyDescent="0.2">
      <c r="B31" s="77">
        <v>0.999999999999998</v>
      </c>
      <c r="D31" s="77">
        <v>0.981245836919176</v>
      </c>
      <c r="F31" s="77">
        <v>0.96068509562756665</v>
      </c>
      <c r="H31" s="77">
        <v>0.93810431788065163</v>
      </c>
      <c r="J31" s="77">
        <v>0.9132617949501457</v>
      </c>
      <c r="L31" s="77">
        <v>0.88588574292466138</v>
      </c>
      <c r="N31" s="77">
        <v>0.85567537356793655</v>
      </c>
      <c r="P31" s="77">
        <v>0.82230837797779677</v>
      </c>
      <c r="R31" s="77">
        <v>0.78545781314432739</v>
      </c>
      <c r="T31" s="77">
        <v>0.74483206969972804</v>
      </c>
      <c r="V31" s="77">
        <v>0.70026424964188705</v>
      </c>
      <c r="X31" s="77">
        <v>0.65192888505381763</v>
      </c>
      <c r="Z31" s="77">
        <v>0.60099529144620667</v>
      </c>
      <c r="AB31" s="77"/>
      <c r="AD31" s="77"/>
      <c r="AF31" s="77"/>
      <c r="AH31" s="77"/>
      <c r="AJ31" s="77"/>
      <c r="AL31" s="77"/>
      <c r="AN31" s="77"/>
      <c r="AP31" s="77"/>
      <c r="AR31" s="77"/>
      <c r="AT31" s="77"/>
      <c r="AV31" s="77"/>
    </row>
    <row r="32" spans="2:49" x14ac:dyDescent="0.2">
      <c r="B32" s="83">
        <v>14734457.915000005</v>
      </c>
      <c r="D32" s="83">
        <v>14476316.955838775</v>
      </c>
      <c r="F32" s="83">
        <v>14191547.193876693</v>
      </c>
      <c r="H32" s="83">
        <v>13876815.72197037</v>
      </c>
      <c r="J32" s="83">
        <v>13528331.95983435</v>
      </c>
      <c r="L32" s="83">
        <v>13141811.63496371</v>
      </c>
      <c r="N32" s="83">
        <v>12712483.502205873</v>
      </c>
      <c r="P32" s="83">
        <v>12235191.626734281</v>
      </c>
      <c r="R32" s="83">
        <v>11704635.227055801</v>
      </c>
      <c r="T32" s="83">
        <v>11115951.641530016</v>
      </c>
      <c r="V32" s="83">
        <v>10466027.786775429</v>
      </c>
      <c r="X32" s="83">
        <v>9756670.7670610268</v>
      </c>
      <c r="Z32" s="83">
        <v>9004099.466500489</v>
      </c>
      <c r="AB32" s="83"/>
      <c r="AD32" s="83"/>
      <c r="AF32" s="83"/>
      <c r="AH32" s="83"/>
      <c r="AJ32" s="83"/>
      <c r="AL32" s="83"/>
      <c r="AN32" s="83"/>
      <c r="AP32" s="83"/>
      <c r="AR32" s="83"/>
      <c r="AT32" s="83"/>
      <c r="AV32" s="83"/>
    </row>
    <row r="33" spans="1:49 16319:16384" x14ac:dyDescent="0.2">
      <c r="B33" s="111">
        <v>7019665.6909999885</v>
      </c>
      <c r="D33" s="111">
        <v>6896684.4160885252</v>
      </c>
      <c r="F33" s="111">
        <v>6761016.7954697683</v>
      </c>
      <c r="H33" s="111">
        <v>6611075.1430560611</v>
      </c>
      <c r="J33" s="111">
        <v>6445053.4376397999</v>
      </c>
      <c r="L33" s="111">
        <v>6260910.6430351911</v>
      </c>
      <c r="N33" s="111">
        <v>6056373.765469769</v>
      </c>
      <c r="P33" s="111">
        <v>5828986.4088432379</v>
      </c>
      <c r="R33" s="111">
        <v>5576223.2153461538</v>
      </c>
      <c r="T33" s="111">
        <v>5295767.563426164</v>
      </c>
      <c r="V33" s="111">
        <v>4986136.3474717429</v>
      </c>
      <c r="X33" s="111">
        <v>4648190.4734880188</v>
      </c>
      <c r="Z33" s="111">
        <v>4289656.8366288785</v>
      </c>
      <c r="AB33" s="111"/>
      <c r="AD33" s="111"/>
      <c r="AF33" s="111"/>
      <c r="AH33" s="111"/>
      <c r="AJ33" s="111"/>
      <c r="AL33" s="111"/>
      <c r="AN33" s="111"/>
      <c r="AP33" s="111"/>
      <c r="AR33" s="111"/>
      <c r="AT33" s="111"/>
      <c r="AV33" s="111"/>
    </row>
    <row r="34" spans="1:49 16319:16384" x14ac:dyDescent="0.2">
      <c r="B34" s="111">
        <v>1136879.4410000162</v>
      </c>
      <c r="D34" s="111">
        <v>1116961.7746467269</v>
      </c>
      <c r="F34" s="111">
        <v>1094989.56876816</v>
      </c>
      <c r="H34" s="111">
        <v>1070705.5049993824</v>
      </c>
      <c r="J34" s="111">
        <v>1043817.2619093271</v>
      </c>
      <c r="L34" s="111">
        <v>1013994.2345697975</v>
      </c>
      <c r="N34" s="111">
        <v>980868.19214258192</v>
      </c>
      <c r="P34" s="111">
        <v>944041.36752784462</v>
      </c>
      <c r="R34" s="111">
        <v>903104.76567190909</v>
      </c>
      <c r="T34" s="111">
        <v>857683.18996382575</v>
      </c>
      <c r="V34" s="111">
        <v>807536.45262105321</v>
      </c>
      <c r="X34" s="111">
        <v>752803.97556580906</v>
      </c>
      <c r="Z34" s="111">
        <v>694737.16738309572</v>
      </c>
      <c r="AB34" s="111"/>
      <c r="AD34" s="111"/>
      <c r="AF34" s="111"/>
      <c r="AH34" s="111"/>
      <c r="AJ34" s="111"/>
      <c r="AL34" s="111"/>
      <c r="AN34" s="111"/>
      <c r="AP34" s="111"/>
      <c r="AR34" s="111"/>
      <c r="AT34" s="111"/>
      <c r="AV34" s="111"/>
    </row>
    <row r="35" spans="1:49 16319:16384" x14ac:dyDescent="0.2">
      <c r="B35" s="192">
        <v>1</v>
      </c>
      <c r="D35" s="192">
        <v>1.0012586465147331</v>
      </c>
      <c r="F35" s="192">
        <v>1.0025730839805029</v>
      </c>
      <c r="H35" s="192">
        <v>1.0039446750916434</v>
      </c>
      <c r="J35" s="192">
        <v>1.0053739246771214</v>
      </c>
      <c r="L35" s="192">
        <v>1.0068599421777131</v>
      </c>
      <c r="N35" s="192">
        <v>1.00839959795697</v>
      </c>
      <c r="P35" s="192">
        <v>1.0099863415281645</v>
      </c>
      <c r="R35" s="192">
        <v>1.0116082655575869</v>
      </c>
      <c r="T35" s="192">
        <v>1.0132449681372888</v>
      </c>
      <c r="V35" s="192">
        <v>1.0148616463964695</v>
      </c>
      <c r="X35" s="192">
        <v>1.0163951193511351</v>
      </c>
      <c r="Z35" s="192">
        <v>1.017709409342046</v>
      </c>
      <c r="AB35" s="192"/>
      <c r="AD35" s="192"/>
      <c r="AF35" s="192"/>
      <c r="AH35" s="192"/>
      <c r="AJ35" s="192"/>
      <c r="AL35" s="192"/>
      <c r="AN35" s="192"/>
      <c r="AP35" s="192"/>
      <c r="AR35" s="192"/>
      <c r="AT35" s="192"/>
      <c r="AV35" s="192"/>
    </row>
    <row r="36" spans="1:49 16319:16384" x14ac:dyDescent="0.2">
      <c r="B36" s="35">
        <v>0.47195767671988198</v>
      </c>
      <c r="C36" s="36">
        <v>0.31738834428178964</v>
      </c>
      <c r="D36" s="35">
        <v>0.47196740534571896</v>
      </c>
      <c r="E36" s="36">
        <v>0.3186563223411229</v>
      </c>
      <c r="F36" s="35">
        <v>0.47197687587495568</v>
      </c>
      <c r="G36" s="36">
        <v>0.31995841591169022</v>
      </c>
      <c r="H36" s="35">
        <v>0.4719860676106678</v>
      </c>
      <c r="I36" s="36">
        <v>0.32129356839634465</v>
      </c>
      <c r="J36" s="35">
        <v>0.47199495693217525</v>
      </c>
      <c r="K36" s="36">
        <v>0.32265980673030714</v>
      </c>
      <c r="L36" s="35">
        <v>0.47200352141668006</v>
      </c>
      <c r="M36" s="36">
        <v>0.32405432854627869</v>
      </c>
      <c r="N36" s="35">
        <v>0.47201174597089968</v>
      </c>
      <c r="O36" s="36">
        <v>0.32547379717841013</v>
      </c>
      <c r="P36" s="35">
        <v>0.47201963461066626</v>
      </c>
      <c r="Q36" s="36">
        <v>0.32691533760363484</v>
      </c>
      <c r="R36" s="35">
        <v>0.47202724244755384</v>
      </c>
      <c r="S36" s="36">
        <v>0.32837967828133807</v>
      </c>
      <c r="T36" s="35">
        <v>0.47203474675601365</v>
      </c>
      <c r="U36" s="36">
        <v>0.32987914716104988</v>
      </c>
      <c r="V36" s="35">
        <v>0.47204262637352662</v>
      </c>
      <c r="W36" s="36">
        <v>0.33145905736086728</v>
      </c>
      <c r="X36" s="35">
        <v>0.47205217157881529</v>
      </c>
      <c r="Y36" s="36">
        <v>0.33326007246088812</v>
      </c>
      <c r="Z36" s="35">
        <v>0.47206723981823634</v>
      </c>
      <c r="AA36" s="36">
        <v>0.33573507226625077</v>
      </c>
      <c r="AB36" s="35"/>
      <c r="AC36" s="36"/>
      <c r="AD36" s="35"/>
      <c r="AE36" s="36"/>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2.1035297135685371E-2</v>
      </c>
      <c r="E37" s="38">
        <v>0.34740137814585803</v>
      </c>
      <c r="F37" s="37">
        <v>2.0665269086439821E-2</v>
      </c>
      <c r="G37" s="38">
        <v>0.34514211212852547</v>
      </c>
      <c r="H37" s="37">
        <v>2.0293849912014023E-2</v>
      </c>
      <c r="I37" s="38">
        <v>0.34285014495371235</v>
      </c>
      <c r="J37" s="37">
        <v>1.9921976223450807E-2</v>
      </c>
      <c r="K37" s="38">
        <v>0.34053033906492702</v>
      </c>
      <c r="L37" s="37">
        <v>1.9550840518468067E-2</v>
      </c>
      <c r="M37" s="38">
        <v>0.33818960729502778</v>
      </c>
      <c r="N37" s="37">
        <v>1.9181933061886244E-2</v>
      </c>
      <c r="O37" s="38">
        <v>0.33583763949000167</v>
      </c>
      <c r="P37" s="37">
        <v>1.8817054876262427E-2</v>
      </c>
      <c r="Q37" s="38">
        <v>0.33348781847419412</v>
      </c>
      <c r="R37" s="37">
        <v>1.8458249037289515E-2</v>
      </c>
      <c r="S37" s="38">
        <v>0.33115865495022434</v>
      </c>
      <c r="T37" s="37">
        <v>1.8107519530052435E-2</v>
      </c>
      <c r="U37" s="38">
        <v>0.32887599462639705</v>
      </c>
      <c r="V37" s="37">
        <v>1.7765964655055089E-2</v>
      </c>
      <c r="W37" s="38">
        <v>0.32667718128491502</v>
      </c>
      <c r="X37" s="37">
        <v>1.743117683029332E-2</v>
      </c>
      <c r="Y37" s="38">
        <v>0.32462143306339303</v>
      </c>
      <c r="Z37" s="37">
        <v>1.7088347972794106E-2</v>
      </c>
      <c r="AA37" s="38">
        <v>0.32282510868482733</v>
      </c>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49 16319:16384" x14ac:dyDescent="0.2">
      <c r="B38" s="35">
        <v>0.18079094942242827</v>
      </c>
      <c r="C38" s="36">
        <v>6.0565413429233668E-2</v>
      </c>
      <c r="D38" s="35">
        <v>0.17806973474824045</v>
      </c>
      <c r="E38" s="36">
        <v>5.9800224594792811E-2</v>
      </c>
      <c r="F38" s="35">
        <v>0.1753319696743669</v>
      </c>
      <c r="G38" s="36">
        <v>5.9039693934361176E-2</v>
      </c>
      <c r="H38" s="35">
        <v>0.17258115749380967</v>
      </c>
      <c r="I38" s="36">
        <v>5.8285568391860991E-2</v>
      </c>
      <c r="J38" s="35">
        <v>0.16982229078980735</v>
      </c>
      <c r="K38" s="36">
        <v>5.7539807452153924E-2</v>
      </c>
      <c r="L38" s="35">
        <v>0.16706244511989207</v>
      </c>
      <c r="M38" s="36">
        <v>5.6804904083433222E-2</v>
      </c>
      <c r="N38" s="35">
        <v>0.16431157602664831</v>
      </c>
      <c r="O38" s="36">
        <v>5.6083853236840682E-2</v>
      </c>
      <c r="P38" s="35">
        <v>0.16158334451622341</v>
      </c>
      <c r="Q38" s="36">
        <v>5.5379772525051517E-2</v>
      </c>
      <c r="R38" s="35">
        <v>0.15889659234691073</v>
      </c>
      <c r="S38" s="36">
        <v>5.4695514755014767E-2</v>
      </c>
      <c r="T38" s="35">
        <v>0.15627727081053089</v>
      </c>
      <c r="U38" s="36">
        <v>5.4032061485014951E-2</v>
      </c>
      <c r="V38" s="35">
        <v>0.15376167666695362</v>
      </c>
      <c r="W38" s="36">
        <v>5.3384345585821856E-2</v>
      </c>
      <c r="X38" s="35">
        <v>0.15140373520063907</v>
      </c>
      <c r="Y38" s="36">
        <v>5.272936331266774E-2</v>
      </c>
      <c r="Z38" s="35">
        <v>0.14929579415262689</v>
      </c>
      <c r="AA38" s="36">
        <v>5.198609443651836E-2</v>
      </c>
      <c r="AB38" s="35"/>
      <c r="AC38" s="36"/>
      <c r="AD38" s="35"/>
      <c r="AE38" s="36"/>
      <c r="AF38" s="35"/>
      <c r="AG38" s="36"/>
      <c r="AH38" s="35"/>
      <c r="AI38" s="36"/>
      <c r="AJ38" s="35"/>
      <c r="AK38" s="36"/>
      <c r="AL38" s="35"/>
      <c r="AM38" s="36"/>
      <c r="AN38" s="35"/>
      <c r="AO38" s="36"/>
      <c r="AP38" s="35"/>
      <c r="AQ38" s="36"/>
      <c r="AR38" s="35"/>
      <c r="AS38" s="36"/>
      <c r="AT38" s="35"/>
      <c r="AU38" s="36"/>
      <c r="AV38" s="35"/>
      <c r="AW38" s="36"/>
    </row>
    <row r="39" spans="1:49 16319:16384" x14ac:dyDescent="0.2">
      <c r="B39" s="37">
        <v>0.23064923795098771</v>
      </c>
      <c r="C39" s="38">
        <v>0.22092201281804777</v>
      </c>
      <c r="D39" s="37">
        <v>0.23522953619300668</v>
      </c>
      <c r="E39" s="38">
        <v>0.223135890096368</v>
      </c>
      <c r="F39" s="37">
        <v>0.24041977092442268</v>
      </c>
      <c r="G39" s="38">
        <v>0.22569117111458084</v>
      </c>
      <c r="H39" s="37">
        <v>0.24634547960564451</v>
      </c>
      <c r="I39" s="38">
        <v>0.22866443796904914</v>
      </c>
      <c r="J39" s="37">
        <v>0.25316713864003432</v>
      </c>
      <c r="K39" s="38">
        <v>0.23215761768658474</v>
      </c>
      <c r="L39" s="37">
        <v>0.26109204766548144</v>
      </c>
      <c r="M39" s="38">
        <v>0.23630847519610917</v>
      </c>
      <c r="N39" s="37">
        <v>0.27039068702422181</v>
      </c>
      <c r="O39" s="38">
        <v>0.24130829485520425</v>
      </c>
      <c r="P39" s="37">
        <v>0.281420060907284</v>
      </c>
      <c r="Q39" s="38">
        <v>0.24743324111544795</v>
      </c>
      <c r="R39" s="37">
        <v>0.2946542639368866</v>
      </c>
      <c r="S39" s="38">
        <v>0.25509894205778549</v>
      </c>
      <c r="T39" s="37">
        <v>0.31072293221382846</v>
      </c>
      <c r="U39" s="38">
        <v>0.26497042112512792</v>
      </c>
      <c r="V39" s="37">
        <v>0.33044566022099536</v>
      </c>
      <c r="W39" s="38">
        <v>0.2782072386496971</v>
      </c>
      <c r="X39" s="37">
        <v>0.35479599437294379</v>
      </c>
      <c r="Y39" s="38">
        <v>0.29710447573441828</v>
      </c>
      <c r="Z39" s="37">
        <v>0.38448206285855263</v>
      </c>
      <c r="AA39" s="38">
        <v>0.32722815948263967</v>
      </c>
      <c r="AB39" s="37"/>
      <c r="AC39" s="38"/>
      <c r="AD39" s="37"/>
      <c r="AE39" s="38"/>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9.1741039642638064E-2</v>
      </c>
      <c r="E42" s="126"/>
      <c r="F42" s="167">
        <f>6.1%+(1-6.1%)*(1-SUM(F26:G26)/SUM($B$26:$C$26))</f>
        <v>0.12368554033120313</v>
      </c>
      <c r="G42" s="126"/>
      <c r="H42" s="167">
        <f>6.1%+(1-6.1%)*(1-SUM(H26:I26)/SUM($B$26:$C$26))</f>
        <v>0.15693448564510393</v>
      </c>
      <c r="I42" s="126"/>
      <c r="J42" s="167">
        <f>6.1%+(1-6.1%)*(1-SUM(J26:K26)/SUM($B$26:$C$26))</f>
        <v>0.19159680233819568</v>
      </c>
      <c r="K42" s="126"/>
      <c r="L42" s="167">
        <f>6.1%+(1-6.1%)*(1-SUM(L26:M26)/SUM($B$26:$C$26))</f>
        <v>0.22778745500089259</v>
      </c>
      <c r="M42" s="126"/>
      <c r="N42" s="167">
        <f>6.1%+(1-6.1%)*(1-SUM(N26:O26)/SUM($B$26:$C$26))</f>
        <v>0.2656229897663398</v>
      </c>
      <c r="O42" s="126"/>
      <c r="P42" s="167">
        <f>6.1%+(1-6.1%)*(1-SUM(P26:Q26)/SUM($B$26:$C$26))</f>
        <v>0.30521298538780839</v>
      </c>
      <c r="Q42" s="126"/>
      <c r="R42" s="167">
        <f>6.1%+(1-6.1%)*(1-SUM(R26:S26)/SUM($B$26:$C$26))</f>
        <v>0.34664301795020924</v>
      </c>
      <c r="S42" s="126"/>
      <c r="T42" s="167">
        <f>6.1%+(1-6.1%)*(1-SUM(T26:U26)/SUM($B$26:$C$26))</f>
        <v>0.38994093400214341</v>
      </c>
      <c r="U42" s="126"/>
      <c r="V42" s="167">
        <f>6.1%+(1-6.1%)*(1-SUM(V26:W26)/SUM($B$26:$C$26))</f>
        <v>0.4350044704374616</v>
      </c>
      <c r="W42" s="126"/>
      <c r="X42" s="167">
        <f>6.1%+(1-6.1%)*(1-SUM(X26:Y26)/SUM($B$26:$C$26))</f>
        <v>0.48142280514610131</v>
      </c>
      <c r="Y42" s="152"/>
      <c r="Z42" s="167">
        <f>6.1%+(1-6.1%)*(1-SUM(Z26:AA26)/SUM($B$26:$C$26))</f>
        <v>0.52792323838878175</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0.57336821404259863</v>
      </c>
      <c r="E43" s="126"/>
      <c r="F43" s="152">
        <f t="array" ref="F43">SUM(F15:G15*F27:G27)/SUM(F15:G15*F27:G27,F13:G13*F26:G26)</f>
        <v>0.57956235938619738</v>
      </c>
      <c r="G43" s="126"/>
      <c r="H43" s="152">
        <f t="array" ref="H43">SUM(H15:I15*H27:I27)/SUM(H15:I15*H27:I27,H13:I13*H26:I26)</f>
        <v>0.58577463778990924</v>
      </c>
      <c r="I43" s="126"/>
      <c r="J43" s="152">
        <f t="array" ref="J43">SUM(J15:K15*J27:K27)/SUM(J15:K15*J27:K27,J13:K13*J26:K26)</f>
        <v>0.59199376900357537</v>
      </c>
      <c r="K43" s="126"/>
      <c r="L43" s="152">
        <f t="array" ref="L43">SUM(L15:M15*L27:M27)/SUM(L15:M15*L27:M27,L13:M13*L26:M26)</f>
        <v>0.59820371234875247</v>
      </c>
      <c r="M43" s="126"/>
      <c r="N43" s="152">
        <f t="array" ref="N43">SUM(N15:O15*N27:O27)/SUM(N15:O15*N27:O27,N13:O13*N26:O26)</f>
        <v>0.60438152652237842</v>
      </c>
      <c r="O43" s="126"/>
      <c r="P43" s="152">
        <f t="array" ref="P43">SUM(P15:Q15*P27:Q27)/SUM(P15:Q15*P27:Q27,P13:Q13*P26:Q26)</f>
        <v>0.61049623863722247</v>
      </c>
      <c r="Q43" s="126"/>
      <c r="R43" s="152">
        <f t="array" ref="R43">SUM(R15:S15*R27:S27)/SUM(R15:S15*R27:S27,R13:S13*R26:S26)</f>
        <v>0.61650441954595725</v>
      </c>
      <c r="S43" s="126"/>
      <c r="T43" s="152">
        <f t="array" ref="T43">SUM(T15:U15*T27:U27)/SUM(T15:U15*T27:U27,T13:U13*T26:U26)</f>
        <v>0.62234502611434261</v>
      </c>
      <c r="U43" s="126"/>
      <c r="V43" s="152">
        <f t="array" ref="V43">SUM(V15:W15*V27:W27)/SUM(V15:W15*V27:W27,V13:W13*V26:W26)</f>
        <v>0.62792964332527457</v>
      </c>
      <c r="W43" s="126"/>
      <c r="X43" s="152">
        <f t="array" ref="X43">SUM(X15:Y15*X27:Y27)/SUM(X15:Y15*X27:Y27,X13:Y13*X26:Y26)</f>
        <v>0.6331152250500649</v>
      </c>
      <c r="Y43" s="126"/>
      <c r="Z43" s="152">
        <f t="array" ref="Z43">SUM(Z15:AA15*Z27:AA27)/SUM(Z15:AA15*Z27:AA27,Z13:AA13*Z26:AA26)</f>
        <v>0.6376307152276719</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0.29754225808616214</v>
      </c>
      <c r="F44" s="183">
        <f>(SUM(F11:G11*F24:G24)+F34)/F32</f>
        <v>0.29754225953292296</v>
      </c>
      <c r="H44" s="183">
        <f>(SUM(H11:I11*H24:I24)+H34)/H32</f>
        <v>0.29754225582068183</v>
      </c>
      <c r="J44" s="183">
        <f>(SUM(J11:K11*J24:K24)+J34)/J32</f>
        <v>0.29754225728178207</v>
      </c>
      <c r="L44" s="183">
        <f>(SUM(L11:M11*L24:M24)+L34)/L32</f>
        <v>0.29754226124663002</v>
      </c>
      <c r="N44" s="183">
        <f>(SUM(N11:O11*N24:O24)+N34)/N32</f>
        <v>0.29754226149581703</v>
      </c>
      <c r="P44" s="183">
        <f>(SUM(P11:Q11*P24:Q24)+P34)/P32</f>
        <v>0.29754226166713643</v>
      </c>
      <c r="R44" s="183">
        <f>(SUM(R11:S11*R24:S24)+R34)/R32</f>
        <v>0.29754226212640733</v>
      </c>
      <c r="T44" s="183">
        <f>(SUM(T11:U11*T24:U24)+T34)/T32</f>
        <v>0.29754226233383102</v>
      </c>
      <c r="V44" s="183">
        <f>(SUM(V11:W11*V24:W24)+V34)/V32</f>
        <v>0.29754226194317607</v>
      </c>
      <c r="X44" s="183">
        <f>(SUM(X11:Y11*X24:Y24)+X34)/X32</f>
        <v>0.29754226280699397</v>
      </c>
      <c r="Z44" s="183">
        <f>(SUM(Z11:AA11*Z24:AA24)+Z34)/Z32</f>
        <v>0.29754226171269349</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0.22038438857735596</v>
      </c>
      <c r="F45" s="183">
        <f>SUM(F11:G11*F24:G24)/F32</f>
        <v>0.22038438845593275</v>
      </c>
      <c r="H45" s="183">
        <f>SUM(H11:I11*H24:I24)/H32</f>
        <v>0.2203843885943991</v>
      </c>
      <c r="J45" s="183">
        <f>SUM(J11:K11*J24:K24)/J32</f>
        <v>0.22038438852099007</v>
      </c>
      <c r="L45" s="183">
        <f>SUM(L11:M11*L24:M24)/L32</f>
        <v>0.22038438813634495</v>
      </c>
      <c r="N45" s="183">
        <f>SUM(N11:O11*N24:O24)/N32</f>
        <v>0.220384388136738</v>
      </c>
      <c r="P45" s="183">
        <f>SUM(P11:Q11*P24:Q24)/P32</f>
        <v>0.22038438818805792</v>
      </c>
      <c r="R45" s="183">
        <f>SUM(R11:S11*R24:S24)/R32</f>
        <v>0.22038438850174788</v>
      </c>
      <c r="T45" s="183">
        <f>SUM(T11:U11*T24:U24)/T32</f>
        <v>0.22038438889009834</v>
      </c>
      <c r="V45" s="183">
        <f>SUM(V11:W11*V24:W24)/V32</f>
        <v>0.22038438800351068</v>
      </c>
      <c r="X45" s="183">
        <f>SUM(X11:Y11*X24:Y24)/X32</f>
        <v>0.22038438861620849</v>
      </c>
      <c r="Z45" s="183">
        <f>SUM(Z11:AA11*Z24:AA24)/Z32</f>
        <v>0.22038438823874462</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7.7157869508806209E-2</v>
      </c>
      <c r="F46" s="183">
        <f>F34/F32</f>
        <v>7.7157871076990195E-2</v>
      </c>
      <c r="H46" s="183">
        <f>H34/H32</f>
        <v>7.715786722628272E-2</v>
      </c>
      <c r="J46" s="183">
        <f>J34/J32</f>
        <v>7.7157868760792017E-2</v>
      </c>
      <c r="L46" s="183">
        <f>L34/L32</f>
        <v>7.7157873110285047E-2</v>
      </c>
      <c r="N46" s="183">
        <f>N34/N32</f>
        <v>7.7157873359079004E-2</v>
      </c>
      <c r="P46" s="183">
        <f>P34/P32</f>
        <v>7.7157873479078529E-2</v>
      </c>
      <c r="R46" s="183">
        <f>R34/R32</f>
        <v>7.7157873624659493E-2</v>
      </c>
      <c r="T46" s="183">
        <f>T34/T32</f>
        <v>7.7157873443732691E-2</v>
      </c>
      <c r="V46" s="183">
        <f>V34/V32</f>
        <v>7.7157873939665347E-2</v>
      </c>
      <c r="X46" s="183">
        <f>X34/X32</f>
        <v>7.7157874190785472E-2</v>
      </c>
      <c r="Z46" s="183">
        <f>Z34/Z32</f>
        <v>7.7157873473948924E-2</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0.9830947571641907</v>
      </c>
      <c r="E48" s="181"/>
      <c r="F48" s="181">
        <f>F24/$B$24</f>
        <v>0.96433923583551173</v>
      </c>
      <c r="G48" s="181"/>
      <c r="H48" s="181">
        <f>H24/$B$24</f>
        <v>0.94350368830463327</v>
      </c>
      <c r="I48" s="181"/>
      <c r="J48" s="181">
        <f>J24/$B$24</f>
        <v>0.92032690948357665</v>
      </c>
      <c r="K48" s="181"/>
      <c r="L48" s="181">
        <f>L24/$B$24</f>
        <v>0.89451396373038516</v>
      </c>
      <c r="M48" s="181"/>
      <c r="N48" s="181">
        <f>N24/$B$24</f>
        <v>0.86573696365206598</v>
      </c>
      <c r="O48" s="181"/>
      <c r="P48" s="181">
        <f>P24/$B$24</f>
        <v>0.83364262713717974</v>
      </c>
      <c r="Q48" s="181"/>
      <c r="R48" s="181">
        <f>R24/$B$24</f>
        <v>0.79786997368627488</v>
      </c>
      <c r="S48" s="181"/>
      <c r="T48" s="181">
        <f>T24/$B$24</f>
        <v>0.7580927840692091</v>
      </c>
      <c r="U48" s="181"/>
      <c r="V48" s="181">
        <f>V24/$B$24</f>
        <v>0.71411519139567159</v>
      </c>
      <c r="W48" s="181"/>
      <c r="X48" s="181">
        <f>X24/$B$24</f>
        <v>0.6661040135448375</v>
      </c>
      <c r="Y48" s="181"/>
      <c r="Z48" s="181">
        <f>Z24/$B$24</f>
        <v>0.61528886410058847</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0.99999999612613022</v>
      </c>
      <c r="E49" s="181"/>
      <c r="F49" s="181">
        <f>F13/F35/$B$13*$B$35</f>
        <v>0.99999999791161798</v>
      </c>
      <c r="G49" s="181"/>
      <c r="H49" s="181">
        <f>H13/H35/$B$13*$B$35</f>
        <v>0.99999999515162685</v>
      </c>
      <c r="I49" s="181"/>
      <c r="J49" s="181">
        <f>J13/J35/$B$13*$B$35</f>
        <v>0.99999999650943028</v>
      </c>
      <c r="K49" s="181"/>
      <c r="L49" s="181">
        <f>L13/L35/$B$13*$B$35</f>
        <v>1.0000000002597933</v>
      </c>
      <c r="M49" s="181"/>
      <c r="N49" s="181">
        <f>N13/N35/$B$13*$B$35</f>
        <v>1.0000000003633136</v>
      </c>
      <c r="O49" s="181"/>
      <c r="P49" s="181">
        <f>P13/P35/$B$13*$B$35</f>
        <v>1.0000000002653748</v>
      </c>
      <c r="Q49" s="181"/>
      <c r="R49" s="181">
        <f>R13/R35/$B$13*$B$35</f>
        <v>0.9999999997237986</v>
      </c>
      <c r="S49" s="181"/>
      <c r="T49" s="181">
        <f>T13/T35/$B$13*$B$35</f>
        <v>0.99999999913579674</v>
      </c>
      <c r="U49" s="181"/>
      <c r="V49" s="181">
        <f>V13/V35/$B$13*$B$35</f>
        <v>1.0000000004914185</v>
      </c>
      <c r="W49" s="181"/>
      <c r="X49" s="181">
        <f>X13/X35/$B$13*$B$35</f>
        <v>0.99999999993062461</v>
      </c>
      <c r="Y49" s="181"/>
      <c r="Z49" s="181">
        <f>Z13/Z35/$B$13*$B$35</f>
        <v>1.00000000001695</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-398728.10516695166</v>
      </c>
      <c r="F51" s="27">
        <f>F30-F10*F23</f>
        <v>-390884.59003359405</v>
      </c>
      <c r="H51" s="27">
        <f>H30-H10*H23</f>
        <v>-382215.61690983456</v>
      </c>
      <c r="J51" s="27">
        <f>J30-J10*J23</f>
        <v>-372617.17769203102</v>
      </c>
      <c r="L51" s="27">
        <f>L30-L10*L23</f>
        <v>-361971.37597899651</v>
      </c>
      <c r="N51" s="27">
        <f>N30-N10*N23</f>
        <v>-350146.19104840141</v>
      </c>
      <c r="P51" s="27">
        <f>P30-P10*P23</f>
        <v>-336999.88360696705</v>
      </c>
      <c r="R51" s="27">
        <f>R30-R10*R23</f>
        <v>-322386.39074566821</v>
      </c>
      <c r="T51" s="27">
        <f>T30-T10*T23</f>
        <v>-306171.857790621</v>
      </c>
      <c r="V51" s="27">
        <f>V30-V10*V23</f>
        <v>-288271.00254310202</v>
      </c>
      <c r="X51" s="27">
        <f>X30-X10*X23</f>
        <v>-268732.68472521845</v>
      </c>
      <c r="Z51" s="27">
        <f>Z30-Z10*Z23</f>
        <v>-248004.29343427625</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2007747.9090060324</v>
      </c>
      <c r="F52" s="27">
        <f t="array" ref="F52">Calibration!sL*SUM(F13:G13*F26:G26)</f>
        <v>1939676.1744754193</v>
      </c>
      <c r="H52" s="27">
        <f t="array" ref="H52">Calibration!sL*SUM(H13:I13*H26:I26)</f>
        <v>1868634.301429996</v>
      </c>
      <c r="J52" s="27">
        <f t="array" ref="J52">Calibration!sL*SUM(J13:K13*J26:K26)</f>
        <v>1794356.9938842386</v>
      </c>
      <c r="L52" s="27">
        <f t="array" ref="L52">Calibration!sL*SUM(L13:M13*L26:M26)</f>
        <v>1716560.5566253804</v>
      </c>
      <c r="N52" s="27">
        <f t="array" ref="N52">Calibration!sL*SUM(N13:O13*N26:O26)</f>
        <v>1634951.786463595</v>
      </c>
      <c r="P52" s="27">
        <f t="array" ref="P52">Calibration!sL*SUM(P13:Q13*P26:Q26)</f>
        <v>1549246.0843906358</v>
      </c>
      <c r="R52" s="27">
        <f t="array" ref="R52">Calibration!sL*SUM(R13:S13*R26:S26)</f>
        <v>1459204.3611218559</v>
      </c>
      <c r="T52" s="27">
        <f t="array" ref="T52">Calibration!sL*SUM(T13:U13*T26:U26)</f>
        <v>1364707.4241978948</v>
      </c>
      <c r="V52" s="27">
        <f t="array" ref="V52">Calibration!sL*SUM(V13:W13*V26:W26)</f>
        <v>1265916.5134503073</v>
      </c>
      <c r="X52" s="27">
        <f t="array" ref="X52">Calibration!sL*SUM(X13:Y13*X26:Y26)</f>
        <v>1163668.2859902922</v>
      </c>
      <c r="Z52" s="27">
        <f t="array" ref="Z52">Calibration!sL*SUM(Z13:AA13*Z26:AA26)</f>
        <v>1060692.8117587781</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2698295.9796377998</v>
      </c>
      <c r="F53" s="27">
        <f t="array" ref="F53">Calibration!sK*SUM(F15:G15*F27:G27)</f>
        <v>2673793.1895987871</v>
      </c>
      <c r="H53" s="27">
        <f t="array" ref="H53">Calibration!sK*SUM(H15:I15*H27:I27)</f>
        <v>2642519.4614876984</v>
      </c>
      <c r="J53" s="27">
        <f t="array" ref="J53">Calibration!sK*SUM(J15:K15*J27:K27)</f>
        <v>2603509.6502160146</v>
      </c>
      <c r="L53" s="27">
        <f t="array" ref="L53">Calibration!sK*SUM(L15:M15*L27:M27)</f>
        <v>2555655.5125169172</v>
      </c>
      <c r="N53" s="27">
        <f t="array" ref="N53">Calibration!sK*SUM(N15:O15*N27:O27)</f>
        <v>2497695.9437897736</v>
      </c>
      <c r="P53" s="27">
        <f t="array" ref="P53">Calibration!sK*SUM(P15:Q15*P27:Q27)</f>
        <v>2428240.7541708359</v>
      </c>
      <c r="R53" s="27">
        <f t="array" ref="R53">Calibration!sK*SUM(R15:S15*R27:S27)</f>
        <v>2345805.2282825876</v>
      </c>
      <c r="T53" s="27">
        <f t="array" ref="T53">Calibration!sK*SUM(T15:U15*T27:U27)</f>
        <v>2248928.0858989148</v>
      </c>
      <c r="V53" s="27">
        <f t="array" ref="V53">Calibration!sK*SUM(V15:W15*V27:W27)</f>
        <v>2136441.3759663119</v>
      </c>
      <c r="X53" s="27">
        <f t="array" ref="X53">Calibration!sK*SUM(X15:Y15*X27:Y27)</f>
        <v>2008085.8053292125</v>
      </c>
      <c r="Z53" s="27">
        <f t="array" ref="Z53">Calibration!sK*SUM(Z15:AA15*Z27:AA27)</f>
        <v>1866411.8197090835</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0.19850272742287667</v>
      </c>
      <c r="F55" s="183">
        <f>F30/F32</f>
        <v>0.19850272500623747</v>
      </c>
      <c r="H55" s="183">
        <f>H30/H32</f>
        <v>0.1985027374918821</v>
      </c>
      <c r="J55" s="183">
        <f>J30/J32</f>
        <v>0.19850273661890633</v>
      </c>
      <c r="L55" s="183">
        <f>L30/L32</f>
        <v>0.19850271314685086</v>
      </c>
      <c r="N55" s="183">
        <f>N30/N32</f>
        <v>0.1985027122965573</v>
      </c>
      <c r="P55" s="183">
        <f>P30/P32</f>
        <v>0.19850271412406167</v>
      </c>
      <c r="R55" s="183">
        <f>R30/R32</f>
        <v>0.19850272418321163</v>
      </c>
      <c r="T55" s="183">
        <f>T30/T32</f>
        <v>0.19850273661277054</v>
      </c>
      <c r="V55" s="183">
        <f>V30/V32</f>
        <v>0.19850270779410736</v>
      </c>
      <c r="X55" s="183">
        <f>X30/X32</f>
        <v>0.19850272265946273</v>
      </c>
      <c r="Z55" s="183">
        <f>Z30/Z32</f>
        <v>0.19850271791626312</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3.1530566530143717E-2</v>
      </c>
      <c r="F56" s="183">
        <f>(Model!$C$52*F5*F20+F2*G5*G20)/F32</f>
        <v>3.3849000705142296E-2</v>
      </c>
      <c r="H56" s="183">
        <f>(Model!$C$52*H5*H20+H2*I5*I20)/H32</f>
        <v>3.6173433689196371E-2</v>
      </c>
      <c r="J56" s="183">
        <f>(Model!$C$52*J5*J20+J2*K5*K20)/J32</f>
        <v>3.8499529564410134E-2</v>
      </c>
      <c r="L56" s="183">
        <f>(Model!$C$52*L5*L20+L2*M5*M20)/L32</f>
        <v>4.0821233340997E-2</v>
      </c>
      <c r="N56" s="183">
        <f>(Model!$C$52*N5*N20+N2*O5*O20)/N32</f>
        <v>4.3130127945044824E-2</v>
      </c>
      <c r="P56" s="183">
        <f>(Model!$C$52*P5*P20+P2*Q5*Q20)/P32</f>
        <v>4.5414609597827435E-2</v>
      </c>
      <c r="R56" s="183">
        <f>(Model!$C$52*R5*R20+R2*S5*S20)/R32</f>
        <v>4.7658588077715947E-2</v>
      </c>
      <c r="T56" s="183">
        <f>(Model!$C$52*T5*T20+T2*U5*U20)/T32</f>
        <v>4.983949751557893E-2</v>
      </c>
      <c r="V56" s="183">
        <f>(Model!$C$52*V5*V20+V2*W5*W20)/V32</f>
        <v>5.192462693703348E-2</v>
      </c>
      <c r="X56" s="183">
        <f>(Model!$C$52*X5*X20+X2*Y5*Y20)/X32</f>
        <v>5.3862404579828556E-2</v>
      </c>
      <c r="Z56" s="183">
        <f>(Model!$C$52*Z5*Z20+Z2*AA5*AA20)/Z32</f>
        <v>5.5554960715779492E-2</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0.15626966387112801</v>
      </c>
      <c r="F57" s="183">
        <f t="array" ref="F57">SUM(Model!tauL*F13:G13*F26:G26)/F32</f>
        <v>0.15400083107892251</v>
      </c>
      <c r="H57" s="183">
        <f t="array" ref="H57">SUM(Model!tauL*H13:I13*H26:I26)/H32</f>
        <v>0.15172532437308528</v>
      </c>
      <c r="J57" s="183">
        <f t="array" ref="J57">SUM(Model!tauL*J13:K13*J26:K26)/J32</f>
        <v>0.14944733651293118</v>
      </c>
      <c r="L57" s="183">
        <f t="array" ref="L57">SUM(Model!tauL*L13:M13*L26:M26)/L32</f>
        <v>0.14717277204740029</v>
      </c>
      <c r="N57" s="183">
        <f t="array" ref="N57">SUM(Model!tauL*N13:O13*N26:O26)/N32</f>
        <v>0.14490992340310604</v>
      </c>
      <c r="P57" s="183">
        <f t="array" ref="P57">SUM(Model!tauL*P13:Q13*P26:Q26)/P32</f>
        <v>0.14267018046813587</v>
      </c>
      <c r="R57" s="183">
        <f t="array" ref="R57">SUM(Model!tauL*R13:S13*R26:S26)/R32</f>
        <v>0.14046942817196623</v>
      </c>
      <c r="T57" s="183">
        <f t="array" ref="T57">SUM(Model!tauL*T13:U13*T26:U26)/T32</f>
        <v>0.13833003424784018</v>
      </c>
      <c r="V57" s="183">
        <f t="array" ref="V57">SUM(Model!tauL*V13:W13*V26:W26)/V32</f>
        <v>0.13628459275212043</v>
      </c>
      <c r="X57" s="183">
        <f t="array" ref="X57">SUM(Model!tauL*X13:Y13*X26:Y26)/X32</f>
        <v>0.13438510261362105</v>
      </c>
      <c r="Y57" s="183"/>
      <c r="Z57" s="183">
        <f t="array" ref="Z57">SUM(Model!tauL*Z13:AA13*Z26:AA26)/Z32</f>
        <v>0.1327311694428886</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1.0702497021604916E-2</v>
      </c>
      <c r="F58" s="183">
        <f t="array" ref="F58">SUM(Model!tauY/(1+Model!tauY)*F3:G3*F18:G18)/F32</f>
        <v>1.0652893222172645E-2</v>
      </c>
      <c r="H58" s="183">
        <f t="array" ref="H58">SUM(Model!tauY/(1+Model!tauY)*H3:I3*H18:I18)/H32</f>
        <v>1.060397942960045E-2</v>
      </c>
      <c r="J58" s="183">
        <f t="array" ref="J58">SUM(Model!tauY/(1+Model!tauY)*J3:K3*J18:K18)/J32</f>
        <v>1.0555870541565019E-2</v>
      </c>
      <c r="L58" s="183">
        <f t="array" ref="L58">SUM(Model!tauY/(1+Model!tauY)*L3:M3*L18:M18)/L32</f>
        <v>1.0508707758453584E-2</v>
      </c>
      <c r="N58" s="183">
        <f t="array" ref="N58">SUM(Model!tauY/(1+Model!tauY)*N3:O3*N18:O18)/N32</f>
        <v>1.0462660948406437E-2</v>
      </c>
      <c r="P58" s="183">
        <f t="array" ref="P58">SUM(Model!tauY/(1+Model!tauY)*P3:Q3*P18:Q18)/P32</f>
        <v>1.0417924058098377E-2</v>
      </c>
      <c r="R58" s="183">
        <f t="array" ref="R58">SUM(Model!tauY/(1+Model!tauY)*R3:S3*R18:S18)/R32</f>
        <v>1.0374707933529488E-2</v>
      </c>
      <c r="T58" s="183">
        <f t="array" ref="T58">SUM(Model!tauY/(1+Model!tauY)*T3:U3*T18:U18)/T32</f>
        <v>1.0333204849351444E-2</v>
      </c>
      <c r="V58" s="183">
        <f t="array" ref="V58">SUM(Model!tauY/(1+Model!tauY)*V3:W3*V18:W18)/V32</f>
        <v>1.0293488104953459E-2</v>
      </c>
      <c r="X58" s="183">
        <f t="array" ref="X58">SUM(Model!tauY/(1+Model!tauY)*X3:Y3*X18:Y18)/X32</f>
        <v>1.025521546601311E-2</v>
      </c>
      <c r="Y58" s="183"/>
      <c r="Z58" s="183">
        <f t="array" ref="Z58">SUM(Model!tauY/(1+Model!tauY)*Z3:AA3*Z18:AA18)/Z32</f>
        <v>1.0216587757595036E-2</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2.8817403314759129E-3</v>
      </c>
      <c r="F59" s="183">
        <f>(F2*G5*G20)/F32</f>
        <v>5.2203399889183353E-3</v>
      </c>
      <c r="H59" s="183">
        <f>(H2*I5*I20)/H32</f>
        <v>7.5644240661642322E-3</v>
      </c>
      <c r="J59" s="183">
        <f>(J2*K5*K20)/J32</f>
        <v>9.9096098709481658E-3</v>
      </c>
      <c r="L59" s="183">
        <f>(L2*M5*M20)/L32</f>
        <v>1.2249786935906776E-2</v>
      </c>
      <c r="N59" s="183">
        <f>(N2*O5*O20)/N32</f>
        <v>1.4576472318973565E-2</v>
      </c>
      <c r="P59" s="183">
        <f>(P2*Q5*Q20)/P32</f>
        <v>1.6877986074951133E-2</v>
      </c>
      <c r="R59" s="183">
        <f>(R2*S5*S20)/R32</f>
        <v>1.9138146835398943E-2</v>
      </c>
      <c r="T59" s="183">
        <f>(T2*U5*U20)/T32</f>
        <v>2.133427833664036E-2</v>
      </c>
      <c r="V59" s="183">
        <f>(V2*W5*W20)/V32</f>
        <v>2.3433529602528091E-2</v>
      </c>
      <c r="X59" s="183">
        <f>(X2*Y5*Y20)/X32</f>
        <v>2.5384126130700815E-2</v>
      </c>
      <c r="Z59" s="183">
        <f>(Z2*AA5*AA20)/Z32</f>
        <v>2.7087806224596993E-2</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2.8648826198667803E-2</v>
      </c>
      <c r="F60" s="183">
        <f>Model!$C$52*F5*F20/F32</f>
        <v>2.8628660716223962E-2</v>
      </c>
      <c r="H60" s="183">
        <f>Model!$C$52*H5*H20/H32</f>
        <v>2.8609009623032138E-2</v>
      </c>
      <c r="J60" s="183">
        <f>Model!$C$52*J5*J20/J32</f>
        <v>2.858991969346197E-2</v>
      </c>
      <c r="L60" s="183">
        <f>Model!$C$52*L5*L20/L32</f>
        <v>2.8571446405090226E-2</v>
      </c>
      <c r="N60" s="183">
        <f>Model!$C$52*N5*N20/N32</f>
        <v>2.8553655626071262E-2</v>
      </c>
      <c r="P60" s="183">
        <f>Model!$C$52*P5*P20/P32</f>
        <v>2.8536623522876302E-2</v>
      </c>
      <c r="R60" s="183">
        <f>Model!$C$52*R5*R20/R32</f>
        <v>2.8520441242317011E-2</v>
      </c>
      <c r="T60" s="183">
        <f>Model!$C$52*T5*T20/T32</f>
        <v>2.8505219178938571E-2</v>
      </c>
      <c r="V60" s="183">
        <f>Model!$C$52*V5*V20/V32</f>
        <v>2.8491097334505385E-2</v>
      </c>
      <c r="X60" s="183">
        <f>Model!$C$52*X5*X20/X32</f>
        <v>2.8478278449127738E-2</v>
      </c>
      <c r="Z60" s="183">
        <f>Model!$C$52*Z5*Z20/Z32</f>
        <v>2.8467154491182492E-2</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1.0081505390287426</v>
      </c>
      <c r="F62">
        <f>F13/F15</f>
        <v>1.0187248964417981</v>
      </c>
      <c r="H62">
        <f>H13/H15</f>
        <v>1.0321912650101763</v>
      </c>
      <c r="J62">
        <f>J13/J15</f>
        <v>1.0491485943172947</v>
      </c>
      <c r="L62">
        <f>L13/L15</f>
        <v>1.0703739478779268</v>
      </c>
      <c r="N62">
        <f>N13/N15</f>
        <v>1.0968870156858126</v>
      </c>
      <c r="P62">
        <f>P13/P15</f>
        <v>1.1300366947582934</v>
      </c>
      <c r="R62">
        <f>R13/R15</f>
        <v>1.1716261657643949</v>
      </c>
      <c r="T62">
        <f>T13/T15</f>
        <v>1.2240728755689536</v>
      </c>
      <c r="V62">
        <f>V13/V15</f>
        <v>1.2905797649428898</v>
      </c>
      <c r="X62">
        <f>X13/X15</f>
        <v>1.3751463602609835</v>
      </c>
      <c r="Z62">
        <f>Z13/Z15</f>
        <v>1.4814434895450215</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0.99943155236202441</v>
      </c>
      <c r="E65" s="181"/>
      <c r="F65" s="181">
        <f t="array" ref="F65">SQRT((F9:G9*$B$22:$C$22+F10:G10*$B$23:$C$23+F11:G11*$B$24:$C$24+F4:G4*($B$25:$C$25-$B$19:$C$19))/($B$9:$C$9*$B$22:$C$22+$B$10:$C$10*$B$23:$C$23+$B$11:$C$11*$B$24:$C$24+$B$4:$C$4*($B$25:$C$25-$B$19:$C$19))*(F9:G9*F22:G22+F10:G10*F23:G23+F11:G11*F24:G24+F4:G4*(F25:G25-F19:G19))/($B$9:$C$9*F22:G22+$B$10:$C$10*F23:G23+$B$11:$C$11*F24:G24+$B$4:$C$4*(F25:G25-F19:G19)))</f>
        <v>0.99888179953992573</v>
      </c>
      <c r="G65" s="181"/>
      <c r="H65" s="181">
        <f t="array" ref="H65">SQRT((H9:I9*$B$22:$C$22+H10:I10*$B$23:$C$23+H11:I11*$B$24:$C$24+H4:I4*($B$25:$C$25-$B$19:$C$19))/($B$9:$C$9*$B$22:$C$22+$B$10:$C$10*$B$23:$C$23+$B$11:$C$11*$B$24:$C$24+$B$4:$C$4*($B$25:$C$25-$B$19:$C$19))*(H9:I9*H22:I22+H10:I10*H23:I23+H11:I11*H24:I24+H4:I4*(H25:I25-H19:I19))/($B$9:$C$9*H22:I22+$B$10:$C$10*H23:I23+$B$11:$C$11*H24:I24+$B$4:$C$4*(H25:I25-H19:I19)))</f>
        <v>0.99835160772259779</v>
      </c>
      <c r="I65" s="181"/>
      <c r="J65" s="181">
        <f t="array" ref="J65">SQRT((J9:K9*$B$22:$C$22+J10:K10*$B$23:$C$23+J11:K11*$B$24:$C$24+J4:K4*($B$25:$C$25-$B$19:$C$19))/($B$9:$C$9*$B$22:$C$22+$B$10:$C$10*$B$23:$C$23+$B$11:$C$11*$B$24:$C$24+$B$4:$C$4*($B$25:$C$25-$B$19:$C$19))*(J9:K9*J22:K22+J10:K10*J23:K23+J11:K11*J24:K24+J4:K4*(J25:K25-J19:K19))/($B$9:$C$9*J22:K22+$B$10:$C$10*J23:K23+$B$11:$C$11*J24:K24+$B$4:$C$4*(J25:K25-J19:K19)))</f>
        <v>0.99784195563426681</v>
      </c>
      <c r="K65" s="181"/>
      <c r="L65" s="181">
        <f t="array" ref="L65">SQRT((L9:M9*$B$22:$C$22+L10:M10*$B$23:$C$23+L11:M11*$B$24:$C$24+L4:M4*($B$25:$C$25-$B$19:$C$19))/($B$9:$C$9*$B$22:$C$22+$B$10:$C$10*$B$23:$C$23+$B$11:$C$11*$B$24:$C$24+$B$4:$C$4*($B$25:$C$25-$B$19:$C$19))*(L9:M9*L22:M22+L10:M10*L23:M23+L11:M11*L24:M24+L4:M4*(L25:M25-L19:M19))/($B$9:$C$9*L22:M22+$B$10:$C$10*L23:M23+$B$11:$C$11*L24:M24+$B$4:$C$4*(L25:M25-L19:M19)))</f>
        <v>0.99735376347489779</v>
      </c>
      <c r="M65" s="181"/>
      <c r="N65" s="181">
        <f t="array" ref="N65">SQRT((N9:O9*$B$22:$C$22+N10:O10*$B$23:$C$23+N11:O11*$B$24:$C$24+N4:O4*($B$25:$C$25-$B$19:$C$19))/($B$9:$C$9*$B$22:$C$22+$B$10:$C$10*$B$23:$C$23+$B$11:$C$11*$B$24:$C$24+$B$4:$C$4*($B$25:$C$25-$B$19:$C$19))*(N9:O9*N22:O22+N10:O10*N23:O23+N11:O11*N24:O24+N4:O4*(N25:O25-N19:O19))/($B$9:$C$9*N22:O22+$B$10:$C$10*N23:O23+$B$11:$C$11*N24:O24+$B$4:$C$4*(N25:O25-N19:O19)))</f>
        <v>0.99688755023382059</v>
      </c>
      <c r="O65" s="181"/>
      <c r="P65" s="181">
        <f t="array" ref="P65">SQRT((P9:Q9*$B$22:$C$22+P10:Q10*$B$23:$C$23+P11:Q11*$B$24:$C$24+P4:Q4*($B$25:$C$25-$B$19:$C$19))/($B$9:$C$9*$B$22:$C$22+$B$10:$C$10*$B$23:$C$23+$B$11:$C$11*$B$24:$C$24+$B$4:$C$4*($B$25:$C$25-$B$19:$C$19))*(P9:Q9*P22:Q22+P10:Q10*P23:Q23+P11:Q11*P24:Q24+P4:Q4*(P25:Q25-P19:Q19))/($B$9:$C$9*P22:Q22+$B$10:$C$10*P23:Q23+$B$11:$C$11*P24:Q24+$B$4:$C$4*(P25:Q25-P19:Q19)))</f>
        <v>0.99644273264159633</v>
      </c>
      <c r="Q65" s="181"/>
      <c r="R65" s="181">
        <f t="array" ref="R65">SQRT((R9:S9*$B$22:$C$22+R10:S10*$B$23:$C$23+R11:S11*$B$24:$C$24+R4:S4*($B$25:$C$25-$B$19:$C$19))/($B$9:$C$9*$B$22:$C$22+$B$10:$C$10*$B$23:$C$23+$B$11:$C$11*$B$24:$C$24+$B$4:$C$4*($B$25:$C$25-$B$19:$C$19))*(R9:S9*R22:S22+R10:S10*R23:S23+R11:S11*R24:S24+R4:S4*(R25:S25-R19:S19))/($B$9:$C$9*R22:S22+$B$10:$C$10*R23:S23+$B$11:$C$11*R24:S24+$B$4:$C$4*(R25:S25-R19:S19)))</f>
        <v>0.996015907328344</v>
      </c>
      <c r="S65" s="181"/>
      <c r="T65" s="181">
        <f t="array" ref="T65">SQRT((T9:U9*$B$22:$C$22+T10:U10*$B$23:$C$23+T11:U11*$B$24:$C$24+T4:U4*($B$25:$C$25-$B$19:$C$19))/($B$9:$C$9*$B$22:$C$22+$B$10:$C$10*$B$23:$C$23+$B$11:$C$11*$B$24:$C$24+$B$4:$C$4*($B$25:$C$25-$B$19:$C$19))*(T9:U9*T22:U22+T10:U10*T23:U23+T11:U11*T24:U24+T4:U4*(T25:U25-T19:U19))/($B$9:$C$9*T22:U22+$B$10:$C$10*T23:U23+$B$11:$C$11*T24:U24+$B$4:$C$4*(T25:U25-T19:U19)))</f>
        <v>0.99559694411331789</v>
      </c>
      <c r="U65" s="181"/>
      <c r="V65" s="181">
        <f t="array" ref="V65">SQRT((V9:W9*$B$22:$C$22+V10:W10*$B$23:$C$23+V11:W11*$B$24:$C$24+V4:W4*($B$25:$C$25-$B$19:$C$19))/($B$9:$C$9*$B$22:$C$22+$B$10:$C$10*$B$23:$C$23+$B$11:$C$11*$B$24:$C$24+$B$4:$C$4*($B$25:$C$25-$B$19:$C$19))*(V9:W9*V22:W22+V10:W10*V23:W23+V11:W11*V24:W24+V4:W4*(V25:W25-V19:W19))/($B$9:$C$9*V22:W22+$B$10:$C$10*V23:W23+$B$11:$C$11*V24:W24+$B$4:$C$4*(V25:W25-V19:W19)))</f>
        <v>0.99515919934114538</v>
      </c>
      <c r="W65" s="181"/>
      <c r="X65" s="181">
        <f t="array" ref="X65">SQRT((X9:Y9*$B$22:$C$22+X10:Y10*$B$23:$C$23+X11:Y11*$B$24:$C$24+X4:Y4*($B$25:$C$25-$B$19:$C$19))/($B$9:$C$9*$B$22:$C$22+$B$10:$C$10*$B$23:$C$23+$B$11:$C$11*$B$24:$C$24+$B$4:$C$4*($B$25:$C$25-$B$19:$C$19))*(X9:Y9*X22:Y22+X10:Y10*X23:Y23+X11:Y11*X24:Y24+X4:Y4*(X25:Y25-X19:Y19))/($B$9:$C$9*X22:Y22+$B$10:$C$10*X23:Y23+$B$11:$C$11*X24:Y24+$B$4:$C$4*(X25:Y25-X19:Y19)))</f>
        <v>0.99463191999224931</v>
      </c>
      <c r="Y65" s="181"/>
      <c r="Z65" s="181">
        <f t="array" ref="Z65">SQRT((Z9:AA9*$B$22:$C$22+Z10:AA10*$B$23:$C$23+Z11:AA11*$B$24:$C$24+Z4:AA4*($B$25:$C$25-$B$19:$C$19))/($B$9:$C$9*$B$22:$C$22+$B$10:$C$10*$B$23:$C$23+$B$11:$C$11*$B$24:$C$24+$B$4:$C$4*($B$25:$C$25-$B$19:$C$19))*(Z9:AA9*Z22:AA22+Z10:AA10*Z23:AA23+Z11:AA11*Z24:AA24+Z4:AA4*(Z25:AA25-Z19:AA19))/($B$9:$C$9*Z22:AA22+$B$10:$C$10*Z23:AA23+$B$11:$C$11*Z24:AA24+$B$4:$C$4*(Z25:AA25-Z19:AA19)))</f>
        <v>0.99380612176716454</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0.99937513815803658</v>
      </c>
      <c r="E66" s="181"/>
      <c r="F66" s="181">
        <f t="array" ref="F66">SQRT((F9:G9*$B$22:$C$22)/($B$9:$C$9*$B$22:$C$22)*(F9:G9*F22:G22)/($B$9:$C$9*F22:G22))</f>
        <v>0.99877059153987702</v>
      </c>
      <c r="G66" s="181"/>
      <c r="H66" s="181">
        <f t="array" ref="H66">SQRT((H9:I9*$B$22:$C$22)/($B$9:$C$9*$B$22:$C$22)*(H9:I9*H22:I22)/($B$9:$C$9*H22:I22))</f>
        <v>0.99818733839862694</v>
      </c>
      <c r="I66" s="181"/>
      <c r="J66" s="181">
        <f t="array" ref="J66">SQRT((J9:K9*$B$22:$C$22)/($B$9:$C$9*$B$22:$C$22)*(J9:K9*J22:K22)/($B$9:$C$9*J22:K22))</f>
        <v>0.99762648122190556</v>
      </c>
      <c r="K66" s="181"/>
      <c r="L66" s="181">
        <f t="array" ref="L66">SQRT((L9:M9*$B$22:$C$22)/($B$9:$C$9*$B$22:$C$22)*(L9:M9*L22:M22)/($B$9:$C$9*L22:M22))</f>
        <v>0.9970890583846691</v>
      </c>
      <c r="M66" s="181"/>
      <c r="N66" s="181">
        <f t="array" ref="N66">SQRT((N9:O9*$B$22:$C$22)/($B$9:$C$9*$B$22:$C$22)*(N9:O9*N22:O22)/($B$9:$C$9*N22:O22))</f>
        <v>0.99657566628080818</v>
      </c>
      <c r="O66" s="181"/>
      <c r="P66" s="181">
        <f t="array" ref="P66">SQRT((P9:Q9*$B$22:$C$22)/($B$9:$C$9*$B$22:$C$22)*(P9:Q9*P22:Q22)/($B$9:$C$9*P22:Q22))</f>
        <v>0.99608568578865897</v>
      </c>
      <c r="Q66" s="181"/>
      <c r="R66" s="181">
        <f t="array" ref="R66">SQRT((R9:S9*$B$22:$C$22)/($B$9:$C$9*$B$22:$C$22)*(R9:S9*R22:S22)/($B$9:$C$9*R22:S22))</f>
        <v>0.99561538645572967</v>
      </c>
      <c r="S66" s="181"/>
      <c r="T66" s="181">
        <f t="array" ref="T66">SQRT((T9:U9*$B$22:$C$22)/($B$9:$C$9*$B$22:$C$22)*(T9:U9*T22:U22)/($B$9:$C$9*T22:U22))</f>
        <v>0.9951536136989827</v>
      </c>
      <c r="U66" s="181"/>
      <c r="V66" s="181">
        <f t="array" ref="V66">SQRT((V9:W9*$B$22:$C$22)/($B$9:$C$9*$B$22:$C$22)*(V9:W9*V22:W22)/($B$9:$C$9*V22:W22))</f>
        <v>0.99467098187092418</v>
      </c>
      <c r="W66" s="181"/>
      <c r="X66" s="181">
        <f t="array" ref="X66">SQRT((X9:Y9*$B$22:$C$22)/($B$9:$C$9*$B$22:$C$22)*(X9:Y9*X22:Y22)/($B$9:$C$9*X22:Y22))</f>
        <v>0.99408938796226221</v>
      </c>
      <c r="Y66" s="181"/>
      <c r="Z66" s="181">
        <f t="array" ref="Z66">SQRT((Z9:AA9*$B$22:$C$22)/($B$9:$C$9*$B$22:$C$22)*(Z9:AA9*Z22:AA22)/($B$9:$C$9*Z22:AA22))</f>
        <v>0.99317794324130748</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0.99937513815803658</v>
      </c>
      <c r="E68" s="181"/>
      <c r="F68" s="181">
        <f>F66/F67</f>
        <v>0.99877059153987702</v>
      </c>
      <c r="G68" s="181"/>
      <c r="H68" s="181">
        <f>H66/H67</f>
        <v>0.99818733839862694</v>
      </c>
      <c r="I68" s="181"/>
      <c r="J68" s="181">
        <f>J66/J67</f>
        <v>0.99762648122190556</v>
      </c>
      <c r="K68" s="181"/>
      <c r="L68" s="181">
        <f>L66/L67</f>
        <v>0.9970890583846691</v>
      </c>
      <c r="M68" s="181"/>
      <c r="N68" s="181">
        <f>N66/N67</f>
        <v>0.99657566628080818</v>
      </c>
      <c r="O68" s="181"/>
      <c r="P68" s="181">
        <f>P66/P67</f>
        <v>0.99608568578865897</v>
      </c>
      <c r="Q68" s="181"/>
      <c r="R68" s="181">
        <f>R66/R67</f>
        <v>0.99561538645572967</v>
      </c>
      <c r="S68" s="181"/>
      <c r="T68" s="181">
        <f>T66/T67</f>
        <v>0.9951536136989827</v>
      </c>
      <c r="U68" s="181"/>
      <c r="V68" s="181">
        <f>V66/V67</f>
        <v>0.99467098187092418</v>
      </c>
      <c r="W68" s="181"/>
      <c r="X68" s="181">
        <f>X66/X67</f>
        <v>0.99408938796226221</v>
      </c>
      <c r="Y68" s="181"/>
      <c r="Z68" s="181">
        <f>Z66/Z67</f>
        <v>0.99317794324130748</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0.98303926401700381</v>
      </c>
      <c r="E69" s="181"/>
      <c r="F69" s="181">
        <f>F32/F65/($B$32)</f>
        <v>0.96423187300267066</v>
      </c>
      <c r="G69" s="181"/>
      <c r="H69" s="181">
        <f>H32/H65/($B$32)</f>
        <v>0.94334844256411921</v>
      </c>
      <c r="I69" s="181"/>
      <c r="J69" s="181">
        <f>J32/J65/($B$32)</f>
        <v>0.92012817291364302</v>
      </c>
      <c r="K69" s="181"/>
      <c r="L69" s="181">
        <f>L32/L65/($B$32)</f>
        <v>0.89427655387987659</v>
      </c>
      <c r="M69" s="181"/>
      <c r="N69" s="181">
        <f>N32/N65/($B$32)</f>
        <v>0.86546611193740752</v>
      </c>
      <c r="O69" s="181"/>
      <c r="P69" s="181">
        <f>P32/P65/($B$32)</f>
        <v>0.83334391560603838</v>
      </c>
      <c r="Q69" s="181"/>
      <c r="R69" s="181">
        <f>R32/R65/($B$32)</f>
        <v>0.79754913123003601</v>
      </c>
      <c r="S69" s="181"/>
      <c r="T69" s="181">
        <f>T32/T65/($B$32)</f>
        <v>0.75775521021391024</v>
      </c>
      <c r="U69" s="181"/>
      <c r="V69" s="181">
        <f>V32/V65/($B$32)</f>
        <v>0.71376485302380688</v>
      </c>
      <c r="W69" s="181"/>
      <c r="X69" s="181">
        <f>X32/X65/($B$32)</f>
        <v>0.66574067952197147</v>
      </c>
      <c r="Y69" s="181"/>
      <c r="Z69" s="181">
        <f>Z32/Z65/($B$32)</f>
        <v>0.61489994418477911</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0.982632756358784</v>
      </c>
      <c r="E70" s="129"/>
      <c r="F70" s="129">
        <f>F18/$B$18</f>
        <v>0.96344098381559728</v>
      </c>
      <c r="G70" s="129"/>
      <c r="H70" s="129">
        <f>H18/$B$18</f>
        <v>0.94219833062554814</v>
      </c>
      <c r="I70" s="129"/>
      <c r="J70" s="129">
        <f>J18/$B$18</f>
        <v>0.91864738515793853</v>
      </c>
      <c r="K70" s="129"/>
      <c r="L70" s="129">
        <f>L18/$B$18</f>
        <v>0.8924975881368199</v>
      </c>
      <c r="M70" s="129"/>
      <c r="N70" s="129">
        <f>N18/$B$18</f>
        <v>0.86342615555967261</v>
      </c>
      <c r="O70" s="129"/>
      <c r="P70" s="129">
        <f>P18/$B$18</f>
        <v>0.83108577365074099</v>
      </c>
      <c r="Q70" s="129"/>
      <c r="R70" s="129">
        <f>R18/$B$18</f>
        <v>0.79512275333075599</v>
      </c>
      <c r="S70" s="129"/>
      <c r="T70" s="129">
        <f>T18/$B$18</f>
        <v>0.7552202573443576</v>
      </c>
      <c r="U70" s="129"/>
      <c r="V70" s="129">
        <f>V18/$B$18</f>
        <v>0.7111957479713078</v>
      </c>
      <c r="W70" s="129"/>
      <c r="X70" s="129">
        <f>X18/$B$18</f>
        <v>0.66323864404860455</v>
      </c>
      <c r="Y70" s="129"/>
      <c r="Z70" s="129">
        <f>Z18/$B$18</f>
        <v>0.61262936905701448</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0.94010882707036447</v>
      </c>
      <c r="E71" s="129"/>
      <c r="F71" s="129">
        <f>G18/$C$18</f>
        <v>0.88096049847572022</v>
      </c>
      <c r="G71" s="129"/>
      <c r="H71" s="129">
        <f>I18/$C$18</f>
        <v>0.82260919424429246</v>
      </c>
      <c r="I71" s="129"/>
      <c r="J71" s="129">
        <f>K18/$C$18</f>
        <v>0.76511338624925984</v>
      </c>
      <c r="K71" s="129"/>
      <c r="L71" s="129">
        <f>M18/$C$18</f>
        <v>0.70853544925992851</v>
      </c>
      <c r="M71" s="129"/>
      <c r="N71" s="129">
        <f>O18/$C$18</f>
        <v>0.6529379545967533</v>
      </c>
      <c r="O71" s="129"/>
      <c r="P71" s="129">
        <f>Q18/$C$18</f>
        <v>0.59837621764557014</v>
      </c>
      <c r="Q71" s="129"/>
      <c r="R71" s="129">
        <f>S18/$C$18</f>
        <v>0.5448843083316891</v>
      </c>
      <c r="S71" s="129"/>
      <c r="T71" s="129">
        <f>U18/$C$18</f>
        <v>0.49244519681972426</v>
      </c>
      <c r="U71" s="129"/>
      <c r="V71" s="129">
        <f>W18/$C$18</f>
        <v>0.44092469652145372</v>
      </c>
      <c r="W71" s="129"/>
      <c r="X71" s="129">
        <f>Y18/$C$18</f>
        <v>0.38990336022178523</v>
      </c>
      <c r="Y71" s="129"/>
      <c r="Z71" s="129">
        <f>AA18/$C$18</f>
        <v>0.33814383661238451</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0.98644232888131012</v>
      </c>
      <c r="E72" s="129"/>
      <c r="F72" s="129">
        <f>G19/$C$19</f>
        <v>0.97097510456314229</v>
      </c>
      <c r="G72" s="129"/>
      <c r="H72" s="129">
        <f>I19/$C$19</f>
        <v>0.95332738110671489</v>
      </c>
      <c r="I72" s="129"/>
      <c r="J72" s="129">
        <f>K19/$C$19</f>
        <v>0.93319011577287581</v>
      </c>
      <c r="K72" s="129"/>
      <c r="L72" s="129">
        <f>M19/$C$19</f>
        <v>0.91022286734125168</v>
      </c>
      <c r="M72" s="129"/>
      <c r="N72" s="129">
        <f>O19/$C$19</f>
        <v>0.8840657437518602</v>
      </c>
      <c r="O72" s="129"/>
      <c r="P72" s="129">
        <f>Q19/$C$19</f>
        <v>0.85436685709425408</v>
      </c>
      <c r="Q72" s="129"/>
      <c r="R72" s="129">
        <f>S19/$C$19</f>
        <v>0.8208500936561921</v>
      </c>
      <c r="S72" s="129"/>
      <c r="T72" s="129">
        <f>U19/$C$19</f>
        <v>0.78345718398908615</v>
      </c>
      <c r="U72" s="129"/>
      <c r="V72" s="129">
        <f>W19/$C$19</f>
        <v>0.74267378920955851</v>
      </c>
      <c r="W72" s="129"/>
      <c r="X72" s="129">
        <f>Y19/$C$19</f>
        <v>0.70037708709359647</v>
      </c>
      <c r="Y72" s="129"/>
      <c r="Z72" s="129">
        <f>AA19/$C$19</f>
        <v>0.66260618117479408</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0.47641153352875021</v>
      </c>
      <c r="D73" s="183">
        <f t="array" ref="D73">SUM(D9:E9*D22:E22)/D32</f>
        <v>0.47641153734941349</v>
      </c>
      <c r="E73" s="129"/>
      <c r="F73" s="183">
        <f t="array" ref="F73">SUM(F9:G9*F22:G22)/F32</f>
        <v>0.47641153590265162</v>
      </c>
      <c r="G73" s="129"/>
      <c r="H73" s="183">
        <f t="array" ref="H73">SUM(H9:I9*H22:I22)/H32</f>
        <v>0.47641153961489324</v>
      </c>
      <c r="I73" s="129"/>
      <c r="J73" s="183">
        <f t="array" ref="J73">SUM(J9:K9*J22:K22)/J32</f>
        <v>0.47641153815379239</v>
      </c>
      <c r="K73" s="129"/>
      <c r="L73" s="183">
        <f t="array" ref="L73">SUM(L9:M9*L22:M22)/L32</f>
        <v>0.47641153418894583</v>
      </c>
      <c r="M73" s="129"/>
      <c r="N73" s="183">
        <f t="array" ref="N73">SUM(N9:O9*N22:O22)/N32</f>
        <v>0.47641153393975832</v>
      </c>
      <c r="O73" s="129"/>
      <c r="P73" s="183">
        <f t="array" ref="P73">SUM(P9:Q9*P22:Q22)/P32</f>
        <v>0.47641153376843809</v>
      </c>
      <c r="Q73" s="129"/>
      <c r="R73" s="183">
        <f t="array" ref="R73">SUM(R9:S9*R22:S22)/R32</f>
        <v>0.4764115333091678</v>
      </c>
      <c r="S73" s="129"/>
      <c r="T73" s="183">
        <f t="array" ref="T73">SUM(T9:U9*T22:U22)/T32</f>
        <v>0.47641153310174394</v>
      </c>
      <c r="U73" s="129"/>
      <c r="V73" s="183">
        <f t="array" ref="V73">SUM(V9:W9*V22:W22)/V32</f>
        <v>0.47641153349239945</v>
      </c>
      <c r="W73" s="129"/>
      <c r="X73" s="183">
        <f t="array" ref="X73">SUM(X9:Y9*X22:Y22)/X32</f>
        <v>0.47641153262858082</v>
      </c>
      <c r="Y73" s="129"/>
      <c r="Z73" s="183">
        <f t="array" ref="Z73">SUM(Z9:AA9*Z22:AA22)/Z32</f>
        <v>0.4764115337228822</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0.22604620456442487</v>
      </c>
      <c r="O74" s="129"/>
      <c r="P74" s="183">
        <f t="array" ref="P74">SUM(P10:Q10*P23:Q23)/P32</f>
        <v>0.22604620456442481</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0.22038438857735596</v>
      </c>
      <c r="E75" s="129"/>
      <c r="F75" s="183">
        <f t="array" ref="F75">SUM(F11:G11*F24:G24)/F32</f>
        <v>0.22038438845593275</v>
      </c>
      <c r="G75" s="129"/>
      <c r="H75" s="183">
        <f t="array" ref="H75">SUM(H11:I11*H24:I24)/H32</f>
        <v>0.2203843885943991</v>
      </c>
      <c r="I75" s="129"/>
      <c r="J75" s="183">
        <f t="array" ref="J75">SUM(J11:K11*J24:K24)/J32</f>
        <v>0.22038438852099007</v>
      </c>
      <c r="K75" s="129"/>
      <c r="L75" s="183">
        <f t="array" ref="L75">SUM(L11:M11*L24:M24)/L32</f>
        <v>0.22038438813634495</v>
      </c>
      <c r="M75" s="129"/>
      <c r="N75" s="183">
        <f t="array" ref="N75">SUM(N11:O11*N24:O24)/N32</f>
        <v>0.220384388136738</v>
      </c>
      <c r="O75" s="129"/>
      <c r="P75" s="183">
        <f t="array" ref="P75">SUM(P11:Q11*P24:Q24)/P32</f>
        <v>0.22038438818805792</v>
      </c>
      <c r="Q75" s="129"/>
      <c r="R75" s="183">
        <f t="array" ref="R75">SUM(R11:S11*R24:S24)/R32</f>
        <v>0.22038438850174788</v>
      </c>
      <c r="S75" s="129"/>
      <c r="T75" s="183">
        <f t="array" ref="T75">SUM(T11:U11*T24:U24)/T32</f>
        <v>0.22038438889009834</v>
      </c>
      <c r="U75" s="129"/>
      <c r="V75" s="183">
        <f t="array" ref="V75">SUM(V11:W11*V24:W24)/V32</f>
        <v>0.22038438800351068</v>
      </c>
      <c r="W75" s="129"/>
      <c r="X75" s="183">
        <f t="array" ref="X75">SUM(X11:Y11*X24:Y24)/X32</f>
        <v>0.22038438861620849</v>
      </c>
      <c r="Y75" s="129"/>
      <c r="Z75" s="183">
        <f t="array" ref="Z75">SUM(Z11:AA11*Z24:AA24)/Z32</f>
        <v>0.22038438823874462</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0.22291855635865035</v>
      </c>
      <c r="E76" s="129"/>
      <c r="F76" s="183">
        <f t="array" ref="F76">SUM(F12:G12*F25:G25)/F32</f>
        <v>0.22282418725249273</v>
      </c>
      <c r="G76" s="129"/>
      <c r="H76" s="183">
        <f t="array" ref="H76">SUM(H12:I12*H25:I25)/H32</f>
        <v>0.22273561263485256</v>
      </c>
      <c r="I76" s="129"/>
      <c r="J76" s="183">
        <f t="array" ref="J76">SUM(J12:K12*J25:K25)/J32</f>
        <v>0.2226527951768322</v>
      </c>
      <c r="K76" s="129"/>
      <c r="L76" s="183">
        <f t="array" ref="L76">SUM(L12:M12*L25:M25)/L32</f>
        <v>0.22257582033644507</v>
      </c>
      <c r="M76" s="129"/>
      <c r="N76" s="183">
        <f t="array" ref="N76">SUM(N12:O12*N25:O25)/N32</f>
        <v>0.22250512357470051</v>
      </c>
      <c r="O76" s="129"/>
      <c r="P76" s="183">
        <f t="array" ref="P76">SUM(P12:Q12*P25:Q25)/P32</f>
        <v>0.22244191905578378</v>
      </c>
      <c r="Q76" s="129"/>
      <c r="R76" s="183">
        <f t="array" ref="R76">SUM(R12:S12*R25:S25)/R32</f>
        <v>0.22238932358733499</v>
      </c>
      <c r="S76" s="129"/>
      <c r="T76" s="183">
        <f t="array" ref="T76">SUM(T12:U12*T25:U25)/T32</f>
        <v>0.22235486701096591</v>
      </c>
      <c r="U76" s="129"/>
      <c r="V76" s="183">
        <f t="array" ref="V76">SUM(V12:W12*V25:W25)/V32</f>
        <v>0.22235683940609124</v>
      </c>
      <c r="W76" s="129"/>
      <c r="X76" s="183">
        <f t="array" ref="X76">SUM(X12:Y12*X25:Y25)/X32</f>
        <v>0.22244247691803645</v>
      </c>
      <c r="Y76" s="129"/>
      <c r="Z76" s="183">
        <f t="array" ref="Z76">SUM(Z12:AA12*Z25:AA25)/Z32</f>
        <v>0.22275154865337565</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0.14576068684984414</v>
      </c>
      <c r="E77" s="129"/>
      <c r="F77" s="183">
        <f t="array" ref="F77">SUM(F4:G4*F19:G19)/F32</f>
        <v>0.14566631617550252</v>
      </c>
      <c r="G77" s="129"/>
      <c r="H77" s="183">
        <f t="array" ref="H77">SUM(H4:I4*H19:I19)/H32</f>
        <v>0.14557774540856985</v>
      </c>
      <c r="I77" s="129"/>
      <c r="J77" s="183">
        <f t="array" ref="J77">SUM(J4:K4*J19:K19)/J32</f>
        <v>0.14549492641604017</v>
      </c>
      <c r="K77" s="129"/>
      <c r="L77" s="183">
        <f t="array" ref="L77">SUM(L4:M4*L19:M19)/L32</f>
        <v>0.14541794722616003</v>
      </c>
      <c r="M77" s="129"/>
      <c r="N77" s="183">
        <f t="array" ref="N77">SUM(N4:O4*N19:O19)/N32</f>
        <v>0.1453472502156215</v>
      </c>
      <c r="O77" s="129"/>
      <c r="P77" s="183">
        <f t="array" ref="P77">SUM(P4:Q4*P19:Q19)/P32</f>
        <v>0.14528404557670524</v>
      </c>
      <c r="Q77" s="129"/>
      <c r="R77" s="183">
        <f t="array" ref="R77">SUM(R4:S4*R19:S19)/R32</f>
        <v>0.14523144996267551</v>
      </c>
      <c r="S77" s="129"/>
      <c r="T77" s="183">
        <f t="array" ref="T77">SUM(T4:U4*T19:U19)/T32</f>
        <v>0.1451969935672332</v>
      </c>
      <c r="U77" s="129"/>
      <c r="V77" s="183">
        <f t="array" ref="V77">SUM(V4:W4*V19:W19)/V32</f>
        <v>0.14519896546642588</v>
      </c>
      <c r="W77" s="129"/>
      <c r="X77" s="183">
        <f t="array" ref="X77">SUM(X4:Y4*X19:Y19)/X32</f>
        <v>0.14528460272725097</v>
      </c>
      <c r="Y77" s="129"/>
      <c r="Z77" s="183">
        <f t="array" ref="Z77">SUM(Z4:AA4*Z19:AA19)/Z32</f>
        <v>0.14559367517942673</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0.34194418525718306</v>
      </c>
      <c r="E78" s="129"/>
      <c r="F78" s="183">
        <f t="array" ref="F78">SUM(F13:G13*F26:G26)/F32</f>
        <v>0.33697959928830751</v>
      </c>
      <c r="G78" s="129"/>
      <c r="H78" s="183">
        <f t="array" ref="H78">SUM(H13:I13*H26:I26)/H32</f>
        <v>0.3320004096791429</v>
      </c>
      <c r="I78" s="129"/>
      <c r="J78" s="183">
        <f t="array" ref="J78">SUM(J13:K13*J26:K26)/J32</f>
        <v>0.32701579088896926</v>
      </c>
      <c r="K78" s="129"/>
      <c r="L78" s="183">
        <f t="array" ref="L78">SUM(L13:M13*L26:M26)/L32</f>
        <v>0.32203866305933299</v>
      </c>
      <c r="M78" s="129"/>
      <c r="N78" s="183">
        <f t="array" ref="N78">SUM(N13:O13*N26:O26)/N32</f>
        <v>0.31708717140787829</v>
      </c>
      <c r="O78" s="129"/>
      <c r="P78" s="183">
        <f t="array" ref="P78">SUM(P13:Q13*P26:Q26)/P32</f>
        <v>0.31218623891649278</v>
      </c>
      <c r="Q78" s="129"/>
      <c r="R78" s="183">
        <f t="array" ref="R78">SUM(R13:S13*R26:S26)/R32</f>
        <v>0.30737062447012653</v>
      </c>
      <c r="S78" s="129"/>
      <c r="T78" s="183">
        <f t="array" ref="T78">SUM(T13:U13*T26:U26)/T32</f>
        <v>0.30268927241364074</v>
      </c>
      <c r="U78" s="129"/>
      <c r="V78" s="183">
        <f t="array" ref="V78">SUM(V13:W13*V26:W26)/V32</f>
        <v>0.29821350399884505</v>
      </c>
      <c r="W78" s="129"/>
      <c r="X78" s="183">
        <f t="array" ref="X78">SUM(X13:Y13*X26:Y26)/X32</f>
        <v>0.29405710158699333</v>
      </c>
      <c r="Y78" s="129"/>
      <c r="Z78" s="183">
        <f t="array" ref="Z78">SUM(Z13:AA13*Z26:AA26)/Z32</f>
        <v>0.29043801892868332</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0.45955302266844877</v>
      </c>
      <c r="F79" s="183">
        <f t="array" ref="F79">SUM(F15:G15*F27:G27)/F32</f>
        <v>0.46451761869709085</v>
      </c>
      <c r="H79" s="183">
        <f t="array" ref="H79">SUM(H15:I15*H27:I27)/H32</f>
        <v>0.46949664957324472</v>
      </c>
      <c r="J79" s="183">
        <f t="array" ref="J79">SUM(J15:K15*J27:K27)/J32</f>
        <v>0.47448126000247876</v>
      </c>
      <c r="L79" s="183">
        <f t="array" ref="L79">SUM(L15:M15*L27:M27)/L32</f>
        <v>0.4794586950717038</v>
      </c>
      <c r="N79" s="183">
        <f t="array" ref="N79">SUM(N15:O15*N27:O27)/N32</f>
        <v>0.48441021222179337</v>
      </c>
      <c r="P79" s="183">
        <f t="array" ref="P79">SUM(P15:Q15*P27:Q27)/P32</f>
        <v>0.48931112743558092</v>
      </c>
      <c r="R79" s="183">
        <f t="array" ref="R79">SUM(R15:S15*R27:S27)/R32</f>
        <v>0.49412655081990553</v>
      </c>
      <c r="T79" s="183">
        <f t="array" ref="T79">SUM(T15:U15*T27:U27)/T32</f>
        <v>0.49880757879766086</v>
      </c>
      <c r="V79" s="183">
        <f t="array" ref="V79">SUM(V15:W15*V27:W27)/V32</f>
        <v>0.50328411237684456</v>
      </c>
      <c r="X79" s="183">
        <f t="array" ref="X79">SUM(X15:Y15*X27:Y27)/X32</f>
        <v>0.50744004864803671</v>
      </c>
      <c r="Z79" s="183">
        <f t="array" ref="Z79">SUM(Z15:AA15*Z27:AA27)/Z32</f>
        <v>0.51105932406814858</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0.19850272742287667</v>
      </c>
      <c r="F80" s="195">
        <f>F55</f>
        <v>0.19850272500623747</v>
      </c>
      <c r="H80" s="195">
        <f>H55</f>
        <v>0.1985027374918821</v>
      </c>
      <c r="J80" s="195">
        <f>J55</f>
        <v>0.19850273661890633</v>
      </c>
      <c r="L80" s="195">
        <f>L55</f>
        <v>0.19850271314685086</v>
      </c>
      <c r="N80" s="195">
        <f>N55</f>
        <v>0.1985027122965573</v>
      </c>
      <c r="P80" s="195">
        <f>P55</f>
        <v>0.19850271412406167</v>
      </c>
      <c r="R80" s="195">
        <f>R55</f>
        <v>0.19850272418321163</v>
      </c>
      <c r="T80" s="195">
        <f>T55</f>
        <v>0.19850273661277054</v>
      </c>
      <c r="V80" s="195">
        <f>V55</f>
        <v>0.19850270779410736</v>
      </c>
      <c r="X80" s="195">
        <f>X55</f>
        <v>0.19850272265946273</v>
      </c>
      <c r="Z80" s="195">
        <f>Z55</f>
        <v>0.19850271791626312</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-2.754347714154818E-2</v>
      </c>
      <c r="F81" s="195">
        <f>F51/F$32</f>
        <v>-2.7543479558187371E-2</v>
      </c>
      <c r="H81" s="195">
        <f>H51/H$32</f>
        <v>-2.7543467072542759E-2</v>
      </c>
      <c r="J81" s="195">
        <f>J51/J$32</f>
        <v>-2.7543467945518509E-2</v>
      </c>
      <c r="L81" s="195">
        <f>L51/L$32</f>
        <v>-2.7543491417573958E-2</v>
      </c>
      <c r="N81" s="195">
        <f>N51/N$32</f>
        <v>-2.7543492267867561E-2</v>
      </c>
      <c r="P81" s="195">
        <f>P51/P$32</f>
        <v>-2.7543490440363159E-2</v>
      </c>
      <c r="R81" s="195">
        <f>R51/R$32</f>
        <v>-2.7543480381213185E-2</v>
      </c>
      <c r="T81" s="195">
        <f>T51/T$32</f>
        <v>-2.7543467951654299E-2</v>
      </c>
      <c r="V81" s="195">
        <f>V51/V$32</f>
        <v>-2.7543496770317481E-2</v>
      </c>
      <c r="X81" s="195">
        <f>X51/X$32</f>
        <v>-2.7543481904962138E-2</v>
      </c>
      <c r="Z81" s="195">
        <f>Z51/Z$32</f>
        <v>-2.7543486648161714E-2</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0.13869190037292198</v>
      </c>
      <c r="F82" s="195">
        <f>F52/F$32</f>
        <v>0.13667827390323886</v>
      </c>
      <c r="H82" s="195">
        <f>H52/H$32</f>
        <v>0.1346587242252914</v>
      </c>
      <c r="J82" s="195">
        <f>J52/J$32</f>
        <v>0.1326369724820243</v>
      </c>
      <c r="L82" s="195">
        <f>L52/L$32</f>
        <v>0.130618259057867</v>
      </c>
      <c r="N82" s="195">
        <f>N52/N$32</f>
        <v>0.1286099436180112</v>
      </c>
      <c r="P82" s="195">
        <f>P52/P$32</f>
        <v>0.12662213487572063</v>
      </c>
      <c r="R82" s="195">
        <f>R52/R$32</f>
        <v>0.12466893096752286</v>
      </c>
      <c r="T82" s="195">
        <f>T52/T$32</f>
        <v>0.12277018362505708</v>
      </c>
      <c r="V82" s="195">
        <f>V52/V$32</f>
        <v>0.12095482061015383</v>
      </c>
      <c r="X82" s="195">
        <f>X52/X$32</f>
        <v>0.11926899182853339</v>
      </c>
      <c r="Z82" s="195">
        <f>Z52/Z$32</f>
        <v>0.11780109890001296</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0.18639381742394692</v>
      </c>
      <c r="F83" s="195">
        <f>F53/F$32</f>
        <v>0.18840744797385192</v>
      </c>
      <c r="H83" s="195">
        <f>H53/H$32</f>
        <v>0.1904269332699971</v>
      </c>
      <c r="J83" s="195">
        <f>J53/J$32</f>
        <v>0.19244868162208326</v>
      </c>
      <c r="L83" s="195">
        <f>L53/L$32</f>
        <v>0.19446751966202372</v>
      </c>
      <c r="N83" s="195">
        <f>N53/N$32</f>
        <v>0.19647584544407651</v>
      </c>
      <c r="P83" s="195">
        <f>P53/P$32</f>
        <v>0.19846364717860676</v>
      </c>
      <c r="R83" s="195">
        <f>R53/R$32</f>
        <v>0.20041677359240989</v>
      </c>
      <c r="T83" s="195">
        <f>T53/T$32</f>
        <v>0.20231538948916919</v>
      </c>
      <c r="V83" s="195">
        <f>V53/V$32</f>
        <v>0.20413106285326871</v>
      </c>
      <c r="X83" s="195">
        <f>X53/X$32</f>
        <v>0.20581670256913898</v>
      </c>
      <c r="Z83" s="195">
        <f>Z53/Z$32</f>
        <v>0.20728467368147349</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c r="B2" s="188">
        <v>5.7716594496607888E-3</v>
      </c>
      <c r="C2" s="189"/>
      <c r="D2" s="188">
        <v>4.7277520300705055E-2</v>
      </c>
      <c r="E2" s="189"/>
      <c r="F2" s="188">
        <v>9.2395738800707256E-2</v>
      </c>
      <c r="G2" s="189"/>
      <c r="H2" s="188">
        <v>0.14170320786651835</v>
      </c>
      <c r="I2" s="189"/>
      <c r="J2" s="188">
        <v>0.19591217686843618</v>
      </c>
      <c r="K2" s="189"/>
      <c r="L2" s="188">
        <v>0.25591744332239286</v>
      </c>
      <c r="M2" s="189"/>
      <c r="N2" s="188">
        <v>0.32286132689618297</v>
      </c>
      <c r="O2" s="189"/>
      <c r="P2" s="188">
        <v>0.39823377496238943</v>
      </c>
      <c r="Q2" s="189"/>
      <c r="R2" s="188">
        <v>0.48402562006860533</v>
      </c>
      <c r="S2" s="189"/>
      <c r="T2" s="188">
        <v>0.58297296222676409</v>
      </c>
      <c r="U2" s="189"/>
      <c r="V2" s="188">
        <v>0.69896495450229268</v>
      </c>
      <c r="W2" s="189"/>
      <c r="X2" s="188">
        <v>0.83775184300514982</v>
      </c>
      <c r="Y2" s="189"/>
      <c r="Z2" s="188">
        <v>1.0082482314391579</v>
      </c>
      <c r="AA2" s="189"/>
      <c r="AB2" s="188">
        <v>1.225072281475436</v>
      </c>
      <c r="AC2" s="189"/>
      <c r="AD2" s="188">
        <v>1.5138304836060432</v>
      </c>
      <c r="AE2" s="189"/>
      <c r="AF2" s="188">
        <v>1.9228675519694312</v>
      </c>
      <c r="AG2" s="189"/>
      <c r="AH2" s="188">
        <v>2.5504948050101985</v>
      </c>
      <c r="AI2" s="189"/>
      <c r="AJ2" s="188">
        <v>3.6041131059727207</v>
      </c>
      <c r="AK2" s="189"/>
      <c r="AL2" s="188">
        <v>5.4653836467725379</v>
      </c>
      <c r="AM2" s="189"/>
      <c r="AN2" s="188"/>
      <c r="AO2" s="189"/>
      <c r="AP2" s="188"/>
      <c r="AQ2" s="189"/>
      <c r="AR2" s="188"/>
      <c r="AS2" s="189"/>
      <c r="AT2" s="188"/>
      <c r="AU2" s="189"/>
      <c r="AV2" s="188"/>
      <c r="AW2" s="189"/>
    </row>
    <row r="3" spans="1:49" x14ac:dyDescent="0.2">
      <c r="B3" s="81">
        <v>1000</v>
      </c>
      <c r="C3" s="82">
        <v>1000</v>
      </c>
      <c r="D3" s="81">
        <v>999.01423101632031</v>
      </c>
      <c r="E3" s="82">
        <v>1018.1789441227874</v>
      </c>
      <c r="F3" s="81">
        <v>998.02595776298551</v>
      </c>
      <c r="G3" s="82">
        <v>1038.2724117051619</v>
      </c>
      <c r="H3" s="81">
        <v>997.0307486374785</v>
      </c>
      <c r="I3" s="82">
        <v>1060.6121677155716</v>
      </c>
      <c r="J3" s="81">
        <v>996.02374138356527</v>
      </c>
      <c r="K3" s="82">
        <v>1085.6093646599122</v>
      </c>
      <c r="L3" s="81">
        <v>994.99962330275355</v>
      </c>
      <c r="M3" s="82">
        <v>1113.7816656516486</v>
      </c>
      <c r="N3" s="81">
        <v>993.952620786323</v>
      </c>
      <c r="O3" s="82">
        <v>1145.7896112130916</v>
      </c>
      <c r="P3" s="81">
        <v>992.87664611345667</v>
      </c>
      <c r="Q3" s="82">
        <v>1182.4919377070712</v>
      </c>
      <c r="R3" s="81">
        <v>991.7656626642605</v>
      </c>
      <c r="S3" s="82">
        <v>1225.0283888976737</v>
      </c>
      <c r="T3" s="81">
        <v>990.61449473975381</v>
      </c>
      <c r="U3" s="82">
        <v>1274.9484176737972</v>
      </c>
      <c r="V3" s="81">
        <v>989.42049745593829</v>
      </c>
      <c r="W3" s="82">
        <v>1334.4207680076879</v>
      </c>
      <c r="X3" s="81">
        <v>988.18688574756231</v>
      </c>
      <c r="Y3" s="82">
        <v>1406.5868402528733</v>
      </c>
      <c r="Z3" s="81">
        <v>986.92933102423581</v>
      </c>
      <c r="AA3" s="82">
        <v>1496.1922519932177</v>
      </c>
      <c r="AB3" s="81">
        <v>985.68901073042218</v>
      </c>
      <c r="AC3" s="82">
        <v>1610.7766823055179</v>
      </c>
      <c r="AD3" s="81">
        <v>984.55831543992122</v>
      </c>
      <c r="AE3" s="82">
        <v>1763.0667163662099</v>
      </c>
      <c r="AF3" s="81">
        <v>983.72964825419479</v>
      </c>
      <c r="AG3" s="82">
        <v>1976.0861296899996</v>
      </c>
      <c r="AH3" s="81">
        <v>983.57298308282964</v>
      </c>
      <c r="AI3" s="82">
        <v>2294.4569170720733</v>
      </c>
      <c r="AJ3" s="81">
        <v>984.67210418668628</v>
      </c>
      <c r="AK3" s="82">
        <v>2807.475599999801</v>
      </c>
      <c r="AL3" s="81">
        <v>987.44968562415249</v>
      </c>
      <c r="AM3" s="82">
        <v>3670.4014984741525</v>
      </c>
      <c r="AN3" s="81"/>
      <c r="AO3" s="82"/>
      <c r="AP3" s="81"/>
      <c r="AQ3" s="82"/>
      <c r="AR3" s="81"/>
      <c r="AS3" s="82"/>
      <c r="AT3" s="81"/>
      <c r="AU3" s="82"/>
      <c r="AV3" s="81"/>
      <c r="AW3" s="82"/>
    </row>
    <row r="4" spans="1:49" x14ac:dyDescent="0.2">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B5" s="39">
        <v>1000</v>
      </c>
      <c r="C5" s="40">
        <v>1000</v>
      </c>
      <c r="D5" s="39">
        <v>998.96542512408382</v>
      </c>
      <c r="E5" s="40">
        <v>1015.822433558468</v>
      </c>
      <c r="F5" s="39">
        <v>997.92779110326126</v>
      </c>
      <c r="G5" s="40">
        <v>1032.9885120045242</v>
      </c>
      <c r="H5" s="39">
        <v>996.88243738551182</v>
      </c>
      <c r="I5" s="40">
        <v>1051.6793588513642</v>
      </c>
      <c r="J5" s="39">
        <v>995.82424286386981</v>
      </c>
      <c r="K5" s="40">
        <v>1072.1061833116917</v>
      </c>
      <c r="L5" s="39">
        <v>994.74760378189569</v>
      </c>
      <c r="M5" s="40">
        <v>1094.5166090403159</v>
      </c>
      <c r="N5" s="39">
        <v>993.6464213365889</v>
      </c>
      <c r="O5" s="40">
        <v>1119.201549833525</v>
      </c>
      <c r="P5" s="39">
        <v>992.51425448214195</v>
      </c>
      <c r="Q5" s="40">
        <v>1146.5036238728098</v>
      </c>
      <c r="R5" s="39">
        <v>991.34470290715171</v>
      </c>
      <c r="S5" s="40">
        <v>1176.8264850475412</v>
      </c>
      <c r="T5" s="39">
        <v>990.13225933005765</v>
      </c>
      <c r="U5" s="40">
        <v>1210.643851615961</v>
      </c>
      <c r="V5" s="39">
        <v>988.87407072506187</v>
      </c>
      <c r="W5" s="40">
        <v>1248.5066195187223</v>
      </c>
      <c r="X5" s="39">
        <v>987.57345512808979</v>
      </c>
      <c r="Y5" s="40">
        <v>1291.0411498635126</v>
      </c>
      <c r="Z5" s="39">
        <v>986.24687879936221</v>
      </c>
      <c r="AA5" s="40">
        <v>1338.9255223922321</v>
      </c>
      <c r="AB5" s="39">
        <v>984.93777050881295</v>
      </c>
      <c r="AC5" s="40">
        <v>1392.8050924028021</v>
      </c>
      <c r="AD5" s="39">
        <v>983.74374809576489</v>
      </c>
      <c r="AE5" s="40">
        <v>1453.0676212578749</v>
      </c>
      <c r="AF5" s="39">
        <v>982.86829335918662</v>
      </c>
      <c r="AG5" s="40">
        <v>1519.2686360216755</v>
      </c>
      <c r="AH5" s="39">
        <v>982.70274683025843</v>
      </c>
      <c r="AI5" s="40">
        <v>1588.8111448587572</v>
      </c>
      <c r="AJ5" s="39">
        <v>983.86393661653074</v>
      </c>
      <c r="AK5" s="40">
        <v>1654.6628517095437</v>
      </c>
      <c r="AL5" s="39">
        <v>986.79588137627286</v>
      </c>
      <c r="AM5" s="40">
        <v>1704.7935490934569</v>
      </c>
      <c r="AN5" s="39"/>
      <c r="AO5" s="40"/>
      <c r="AP5" s="39"/>
      <c r="AQ5" s="40"/>
      <c r="AR5" s="39"/>
      <c r="AS5" s="40"/>
      <c r="AT5" s="39"/>
      <c r="AU5" s="40"/>
      <c r="AV5" s="39"/>
      <c r="AW5" s="40"/>
    </row>
    <row r="6" spans="1:49" x14ac:dyDescent="0.2">
      <c r="B6" s="39">
        <v>999.99999999999943</v>
      </c>
      <c r="C6" s="40">
        <v>999.99999999999909</v>
      </c>
      <c r="D6" s="39">
        <v>998.88637861287361</v>
      </c>
      <c r="E6" s="40">
        <v>1019.5953828109306</v>
      </c>
      <c r="F6" s="39">
        <v>997.76964135379467</v>
      </c>
      <c r="G6" s="40">
        <v>1041.1936544010375</v>
      </c>
      <c r="H6" s="39">
        <v>996.64477510185441</v>
      </c>
      <c r="I6" s="40">
        <v>1065.1376295254688</v>
      </c>
      <c r="J6" s="39">
        <v>995.50627447771126</v>
      </c>
      <c r="K6" s="40">
        <v>1091.8515893496049</v>
      </c>
      <c r="L6" s="39">
        <v>994.348118619925</v>
      </c>
      <c r="M6" s="40">
        <v>1121.8691275121876</v>
      </c>
      <c r="N6" s="39">
        <v>993.16375835410315</v>
      </c>
      <c r="O6" s="40">
        <v>1155.8703825005955</v>
      </c>
      <c r="P6" s="39">
        <v>991.94628116986735</v>
      </c>
      <c r="Q6" s="40">
        <v>1194.7387687993403</v>
      </c>
      <c r="R6" s="39">
        <v>990.68882356254176</v>
      </c>
      <c r="S6" s="40">
        <v>1239.6458764257191</v>
      </c>
      <c r="T6" s="39">
        <v>989.38548741596696</v>
      </c>
      <c r="U6" s="40">
        <v>1292.1834136118921</v>
      </c>
      <c r="V6" s="39">
        <v>988.0332322762257</v>
      </c>
      <c r="W6" s="40">
        <v>1354.5781083148077</v>
      </c>
      <c r="X6" s="39">
        <v>986.63565149696547</v>
      </c>
      <c r="Y6" s="40">
        <v>1430.0540032478223</v>
      </c>
      <c r="Z6" s="39">
        <v>985.2104606744964</v>
      </c>
      <c r="AA6" s="40">
        <v>1523.4799993027543</v>
      </c>
      <c r="AB6" s="39">
        <v>983.80431963670867</v>
      </c>
      <c r="AC6" s="40">
        <v>1642.5896351368447</v>
      </c>
      <c r="AD6" s="39">
        <v>982.52204004819623</v>
      </c>
      <c r="AE6" s="40">
        <v>1800.4337723814158</v>
      </c>
      <c r="AF6" s="39">
        <v>981.58202395755927</v>
      </c>
      <c r="AG6" s="40">
        <v>2020.6175958528524</v>
      </c>
      <c r="AH6" s="39">
        <v>981.40428315707481</v>
      </c>
      <c r="AI6" s="40">
        <v>2348.879472310688</v>
      </c>
      <c r="AJ6" s="39">
        <v>982.65110181751095</v>
      </c>
      <c r="AK6" s="40">
        <v>2876.7307897630963</v>
      </c>
      <c r="AL6" s="39">
        <v>985.80023974035691</v>
      </c>
      <c r="AM6" s="40">
        <v>3763.2530908091007</v>
      </c>
      <c r="AN6" s="39"/>
      <c r="AO6" s="40"/>
      <c r="AP6" s="39"/>
      <c r="AQ6" s="40"/>
      <c r="AR6" s="39"/>
      <c r="AS6" s="40"/>
      <c r="AT6" s="39"/>
      <c r="AU6" s="40"/>
      <c r="AV6" s="39"/>
      <c r="AW6" s="40"/>
    </row>
    <row r="7" spans="1:49" x14ac:dyDescent="0.2">
      <c r="B7" s="31">
        <v>1015.9116825427475</v>
      </c>
      <c r="C7" s="32">
        <v>1015.9116825427475</v>
      </c>
      <c r="D7" s="31">
        <v>1014.860645839839</v>
      </c>
      <c r="E7" s="32">
        <v>1014.860645839839</v>
      </c>
      <c r="F7" s="31">
        <v>1013.8065013158815</v>
      </c>
      <c r="G7" s="32">
        <v>1013.8065013158815</v>
      </c>
      <c r="H7" s="31">
        <v>1012.7445142616303</v>
      </c>
      <c r="I7" s="32">
        <v>1012.7445142616303</v>
      </c>
      <c r="J7" s="31">
        <v>1011.6694820846916</v>
      </c>
      <c r="K7" s="32">
        <v>1011.6694820846916</v>
      </c>
      <c r="L7" s="31">
        <v>1010.5757118634319</v>
      </c>
      <c r="M7" s="32">
        <v>1010.5757118634319</v>
      </c>
      <c r="N7" s="31">
        <v>1009.4570077526338</v>
      </c>
      <c r="O7" s="32">
        <v>1009.4570077526338</v>
      </c>
      <c r="P7" s="31">
        <v>1008.3068262186134</v>
      </c>
      <c r="Q7" s="32">
        <v>1008.3068262186134</v>
      </c>
      <c r="R7" s="31">
        <v>1007.1186651102446</v>
      </c>
      <c r="S7" s="32">
        <v>1007.1186651102446</v>
      </c>
      <c r="T7" s="31">
        <v>1005.8869295158509</v>
      </c>
      <c r="U7" s="32">
        <v>1005.8869295158509</v>
      </c>
      <c r="V7" s="31">
        <v>1004.6087210131934</v>
      </c>
      <c r="W7" s="32">
        <v>1004.6087210131934</v>
      </c>
      <c r="X7" s="31">
        <v>1003.2874104337321</v>
      </c>
      <c r="Y7" s="32">
        <v>1003.2874104337321</v>
      </c>
      <c r="Z7" s="31">
        <v>1001.9397260435932</v>
      </c>
      <c r="AA7" s="32">
        <v>1001.9397260435932</v>
      </c>
      <c r="AB7" s="31">
        <v>1000.6097876375106</v>
      </c>
      <c r="AC7" s="32">
        <v>1000.6097876375106</v>
      </c>
      <c r="AD7" s="31">
        <v>999.39676631887721</v>
      </c>
      <c r="AE7" s="32">
        <v>999.39676631887721</v>
      </c>
      <c r="AF7" s="31">
        <v>998.50738162444998</v>
      </c>
      <c r="AG7" s="32">
        <v>998.50738162444998</v>
      </c>
      <c r="AH7" s="31">
        <v>998.33920097170744</v>
      </c>
      <c r="AI7" s="32">
        <v>998.33920097170744</v>
      </c>
      <c r="AJ7" s="31">
        <v>999.51886724123074</v>
      </c>
      <c r="AK7" s="32">
        <v>999.51886724123074</v>
      </c>
      <c r="AL7" s="31">
        <v>1002.4974641752228</v>
      </c>
      <c r="AM7" s="32">
        <v>1002.4974641752228</v>
      </c>
      <c r="AN7" s="31"/>
      <c r="AO7" s="32"/>
      <c r="AP7" s="31"/>
      <c r="AQ7" s="32"/>
      <c r="AR7" s="31"/>
      <c r="AS7" s="32"/>
      <c r="AT7" s="31"/>
      <c r="AU7" s="32"/>
      <c r="AV7" s="31"/>
      <c r="AW7" s="32"/>
    </row>
    <row r="8" spans="1:49" x14ac:dyDescent="0.2">
      <c r="B8" s="33">
        <v>1005.7716594496609</v>
      </c>
      <c r="C8" s="34">
        <v>1005.7716594496609</v>
      </c>
      <c r="D8" s="33">
        <v>1063.84799928294</v>
      </c>
      <c r="E8" s="34">
        <v>1063.84799928294</v>
      </c>
      <c r="F8" s="33">
        <v>1128.4322487438255</v>
      </c>
      <c r="G8" s="34">
        <v>1128.4322487438255</v>
      </c>
      <c r="H8" s="33">
        <v>1200.7056976476058</v>
      </c>
      <c r="I8" s="34">
        <v>1200.7056976476058</v>
      </c>
      <c r="J8" s="33">
        <v>1282.1448395183959</v>
      </c>
      <c r="K8" s="34">
        <v>1282.1448395183959</v>
      </c>
      <c r="L8" s="33">
        <v>1374.6225012998084</v>
      </c>
      <c r="M8" s="34">
        <v>1374.6225012998084</v>
      </c>
      <c r="N8" s="33">
        <v>1480.5484472770413</v>
      </c>
      <c r="O8" s="34">
        <v>1480.5484472770413</v>
      </c>
      <c r="P8" s="33">
        <v>1603.0800900157383</v>
      </c>
      <c r="Q8" s="34">
        <v>1603.0800900157383</v>
      </c>
      <c r="R8" s="33">
        <v>1746.4406541858345</v>
      </c>
      <c r="S8" s="34">
        <v>1746.4406541858345</v>
      </c>
      <c r="T8" s="33">
        <v>1916.4164839941368</v>
      </c>
      <c r="U8" s="34">
        <v>1916.4164839941368</v>
      </c>
      <c r="V8" s="33">
        <v>2121.1689920264375</v>
      </c>
      <c r="W8" s="34">
        <v>2121.1689920264375</v>
      </c>
      <c r="X8" s="33">
        <v>2372.6132525571579</v>
      </c>
      <c r="Y8" s="34">
        <v>2372.6132525571579</v>
      </c>
      <c r="Z8" s="33">
        <v>2688.8948123729506</v>
      </c>
      <c r="AA8" s="34">
        <v>2688.8948123729506</v>
      </c>
      <c r="AB8" s="33">
        <v>3099.0920046033079</v>
      </c>
      <c r="AC8" s="34">
        <v>3099.0920046033079</v>
      </c>
      <c r="AD8" s="33">
        <v>3652.7656810589665</v>
      </c>
      <c r="AE8" s="34">
        <v>3652.7656810589665</v>
      </c>
      <c r="AF8" s="33">
        <v>4440.6209989526114</v>
      </c>
      <c r="AG8" s="34">
        <v>4440.6209989526114</v>
      </c>
      <c r="AH8" s="33">
        <v>5641.0657159633238</v>
      </c>
      <c r="AI8" s="34">
        <v>5641.0657159633238</v>
      </c>
      <c r="AJ8" s="33">
        <v>7618.2549215221061</v>
      </c>
      <c r="AK8" s="34">
        <v>7618.2549215221061</v>
      </c>
      <c r="AL8" s="33">
        <v>11022.144333432152</v>
      </c>
      <c r="AM8" s="34">
        <v>11022.144333432152</v>
      </c>
      <c r="AN8" s="33"/>
      <c r="AO8" s="34"/>
      <c r="AP8" s="33"/>
      <c r="AQ8" s="34"/>
      <c r="AR8" s="33"/>
      <c r="AS8" s="34"/>
      <c r="AT8" s="33"/>
      <c r="AU8" s="34"/>
      <c r="AV8" s="33"/>
      <c r="AW8" s="34"/>
    </row>
    <row r="9" spans="1:49" x14ac:dyDescent="0.2">
      <c r="B9" s="39">
        <v>1015.9116825427475</v>
      </c>
      <c r="C9" s="40">
        <v>1005.7716594496609</v>
      </c>
      <c r="D9" s="39">
        <v>1014.860645839839</v>
      </c>
      <c r="E9" s="40">
        <v>1063.84799928294</v>
      </c>
      <c r="F9" s="39">
        <v>1013.8065013158815</v>
      </c>
      <c r="G9" s="40">
        <v>1128.4322487438255</v>
      </c>
      <c r="H9" s="39">
        <v>1012.7445142616303</v>
      </c>
      <c r="I9" s="40">
        <v>1200.7056976476058</v>
      </c>
      <c r="J9" s="39">
        <v>1011.6694820846916</v>
      </c>
      <c r="K9" s="40">
        <v>1282.1448395183959</v>
      </c>
      <c r="L9" s="39">
        <v>1010.5757118634319</v>
      </c>
      <c r="M9" s="40">
        <v>1374.6225012998084</v>
      </c>
      <c r="N9" s="39">
        <v>1009.4570077526338</v>
      </c>
      <c r="O9" s="40">
        <v>1480.5484472770413</v>
      </c>
      <c r="P9" s="39">
        <v>1008.3068262186134</v>
      </c>
      <c r="Q9" s="40">
        <v>1603.0800900157383</v>
      </c>
      <c r="R9" s="39">
        <v>1007.1186651102446</v>
      </c>
      <c r="S9" s="40">
        <v>1746.4406541858345</v>
      </c>
      <c r="T9" s="39">
        <v>1005.8869295158509</v>
      </c>
      <c r="U9" s="40">
        <v>1916.4164839941368</v>
      </c>
      <c r="V9" s="39">
        <v>1004.6087210131934</v>
      </c>
      <c r="W9" s="40">
        <v>2121.1689920264375</v>
      </c>
      <c r="X9" s="39">
        <v>1003.2874104337321</v>
      </c>
      <c r="Y9" s="40">
        <v>2372.6132525571579</v>
      </c>
      <c r="Z9" s="39">
        <v>1001.9397260435932</v>
      </c>
      <c r="AA9" s="40">
        <v>2688.8948123729506</v>
      </c>
      <c r="AB9" s="39">
        <v>1000.6097876375106</v>
      </c>
      <c r="AC9" s="40">
        <v>3099.0920046033079</v>
      </c>
      <c r="AD9" s="39">
        <v>999.39676631887721</v>
      </c>
      <c r="AE9" s="40">
        <v>3652.7656810589665</v>
      </c>
      <c r="AF9" s="39">
        <v>998.50738162444998</v>
      </c>
      <c r="AG9" s="40">
        <v>4440.6209989526114</v>
      </c>
      <c r="AH9" s="39">
        <v>998.33920097170744</v>
      </c>
      <c r="AI9" s="40">
        <v>5641.0657159633238</v>
      </c>
      <c r="AJ9" s="39">
        <v>999.51886724123074</v>
      </c>
      <c r="AK9" s="40">
        <v>7618.2549215221061</v>
      </c>
      <c r="AL9" s="39">
        <v>1002.4974641752228</v>
      </c>
      <c r="AM9" s="40">
        <v>11022.144333432152</v>
      </c>
      <c r="AN9" s="39"/>
      <c r="AO9" s="40"/>
      <c r="AP9" s="39"/>
      <c r="AQ9" s="40"/>
      <c r="AR9" s="39"/>
      <c r="AS9" s="40"/>
      <c r="AT9" s="39"/>
      <c r="AU9" s="40"/>
      <c r="AV9" s="39"/>
      <c r="AW9" s="40"/>
    </row>
    <row r="10" spans="1:49" x14ac:dyDescent="0.2">
      <c r="B10" s="39">
        <v>1015.9116825427475</v>
      </c>
      <c r="C10" s="40">
        <v>1005.7716594496609</v>
      </c>
      <c r="D10" s="39">
        <v>1014.860645839839</v>
      </c>
      <c r="E10" s="40">
        <v>1063.84799928294</v>
      </c>
      <c r="F10" s="39">
        <v>1013.8065013158815</v>
      </c>
      <c r="G10" s="40">
        <v>1128.4322487438255</v>
      </c>
      <c r="H10" s="39">
        <v>1012.7445142616303</v>
      </c>
      <c r="I10" s="40">
        <v>1200.7056976476058</v>
      </c>
      <c r="J10" s="39">
        <v>1011.6694820846916</v>
      </c>
      <c r="K10" s="40">
        <v>1282.1448395183959</v>
      </c>
      <c r="L10" s="39">
        <v>1010.5757118634319</v>
      </c>
      <c r="M10" s="40">
        <v>1374.6225012998084</v>
      </c>
      <c r="N10" s="39">
        <v>1009.4570077526338</v>
      </c>
      <c r="O10" s="40">
        <v>1480.5484472770413</v>
      </c>
      <c r="P10" s="39">
        <v>1008.3068262186134</v>
      </c>
      <c r="Q10" s="40">
        <v>1603.0800900157383</v>
      </c>
      <c r="R10" s="39">
        <v>1007.1186651102446</v>
      </c>
      <c r="S10" s="40">
        <v>1746.4406541858345</v>
      </c>
      <c r="T10" s="39">
        <v>1005.8869295158509</v>
      </c>
      <c r="U10" s="40">
        <v>1916.4164839941368</v>
      </c>
      <c r="V10" s="39">
        <v>1004.6087210131934</v>
      </c>
      <c r="W10" s="40">
        <v>2121.1689920264375</v>
      </c>
      <c r="X10" s="39">
        <v>1003.2874104337321</v>
      </c>
      <c r="Y10" s="40">
        <v>2372.6132525571579</v>
      </c>
      <c r="Z10" s="39">
        <v>1001.9397260435932</v>
      </c>
      <c r="AA10" s="40">
        <v>2688.8948123729506</v>
      </c>
      <c r="AB10" s="39">
        <v>1000.6097876375106</v>
      </c>
      <c r="AC10" s="40">
        <v>3099.0920046033079</v>
      </c>
      <c r="AD10" s="39">
        <v>999.39676631887721</v>
      </c>
      <c r="AE10" s="40">
        <v>3652.7656810589665</v>
      </c>
      <c r="AF10" s="39">
        <v>998.50738162444998</v>
      </c>
      <c r="AG10" s="40">
        <v>4440.6209989526114</v>
      </c>
      <c r="AH10" s="39">
        <v>998.33920097170744</v>
      </c>
      <c r="AI10" s="40">
        <v>5641.0657159633238</v>
      </c>
      <c r="AJ10" s="39">
        <v>999.51886724123074</v>
      </c>
      <c r="AK10" s="40">
        <v>7618.2549215221061</v>
      </c>
      <c r="AL10" s="39">
        <v>1002.4974641752228</v>
      </c>
      <c r="AM10" s="40">
        <v>11022.144333432152</v>
      </c>
      <c r="AN10" s="39"/>
      <c r="AO10" s="40"/>
      <c r="AP10" s="39"/>
      <c r="AQ10" s="40"/>
      <c r="AR10" s="39"/>
      <c r="AS10" s="40"/>
      <c r="AT10" s="39"/>
      <c r="AU10" s="40"/>
      <c r="AV10" s="39"/>
      <c r="AW10" s="40"/>
    </row>
    <row r="11" spans="1:49" x14ac:dyDescent="0.2">
      <c r="B11" s="39">
        <v>1015.9116825427475</v>
      </c>
      <c r="C11" s="40">
        <v>1005.7716594496609</v>
      </c>
      <c r="D11" s="39">
        <v>1014.860645839839</v>
      </c>
      <c r="E11" s="40">
        <v>1063.84799928294</v>
      </c>
      <c r="F11" s="39">
        <v>1013.8065013158815</v>
      </c>
      <c r="G11" s="40">
        <v>1128.4322487438255</v>
      </c>
      <c r="H11" s="39">
        <v>1012.7445142616303</v>
      </c>
      <c r="I11" s="40">
        <v>1200.7056976476058</v>
      </c>
      <c r="J11" s="39">
        <v>1011.6694820846916</v>
      </c>
      <c r="K11" s="40">
        <v>1282.1448395183959</v>
      </c>
      <c r="L11" s="39">
        <v>1010.5757118634319</v>
      </c>
      <c r="M11" s="40">
        <v>1374.6225012998084</v>
      </c>
      <c r="N11" s="39">
        <v>1009.4570077526338</v>
      </c>
      <c r="O11" s="40">
        <v>1480.5484472770413</v>
      </c>
      <c r="P11" s="39">
        <v>1008.3068262186134</v>
      </c>
      <c r="Q11" s="40">
        <v>1603.0800900157383</v>
      </c>
      <c r="R11" s="39">
        <v>1007.1186651102446</v>
      </c>
      <c r="S11" s="40">
        <v>1746.4406541858345</v>
      </c>
      <c r="T11" s="39">
        <v>1005.8869295158509</v>
      </c>
      <c r="U11" s="40">
        <v>1916.4164839941368</v>
      </c>
      <c r="V11" s="39">
        <v>1004.6087210131934</v>
      </c>
      <c r="W11" s="40">
        <v>2121.1689920264375</v>
      </c>
      <c r="X11" s="39">
        <v>1003.2874104337321</v>
      </c>
      <c r="Y11" s="40">
        <v>2372.6132525571579</v>
      </c>
      <c r="Z11" s="39">
        <v>1001.9397260435932</v>
      </c>
      <c r="AA11" s="40">
        <v>2688.8948123729506</v>
      </c>
      <c r="AB11" s="39">
        <v>1000.6097876375106</v>
      </c>
      <c r="AC11" s="40">
        <v>3099.0920046033079</v>
      </c>
      <c r="AD11" s="39">
        <v>999.39676631887721</v>
      </c>
      <c r="AE11" s="40">
        <v>3652.7656810589665</v>
      </c>
      <c r="AF11" s="39">
        <v>998.50738162444998</v>
      </c>
      <c r="AG11" s="40">
        <v>4440.6209989526114</v>
      </c>
      <c r="AH11" s="39">
        <v>998.33920097170744</v>
      </c>
      <c r="AI11" s="40">
        <v>5641.0657159633238</v>
      </c>
      <c r="AJ11" s="39">
        <v>999.51886724123074</v>
      </c>
      <c r="AK11" s="40">
        <v>7618.2549215221061</v>
      </c>
      <c r="AL11" s="39">
        <v>1002.4974641752228</v>
      </c>
      <c r="AM11" s="40">
        <v>11022.144333432152</v>
      </c>
      <c r="AN11" s="39"/>
      <c r="AO11" s="40"/>
      <c r="AP11" s="39"/>
      <c r="AQ11" s="40"/>
      <c r="AR11" s="39"/>
      <c r="AS11" s="40"/>
      <c r="AT11" s="39"/>
      <c r="AU11" s="40"/>
      <c r="AV11" s="39"/>
      <c r="AW11" s="40"/>
    </row>
    <row r="12" spans="1:49" x14ac:dyDescent="0.2">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B13" s="93">
        <v>1000</v>
      </c>
      <c r="C13" s="94">
        <v>1000</v>
      </c>
      <c r="D13" s="93">
        <v>1002.0641834362796</v>
      </c>
      <c r="E13" s="94">
        <v>1002.0641834362796</v>
      </c>
      <c r="F13" s="93">
        <v>1004.2573298869587</v>
      </c>
      <c r="G13" s="94">
        <v>1004.2573298869587</v>
      </c>
      <c r="H13" s="93">
        <v>1006.6050978926542</v>
      </c>
      <c r="I13" s="94">
        <v>1006.6050978926542</v>
      </c>
      <c r="J13" s="93">
        <v>1009.1399175084706</v>
      </c>
      <c r="K13" s="94">
        <v>1009.1399175084706</v>
      </c>
      <c r="L13" s="93">
        <v>1011.9034632896403</v>
      </c>
      <c r="M13" s="94">
        <v>1011.9034632896403</v>
      </c>
      <c r="N13" s="93">
        <v>1014.9502129280868</v>
      </c>
      <c r="O13" s="94">
        <v>1014.9502129280868</v>
      </c>
      <c r="P13" s="93">
        <v>1018.3527981297539</v>
      </c>
      <c r="Q13" s="94">
        <v>1018.3527981297539</v>
      </c>
      <c r="R13" s="93">
        <v>1022.2102332376182</v>
      </c>
      <c r="S13" s="94">
        <v>1022.2102332376182</v>
      </c>
      <c r="T13" s="93">
        <v>1026.6609308011055</v>
      </c>
      <c r="U13" s="94">
        <v>1026.6609308011055</v>
      </c>
      <c r="V13" s="93">
        <v>1031.9041455161719</v>
      </c>
      <c r="W13" s="94">
        <v>1031.9041455161719</v>
      </c>
      <c r="X13" s="93">
        <v>1038.2365558425238</v>
      </c>
      <c r="Y13" s="94">
        <v>1038.2365558425238</v>
      </c>
      <c r="Z13" s="93">
        <v>1046.1178421411259</v>
      </c>
      <c r="AA13" s="94">
        <v>1046.1178421411259</v>
      </c>
      <c r="AB13" s="93">
        <v>1056.2939812185994</v>
      </c>
      <c r="AC13" s="94">
        <v>1056.2939812185994</v>
      </c>
      <c r="AD13" s="93">
        <v>1070.0419289093395</v>
      </c>
      <c r="AE13" s="94">
        <v>1070.0419289093395</v>
      </c>
      <c r="AF13" s="93">
        <v>1089.6770540707009</v>
      </c>
      <c r="AG13" s="94">
        <v>1089.6770540707009</v>
      </c>
      <c r="AH13" s="93">
        <v>1119.6094021451909</v>
      </c>
      <c r="AI13" s="94">
        <v>1119.6094021451909</v>
      </c>
      <c r="AJ13" s="93">
        <v>1168.2123787525984</v>
      </c>
      <c r="AK13" s="94">
        <v>1168.2123787525984</v>
      </c>
      <c r="AL13" s="93">
        <v>1248.240904117207</v>
      </c>
      <c r="AM13" s="94">
        <v>1248.240904117207</v>
      </c>
      <c r="AN13" s="93"/>
      <c r="AO13" s="94"/>
      <c r="AP13" s="93"/>
      <c r="AQ13" s="94"/>
      <c r="AR13" s="93"/>
      <c r="AS13" s="94"/>
      <c r="AT13" s="93"/>
      <c r="AU13" s="94"/>
      <c r="AV13" s="93"/>
      <c r="AW13" s="94"/>
    </row>
    <row r="14" spans="1:49" x14ac:dyDescent="0.2">
      <c r="B14" s="39">
        <v>1457.0034251455234</v>
      </c>
      <c r="C14" s="40">
        <v>1457.0034251455236</v>
      </c>
      <c r="D14" s="39">
        <v>1460.0109474823112</v>
      </c>
      <c r="E14" s="40">
        <v>1460.0109474823114</v>
      </c>
      <c r="F14" s="39">
        <v>1463.2063693727964</v>
      </c>
      <c r="G14" s="40">
        <v>1463.2063693727966</v>
      </c>
      <c r="H14" s="39">
        <v>1466.6270753985418</v>
      </c>
      <c r="I14" s="40">
        <v>1466.627075398542</v>
      </c>
      <c r="J14" s="39">
        <v>1470.3203162609125</v>
      </c>
      <c r="K14" s="40">
        <v>1470.3203162609127</v>
      </c>
      <c r="L14" s="39">
        <v>1474.3468119296231</v>
      </c>
      <c r="M14" s="40">
        <v>1474.3468119296233</v>
      </c>
      <c r="N14" s="39">
        <v>1478.7859365884005</v>
      </c>
      <c r="O14" s="40">
        <v>1478.7859365884008</v>
      </c>
      <c r="P14" s="39">
        <v>1483.7435148815789</v>
      </c>
      <c r="Q14" s="40">
        <v>1483.7435148815791</v>
      </c>
      <c r="R14" s="39">
        <v>1489.363811046014</v>
      </c>
      <c r="S14" s="40">
        <v>1489.3638110460142</v>
      </c>
      <c r="T14" s="39">
        <v>1495.8484926403016</v>
      </c>
      <c r="U14" s="40">
        <v>1495.8484926403019</v>
      </c>
      <c r="V14" s="39">
        <v>1503.4878744389268</v>
      </c>
      <c r="W14" s="40">
        <v>1503.4878744389271</v>
      </c>
      <c r="X14" s="39">
        <v>1512.7142179738485</v>
      </c>
      <c r="Y14" s="40">
        <v>1512.7142179738487</v>
      </c>
      <c r="Z14" s="39">
        <v>1524.1972791054643</v>
      </c>
      <c r="AA14" s="40">
        <v>1524.1972791054645</v>
      </c>
      <c r="AB14" s="39">
        <v>1539.0239485961004</v>
      </c>
      <c r="AC14" s="40">
        <v>1539.0239485961006</v>
      </c>
      <c r="AD14" s="39">
        <v>1559.0547554702302</v>
      </c>
      <c r="AE14" s="40">
        <v>1559.0547554702305</v>
      </c>
      <c r="AF14" s="39">
        <v>1587.6632000834948</v>
      </c>
      <c r="AG14" s="40">
        <v>1587.663200083495</v>
      </c>
      <c r="AH14" s="39">
        <v>1631.2747337506746</v>
      </c>
      <c r="AI14" s="40">
        <v>1631.2747337506748</v>
      </c>
      <c r="AJ14" s="39">
        <v>1702.0894371399352</v>
      </c>
      <c r="AK14" s="40">
        <v>1702.0894371399354</v>
      </c>
      <c r="AL14" s="39">
        <v>1818.6912727055153</v>
      </c>
      <c r="AM14" s="40">
        <v>1818.6912727055155</v>
      </c>
      <c r="AN14" s="39"/>
      <c r="AO14" s="40"/>
      <c r="AP14" s="39"/>
      <c r="AQ14" s="40"/>
      <c r="AR14" s="39"/>
      <c r="AS14" s="40"/>
      <c r="AT14" s="39"/>
      <c r="AU14" s="40"/>
      <c r="AV14" s="39"/>
      <c r="AW14" s="40"/>
    </row>
    <row r="15" spans="1:49" x14ac:dyDescent="0.2">
      <c r="B15" s="144">
        <v>1000</v>
      </c>
      <c r="C15" s="145">
        <v>1000</v>
      </c>
      <c r="D15" s="144">
        <v>990.1718836704606</v>
      </c>
      <c r="E15" s="145">
        <v>990.1718836704606</v>
      </c>
      <c r="F15" s="144">
        <v>979.67217456638127</v>
      </c>
      <c r="G15" s="145">
        <v>979.67217456638127</v>
      </c>
      <c r="H15" s="144">
        <v>968.4262744232268</v>
      </c>
      <c r="I15" s="145">
        <v>968.4262744232268</v>
      </c>
      <c r="J15" s="144">
        <v>956.34019708331607</v>
      </c>
      <c r="K15" s="145">
        <v>956.34019708331607</v>
      </c>
      <c r="L15" s="144">
        <v>943.2952916994393</v>
      </c>
      <c r="M15" s="145">
        <v>943.2952916994393</v>
      </c>
      <c r="N15" s="144">
        <v>929.14069128166454</v>
      </c>
      <c r="O15" s="145">
        <v>929.14069128166454</v>
      </c>
      <c r="P15" s="144">
        <v>913.68256095620598</v>
      </c>
      <c r="Q15" s="145">
        <v>913.68256095620598</v>
      </c>
      <c r="R15" s="144">
        <v>896.66813482833663</v>
      </c>
      <c r="S15" s="145">
        <v>896.66813482833663</v>
      </c>
      <c r="T15" s="144">
        <v>877.76151831491484</v>
      </c>
      <c r="U15" s="145">
        <v>877.76151831491484</v>
      </c>
      <c r="V15" s="144">
        <v>856.5053842895494</v>
      </c>
      <c r="W15" s="145">
        <v>856.5053842895494</v>
      </c>
      <c r="X15" s="144">
        <v>832.25841848406549</v>
      </c>
      <c r="Y15" s="145">
        <v>832.25841848406549</v>
      </c>
      <c r="Z15" s="144">
        <v>804.0879468858426</v>
      </c>
      <c r="AA15" s="145">
        <v>804.0879468858426</v>
      </c>
      <c r="AB15" s="144">
        <v>770.57761061389795</v>
      </c>
      <c r="AC15" s="145">
        <v>770.57761061389795</v>
      </c>
      <c r="AD15" s="144">
        <v>729.46602858711788</v>
      </c>
      <c r="AE15" s="145">
        <v>729.46602858711788</v>
      </c>
      <c r="AF15" s="144">
        <v>676.9496462257481</v>
      </c>
      <c r="AG15" s="145">
        <v>676.9496462257481</v>
      </c>
      <c r="AH15" s="144">
        <v>606.38236937455179</v>
      </c>
      <c r="AI15" s="145">
        <v>606.38236937455179</v>
      </c>
      <c r="AJ15" s="144">
        <v>506.47612277082158</v>
      </c>
      <c r="AK15" s="145">
        <v>506.47612277082158</v>
      </c>
      <c r="AL15" s="144">
        <v>362.79955679192642</v>
      </c>
      <c r="AM15" s="145">
        <v>362.79955679192642</v>
      </c>
      <c r="AN15" s="144"/>
      <c r="AO15" s="145"/>
      <c r="AP15" s="144"/>
      <c r="AQ15" s="145"/>
      <c r="AR15" s="144"/>
      <c r="AS15" s="145"/>
      <c r="AT15" s="144"/>
      <c r="AU15" s="145"/>
      <c r="AV15" s="144"/>
      <c r="AW15" s="145"/>
    </row>
    <row r="16" spans="1:49" s="27" customFormat="1" x14ac:dyDescent="0.2">
      <c r="A16"/>
      <c r="B16" s="39">
        <v>1000</v>
      </c>
      <c r="C16" s="40">
        <v>1000</v>
      </c>
      <c r="D16" s="39">
        <v>996.5408023816525</v>
      </c>
      <c r="E16" s="40">
        <v>993.58350827149536</v>
      </c>
      <c r="F16" s="39">
        <v>992.88605678852377</v>
      </c>
      <c r="G16" s="40">
        <v>986.75320676859701</v>
      </c>
      <c r="H16" s="39">
        <v>989.00267858747588</v>
      </c>
      <c r="I16" s="40">
        <v>979.45528425593614</v>
      </c>
      <c r="J16" s="39">
        <v>984.85123834346348</v>
      </c>
      <c r="K16" s="40">
        <v>971.62358374542271</v>
      </c>
      <c r="L16" s="39">
        <v>980.38415263642912</v>
      </c>
      <c r="M16" s="40">
        <v>963.17635922425939</v>
      </c>
      <c r="N16" s="39">
        <v>975.54329465710464</v>
      </c>
      <c r="O16" s="40">
        <v>954.01130388035926</v>
      </c>
      <c r="P16" s="39">
        <v>970.25665559956917</v>
      </c>
      <c r="Q16" s="40">
        <v>943.99890903610697</v>
      </c>
      <c r="R16" s="39">
        <v>964.43362377070537</v>
      </c>
      <c r="S16" s="40">
        <v>932.97265798590388</v>
      </c>
      <c r="T16" s="39">
        <v>957.95812038797487</v>
      </c>
      <c r="U16" s="40">
        <v>920.71433223714234</v>
      </c>
      <c r="V16" s="39">
        <v>950.67816933565189</v>
      </c>
      <c r="W16" s="40">
        <v>906.93117054293441</v>
      </c>
      <c r="X16" s="39">
        <v>942.38953951190956</v>
      </c>
      <c r="Y16" s="40">
        <v>891.21904515060021</v>
      </c>
      <c r="Z16" s="39">
        <v>932.80863861431249</v>
      </c>
      <c r="AA16" s="40">
        <v>873.00025163308919</v>
      </c>
      <c r="AB16" s="39">
        <v>921.52539494058806</v>
      </c>
      <c r="AC16" s="40">
        <v>851.41372905271112</v>
      </c>
      <c r="AD16" s="39">
        <v>907.91631920475731</v>
      </c>
      <c r="AE16" s="40">
        <v>825.11240115342446</v>
      </c>
      <c r="AF16" s="39">
        <v>890.97704914591657</v>
      </c>
      <c r="AG16" s="40">
        <v>791.88151864839301</v>
      </c>
      <c r="AH16" s="39">
        <v>869.0012449547487</v>
      </c>
      <c r="AI16" s="40">
        <v>747.96398001998898</v>
      </c>
      <c r="AJ16" s="39">
        <v>839.09655306972809</v>
      </c>
      <c r="AK16" s="40">
        <v>687.36769935172106</v>
      </c>
      <c r="AL16" s="39">
        <v>797.5970345186779</v>
      </c>
      <c r="AM16" s="40">
        <v>605.33613014625951</v>
      </c>
      <c r="AN16" s="39"/>
      <c r="AO16" s="40"/>
      <c r="AP16" s="39"/>
      <c r="AQ16" s="40"/>
      <c r="AR16" s="39"/>
      <c r="AS16" s="40"/>
      <c r="AT16" s="39"/>
      <c r="AU16" s="40"/>
      <c r="AV16" s="39"/>
      <c r="AW16" s="40"/>
    </row>
    <row r="17" spans="2:49" x14ac:dyDescent="0.2">
      <c r="B17" s="33">
        <v>1000.0000000000002</v>
      </c>
      <c r="C17" s="34">
        <v>999.99999999999977</v>
      </c>
      <c r="D17" s="33">
        <v>999.05962142455348</v>
      </c>
      <c r="E17" s="34">
        <v>1027.6004752725828</v>
      </c>
      <c r="F17" s="33">
        <v>998.11725682184147</v>
      </c>
      <c r="G17" s="34">
        <v>1058.160687228491</v>
      </c>
      <c r="H17" s="33">
        <v>997.16868893574247</v>
      </c>
      <c r="I17" s="34">
        <v>1092.2074128725189</v>
      </c>
      <c r="J17" s="33">
        <v>996.20928966728513</v>
      </c>
      <c r="K17" s="34">
        <v>1130.3959603726648</v>
      </c>
      <c r="L17" s="33">
        <v>995.23402686532711</v>
      </c>
      <c r="M17" s="34">
        <v>1173.5540836193004</v>
      </c>
      <c r="N17" s="33">
        <v>994.23742778160431</v>
      </c>
      <c r="O17" s="34">
        <v>1222.7423071304606</v>
      </c>
      <c r="P17" s="33">
        <v>993.21373242262439</v>
      </c>
      <c r="Q17" s="34">
        <v>1279.3446984941329</v>
      </c>
      <c r="R17" s="33">
        <v>992.15724369230884</v>
      </c>
      <c r="S17" s="34">
        <v>1345.2055166994523</v>
      </c>
      <c r="T17" s="33">
        <v>991.06309287324768</v>
      </c>
      <c r="U17" s="34">
        <v>1422.8423631128765</v>
      </c>
      <c r="V17" s="33">
        <v>989.92883411933303</v>
      </c>
      <c r="W17" s="34">
        <v>1515.7937142481458</v>
      </c>
      <c r="X17" s="33">
        <v>988.75757926940594</v>
      </c>
      <c r="Y17" s="34">
        <v>1629.2076268052529</v>
      </c>
      <c r="Z17" s="33">
        <v>987.56426992533068</v>
      </c>
      <c r="AA17" s="34">
        <v>1770.897353419381</v>
      </c>
      <c r="AB17" s="33">
        <v>986.38798306077399</v>
      </c>
      <c r="AC17" s="34">
        <v>1953.3397467260495</v>
      </c>
      <c r="AD17" s="33">
        <v>985.31623817385491</v>
      </c>
      <c r="AE17" s="34">
        <v>2197.7207288537988</v>
      </c>
      <c r="AF17" s="33">
        <v>984.53113258073063</v>
      </c>
      <c r="AG17" s="34">
        <v>2542.6513828207285</v>
      </c>
      <c r="AH17" s="33">
        <v>984.38273607423264</v>
      </c>
      <c r="AI17" s="34">
        <v>3063.7027625992464</v>
      </c>
      <c r="AJ17" s="33">
        <v>985.42407059765742</v>
      </c>
      <c r="AK17" s="34">
        <v>3914.2617038601461</v>
      </c>
      <c r="AL17" s="33">
        <v>988.05795674757894</v>
      </c>
      <c r="AM17" s="34">
        <v>5367.2331565989916</v>
      </c>
      <c r="AN17" s="33"/>
      <c r="AO17" s="34"/>
      <c r="AP17" s="33"/>
      <c r="AQ17" s="34"/>
      <c r="AR17" s="33"/>
      <c r="AS17" s="34"/>
      <c r="AT17" s="33"/>
      <c r="AU17" s="34"/>
      <c r="AV17" s="33"/>
      <c r="AW17" s="34"/>
    </row>
    <row r="18" spans="2:49" x14ac:dyDescent="0.2">
      <c r="B18" s="31">
        <v>27857.010133999996</v>
      </c>
      <c r="C18" s="32">
        <v>1236.7674480000003</v>
      </c>
      <c r="D18" s="31">
        <v>27977.936057311268</v>
      </c>
      <c r="E18" s="32">
        <v>1154.4207072353413</v>
      </c>
      <c r="F18" s="31">
        <v>28085.915338999799</v>
      </c>
      <c r="G18" s="32">
        <v>1072.3743196833216</v>
      </c>
      <c r="H18" s="31">
        <v>28179.843565914674</v>
      </c>
      <c r="I18" s="32">
        <v>990.64880882920477</v>
      </c>
      <c r="J18" s="31">
        <v>28258.235561117413</v>
      </c>
      <c r="K18" s="32">
        <v>909.27416883775038</v>
      </c>
      <c r="L18" s="31">
        <v>28319.113303776197</v>
      </c>
      <c r="M18" s="32">
        <v>828.29622733048257</v>
      </c>
      <c r="N18" s="31">
        <v>28359.85056317562</v>
      </c>
      <c r="O18" s="32">
        <v>747.7806864412878</v>
      </c>
      <c r="P18" s="31">
        <v>28376.938956565344</v>
      </c>
      <c r="Q18" s="32">
        <v>667.82360268988396</v>
      </c>
      <c r="R18" s="31">
        <v>28365.639072948521</v>
      </c>
      <c r="S18" s="32">
        <v>588.56656747517786</v>
      </c>
      <c r="T18" s="31">
        <v>28319.440999311311</v>
      </c>
      <c r="U18" s="32">
        <v>510.21898162195953</v>
      </c>
      <c r="V18" s="31">
        <v>28229.203310674777</v>
      </c>
      <c r="W18" s="32">
        <v>433.09472063912034</v>
      </c>
      <c r="X18" s="31">
        <v>28081.719598336651</v>
      </c>
      <c r="Y18" s="32">
        <v>357.66740215380639</v>
      </c>
      <c r="Z18" s="31">
        <v>27857.200740469256</v>
      </c>
      <c r="AA18" s="32">
        <v>284.66107817806881</v>
      </c>
      <c r="AB18" s="31">
        <v>27524.606996496244</v>
      </c>
      <c r="AC18" s="32">
        <v>215.18590781656337</v>
      </c>
      <c r="AD18" s="31">
        <v>27032.313106224574</v>
      </c>
      <c r="AE18" s="32">
        <v>150.94792773327427</v>
      </c>
      <c r="AF18" s="31">
        <v>26287.869852428186</v>
      </c>
      <c r="AG18" s="32">
        <v>94.509044638722472</v>
      </c>
      <c r="AH18" s="31">
        <v>25110.091407990767</v>
      </c>
      <c r="AI18" s="32">
        <v>49.408609507943147</v>
      </c>
      <c r="AJ18" s="31">
        <v>23107.388730452214</v>
      </c>
      <c r="AK18" s="32">
        <v>19.339896447342603</v>
      </c>
      <c r="AL18" s="31">
        <v>19373.973384583689</v>
      </c>
      <c r="AM18" s="32">
        <v>4.9547496229973476</v>
      </c>
      <c r="AN18" s="31"/>
      <c r="AO18" s="32"/>
      <c r="AP18" s="31"/>
      <c r="AQ18" s="32"/>
      <c r="AR18" s="31"/>
      <c r="AS18" s="32"/>
      <c r="AT18" s="31"/>
      <c r="AU18" s="32"/>
      <c r="AV18" s="31"/>
      <c r="AW18" s="32"/>
    </row>
    <row r="19" spans="2:49" x14ac:dyDescent="0.2">
      <c r="B19" s="39">
        <v>1886.3937399999918</v>
      </c>
      <c r="C19" s="40">
        <v>262.78711299999759</v>
      </c>
      <c r="D19" s="39">
        <v>1889.8813163815271</v>
      </c>
      <c r="E19" s="40">
        <v>265.82690696150075</v>
      </c>
      <c r="F19" s="39">
        <v>1892.447741670152</v>
      </c>
      <c r="G19" s="40">
        <v>269.29522692720445</v>
      </c>
      <c r="H19" s="39">
        <v>1894.0040139844807</v>
      </c>
      <c r="I19" s="40">
        <v>273.24772921872557</v>
      </c>
      <c r="J19" s="39">
        <v>1894.4341378090533</v>
      </c>
      <c r="K19" s="40">
        <v>277.74438812720746</v>
      </c>
      <c r="L19" s="39">
        <v>1893.5879804391925</v>
      </c>
      <c r="M19" s="40">
        <v>282.8491002212744</v>
      </c>
      <c r="N19" s="39">
        <v>1891.2714614577974</v>
      </c>
      <c r="O19" s="40">
        <v>288.6259731266407</v>
      </c>
      <c r="P19" s="39">
        <v>1887.2325285975812</v>
      </c>
      <c r="Q19" s="40">
        <v>295.13402539093471</v>
      </c>
      <c r="R19" s="39">
        <v>1881.1409404808373</v>
      </c>
      <c r="S19" s="40">
        <v>302.4162823941794</v>
      </c>
      <c r="T19" s="39">
        <v>1872.5581244183575</v>
      </c>
      <c r="U19" s="40">
        <v>310.47910653589048</v>
      </c>
      <c r="V19" s="39">
        <v>1860.8907126302965</v>
      </c>
      <c r="W19" s="40">
        <v>319.25482796484624</v>
      </c>
      <c r="X19" s="39">
        <v>1845.3153242129138</v>
      </c>
      <c r="Y19" s="40">
        <v>328.53148298490117</v>
      </c>
      <c r="Z19" s="39">
        <v>1824.6487056362098</v>
      </c>
      <c r="AA19" s="40">
        <v>337.82324106377217</v>
      </c>
      <c r="AB19" s="39">
        <v>1797.1074395570411</v>
      </c>
      <c r="AC19" s="40">
        <v>346.12538620549799</v>
      </c>
      <c r="AD19" s="39">
        <v>1759.8164363842018</v>
      </c>
      <c r="AE19" s="40">
        <v>351.45422873535739</v>
      </c>
      <c r="AF19" s="39">
        <v>1707.6863410205692</v>
      </c>
      <c r="AG19" s="40">
        <v>350.01145107331706</v>
      </c>
      <c r="AH19" s="39">
        <v>1630.5148265753176</v>
      </c>
      <c r="AI19" s="40">
        <v>334.90614228317094</v>
      </c>
      <c r="AJ19" s="39">
        <v>1504.7447181985117</v>
      </c>
      <c r="AK19" s="40">
        <v>295.48357683360325</v>
      </c>
      <c r="AL19" s="39">
        <v>1270.6977739998642</v>
      </c>
      <c r="AM19" s="40">
        <v>221.96845183268462</v>
      </c>
      <c r="AN19" s="39"/>
      <c r="AO19" s="40"/>
      <c r="AP19" s="39"/>
      <c r="AQ19" s="40"/>
      <c r="AR19" s="39"/>
      <c r="AS19" s="40"/>
      <c r="AT19" s="39"/>
      <c r="AU19" s="40"/>
      <c r="AV19" s="39"/>
      <c r="AW19" s="40"/>
    </row>
    <row r="20" spans="2:49" x14ac:dyDescent="0.2">
      <c r="B20" s="79">
        <v>26548.356269999993</v>
      </c>
      <c r="C20" s="80">
        <v>1408.5418709999938</v>
      </c>
      <c r="D20" s="79">
        <v>26652.55864225866</v>
      </c>
      <c r="E20" s="80">
        <v>1338.1147774499941</v>
      </c>
      <c r="F20" s="79">
        <v>26744.282523658549</v>
      </c>
      <c r="G20" s="80">
        <v>1267.6876838999945</v>
      </c>
      <c r="H20" s="79">
        <v>26822.440827671151</v>
      </c>
      <c r="I20" s="80">
        <v>1197.2605903499946</v>
      </c>
      <c r="J20" s="79">
        <v>26885.580138977595</v>
      </c>
      <c r="K20" s="80">
        <v>1126.8334967999949</v>
      </c>
      <c r="L20" s="79">
        <v>26931.774872913345</v>
      </c>
      <c r="M20" s="80">
        <v>1056.4064032499953</v>
      </c>
      <c r="N20" s="79">
        <v>26958.480782420262</v>
      </c>
      <c r="O20" s="80">
        <v>985.97930969999561</v>
      </c>
      <c r="P20" s="79">
        <v>26962.316253178597</v>
      </c>
      <c r="Q20" s="80">
        <v>915.55221614999607</v>
      </c>
      <c r="R20" s="79">
        <v>26938.737922607241</v>
      </c>
      <c r="S20" s="80">
        <v>845.12512259999642</v>
      </c>
      <c r="T20" s="79">
        <v>26881.541963509626</v>
      </c>
      <c r="U20" s="80">
        <v>774.69802904999653</v>
      </c>
      <c r="V20" s="79">
        <v>26782.072425735023</v>
      </c>
      <c r="W20" s="80">
        <v>704.27093549999688</v>
      </c>
      <c r="X20" s="79">
        <v>26627.908915967215</v>
      </c>
      <c r="Y20" s="80">
        <v>633.84384194999711</v>
      </c>
      <c r="Z20" s="79">
        <v>26400.567978760937</v>
      </c>
      <c r="AA20" s="80">
        <v>563.41674839999746</v>
      </c>
      <c r="AB20" s="79">
        <v>26071.24364717384</v>
      </c>
      <c r="AC20" s="80">
        <v>492.98965484999781</v>
      </c>
      <c r="AD20" s="79">
        <v>25592.262961176493</v>
      </c>
      <c r="AE20" s="80">
        <v>422.56256129999809</v>
      </c>
      <c r="AF20" s="79">
        <v>24878.417101380503</v>
      </c>
      <c r="AG20" s="80">
        <v>352.13546774999827</v>
      </c>
      <c r="AH20" s="79">
        <v>23762.148347387119</v>
      </c>
      <c r="AI20" s="80">
        <v>281.70837419999856</v>
      </c>
      <c r="AJ20" s="79">
        <v>21877.517222650149</v>
      </c>
      <c r="AK20" s="80">
        <v>211.28128064999879</v>
      </c>
      <c r="AL20" s="79">
        <v>18365.083331400885</v>
      </c>
      <c r="AM20" s="80">
        <v>140.85418709999902</v>
      </c>
      <c r="AN20" s="79"/>
      <c r="AO20" s="80"/>
      <c r="AP20" s="79"/>
      <c r="AQ20" s="80"/>
      <c r="AR20" s="79"/>
      <c r="AS20" s="80"/>
      <c r="AT20" s="79"/>
      <c r="AU20" s="80"/>
      <c r="AV20" s="79"/>
      <c r="AW20" s="80"/>
    </row>
    <row r="21" spans="2:49" x14ac:dyDescent="0.2">
      <c r="B21" s="79">
        <v>24661.962529999968</v>
      </c>
      <c r="C21" s="80">
        <v>1145.7547579999991</v>
      </c>
      <c r="D21" s="79">
        <v>24762.679507941055</v>
      </c>
      <c r="E21" s="80">
        <v>1072.4451839391706</v>
      </c>
      <c r="F21" s="79">
        <v>24851.843566198768</v>
      </c>
      <c r="G21" s="80">
        <v>999.05687124978533</v>
      </c>
      <c r="H21" s="79">
        <v>24928.456754064107</v>
      </c>
      <c r="I21" s="80">
        <v>925.59554530240121</v>
      </c>
      <c r="J21" s="79">
        <v>24991.181859872468</v>
      </c>
      <c r="K21" s="80">
        <v>852.07624133843092</v>
      </c>
      <c r="L21" s="79">
        <v>25038.243723389194</v>
      </c>
      <c r="M21" s="80">
        <v>778.52689358378245</v>
      </c>
      <c r="N21" s="79">
        <v>25067.29256189759</v>
      </c>
      <c r="O21" s="80">
        <v>704.99570801335574</v>
      </c>
      <c r="P21" s="79">
        <v>25075.199291099434</v>
      </c>
      <c r="Q21" s="80">
        <v>631.56064639508247</v>
      </c>
      <c r="R21" s="79">
        <v>25057.751346088458</v>
      </c>
      <c r="S21" s="80">
        <v>558.3444654676631</v>
      </c>
      <c r="T21" s="79">
        <v>25009.18405304624</v>
      </c>
      <c r="U21" s="80">
        <v>485.53812514207948</v>
      </c>
      <c r="V21" s="79">
        <v>24921.435296891694</v>
      </c>
      <c r="W21" s="80">
        <v>413.4365510118098</v>
      </c>
      <c r="X21" s="79">
        <v>24782.908107621621</v>
      </c>
      <c r="Y21" s="80">
        <v>342.49548244640624</v>
      </c>
      <c r="Z21" s="79">
        <v>24576.301235446062</v>
      </c>
      <c r="AA21" s="80">
        <v>273.41988839718272</v>
      </c>
      <c r="AB21" s="79">
        <v>24274.588630936683</v>
      </c>
      <c r="AC21" s="80">
        <v>207.30259888894903</v>
      </c>
      <c r="AD21" s="79">
        <v>23832.963838805917</v>
      </c>
      <c r="AE21" s="80">
        <v>145.83030215620866</v>
      </c>
      <c r="AF21" s="79">
        <v>23171.289267482261</v>
      </c>
      <c r="AG21" s="80">
        <v>91.544727545711979</v>
      </c>
      <c r="AH21" s="79">
        <v>22132.177327694291</v>
      </c>
      <c r="AI21" s="80">
        <v>47.969786830279276</v>
      </c>
      <c r="AJ21" s="79">
        <v>20373.208214855</v>
      </c>
      <c r="AK21" s="80">
        <v>18.81152770997419</v>
      </c>
      <c r="AL21" s="79">
        <v>17094.630473002315</v>
      </c>
      <c r="AM21" s="80">
        <v>4.8253092337131012</v>
      </c>
      <c r="AN21" s="79"/>
      <c r="AO21" s="80"/>
      <c r="AP21" s="79"/>
      <c r="AQ21" s="80"/>
      <c r="AR21" s="79"/>
      <c r="AS21" s="80"/>
      <c r="AT21" s="79"/>
      <c r="AU21" s="80"/>
      <c r="AV21" s="79"/>
      <c r="AW21" s="80"/>
    </row>
    <row r="22" spans="2:49" x14ac:dyDescent="0.2">
      <c r="B22" s="39">
        <v>6533.604468832059</v>
      </c>
      <c r="C22" s="40">
        <v>379.90788307663331</v>
      </c>
      <c r="D22" s="39">
        <v>6570.9692772333674</v>
      </c>
      <c r="E22" s="40">
        <v>356.74609363828893</v>
      </c>
      <c r="F22" s="39">
        <v>6605.2533731055055</v>
      </c>
      <c r="G22" s="40">
        <v>333.70489239074954</v>
      </c>
      <c r="H22" s="39">
        <v>6636.182792812654</v>
      </c>
      <c r="I22" s="40">
        <v>310.80781234430606</v>
      </c>
      <c r="J22" s="39">
        <v>6663.3901925748924</v>
      </c>
      <c r="K22" s="40">
        <v>288.08106300009587</v>
      </c>
      <c r="L22" s="39">
        <v>6686.388770655969</v>
      </c>
      <c r="M22" s="40">
        <v>265.55330226319541</v>
      </c>
      <c r="N22" s="39">
        <v>6704.5340018312381</v>
      </c>
      <c r="O22" s="40">
        <v>243.2564897481144</v>
      </c>
      <c r="P22" s="39">
        <v>6716.9687868434448</v>
      </c>
      <c r="Q22" s="40">
        <v>221.22586789195887</v>
      </c>
      <c r="R22" s="39">
        <v>6722.5414953797062</v>
      </c>
      <c r="S22" s="40">
        <v>199.50016510127401</v>
      </c>
      <c r="T22" s="39">
        <v>6719.6802605792018</v>
      </c>
      <c r="U22" s="40">
        <v>178.12190131116031</v>
      </c>
      <c r="V22" s="39">
        <v>6706.1946060551518</v>
      </c>
      <c r="W22" s="40">
        <v>157.13746904332697</v>
      </c>
      <c r="X22" s="39">
        <v>6678.9467917089132</v>
      </c>
      <c r="Y22" s="40">
        <v>136.59778887008522</v>
      </c>
      <c r="Z22" s="39">
        <v>6633.2785668007909</v>
      </c>
      <c r="AA22" s="40">
        <v>116.55936387828076</v>
      </c>
      <c r="AB22" s="39">
        <v>6561.9501613782186</v>
      </c>
      <c r="AC22" s="40">
        <v>97.088290216840505</v>
      </c>
      <c r="AD22" s="39">
        <v>6453.0085672895775</v>
      </c>
      <c r="AE22" s="40">
        <v>78.270694231201958</v>
      </c>
      <c r="AF22" s="39">
        <v>6285.1088437339795</v>
      </c>
      <c r="AG22" s="40">
        <v>60.242013872704192</v>
      </c>
      <c r="AH22" s="39">
        <v>6016.1661439198506</v>
      </c>
      <c r="AI22" s="40">
        <v>43.263113680679297</v>
      </c>
      <c r="AJ22" s="39">
        <v>5553.4970658834</v>
      </c>
      <c r="AK22" s="40">
        <v>27.886032825626632</v>
      </c>
      <c r="AL22" s="39">
        <v>4676.5436336273215</v>
      </c>
      <c r="AM22" s="40">
        <v>15.128755719452929</v>
      </c>
      <c r="AN22" s="39"/>
      <c r="AO22" s="40"/>
      <c r="AP22" s="39"/>
      <c r="AQ22" s="40"/>
      <c r="AR22" s="39"/>
      <c r="AS22" s="40"/>
      <c r="AT22" s="39"/>
      <c r="AU22" s="40"/>
      <c r="AV22" s="39"/>
      <c r="AW22" s="40"/>
    </row>
    <row r="23" spans="2:49" x14ac:dyDescent="0.2">
      <c r="B23" s="110">
        <v>3278.5018080150408</v>
      </c>
      <c r="C23" s="8">
        <v>0</v>
      </c>
      <c r="D23" s="110">
        <v>3295.2104996047456</v>
      </c>
      <c r="E23" s="8">
        <v>0</v>
      </c>
      <c r="F23" s="110">
        <v>3310.2765313782502</v>
      </c>
      <c r="G23" s="8">
        <v>0</v>
      </c>
      <c r="H23" s="110">
        <v>3323.5555530352308</v>
      </c>
      <c r="I23" s="8">
        <v>0</v>
      </c>
      <c r="J23" s="110">
        <v>3334.855809700101</v>
      </c>
      <c r="K23" s="8">
        <v>0</v>
      </c>
      <c r="L23" s="110">
        <v>3343.924458769282</v>
      </c>
      <c r="M23" s="8">
        <v>0</v>
      </c>
      <c r="N23" s="110">
        <v>3350.428941140749</v>
      </c>
      <c r="O23" s="8">
        <v>0</v>
      </c>
      <c r="P23" s="110">
        <v>3353.9291202160434</v>
      </c>
      <c r="Q23" s="8">
        <v>0</v>
      </c>
      <c r="R23" s="110">
        <v>3353.836151437803</v>
      </c>
      <c r="S23" s="8">
        <v>0</v>
      </c>
      <c r="T23" s="110">
        <v>3349.3496399977271</v>
      </c>
      <c r="U23" s="8">
        <v>0</v>
      </c>
      <c r="V23" s="110">
        <v>3339.3582810020794</v>
      </c>
      <c r="W23" s="8">
        <v>0</v>
      </c>
      <c r="X23" s="110">
        <v>3322.2761610233651</v>
      </c>
      <c r="Y23" s="8">
        <v>0</v>
      </c>
      <c r="Z23" s="110">
        <v>3295.7572301505779</v>
      </c>
      <c r="AA23" s="8">
        <v>0</v>
      </c>
      <c r="AB23" s="110">
        <v>3256.1690906141116</v>
      </c>
      <c r="AC23" s="8">
        <v>0</v>
      </c>
      <c r="AD23" s="110">
        <v>3197.5395703432837</v>
      </c>
      <c r="AE23" s="8">
        <v>0</v>
      </c>
      <c r="AF23" s="110">
        <v>3109.2560757286815</v>
      </c>
      <c r="AG23" s="8">
        <v>0</v>
      </c>
      <c r="AH23" s="110">
        <v>2970.51978799579</v>
      </c>
      <c r="AI23" s="8">
        <v>0</v>
      </c>
      <c r="AJ23" s="110">
        <v>2735.8530819464218</v>
      </c>
      <c r="AK23" s="8">
        <v>0</v>
      </c>
      <c r="AL23" s="110">
        <v>2297.8338331814953</v>
      </c>
      <c r="AM23" s="8">
        <v>0</v>
      </c>
      <c r="AN23" s="110"/>
      <c r="AO23" s="8"/>
      <c r="AP23" s="110"/>
      <c r="AQ23" s="8"/>
      <c r="AR23" s="110"/>
      <c r="AS23" s="8"/>
      <c r="AT23" s="110"/>
      <c r="AU23" s="8"/>
      <c r="AV23" s="110"/>
      <c r="AW23" s="8"/>
    </row>
    <row r="24" spans="2:49" x14ac:dyDescent="0.2">
      <c r="B24" s="93">
        <v>3196.3846373657216</v>
      </c>
      <c r="C24" s="8">
        <v>0</v>
      </c>
      <c r="D24" s="93">
        <v>3212.6748236071585</v>
      </c>
      <c r="E24" s="8">
        <v>0</v>
      </c>
      <c r="F24" s="93">
        <v>3227.3634940379825</v>
      </c>
      <c r="G24" s="8">
        <v>0</v>
      </c>
      <c r="H24" s="93">
        <v>3240.309913881747</v>
      </c>
      <c r="I24" s="8">
        <v>0</v>
      </c>
      <c r="J24" s="93">
        <v>3251.3271311318076</v>
      </c>
      <c r="K24" s="8">
        <v>0</v>
      </c>
      <c r="L24" s="93">
        <v>3260.1686360527569</v>
      </c>
      <c r="M24" s="8">
        <v>0</v>
      </c>
      <c r="N24" s="93">
        <v>3266.5101994116258</v>
      </c>
      <c r="O24" s="8">
        <v>0</v>
      </c>
      <c r="P24" s="93">
        <v>3269.922708816051</v>
      </c>
      <c r="Q24" s="8">
        <v>0</v>
      </c>
      <c r="R24" s="93">
        <v>3269.8320684388032</v>
      </c>
      <c r="S24" s="8">
        <v>0</v>
      </c>
      <c r="T24" s="93">
        <v>3265.457931996913</v>
      </c>
      <c r="U24" s="8">
        <v>0</v>
      </c>
      <c r="V24" s="93">
        <v>3255.716828511489</v>
      </c>
      <c r="W24" s="8">
        <v>0</v>
      </c>
      <c r="X24" s="93">
        <v>3239.0625668100702</v>
      </c>
      <c r="Y24" s="8">
        <v>0</v>
      </c>
      <c r="Z24" s="93">
        <v>3213.207860579364</v>
      </c>
      <c r="AA24" s="8">
        <v>0</v>
      </c>
      <c r="AB24" s="93">
        <v>3174.6112918628255</v>
      </c>
      <c r="AC24" s="8">
        <v>0</v>
      </c>
      <c r="AD24" s="93">
        <v>3117.4502739085633</v>
      </c>
      <c r="AE24" s="8">
        <v>0</v>
      </c>
      <c r="AF24" s="93">
        <v>3031.3780307720681</v>
      </c>
      <c r="AG24" s="8">
        <v>0</v>
      </c>
      <c r="AH24" s="93">
        <v>2896.1166934040698</v>
      </c>
      <c r="AI24" s="8">
        <v>0</v>
      </c>
      <c r="AJ24" s="93">
        <v>2667.3277227527669</v>
      </c>
      <c r="AK24" s="8">
        <v>0</v>
      </c>
      <c r="AL24" s="93">
        <v>2240.2796135875237</v>
      </c>
      <c r="AM24" s="8">
        <v>0</v>
      </c>
      <c r="AN24" s="93"/>
      <c r="AO24" s="8"/>
      <c r="AP24" s="93"/>
      <c r="AQ24" s="8"/>
      <c r="AR24" s="93"/>
      <c r="AS24" s="8"/>
      <c r="AT24" s="93"/>
      <c r="AU24" s="8"/>
      <c r="AV24" s="93"/>
      <c r="AW24" s="8"/>
    </row>
    <row r="25" spans="2:49" x14ac:dyDescent="0.2">
      <c r="B25" s="39">
        <v>3195.0476040000012</v>
      </c>
      <c r="C25" s="40">
        <v>91.012690000004397</v>
      </c>
      <c r="D25" s="39">
        <v>3215.253018940371</v>
      </c>
      <c r="E25" s="40">
        <v>81.946383104847754</v>
      </c>
      <c r="F25" s="39">
        <v>3234.0575161113516</v>
      </c>
      <c r="G25" s="40">
        <v>73.204483582077103</v>
      </c>
      <c r="H25" s="39">
        <v>3251.3543546778578</v>
      </c>
      <c r="I25" s="40">
        <v>64.806775886504894</v>
      </c>
      <c r="J25" s="39">
        <v>3266.9951610886337</v>
      </c>
      <c r="K25" s="40">
        <v>56.775582200834812</v>
      </c>
      <c r="L25" s="39">
        <v>3280.7765303719907</v>
      </c>
      <c r="M25" s="40">
        <v>49.135961509453324</v>
      </c>
      <c r="N25" s="39">
        <v>3292.4213010987855</v>
      </c>
      <c r="O25" s="40">
        <v>41.91586069648681</v>
      </c>
      <c r="P25" s="39">
        <v>3301.5492933015057</v>
      </c>
      <c r="Q25" s="40">
        <v>35.146274130939659</v>
      </c>
      <c r="R25" s="39">
        <v>3307.6326318797674</v>
      </c>
      <c r="S25" s="40">
        <v>28.861386279492038</v>
      </c>
      <c r="T25" s="39">
        <v>3309.9249829868286</v>
      </c>
      <c r="U25" s="40">
        <v>23.098580295105336</v>
      </c>
      <c r="V25" s="39">
        <v>3307.3461133896703</v>
      </c>
      <c r="W25" s="40">
        <v>17.898276364447192</v>
      </c>
      <c r="X25" s="39">
        <v>3298.2863500296999</v>
      </c>
      <c r="Y25" s="40">
        <v>13.30332390179443</v>
      </c>
      <c r="Z25" s="39">
        <v>3280.2594284615097</v>
      </c>
      <c r="AA25" s="40">
        <v>9.3576584973444028</v>
      </c>
      <c r="AB25" s="39">
        <v>3249.2574871933066</v>
      </c>
      <c r="AC25" s="40">
        <v>6.1031924291724646</v>
      </c>
      <c r="AD25" s="39">
        <v>3198.4764034813265</v>
      </c>
      <c r="AE25" s="40">
        <v>3.5735804731329974</v>
      </c>
      <c r="AF25" s="39">
        <v>3115.6359459246682</v>
      </c>
      <c r="AG25" s="40">
        <v>1.7810476475795121</v>
      </c>
      <c r="AH25" s="39">
        <v>2976.9938864483834</v>
      </c>
      <c r="AI25" s="40">
        <v>0.69064794161565612</v>
      </c>
      <c r="AJ25" s="39">
        <v>2733.4455831871146</v>
      </c>
      <c r="AK25" s="40">
        <v>0.18056603773425789</v>
      </c>
      <c r="AL25" s="39">
        <v>2278.9331093360147</v>
      </c>
      <c r="AM25" s="40">
        <v>2.7065027390715535E-2</v>
      </c>
      <c r="AN25" s="39"/>
      <c r="AO25" s="40"/>
      <c r="AP25" s="39"/>
      <c r="AQ25" s="40"/>
      <c r="AR25" s="39"/>
      <c r="AS25" s="40"/>
      <c r="AT25" s="39"/>
      <c r="AU25" s="40"/>
      <c r="AV25" s="39"/>
      <c r="AW25" s="40"/>
    </row>
    <row r="26" spans="2:49" x14ac:dyDescent="0.2">
      <c r="B26" s="31">
        <v>5036.2953101960647</v>
      </c>
      <c r="C26" s="32">
        <v>74.905331803938267</v>
      </c>
      <c r="D26" s="31">
        <v>5077.3454232893937</v>
      </c>
      <c r="E26" s="32">
        <v>70.461782362628938</v>
      </c>
      <c r="F26" s="31">
        <v>5115.3105375630048</v>
      </c>
      <c r="G26" s="32">
        <v>65.97297688442643</v>
      </c>
      <c r="H26" s="31">
        <v>5149.8774214020168</v>
      </c>
      <c r="I26" s="32">
        <v>61.439893328044498</v>
      </c>
      <c r="J26" s="31">
        <v>5180.6342267664622</v>
      </c>
      <c r="K26" s="32">
        <v>56.863754501419173</v>
      </c>
      <c r="L26" s="31">
        <v>5207.0414375933578</v>
      </c>
      <c r="M26" s="32">
        <v>52.246294688183475</v>
      </c>
      <c r="N26" s="31">
        <v>5228.3920357998613</v>
      </c>
      <c r="O26" s="32">
        <v>47.590103824415678</v>
      </c>
      <c r="P26" s="31">
        <v>5243.7528080028142</v>
      </c>
      <c r="Q26" s="32">
        <v>42.89921858898898</v>
      </c>
      <c r="R26" s="31">
        <v>5251.8788214697088</v>
      </c>
      <c r="S26" s="32">
        <v>38.180069347755357</v>
      </c>
      <c r="T26" s="31">
        <v>5251.0837434212481</v>
      </c>
      <c r="U26" s="32">
        <v>33.442954681396834</v>
      </c>
      <c r="V26" s="31">
        <v>5239.0387847744696</v>
      </c>
      <c r="W26" s="32">
        <v>28.704476813797815</v>
      </c>
      <c r="X26" s="31">
        <v>5212.446074385517</v>
      </c>
      <c r="Y26" s="32">
        <v>23.991402454214871</v>
      </c>
      <c r="Z26" s="31">
        <v>5166.4812375777083</v>
      </c>
      <c r="AA26" s="32">
        <v>19.347066898228345</v>
      </c>
      <c r="AB26" s="31">
        <v>5093.7899936964141</v>
      </c>
      <c r="AC26" s="32">
        <v>14.841451757167988</v>
      </c>
      <c r="AD26" s="31">
        <v>4982.5442049566927</v>
      </c>
      <c r="AE26" s="32">
        <v>10.587190260103625</v>
      </c>
      <c r="AF26" s="31">
        <v>4812.3773464681935</v>
      </c>
      <c r="AG26" s="32">
        <v>6.7612972369917026</v>
      </c>
      <c r="AH26" s="31">
        <v>4545.2551562268518</v>
      </c>
      <c r="AI26" s="32">
        <v>3.6214467051950581</v>
      </c>
      <c r="AJ26" s="31">
        <v>4104.5354381456127</v>
      </c>
      <c r="AK26" s="32">
        <v>1.4611340178305212</v>
      </c>
      <c r="AL26" s="31">
        <v>3334.3723740884202</v>
      </c>
      <c r="AM26" s="32">
        <v>0.38790774112269399</v>
      </c>
      <c r="AN26" s="31"/>
      <c r="AO26" s="32"/>
      <c r="AP26" s="31"/>
      <c r="AQ26" s="32"/>
      <c r="AR26" s="31"/>
      <c r="AS26" s="32"/>
      <c r="AT26" s="31"/>
      <c r="AU26" s="32"/>
      <c r="AV26" s="31"/>
      <c r="AW26" s="32"/>
    </row>
    <row r="27" spans="2:49" x14ac:dyDescent="0.2">
      <c r="B27" s="33">
        <v>6425.1981590000414</v>
      </c>
      <c r="C27" s="34">
        <v>273.22915400000028</v>
      </c>
      <c r="D27" s="33">
        <v>6442.3217577218875</v>
      </c>
      <c r="E27" s="34">
        <v>256.10562977263805</v>
      </c>
      <c r="F27" s="33">
        <v>6459.3895925969882</v>
      </c>
      <c r="G27" s="34">
        <v>239.03782233322394</v>
      </c>
      <c r="H27" s="33">
        <v>6476.4115181713141</v>
      </c>
      <c r="I27" s="34">
        <v>222.01591997241138</v>
      </c>
      <c r="J27" s="33">
        <v>6493.396293927045</v>
      </c>
      <c r="K27" s="34">
        <v>205.03104291608116</v>
      </c>
      <c r="L27" s="33">
        <v>6510.35099162398</v>
      </c>
      <c r="M27" s="34">
        <v>188.07632147834235</v>
      </c>
      <c r="N27" s="33">
        <v>6527.2803081093898</v>
      </c>
      <c r="O27" s="34">
        <v>171.14700502644487</v>
      </c>
      <c r="P27" s="33">
        <v>6544.1851553217275</v>
      </c>
      <c r="Q27" s="34">
        <v>154.2421572987609</v>
      </c>
      <c r="R27" s="33">
        <v>6561.0600997245183</v>
      </c>
      <c r="S27" s="34">
        <v>137.36721598067982</v>
      </c>
      <c r="T27" s="33">
        <v>6577.8893459719129</v>
      </c>
      <c r="U27" s="34">
        <v>120.53796682422235</v>
      </c>
      <c r="V27" s="33">
        <v>6594.6395001228557</v>
      </c>
      <c r="W27" s="34">
        <v>103.78782038669065</v>
      </c>
      <c r="X27" s="33">
        <v>6611.2479197371777</v>
      </c>
      <c r="Y27" s="34">
        <v>87.179389844663135</v>
      </c>
      <c r="Z27" s="33">
        <v>6627.6021258167439</v>
      </c>
      <c r="AA27" s="34">
        <v>70.825194218328249</v>
      </c>
      <c r="AB27" s="33">
        <v>6643.5063983768287</v>
      </c>
      <c r="AC27" s="34">
        <v>54.920930774410984</v>
      </c>
      <c r="AD27" s="33">
        <v>6658.6245095478371</v>
      </c>
      <c r="AE27" s="34">
        <v>39.802787862824431</v>
      </c>
      <c r="AF27" s="33">
        <v>6672.3950214273891</v>
      </c>
      <c r="AG27" s="34">
        <v>26.032302876141955</v>
      </c>
      <c r="AH27" s="33">
        <v>6683.9442076042042</v>
      </c>
      <c r="AI27" s="34">
        <v>14.483113168449476</v>
      </c>
      <c r="AJ27" s="33">
        <v>6692.1787225311027</v>
      </c>
      <c r="AK27" s="34">
        <v>6.248615895178312</v>
      </c>
      <c r="AL27" s="33">
        <v>6696.5106936167431</v>
      </c>
      <c r="AM27" s="34">
        <v>1.9166124997235927</v>
      </c>
      <c r="AN27" s="33"/>
      <c r="AO27" s="34"/>
      <c r="AP27" s="33"/>
      <c r="AQ27" s="34"/>
      <c r="AR27" s="33"/>
      <c r="AS27" s="34"/>
      <c r="AT27" s="33"/>
      <c r="AU27" s="34"/>
      <c r="AV27" s="33"/>
      <c r="AW27" s="34"/>
    </row>
    <row r="28" spans="2:49" x14ac:dyDescent="0.2">
      <c r="B28" s="39">
        <v>13763.097676000029</v>
      </c>
      <c r="C28" s="40">
        <v>382.36647899999997</v>
      </c>
      <c r="D28" s="39">
        <v>13839.860479006891</v>
      </c>
      <c r="E28" s="40">
        <v>358.76559331503688</v>
      </c>
      <c r="F28" s="39">
        <v>13911.80687065038</v>
      </c>
      <c r="G28" s="40">
        <v>335.15046513714475</v>
      </c>
      <c r="H28" s="39">
        <v>13978.603766979708</v>
      </c>
      <c r="I28" s="40">
        <v>311.51547487832113</v>
      </c>
      <c r="J28" s="39">
        <v>14039.772785675203</v>
      </c>
      <c r="K28" s="40">
        <v>287.85567734528433</v>
      </c>
      <c r="L28" s="39">
        <v>14094.646821668091</v>
      </c>
      <c r="M28" s="40">
        <v>264.16830309649811</v>
      </c>
      <c r="N28" s="39">
        <v>14142.308625108093</v>
      </c>
      <c r="O28" s="40">
        <v>240.45335590256272</v>
      </c>
      <c r="P28" s="39">
        <v>14181.497228169557</v>
      </c>
      <c r="Q28" s="40">
        <v>216.71614358777035</v>
      </c>
      <c r="R28" s="39">
        <v>14210.466563999173</v>
      </c>
      <c r="S28" s="40">
        <v>192.9711621613223</v>
      </c>
      <c r="T28" s="39">
        <v>14226.76372743195</v>
      </c>
      <c r="U28" s="40">
        <v>169.24813326603658</v>
      </c>
      <c r="V28" s="39">
        <v>14226.870836759563</v>
      </c>
      <c r="W28" s="40">
        <v>145.60273766389713</v>
      </c>
      <c r="X28" s="39">
        <v>14205.599130525308</v>
      </c>
      <c r="Y28" s="40">
        <v>122.13374102405415</v>
      </c>
      <c r="Z28" s="39">
        <v>14155.00574069385</v>
      </c>
      <c r="AA28" s="40">
        <v>99.013068188525509</v>
      </c>
      <c r="AB28" s="39">
        <v>14062.33853912003</v>
      </c>
      <c r="AC28" s="40">
        <v>76.534107301378143</v>
      </c>
      <c r="AD28" s="39">
        <v>13905.796542674334</v>
      </c>
      <c r="AE28" s="40">
        <v>55.193438699341392</v>
      </c>
      <c r="AF28" s="39">
        <v>13644.919226619855</v>
      </c>
      <c r="AG28" s="40">
        <v>35.809929095340195</v>
      </c>
      <c r="AH28" s="39">
        <v>13196.282383741569</v>
      </c>
      <c r="AI28" s="40">
        <v>19.639821322739252</v>
      </c>
      <c r="AJ28" s="39">
        <v>12365.341155297976</v>
      </c>
      <c r="AK28" s="40">
        <v>8.2223174898979288</v>
      </c>
      <c r="AL28" s="39">
        <v>10649.093065187086</v>
      </c>
      <c r="AM28" s="40">
        <v>2.3141368313392126</v>
      </c>
      <c r="AN28" s="39"/>
      <c r="AO28" s="40"/>
      <c r="AP28" s="39"/>
      <c r="AQ28" s="40"/>
      <c r="AR28" s="39"/>
      <c r="AS28" s="40"/>
      <c r="AT28" s="39"/>
      <c r="AU28" s="40"/>
      <c r="AV28" s="39"/>
      <c r="AW28" s="40"/>
    </row>
    <row r="29" spans="2:49" x14ac:dyDescent="0.2">
      <c r="B29" s="33">
        <v>14362.768558000025</v>
      </c>
      <c r="C29" s="34">
        <v>817.26650999999993</v>
      </c>
      <c r="D29" s="33">
        <v>14424.657880536832</v>
      </c>
      <c r="E29" s="34">
        <v>760.39577752420939</v>
      </c>
      <c r="F29" s="33">
        <v>14479.862372214753</v>
      </c>
      <c r="G29" s="34">
        <v>703.94373523970705</v>
      </c>
      <c r="H29" s="33">
        <v>14527.811033327087</v>
      </c>
      <c r="I29" s="34">
        <v>647.93790882216831</v>
      </c>
      <c r="J29" s="33">
        <v>14567.736376529974</v>
      </c>
      <c r="K29" s="34">
        <v>592.41432697673758</v>
      </c>
      <c r="L29" s="33">
        <v>14598.616549216827</v>
      </c>
      <c r="M29" s="34">
        <v>537.42179319209163</v>
      </c>
      <c r="N29" s="33">
        <v>14619.095422985674</v>
      </c>
      <c r="O29" s="34">
        <v>483.02474390394747</v>
      </c>
      <c r="P29" s="33">
        <v>14627.362088359736</v>
      </c>
      <c r="Q29" s="34">
        <v>429.31012823343485</v>
      </c>
      <c r="R29" s="33">
        <v>14620.971317902939</v>
      </c>
      <c r="S29" s="34">
        <v>376.39718987223785</v>
      </c>
      <c r="T29" s="33">
        <v>14596.566128409997</v>
      </c>
      <c r="U29" s="34">
        <v>324.45151563435286</v>
      </c>
      <c r="V29" s="33">
        <v>14549.435123695088</v>
      </c>
      <c r="W29" s="34">
        <v>273.70768302909204</v>
      </c>
      <c r="X29" s="33">
        <v>14472.776017635741</v>
      </c>
      <c r="Y29" s="34">
        <v>224.50269402229316</v>
      </c>
      <c r="Z29" s="33">
        <v>14356.402154668425</v>
      </c>
      <c r="AA29" s="34">
        <v>177.32977146007869</v>
      </c>
      <c r="AB29" s="33">
        <v>14184.345029555076</v>
      </c>
      <c r="AC29" s="34">
        <v>132.91672354579453</v>
      </c>
      <c r="AD29" s="33">
        <v>13930.058242698169</v>
      </c>
      <c r="AE29" s="34">
        <v>92.343535046768352</v>
      </c>
      <c r="AF29" s="33">
        <v>13546.012468395571</v>
      </c>
      <c r="AG29" s="34">
        <v>57.178228907787357</v>
      </c>
      <c r="AH29" s="33">
        <v>12939.03166307143</v>
      </c>
      <c r="AI29" s="34">
        <v>29.507331593063306</v>
      </c>
      <c r="AJ29" s="33">
        <v>11907.551224382918</v>
      </c>
      <c r="AK29" s="34">
        <v>11.376612044648617</v>
      </c>
      <c r="AL29" s="33">
        <v>9984.7029308288911</v>
      </c>
      <c r="AM29" s="34">
        <v>2.8663845807427464</v>
      </c>
      <c r="AN29" s="33"/>
      <c r="AO29" s="34"/>
      <c r="AP29" s="33"/>
      <c r="AQ29" s="34"/>
      <c r="AR29" s="33"/>
      <c r="AS29" s="34"/>
      <c r="AT29" s="33"/>
      <c r="AU29" s="34"/>
      <c r="AV29" s="33"/>
      <c r="AW29" s="34"/>
    </row>
    <row r="30" spans="2:49" x14ac:dyDescent="0.2">
      <c r="B30" s="112">
        <v>2924829.9599999995</v>
      </c>
      <c r="D30" s="112">
        <v>3003202.2950554243</v>
      </c>
      <c r="F30" s="112">
        <v>3080828.8270428916</v>
      </c>
      <c r="H30" s="112">
        <v>3157703.6543209935</v>
      </c>
      <c r="J30" s="112">
        <v>3233799.2307640035</v>
      </c>
      <c r="L30" s="112">
        <v>3309062.6722643962</v>
      </c>
      <c r="N30" s="112">
        <v>3383406.5142184491</v>
      </c>
      <c r="P30" s="112">
        <v>3456699.0986191439</v>
      </c>
      <c r="R30" s="112">
        <v>3528750.292697113</v>
      </c>
      <c r="T30" s="112">
        <v>3599290.2834667605</v>
      </c>
      <c r="V30" s="112">
        <v>3667940.5463787597</v>
      </c>
      <c r="X30" s="112">
        <v>3734164.9983798047</v>
      </c>
      <c r="Z30" s="112">
        <v>3797185.0103790443</v>
      </c>
      <c r="AB30" s="112">
        <v>3855792.1367947478</v>
      </c>
      <c r="AD30" s="112">
        <v>3907845.0027594971</v>
      </c>
      <c r="AF30" s="112">
        <v>3948624.4506904185</v>
      </c>
      <c r="AH30" s="112">
        <v>3964608.0904587228</v>
      </c>
      <c r="AJ30" s="112">
        <v>3907977.5229457328</v>
      </c>
      <c r="AL30" s="112">
        <v>3597944.9822650468</v>
      </c>
      <c r="AN30" s="112"/>
      <c r="AP30" s="112"/>
      <c r="AR30" s="112"/>
      <c r="AT30" s="112"/>
      <c r="AV30" s="112"/>
    </row>
    <row r="31" spans="2:49" x14ac:dyDescent="0.2">
      <c r="B31" s="77">
        <v>0.999999999999998</v>
      </c>
      <c r="D31" s="77">
        <v>1.0019901929943549</v>
      </c>
      <c r="F31" s="77">
        <v>1.0033441965017904</v>
      </c>
      <c r="H31" s="77">
        <v>1.0040091687830333</v>
      </c>
      <c r="J31" s="77">
        <v>1.0039169608094913</v>
      </c>
      <c r="L31" s="77">
        <v>1.0029799752186124</v>
      </c>
      <c r="N31" s="77">
        <v>1.0010853821225667</v>
      </c>
      <c r="P31" s="77">
        <v>0.99808670530081389</v>
      </c>
      <c r="R31" s="77">
        <v>0.99379142023970168</v>
      </c>
      <c r="T31" s="77">
        <v>0.98794213725547986</v>
      </c>
      <c r="V31" s="77">
        <v>0.9801871154991717</v>
      </c>
      <c r="X31" s="77">
        <v>0.97003207882758635</v>
      </c>
      <c r="Z31" s="77">
        <v>0.95675718341925275</v>
      </c>
      <c r="AB31" s="77">
        <v>0.93926621283722722</v>
      </c>
      <c r="AD31" s="77">
        <v>0.91579020472582329</v>
      </c>
      <c r="AF31" s="77">
        <v>0.8832559389983119</v>
      </c>
      <c r="AH31" s="77">
        <v>0.83580934881462554</v>
      </c>
      <c r="AJ31" s="77">
        <v>0.76108914831555985</v>
      </c>
      <c r="AL31" s="77">
        <v>0.63095501580394109</v>
      </c>
      <c r="AN31" s="77"/>
      <c r="AP31" s="77"/>
      <c r="AR31" s="77"/>
      <c r="AT31" s="77"/>
      <c r="AV31" s="77"/>
    </row>
    <row r="32" spans="2:49" x14ac:dyDescent="0.2">
      <c r="B32" s="83">
        <v>14734457.915000005</v>
      </c>
      <c r="D32" s="83">
        <v>14794229.62332453</v>
      </c>
      <c r="F32" s="83">
        <v>14846433.166756298</v>
      </c>
      <c r="H32" s="83">
        <v>14890374.561546328</v>
      </c>
      <c r="J32" s="83">
        <v>14925142.655358657</v>
      </c>
      <c r="L32" s="83">
        <v>14949549.128019914</v>
      </c>
      <c r="N32" s="83">
        <v>14962047.162565112</v>
      </c>
      <c r="P32" s="83">
        <v>14960612.292003293</v>
      </c>
      <c r="R32" s="83">
        <v>14942568.90684421</v>
      </c>
      <c r="T32" s="83">
        <v>14904329.102734948</v>
      </c>
      <c r="V32" s="83">
        <v>14840985.532788219</v>
      </c>
      <c r="X32" s="83">
        <v>14745648.363181725</v>
      </c>
      <c r="Z32" s="83">
        <v>14608297.01894917</v>
      </c>
      <c r="AB32" s="83">
        <v>14413666.748129867</v>
      </c>
      <c r="AD32" s="83">
        <v>14136980.149414351</v>
      </c>
      <c r="AF32" s="83">
        <v>13734427.211278038</v>
      </c>
      <c r="AH32" s="83">
        <v>13119381.3111476</v>
      </c>
      <c r="AJ32" s="83">
        <v>12097247.014940055</v>
      </c>
      <c r="AL32" s="83">
        <v>10190715.633997498</v>
      </c>
      <c r="AN32" s="83"/>
      <c r="AP32" s="83"/>
      <c r="AR32" s="83"/>
      <c r="AT32" s="83"/>
      <c r="AV32" s="83"/>
    </row>
    <row r="33" spans="1:49 16319:16384" x14ac:dyDescent="0.2">
      <c r="B33" s="111">
        <v>7019665.6909999885</v>
      </c>
      <c r="D33" s="111">
        <v>7048141.7424558979</v>
      </c>
      <c r="F33" s="111">
        <v>7073012.1746303244</v>
      </c>
      <c r="H33" s="111">
        <v>7093946.430213646</v>
      </c>
      <c r="J33" s="111">
        <v>7110510.1533390014</v>
      </c>
      <c r="L33" s="111">
        <v>7122137.6362867802</v>
      </c>
      <c r="N33" s="111">
        <v>7128091.8500509933</v>
      </c>
      <c r="P33" s="111">
        <v>7127408.2634856543</v>
      </c>
      <c r="R33" s="111">
        <v>7118812.2158246897</v>
      </c>
      <c r="T33" s="111">
        <v>7100594.2924753726</v>
      </c>
      <c r="V33" s="111">
        <v>7070416.7128748726</v>
      </c>
      <c r="X33" s="111">
        <v>7024996.9552214798</v>
      </c>
      <c r="Z33" s="111">
        <v>6959561.1788570276</v>
      </c>
      <c r="AB33" s="111">
        <v>6866837.1014162106</v>
      </c>
      <c r="AD33" s="111">
        <v>6735020.4008976053</v>
      </c>
      <c r="AF33" s="111">
        <v>6543239.5266038198</v>
      </c>
      <c r="AH33" s="111">
        <v>6250224.5683838855</v>
      </c>
      <c r="AJ33" s="111">
        <v>5763268.0033348268</v>
      </c>
      <c r="AL33" s="111">
        <v>4854974.46294122</v>
      </c>
      <c r="AN33" s="111"/>
      <c r="AP33" s="111"/>
      <c r="AR33" s="111"/>
      <c r="AT33" s="111"/>
      <c r="AV33" s="111"/>
    </row>
    <row r="34" spans="1:49 16319:16384" x14ac:dyDescent="0.2">
      <c r="B34" s="111">
        <v>1136879.4410000162</v>
      </c>
      <c r="D34" s="111">
        <v>1141491.178702191</v>
      </c>
      <c r="F34" s="111">
        <v>1145519.0310960722</v>
      </c>
      <c r="H34" s="111">
        <v>1148909.3873611565</v>
      </c>
      <c r="J34" s="111">
        <v>1151592.217353208</v>
      </c>
      <c r="L34" s="111">
        <v>1153475.4112209769</v>
      </c>
      <c r="N34" s="111">
        <v>1154439.7272108342</v>
      </c>
      <c r="P34" s="111">
        <v>1154329.0134439291</v>
      </c>
      <c r="R34" s="111">
        <v>1152936.7952842428</v>
      </c>
      <c r="T34" s="111">
        <v>1149986.3323276863</v>
      </c>
      <c r="V34" s="111">
        <v>1145098.8491589748</v>
      </c>
      <c r="X34" s="111">
        <v>1137742.8667336793</v>
      </c>
      <c r="Z34" s="111">
        <v>1127145.1402588722</v>
      </c>
      <c r="AB34" s="111">
        <v>1112127.8538599398</v>
      </c>
      <c r="AD34" s="111">
        <v>1090779.3188349004</v>
      </c>
      <c r="AF34" s="111">
        <v>1059719.2014783614</v>
      </c>
      <c r="AH34" s="111">
        <v>1012263.5655315104</v>
      </c>
      <c r="AJ34" s="111">
        <v>933397.85419273376</v>
      </c>
      <c r="AL34" s="111">
        <v>786293.94853085675</v>
      </c>
      <c r="AN34" s="111"/>
      <c r="AP34" s="111"/>
      <c r="AR34" s="111"/>
      <c r="AT34" s="111"/>
      <c r="AV34" s="111"/>
    </row>
    <row r="35" spans="1:49 16319:16384" x14ac:dyDescent="0.2">
      <c r="B35" s="192">
        <v>1</v>
      </c>
      <c r="D35" s="192">
        <v>1.0020641947864737</v>
      </c>
      <c r="F35" s="192">
        <v>1.0042573457596011</v>
      </c>
      <c r="H35" s="192">
        <v>1.0066051179750048</v>
      </c>
      <c r="J35" s="192">
        <v>1.0091399213994454</v>
      </c>
      <c r="L35" s="192">
        <v>1.0119034641714391</v>
      </c>
      <c r="N35" s="192">
        <v>1.0149502141600972</v>
      </c>
      <c r="P35" s="192">
        <v>1.0183527993169068</v>
      </c>
      <c r="R35" s="192">
        <v>1.0222102347013597</v>
      </c>
      <c r="T35" s="192">
        <v>1.0266609309370258</v>
      </c>
      <c r="V35" s="192">
        <v>1.0319041480541213</v>
      </c>
      <c r="X35" s="192">
        <v>1.0382365556525011</v>
      </c>
      <c r="Z35" s="192">
        <v>1.0461178451198825</v>
      </c>
      <c r="AB35" s="192">
        <v>1.0562939848090562</v>
      </c>
      <c r="AD35" s="192">
        <v>1.0700419276689883</v>
      </c>
      <c r="AF35" s="192">
        <v>1.089677056000999</v>
      </c>
      <c r="AH35" s="192">
        <v>1.1196094033889887</v>
      </c>
      <c r="AJ35" s="192">
        <v>1.1682123807878755</v>
      </c>
      <c r="AL35" s="192">
        <v>1.2482409036537108</v>
      </c>
      <c r="AN35" s="192"/>
      <c r="AP35" s="192"/>
      <c r="AR35" s="192"/>
      <c r="AT35" s="192"/>
      <c r="AV35" s="192"/>
    </row>
    <row r="36" spans="1:49 16319:16384" x14ac:dyDescent="0.2">
      <c r="B36" s="35">
        <v>0.47195767671988198</v>
      </c>
      <c r="C36" s="36">
        <v>0.31738834428178964</v>
      </c>
      <c r="D36" s="35">
        <v>0.47197381771792746</v>
      </c>
      <c r="E36" s="36">
        <v>0.31951168757231146</v>
      </c>
      <c r="F36" s="35">
        <v>0.47199017559250855</v>
      </c>
      <c r="G36" s="36">
        <v>0.3218216349047589</v>
      </c>
      <c r="H36" s="35">
        <v>0.4720068274831814</v>
      </c>
      <c r="I36" s="36">
        <v>0.32434738172571032</v>
      </c>
      <c r="J36" s="35">
        <v>0.47202385973474115</v>
      </c>
      <c r="K36" s="36">
        <v>0.32712428177620845</v>
      </c>
      <c r="L36" s="35">
        <v>0.47204137297930276</v>
      </c>
      <c r="M36" s="36">
        <v>0.3301957506929441</v>
      </c>
      <c r="N36" s="35">
        <v>0.47205947813227928</v>
      </c>
      <c r="O36" s="36">
        <v>0.33361573433047559</v>
      </c>
      <c r="P36" s="35">
        <v>0.47207829662120815</v>
      </c>
      <c r="Q36" s="36">
        <v>0.33745236379524568</v>
      </c>
      <c r="R36" s="35">
        <v>0.47209795482588501</v>
      </c>
      <c r="S36" s="36">
        <v>0.34179325069346594</v>
      </c>
      <c r="T36" s="35">
        <v>0.47211856905224148</v>
      </c>
      <c r="U36" s="36">
        <v>0.34675342908403167</v>
      </c>
      <c r="V36" s="35">
        <v>0.4721402163078936</v>
      </c>
      <c r="W36" s="36">
        <v>0.35248781194396822</v>
      </c>
      <c r="X36" s="35">
        <v>0.47216286695095688</v>
      </c>
      <c r="Y36" s="36">
        <v>0.35921128566798299</v>
      </c>
      <c r="Z36" s="35">
        <v>0.47218625940456771</v>
      </c>
      <c r="AA36" s="36">
        <v>0.3672329090095765</v>
      </c>
      <c r="AB36" s="35">
        <v>0.47220963144198497</v>
      </c>
      <c r="AC36" s="36">
        <v>0.37701642051331452</v>
      </c>
      <c r="AD36" s="35">
        <v>0.47223119860991214</v>
      </c>
      <c r="AE36" s="36">
        <v>0.38929277125631934</v>
      </c>
      <c r="AF36" s="35">
        <v>0.47224716508906173</v>
      </c>
      <c r="AG36" s="36">
        <v>0.40527486127779283</v>
      </c>
      <c r="AH36" s="35">
        <v>0.47225019877857222</v>
      </c>
      <c r="AI36" s="36">
        <v>0.42705241552749723</v>
      </c>
      <c r="AJ36" s="35">
        <v>0.47222901706783754</v>
      </c>
      <c r="AK36" s="36">
        <v>0.45811478365591229</v>
      </c>
      <c r="AL36" s="35">
        <v>0.47217654270534393</v>
      </c>
      <c r="AM36" s="36">
        <v>0.50264475995608626</v>
      </c>
      <c r="AN36" s="35"/>
      <c r="AO36" s="36"/>
      <c r="AP36" s="35"/>
      <c r="AQ36" s="36"/>
      <c r="AR36" s="35"/>
      <c r="AS36" s="36"/>
      <c r="AT36" s="35"/>
      <c r="AU36" s="36"/>
      <c r="AV36" s="35"/>
      <c r="AW36" s="36"/>
    </row>
    <row r="37" spans="1:49 16319:16384" x14ac:dyDescent="0.2">
      <c r="B37" s="37">
        <v>2.1403217525954466E-2</v>
      </c>
      <c r="C37" s="38">
        <v>0.3496246130199252</v>
      </c>
      <c r="D37" s="37">
        <v>2.0800360556333858E-2</v>
      </c>
      <c r="E37" s="38">
        <v>0.34598953062185595</v>
      </c>
      <c r="F37" s="37">
        <v>2.0186173023553178E-2</v>
      </c>
      <c r="G37" s="38">
        <v>0.34226442964358528</v>
      </c>
      <c r="H37" s="37">
        <v>1.9559274305671573E-2</v>
      </c>
      <c r="I37" s="38">
        <v>0.33844024108026288</v>
      </c>
      <c r="J37" s="37">
        <v>1.8918159558573216E-2</v>
      </c>
      <c r="K37" s="38">
        <v>0.33450704348982363</v>
      </c>
      <c r="L37" s="37">
        <v>1.8261146316652307E-2</v>
      </c>
      <c r="M37" s="38">
        <v>0.33045375861543169</v>
      </c>
      <c r="N37" s="37">
        <v>1.7586337659654519E-2</v>
      </c>
      <c r="O37" s="38">
        <v>0.32626794253418945</v>
      </c>
      <c r="P37" s="37">
        <v>1.6891542725342153E-2</v>
      </c>
      <c r="Q37" s="38">
        <v>0.32193533683388442</v>
      </c>
      <c r="R37" s="37">
        <v>1.6174173306742652E-2</v>
      </c>
      <c r="S37" s="38">
        <v>0.31743928737488991</v>
      </c>
      <c r="T37" s="37">
        <v>1.5431097936939095E-2</v>
      </c>
      <c r="U37" s="38">
        <v>0.31275993086208476</v>
      </c>
      <c r="V37" s="37">
        <v>1.4658413386214134E-2</v>
      </c>
      <c r="W37" s="38">
        <v>0.3078729243997943</v>
      </c>
      <c r="X37" s="37">
        <v>1.3851113292103147E-2</v>
      </c>
      <c r="Y37" s="38">
        <v>0.30274763391548037</v>
      </c>
      <c r="Z37" s="37">
        <v>1.3002564643292044E-2</v>
      </c>
      <c r="AA37" s="38">
        <v>0.29734432130694766</v>
      </c>
      <c r="AB37" s="37">
        <v>1.2103749135242132E-2</v>
      </c>
      <c r="AC37" s="38">
        <v>0.29161027359722491</v>
      </c>
      <c r="AD37" s="37">
        <v>1.1142220237776735E-2</v>
      </c>
      <c r="AE37" s="38">
        <v>0.28547508030880742</v>
      </c>
      <c r="AF37" s="37">
        <v>1.0101225118554656E-2</v>
      </c>
      <c r="AG37" s="38">
        <v>0.27884913014567081</v>
      </c>
      <c r="AH37" s="37">
        <v>8.9614853440563597E-3</v>
      </c>
      <c r="AI37" s="38">
        <v>0.27164384120525192</v>
      </c>
      <c r="AJ37" s="37">
        <v>7.7157922028761256E-3</v>
      </c>
      <c r="AK37" s="38">
        <v>0.26388128115113924</v>
      </c>
      <c r="AL37" s="37">
        <v>6.4239139459925827E-3</v>
      </c>
      <c r="AM37" s="38">
        <v>0.25605604200709181</v>
      </c>
      <c r="AN37" s="37"/>
      <c r="AO37" s="38"/>
      <c r="AP37" s="37"/>
      <c r="AQ37" s="38"/>
      <c r="AR37" s="37"/>
      <c r="AS37" s="38"/>
      <c r="AT37" s="37"/>
      <c r="AU37" s="38"/>
      <c r="AV37" s="37"/>
      <c r="AW37" s="38"/>
    </row>
    <row r="38" spans="1:49 16319:16384" x14ac:dyDescent="0.2">
      <c r="B38" s="35">
        <v>0.18079094942242827</v>
      </c>
      <c r="C38" s="36">
        <v>6.0565413429233668E-2</v>
      </c>
      <c r="D38" s="35">
        <v>0.18147676843955643</v>
      </c>
      <c r="E38" s="36">
        <v>6.1036485157455279E-2</v>
      </c>
      <c r="F38" s="35">
        <v>0.18213081097128922</v>
      </c>
      <c r="G38" s="36">
        <v>6.1520474402919904E-2</v>
      </c>
      <c r="H38" s="35">
        <v>0.18275039069525295</v>
      </c>
      <c r="I38" s="36">
        <v>6.2019852828225822E-2</v>
      </c>
      <c r="J38" s="35">
        <v>0.18333183668037922</v>
      </c>
      <c r="K38" s="36">
        <v>6.2537523279808313E-2</v>
      </c>
      <c r="L38" s="35">
        <v>0.18387021449923108</v>
      </c>
      <c r="M38" s="36">
        <v>6.3076823199555251E-2</v>
      </c>
      <c r="N38" s="35">
        <v>0.18435894167188474</v>
      </c>
      <c r="O38" s="36">
        <v>6.3641793225361981E-2</v>
      </c>
      <c r="P38" s="35">
        <v>0.1847892338221917</v>
      </c>
      <c r="Q38" s="36">
        <v>6.423735012688675E-2</v>
      </c>
      <c r="R38" s="35">
        <v>0.18514932126025221</v>
      </c>
      <c r="S38" s="36">
        <v>6.486958562994756E-2</v>
      </c>
      <c r="T38" s="35">
        <v>0.18542328372756181</v>
      </c>
      <c r="U38" s="36">
        <v>6.5546276963439162E-2</v>
      </c>
      <c r="V38" s="35">
        <v>0.18558932489580196</v>
      </c>
      <c r="W38" s="36">
        <v>6.6277595744964182E-2</v>
      </c>
      <c r="X38" s="35">
        <v>0.18561705440197698</v>
      </c>
      <c r="Y38" s="36">
        <v>6.7077408535816008E-2</v>
      </c>
      <c r="Z38" s="35">
        <v>0.18546304367445496</v>
      </c>
      <c r="AA38" s="36">
        <v>6.7965269512981499E-2</v>
      </c>
      <c r="AB38" s="35">
        <v>0.18506313257605567</v>
      </c>
      <c r="AC38" s="36">
        <v>6.8970370354454996E-2</v>
      </c>
      <c r="AD38" s="35">
        <v>0.18431808574344277</v>
      </c>
      <c r="AE38" s="36">
        <v>7.0138029843054506E-2</v>
      </c>
      <c r="AF38" s="35">
        <v>0.18306456070740471</v>
      </c>
      <c r="AG38" s="36">
        <v>7.1541271661754238E-2</v>
      </c>
      <c r="AH38" s="35">
        <v>0.18101308682533981</v>
      </c>
      <c r="AI38" s="36">
        <v>7.3295863641191075E-2</v>
      </c>
      <c r="AJ38" s="35">
        <v>0.17762870075996193</v>
      </c>
      <c r="AK38" s="36">
        <v>7.5550250323666454E-2</v>
      </c>
      <c r="AL38" s="35">
        <v>0.17210575796194993</v>
      </c>
      <c r="AM38" s="36">
        <v>7.8290079345731178E-2</v>
      </c>
      <c r="AN38" s="35"/>
      <c r="AO38" s="36"/>
      <c r="AP38" s="35"/>
      <c r="AQ38" s="36"/>
      <c r="AR38" s="35"/>
      <c r="AS38" s="36"/>
      <c r="AT38" s="35"/>
      <c r="AU38" s="36"/>
      <c r="AV38" s="35"/>
      <c r="AW38" s="36"/>
    </row>
    <row r="39" spans="1:49 16319:16384" x14ac:dyDescent="0.2">
      <c r="B39" s="37">
        <v>0.23064923795098771</v>
      </c>
      <c r="C39" s="38">
        <v>0.22092201281804777</v>
      </c>
      <c r="D39" s="37">
        <v>0.23026436776912867</v>
      </c>
      <c r="E39" s="38">
        <v>0.22184774421274142</v>
      </c>
      <c r="F39" s="37">
        <v>0.22998679283304502</v>
      </c>
      <c r="G39" s="38">
        <v>0.22290520944572154</v>
      </c>
      <c r="H39" s="37">
        <v>0.22982425374443699</v>
      </c>
      <c r="I39" s="38">
        <v>0.22411163067444678</v>
      </c>
      <c r="J39" s="37">
        <v>0.22978774735892524</v>
      </c>
      <c r="K39" s="38">
        <v>0.22548869190703538</v>
      </c>
      <c r="L39" s="37">
        <v>0.22989247303713639</v>
      </c>
      <c r="M39" s="38">
        <v>0.2270640807872491</v>
      </c>
      <c r="N39" s="37">
        <v>0.23015919260818882</v>
      </c>
      <c r="O39" s="38">
        <v>0.22887326208027509</v>
      </c>
      <c r="P39" s="37">
        <v>0.23061631719116948</v>
      </c>
      <c r="Q39" s="38">
        <v>0.23096242282767304</v>
      </c>
      <c r="R39" s="37">
        <v>0.23130309466503821</v>
      </c>
      <c r="S39" s="38">
        <v>0.23339282856305479</v>
      </c>
      <c r="T39" s="37">
        <v>0.23227468883061209</v>
      </c>
      <c r="U39" s="38">
        <v>0.23624751560798157</v>
      </c>
      <c r="V39" s="37">
        <v>0.23361054251322477</v>
      </c>
      <c r="W39" s="38">
        <v>0.23964231250274853</v>
      </c>
      <c r="X39" s="37">
        <v>0.23542888449497865</v>
      </c>
      <c r="Y39" s="38">
        <v>0.2437442979698041</v>
      </c>
      <c r="Z39" s="37">
        <v>0.23791342811370722</v>
      </c>
      <c r="AA39" s="38">
        <v>0.24880533254364962</v>
      </c>
      <c r="AB39" s="37">
        <v>0.24136607651555267</v>
      </c>
      <c r="AC39" s="38">
        <v>0.25522549934463501</v>
      </c>
      <c r="AD39" s="37">
        <v>0.2463209301913048</v>
      </c>
      <c r="AE39" s="38">
        <v>0.26368555342578903</v>
      </c>
      <c r="AF39" s="37">
        <v>0.25382030034704645</v>
      </c>
      <c r="AG39" s="38">
        <v>0.27544774127867905</v>
      </c>
      <c r="AH39" s="37">
        <v>0.26618557849921554</v>
      </c>
      <c r="AI39" s="38">
        <v>0.29312934147885922</v>
      </c>
      <c r="AJ39" s="37">
        <v>0.28961207173148795</v>
      </c>
      <c r="AK39" s="38">
        <v>0.32309458906316441</v>
      </c>
      <c r="AL39" s="37">
        <v>0.34564467291698198</v>
      </c>
      <c r="AM39" s="38">
        <v>0.38682327979353048</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5.427485542500729E-2</v>
      </c>
      <c r="E42" s="126"/>
      <c r="F42" s="167">
        <f>6.1%+(1-6.1%)*(1-SUM(F26:G26)/SUM($B$26:$C$26))</f>
        <v>4.8124783032899285E-2</v>
      </c>
      <c r="G42" s="126"/>
      <c r="H42" s="167">
        <f>6.1%+(1-6.1%)*(1-SUM(H26:I26)/SUM($B$26:$C$26))</f>
        <v>4.2607148245947468E-2</v>
      </c>
      <c r="I42" s="126"/>
      <c r="J42" s="167">
        <f>6.1%+(1-6.1%)*(1-SUM(J26:K26)/SUM($B$26:$C$26))</f>
        <v>3.7797388739149271E-2</v>
      </c>
      <c r="K42" s="126"/>
      <c r="L42" s="167">
        <f>6.1%+(1-6.1%)*(1-SUM(L26:M26)/SUM($B$26:$C$26))</f>
        <v>3.3794302647459272E-2</v>
      </c>
      <c r="M42" s="126"/>
      <c r="N42" s="167">
        <f>6.1%+(1-6.1%)*(1-SUM(N26:O26)/SUM($B$26:$C$26))</f>
        <v>3.072730340543885E-2</v>
      </c>
      <c r="O42" s="126"/>
      <c r="P42" s="167">
        <f>6.1%+(1-6.1%)*(1-SUM(P26:Q26)/SUM($B$26:$C$26))</f>
        <v>2.8767093943071316E-2</v>
      </c>
      <c r="Q42" s="126"/>
      <c r="R42" s="167">
        <f>6.1%+(1-6.1%)*(1-SUM(R26:S26)/SUM($B$26:$C$26))</f>
        <v>2.8141204698652215E-2</v>
      </c>
      <c r="S42" s="126"/>
      <c r="T42" s="167">
        <f>6.1%+(1-6.1%)*(1-SUM(T26:U26)/SUM($B$26:$C$26))</f>
        <v>2.9157546909233445E-2</v>
      </c>
      <c r="U42" s="126"/>
      <c r="V42" s="167">
        <f>6.1%+(1-6.1%)*(1-SUM(V26:W26)/SUM($B$26:$C$26))</f>
        <v>3.2240902071912977E-2</v>
      </c>
      <c r="W42" s="126"/>
      <c r="X42" s="167">
        <f>6.1%+(1-6.1%)*(1-SUM(X26:Y26)/SUM($B$26:$C$26))</f>
        <v>3.7992218433340691E-2</v>
      </c>
      <c r="Y42" s="152"/>
      <c r="Z42" s="167">
        <f>6.1%+(1-6.1%)*(1-SUM(Z26:AA26)/SUM($B$26:$C$26))</f>
        <v>4.7289840690448746E-2</v>
      </c>
      <c r="AA42" s="126"/>
      <c r="AB42" s="167">
        <f>6.1%+(1-6.1%)*(1-SUM(AB26:AC26)/SUM($B$26:$C$26))</f>
        <v>6.1471997819311883E-2</v>
      </c>
      <c r="AC42" s="126"/>
      <c r="AD42" s="167">
        <f>6.1%+(1-6.1%)*(1-SUM(AD26:AE26)/SUM($B$26:$C$26))</f>
        <v>8.2690994053023339E-2</v>
      </c>
      <c r="AE42" s="126"/>
      <c r="AF42" s="167">
        <f>6.1%+(1-6.1%)*(1-SUM(AF26:AG26)/SUM($B$26:$C$26))</f>
        <v>0.11465592853962438</v>
      </c>
      <c r="AG42" s="126"/>
      <c r="AH42" s="167">
        <f>6.1%+(1-6.1%)*(1-SUM(AH26:AI26)/SUM($B$26:$C$26))</f>
        <v>0.16430689590737668</v>
      </c>
      <c r="AI42" s="126"/>
      <c r="AJ42" s="167">
        <f>6.1%+(1-6.1%)*(1-SUM(AJ26:AK26)/SUM($B$26:$C$26))</f>
        <v>0.24567023458644521</v>
      </c>
      <c r="AK42" s="126"/>
      <c r="AL42" s="167">
        <f>6.1%+(1-6.1%)*(1-SUM(AL26:AM26)/SUM($B$26:$C$26))</f>
        <v>0.38735727200631809</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0.5625119912743447</v>
      </c>
      <c r="E43" s="126"/>
      <c r="F43" s="152">
        <f t="array" ref="F43">SUM(F15:G15*F27:G27)/SUM(F15:G15*F27:G27,F13:G13*F26:G26)</f>
        <v>0.55774972964741787</v>
      </c>
      <c r="G43" s="126"/>
      <c r="H43" s="152">
        <f t="array" ref="H43">SUM(H15:I15*H27:I27)/SUM(H15:I15*H27:I27,H13:I13*H26:I26)</f>
        <v>0.55289479600082436</v>
      </c>
      <c r="I43" s="126"/>
      <c r="J43" s="152">
        <f t="array" ref="J43">SUM(J15:K15*J27:K27)/SUM(J15:K15*J27:K27,J13:K13*J26:K26)</f>
        <v>0.54792464737222824</v>
      </c>
      <c r="K43" s="126"/>
      <c r="L43" s="152">
        <f t="array" ref="L43">SUM(L15:M15*L27:M27)/SUM(L15:M15*L27:M27,L13:M13*L26:M26)</f>
        <v>0.54281193413252316</v>
      </c>
      <c r="M43" s="126"/>
      <c r="N43" s="152">
        <f t="array" ref="N43">SUM(N15:O15*N27:O27)/SUM(N15:O15*N27:O27,N13:O13*N26:O26)</f>
        <v>0.53752263412050316</v>
      </c>
      <c r="O43" s="126"/>
      <c r="P43" s="152">
        <f t="array" ref="P43">SUM(P15:Q15*P27:Q27)/SUM(P15:Q15*P27:Q27,P13:Q13*P26:Q26)</f>
        <v>0.53201342580598687</v>
      </c>
      <c r="Q43" s="126"/>
      <c r="R43" s="152">
        <f t="array" ref="R43">SUM(R15:S15*R27:S27)/SUM(R15:S15*R27:S27,R13:S13*R26:S26)</f>
        <v>0.52622759361541838</v>
      </c>
      <c r="S43" s="126"/>
      <c r="T43" s="152">
        <f t="array" ref="T43">SUM(T15:U15*T27:U27)/SUM(T15:U15*T27:U27,T13:U13*T26:U26)</f>
        <v>0.52008859220346493</v>
      </c>
      <c r="U43" s="126"/>
      <c r="V43" s="152">
        <f t="array" ref="V43">SUM(V15:W15*V27:W27)/SUM(V15:W15*V27:W27,V13:W13*V26:W26)</f>
        <v>0.51348929286545453</v>
      </c>
      <c r="W43" s="126"/>
      <c r="X43" s="152">
        <f t="array" ref="X43">SUM(X15:Y15*X27:Y27)/SUM(X15:Y15*X27:Y27,X13:Y13*X26:Y26)</f>
        <v>0.50627352846232032</v>
      </c>
      <c r="Y43" s="126"/>
      <c r="Z43" s="152">
        <f t="array" ref="Z43">SUM(Z15:AA15*Z27:AA27)/SUM(Z15:AA15*Z27:AA27,Z13:AA13*Z26:AA26)</f>
        <v>0.49820264354904087</v>
      </c>
      <c r="AA43" s="126"/>
      <c r="AB43" s="152">
        <f t="array" ref="AB43">SUM(AB15:AC15*AB27:AC27)/SUM(AB15:AC15*AB27:AC27,AB13:AC13*AB26:AC26)</f>
        <v>0.48889177382079585</v>
      </c>
      <c r="AC43" s="126"/>
      <c r="AD43" s="152">
        <f t="array" ref="AD43">SUM(AD15:AE15*AD27:AE27)/SUM(AD15:AE15*AD27:AE27,AD13:AE13*AD26:AE26)</f>
        <v>0.47768214095328793</v>
      </c>
      <c r="AE43" s="126"/>
      <c r="AF43" s="152">
        <f t="array" ref="AF43">SUM(AF15:AG15*AF27:AG27)/SUM(AF15:AG15*AF27:AG27,AF13:AG13*AF26:AG26)</f>
        <v>0.46337516670594192</v>
      </c>
      <c r="AG43" s="126"/>
      <c r="AH43" s="152">
        <f t="array" ref="AH43">SUM(AH15:AI15*AH27:AI27)/SUM(AH15:AI15*AH27:AI27,AH13:AI13*AH26:AI26)</f>
        <v>0.44368201393202789</v>
      </c>
      <c r="AI43" s="126"/>
      <c r="AJ43" s="152">
        <f t="array" ref="AJ43">SUM(AJ15:AK15*AJ27:AK27)/SUM(AJ15:AK15*AJ27:AK27,AJ13:AK13*AJ26:AK26)</f>
        <v>0.4142730306659887</v>
      </c>
      <c r="AK43" s="126"/>
      <c r="AL43" s="152">
        <f t="array" ref="AL43">SUM(AL15:AM15*AL27:AM27)/SUM(AL15:AM15*AL27:AM27,AL13:AM13*AL26:AM26)</f>
        <v>0.36861383293276201</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0.29754225377991356</v>
      </c>
      <c r="F44" s="183">
        <f>(SUM(F11:G11*F24:G24)+F34)/F32</f>
        <v>0.29754224963291009</v>
      </c>
      <c r="H44" s="183">
        <f>(SUM(H11:I11*H24:I24)+H34)/H32</f>
        <v>0.29754224508187077</v>
      </c>
      <c r="J44" s="183">
        <f>(SUM(J11:K11*J24:K24)+J34)/J32</f>
        <v>0.29754225837156756</v>
      </c>
      <c r="L44" s="183">
        <f>(SUM(L11:M11*L24:M24)+L34)/L32</f>
        <v>0.29754226119486887</v>
      </c>
      <c r="N44" s="183">
        <f>(SUM(N11:O11*N24:O24)+N34)/N32</f>
        <v>0.29754226079709289</v>
      </c>
      <c r="P44" s="183">
        <f>(SUM(P11:Q11*P24:Q24)+P34)/P32</f>
        <v>0.29754226064195061</v>
      </c>
      <c r="R44" s="183">
        <f>(SUM(R11:S11*R24:S24)+R34)/R32</f>
        <v>0.29754225869077694</v>
      </c>
      <c r="T44" s="183">
        <f>(SUM(T11:U11*T24:U24)+T34)/T32</f>
        <v>0.29754226134160433</v>
      </c>
      <c r="V44" s="183">
        <f>(SUM(V11:W11*V24:W24)+V34)/V32</f>
        <v>0.29754225947294077</v>
      </c>
      <c r="X44" s="183">
        <f>(SUM(X11:Y11*X24:Y24)+X34)/X32</f>
        <v>0.29754226152417856</v>
      </c>
      <c r="Z44" s="183">
        <f>(SUM(Z11:AA11*Z24:AA24)+Z34)/Z32</f>
        <v>0.29754226233014713</v>
      </c>
      <c r="AB44" s="183">
        <f>(SUM(AB11:AC11*AB24:AC24)+AB34)/AB32</f>
        <v>0.29754226036888831</v>
      </c>
      <c r="AD44" s="183">
        <f>(SUM(AD11:AE11*AD24:AE24)+AD34)/AD32</f>
        <v>0.29754226130912914</v>
      </c>
      <c r="AF44" s="183">
        <f>(SUM(AF11:AG11*AF24:AG24)+AF34)/AF32</f>
        <v>0.29754226214419538</v>
      </c>
      <c r="AH44" s="183">
        <f>(SUM(AH11:AI11*AH24:AI24)+AH34)/AH32</f>
        <v>0.29754226198368594</v>
      </c>
      <c r="AJ44" s="183">
        <f>(SUM(AJ11:AK11*AJ24:AK24)+AJ34)/AJ32</f>
        <v>0.29754226178521553</v>
      </c>
      <c r="AL44" s="183">
        <f>(SUM(AL11:AM11*AL24:AM24)+AL34)/AL32</f>
        <v>0.29754226190750582</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0.22038438833063598</v>
      </c>
      <c r="F45" s="183">
        <f>SUM(F11:G11*F24:G24)/F32</f>
        <v>0.22038438833184787</v>
      </c>
      <c r="H45" s="183">
        <f>SUM(H11:I11*H24:I24)/H32</f>
        <v>0.22038438833270885</v>
      </c>
      <c r="J45" s="183">
        <f>SUM(J11:K11*J24:K24)/J32</f>
        <v>0.22038438833005444</v>
      </c>
      <c r="L45" s="183">
        <f>SUM(L11:M11*L24:M24)/L32</f>
        <v>0.22038438831567816</v>
      </c>
      <c r="N45" s="183">
        <f>SUM(N11:O11*N24:O24)/N32</f>
        <v>0.22038438830359949</v>
      </c>
      <c r="P45" s="183">
        <f>SUM(P11:Q11*P24:Q24)/P32</f>
        <v>0.22038438829598125</v>
      </c>
      <c r="R45" s="183">
        <f>SUM(R11:S11*R24:S24)/R32</f>
        <v>0.22038438828228527</v>
      </c>
      <c r="T45" s="183">
        <f>SUM(T11:U11*T24:U24)/T32</f>
        <v>0.22038438832357876</v>
      </c>
      <c r="V45" s="183">
        <f>SUM(V11:W11*V24:W24)/V32</f>
        <v>0.22038438834442939</v>
      </c>
      <c r="X45" s="183">
        <f>SUM(X11:Y11*X24:Y24)/X32</f>
        <v>0.22038438831905727</v>
      </c>
      <c r="Z45" s="183">
        <f>SUM(Z11:AA11*Z24:AA24)/Z32</f>
        <v>0.22038438836326416</v>
      </c>
      <c r="AB45" s="183">
        <f>SUM(AB11:AC11*AB24:AC24)/AB32</f>
        <v>0.22038438837880395</v>
      </c>
      <c r="AD45" s="183">
        <f>SUM(AD11:AE11*AD24:AE24)/AD32</f>
        <v>0.22038438831882948</v>
      </c>
      <c r="AF45" s="183">
        <f>SUM(AF11:AG11*AF24:AG24)/AF32</f>
        <v>0.22038438834453869</v>
      </c>
      <c r="AH45" s="183">
        <f>SUM(AH11:AI11*AH24:AI24)/AH32</f>
        <v>0.22038438833674917</v>
      </c>
      <c r="AJ45" s="183">
        <f>SUM(AJ11:AK11*AJ24:AK24)/AJ32</f>
        <v>0.22038438834177909</v>
      </c>
      <c r="AL45" s="183">
        <f>SUM(AL11:AM11*AL24:AM24)/AL32</f>
        <v>0.22038438833210328</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7.7157865449277607E-2</v>
      </c>
      <c r="F46" s="183">
        <f>F34/F32</f>
        <v>7.7157861301062197E-2</v>
      </c>
      <c r="H46" s="183">
        <f>H34/H32</f>
        <v>7.7157856749161938E-2</v>
      </c>
      <c r="J46" s="183">
        <f>J34/J32</f>
        <v>7.7157870041513171E-2</v>
      </c>
      <c r="L46" s="183">
        <f>L34/L32</f>
        <v>7.7157872879190709E-2</v>
      </c>
      <c r="N46" s="183">
        <f>N34/N32</f>
        <v>7.7157872493493429E-2</v>
      </c>
      <c r="P46" s="183">
        <f>P34/P32</f>
        <v>7.7157872345969297E-2</v>
      </c>
      <c r="R46" s="183">
        <f>R34/R32</f>
        <v>7.7157870408491688E-2</v>
      </c>
      <c r="T46" s="183">
        <f>T34/T32</f>
        <v>7.7157873018025583E-2</v>
      </c>
      <c r="V46" s="183">
        <f>V34/V32</f>
        <v>7.7157871128511357E-2</v>
      </c>
      <c r="X46" s="183">
        <f>X34/X32</f>
        <v>7.7157873205121255E-2</v>
      </c>
      <c r="Z46" s="183">
        <f>Z34/Z32</f>
        <v>7.7157873966882964E-2</v>
      </c>
      <c r="AB46" s="183">
        <f>AB34/AB32</f>
        <v>7.7157871990084365E-2</v>
      </c>
      <c r="AD46" s="183">
        <f>AD34/AD32</f>
        <v>7.7157872990299692E-2</v>
      </c>
      <c r="AF46" s="183">
        <f>AF34/AF32</f>
        <v>7.7157873799656676E-2</v>
      </c>
      <c r="AH46" s="183">
        <f>AH34/AH32</f>
        <v>7.7157873646936784E-2</v>
      </c>
      <c r="AJ46" s="183">
        <f>AJ34/AJ32</f>
        <v>7.7157873443436414E-2</v>
      </c>
      <c r="AL46" s="183">
        <f>AL34/AL32</f>
        <v>7.7157873575402505E-2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1.0050964411638714</v>
      </c>
      <c r="E48" s="181"/>
      <c r="F48" s="181">
        <f>F24/$B$24</f>
        <v>1.0096918425617862</v>
      </c>
      <c r="G48" s="181"/>
      <c r="H48" s="181">
        <f>H24/$B$24</f>
        <v>1.0137421748316955</v>
      </c>
      <c r="I48" s="181"/>
      <c r="J48" s="181">
        <f>J24/$B$24</f>
        <v>1.0171889493910742</v>
      </c>
      <c r="K48" s="181"/>
      <c r="L48" s="181">
        <f>L24/$B$24</f>
        <v>1.0199550448157586</v>
      </c>
      <c r="M48" s="181"/>
      <c r="N48" s="181">
        <f>N24/$B$24</f>
        <v>1.0219390248677012</v>
      </c>
      <c r="O48" s="181"/>
      <c r="P48" s="181">
        <f>P24/$B$24</f>
        <v>1.023006640249321</v>
      </c>
      <c r="Q48" s="181"/>
      <c r="R48" s="181">
        <f>R24/$B$24</f>
        <v>1.022978283093493</v>
      </c>
      <c r="S48" s="181"/>
      <c r="T48" s="181">
        <f>T24/$B$24</f>
        <v>1.0216098193639542</v>
      </c>
      <c r="U48" s="181"/>
      <c r="V48" s="181">
        <f>V24/$B$24</f>
        <v>1.0185622814138744</v>
      </c>
      <c r="W48" s="181"/>
      <c r="X48" s="181">
        <f>X24/$B$24</f>
        <v>1.0133519379818823</v>
      </c>
      <c r="Y48" s="181"/>
      <c r="Z48" s="181">
        <f>Z24/$B$24</f>
        <v>1.0052632036260527</v>
      </c>
      <c r="AA48" s="181"/>
      <c r="AB48" s="181">
        <f>AB24/$B$24</f>
        <v>0.99318813347794077</v>
      </c>
      <c r="AC48" s="181"/>
      <c r="AD48" s="181">
        <f>AD24/$B$24</f>
        <v>0.97530511111384532</v>
      </c>
      <c r="AE48" s="181"/>
      <c r="AF48" s="181">
        <f>AF24/$B$24</f>
        <v>0.94837711185796381</v>
      </c>
      <c r="AG48" s="181"/>
      <c r="AH48" s="181">
        <f>AH24/$B$24</f>
        <v>0.90606013417424147</v>
      </c>
      <c r="AI48" s="181"/>
      <c r="AJ48" s="181">
        <f>AJ24/$B$24</f>
        <v>0.83448271261590934</v>
      </c>
      <c r="AK48" s="181"/>
      <c r="AL48" s="181">
        <f>AL24/$B$24</f>
        <v>0.70087923318072098</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0.99999998867318662</v>
      </c>
      <c r="E49" s="181"/>
      <c r="F49" s="181">
        <f>F13/F35/$B$13*$B$35</f>
        <v>0.99999998419464642</v>
      </c>
      <c r="G49" s="181"/>
      <c r="H49" s="181">
        <f>H13/H35/$B$13*$B$35</f>
        <v>0.99999998004942514</v>
      </c>
      <c r="I49" s="181"/>
      <c r="J49" s="181">
        <f>J13/J35/$B$13*$B$35</f>
        <v>0.99999999614426638</v>
      </c>
      <c r="K49" s="181"/>
      <c r="L49" s="181">
        <f>L13/L35/$B$13*$B$35</f>
        <v>0.99999999912857429</v>
      </c>
      <c r="M49" s="181"/>
      <c r="N49" s="181">
        <f>N13/N35/$B$13*$B$35</f>
        <v>0.9999999987861371</v>
      </c>
      <c r="O49" s="181"/>
      <c r="P49" s="181">
        <f>P13/P35/$B$13*$B$35</f>
        <v>0.99999999883424195</v>
      </c>
      <c r="Q49" s="181"/>
      <c r="R49" s="181">
        <f>R13/R35/$B$13*$B$35</f>
        <v>0.99999999856806221</v>
      </c>
      <c r="S49" s="181"/>
      <c r="T49" s="181">
        <f>T13/T35/$B$13*$B$35</f>
        <v>0.99999999986760923</v>
      </c>
      <c r="U49" s="181"/>
      <c r="V49" s="181">
        <f>V13/V35/$B$13*$B$35</f>
        <v>0.99999999754051816</v>
      </c>
      <c r="W49" s="181"/>
      <c r="X49" s="181">
        <f>X13/X35/$B$13*$B$35</f>
        <v>1.0000000001830245</v>
      </c>
      <c r="Y49" s="181"/>
      <c r="Z49" s="181">
        <f>Z13/Z35/$B$13*$B$35</f>
        <v>0.99999999715256116</v>
      </c>
      <c r="AA49" s="181"/>
      <c r="AB49" s="181">
        <f>AB13/AB35/$B$13*$B$35</f>
        <v>0.99999999660089245</v>
      </c>
      <c r="AC49" s="181"/>
      <c r="AD49" s="181">
        <f>AD13/AD35/$B$13*$B$35</f>
        <v>1.0000000011591614</v>
      </c>
      <c r="AE49" s="181"/>
      <c r="AF49" s="181">
        <f>AF13/AF35/$B$13*$B$35</f>
        <v>0.99999999822855956</v>
      </c>
      <c r="AG49" s="181"/>
      <c r="AH49" s="181">
        <f>AH13/AH35/$B$13*$B$35</f>
        <v>0.99999999888907876</v>
      </c>
      <c r="AI49" s="181"/>
      <c r="AJ49" s="181">
        <f>AJ13/AJ35/$B$13*$B$35</f>
        <v>0.99999999825778507</v>
      </c>
      <c r="AK49" s="181"/>
      <c r="AL49" s="181">
        <f>AL13/AL35/$B$13*$B$35</f>
        <v>1.0000000003713194</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-340977.16075166641</v>
      </c>
      <c r="F51" s="27">
        <f>F30-F10*F23</f>
        <v>-275151.04162176419</v>
      </c>
      <c r="H51" s="27">
        <f>H30-H10*H23</f>
        <v>-208208.99985921569</v>
      </c>
      <c r="J51" s="27">
        <f>J30-J10*J23</f>
        <v>-139972.61906242231</v>
      </c>
      <c r="L51" s="27">
        <f>L30-L10*L23</f>
        <v>-70226.168073912151</v>
      </c>
      <c r="N51" s="27">
        <f>N30-N10*N23</f>
        <v>1292.5406066835858</v>
      </c>
      <c r="P51" s="27">
        <f>P30-P10*P23</f>
        <v>74909.472051918972</v>
      </c>
      <c r="R51" s="27">
        <f>R30-R10*R23</f>
        <v>151039.30486259283</v>
      </c>
      <c r="T51" s="27">
        <f>T30-T10*T23</f>
        <v>230223.25821442623</v>
      </c>
      <c r="V51" s="27">
        <f>V30-V10*V23</f>
        <v>313192.09469644446</v>
      </c>
      <c r="X51" s="27">
        <f>X30-X10*X23</f>
        <v>400967.15204095189</v>
      </c>
      <c r="Z51" s="27">
        <f>Z30-Z10*Z23</f>
        <v>495034.91409578267</v>
      </c>
      <c r="AB51" s="27">
        <f>AB30-AB10*AB23</f>
        <v>597637.47452353546</v>
      </c>
      <c r="AD51" s="27">
        <f>AD30-AD10*AD23</f>
        <v>712234.29598176759</v>
      </c>
      <c r="AF51" s="27">
        <f>AF30-AF10*AF23</f>
        <v>844009.30771466019</v>
      </c>
      <c r="AH51" s="27">
        <f>AH30-AH10*AH23</f>
        <v>999021.73884036019</v>
      </c>
      <c r="AJ51" s="27">
        <f>AJ30-AJ10*AJ23</f>
        <v>1173440.7495402154</v>
      </c>
      <c r="AL51" s="27">
        <f>AL30-AL10*AL23</f>
        <v>1294372.3914045659</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2092250.5415552976</v>
      </c>
      <c r="F52" s="27">
        <f t="array" ref="F52">Calibration!sL*SUM(F13:G13*F26:G26)</f>
        <v>2110465.4330088464</v>
      </c>
      <c r="H52" s="27">
        <f t="array" ref="H52">Calibration!sL*SUM(H13:I13*H26:I26)</f>
        <v>2127661.4234051611</v>
      </c>
      <c r="J52" s="27">
        <f t="array" ref="J52">Calibration!sL*SUM(J13:K13*J26:K26)</f>
        <v>2143735.155136704</v>
      </c>
      <c r="L52" s="27">
        <f t="array" ref="L52">Calibration!sL*SUM(L13:M13*L26:M26)</f>
        <v>2158548.8903669477</v>
      </c>
      <c r="N52" s="27">
        <f t="array" ref="N52">Calibration!sL*SUM(N13:O13*N26:O26)</f>
        <v>2171920.5359972892</v>
      </c>
      <c r="P52" s="27">
        <f t="array" ref="P52">Calibration!sL*SUM(P13:Q13*P26:Q26)</f>
        <v>2183608.9345302177</v>
      </c>
      <c r="R52" s="27">
        <f t="array" ref="R52">Calibration!sL*SUM(R13:S13*R26:S26)</f>
        <v>2193292.7703200122</v>
      </c>
      <c r="T52" s="27">
        <f t="array" ref="T52">Calibration!sL*SUM(T13:U13*T26:U26)</f>
        <v>2200538.6849052962</v>
      </c>
      <c r="V52" s="27">
        <f t="array" ref="V52">Calibration!sL*SUM(V13:W13*V26:W26)</f>
        <v>2204752.4474481829</v>
      </c>
      <c r="X52" s="27">
        <f t="array" ref="X52">Calibration!sL*SUM(X13:Y13*X26:Y26)</f>
        <v>2205099.1128014349</v>
      </c>
      <c r="Z52" s="27">
        <f t="array" ref="Z52">Calibration!sL*SUM(Z13:AA13*Z26:AA26)</f>
        <v>2200364.4468205753</v>
      </c>
      <c r="AB52" s="27">
        <f t="array" ref="AB52">Calibration!sL*SUM(AB13:AC13*AB26:AC26)</f>
        <v>2188695.0385941905</v>
      </c>
      <c r="AD52" s="27">
        <f t="array" ref="AD52">Calibration!sL*SUM(AD13:AE13*AD26:AE26)</f>
        <v>2167053.6647852701</v>
      </c>
      <c r="AF52" s="27">
        <f t="array" ref="AF52">Calibration!sL*SUM(AF13:AG13*AF26:AG26)</f>
        <v>2129919.0733757783</v>
      </c>
      <c r="AH52" s="27">
        <f t="array" ref="AH52">Calibration!sL*SUM(AH13:AI13*AH26:AI26)</f>
        <v>2065696.7620933526</v>
      </c>
      <c r="AJ52" s="27">
        <f t="array" ref="AJ52">Calibration!sL*SUM(AJ13:AK13*AJ26:AK26)</f>
        <v>1945522.5201841181</v>
      </c>
      <c r="AL52" s="27">
        <f t="array" ref="AL52">Calibration!sL*SUM(AL13:AM13*AL26:AM26)</f>
        <v>1688336.0985621586</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2690167.4900834369</v>
      </c>
      <c r="F53" s="27">
        <f t="array" ref="F53">Calibration!sK*SUM(F15:G15*F27:G27)</f>
        <v>2661641.1647469616</v>
      </c>
      <c r="H53" s="27">
        <f t="array" ref="H53">Calibration!sK*SUM(H15:I15*H27:I27)</f>
        <v>2631087.5340529238</v>
      </c>
      <c r="J53" s="27">
        <f t="array" ref="J53">Calibration!sK*SUM(J15:K15*J27:K27)</f>
        <v>2598251.2032786487</v>
      </c>
      <c r="L53" s="27">
        <f t="array" ref="L53">Calibration!sK*SUM(L15:M15*L27:M27)</f>
        <v>2562809.8928534295</v>
      </c>
      <c r="N53" s="27">
        <f t="array" ref="N53">Calibration!sK*SUM(N15:O15*N27:O27)</f>
        <v>2524353.6954279197</v>
      </c>
      <c r="P53" s="27">
        <f t="array" ref="P53">Calibration!sK*SUM(P15:Q15*P27:Q27)</f>
        <v>2482355.9775848892</v>
      </c>
      <c r="R53" s="27">
        <f t="array" ref="R53">Calibration!sK*SUM(R15:S15*R27:S27)</f>
        <v>2436130.0089788344</v>
      </c>
      <c r="T53" s="27">
        <f t="array" ref="T53">Calibration!sK*SUM(T15:U15*T27:U27)</f>
        <v>2384763.2044764296</v>
      </c>
      <c r="V53" s="27">
        <f t="array" ref="V53">Calibration!sK*SUM(V15:W15*V27:W27)</f>
        <v>2327013.0720277419</v>
      </c>
      <c r="X53" s="27">
        <f t="array" ref="X53">Calibration!sK*SUM(X15:Y15*X27:Y27)</f>
        <v>2261137.2344897976</v>
      </c>
      <c r="Z53" s="27">
        <f t="array" ref="Z53">Calibration!sK*SUM(Z15:AA15*Z27:AA27)</f>
        <v>2184601.7522502998</v>
      </c>
      <c r="AB53" s="27">
        <f t="array" ref="AB53">Calibration!sK*SUM(AB15:AC15*AB27:AC27)</f>
        <v>2093558.5556314546</v>
      </c>
      <c r="AD53" s="27">
        <f t="array" ref="AD53">Calibration!sK*SUM(AD15:AE15*AD27:AE27)</f>
        <v>1981863.7563811876</v>
      </c>
      <c r="AF53" s="27">
        <f t="array" ref="AF53">Calibration!sK*SUM(AF15:AG15*AF27:AG27)</f>
        <v>1839183.6241295228</v>
      </c>
      <c r="AH53" s="27">
        <f t="array" ref="AH53">Calibration!sK*SUM(AH15:AI15*AH27:AI27)</f>
        <v>1647461.5643048196</v>
      </c>
      <c r="AJ53" s="27">
        <f t="array" ref="AJ53">Calibration!sK*SUM(AJ15:AK15*AJ27:AK27)</f>
        <v>1376029.3666894438</v>
      </c>
      <c r="AL53" s="27">
        <f t="array" ref="AL53">Calibration!sK*SUM(AL15:AM15*AL27:AM27)</f>
        <v>985678.92841318413</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0.20299822103075824</v>
      </c>
      <c r="F55" s="183">
        <f>F30/F32</f>
        <v>0.20751306340309361</v>
      </c>
      <c r="H55" s="183">
        <f>H30/H32</f>
        <v>0.21206341326534595</v>
      </c>
      <c r="J55" s="183">
        <f>J30/J32</f>
        <v>0.21666789426652178</v>
      </c>
      <c r="L55" s="183">
        <f>L30/L32</f>
        <v>0.22134866034603182</v>
      </c>
      <c r="N55" s="183">
        <f>N30/N32</f>
        <v>0.22613259251606274</v>
      </c>
      <c r="P55" s="183">
        <f>P30/P32</f>
        <v>0.23105331728079134</v>
      </c>
      <c r="R55" s="183">
        <f>R30/R32</f>
        <v>0.2361541924080286</v>
      </c>
      <c r="T55" s="183">
        <f>T30/T32</f>
        <v>0.24149294199403379</v>
      </c>
      <c r="V55" s="183">
        <f>V30/V32</f>
        <v>0.24714939168124458</v>
      </c>
      <c r="X55" s="183">
        <f>X30/X32</f>
        <v>0.25323844068488754</v>
      </c>
      <c r="Z55" s="183">
        <f>Z30/Z32</f>
        <v>0.25993344778337418</v>
      </c>
      <c r="AB55" s="183">
        <f>AB30/AB32</f>
        <v>0.26750945503128315</v>
      </c>
      <c r="AD55" s="183">
        <f>AD30/AD32</f>
        <v>0.27642714083611319</v>
      </c>
      <c r="AF55" s="183">
        <f>AF30/AF32</f>
        <v>0.2874982982506909</v>
      </c>
      <c r="AH55" s="183">
        <f>AH30/AH32</f>
        <v>0.30219474504411092</v>
      </c>
      <c r="AJ55" s="183">
        <f>AJ30/AJ32</f>
        <v>0.32304684843744985</v>
      </c>
      <c r="AL55" s="183">
        <f>AL30/AL32</f>
        <v>0.35306107161521155</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3.2979887014892781E-2</v>
      </c>
      <c r="F56" s="183">
        <f>(Model!$C$52*F5*F20+F2*G5*G20)/F32</f>
        <v>3.6753444782228695E-2</v>
      </c>
      <c r="H56" s="183">
        <f>(Model!$C$52*H5*H20+H2*I5*I20)/H32</f>
        <v>4.0555257913931053E-2</v>
      </c>
      <c r="J56" s="183">
        <f>(Model!$C$52*J5*J20+J2*K5*K20)/J32</f>
        <v>4.4400717475977979E-2</v>
      </c>
      <c r="L56" s="183">
        <f>(Model!$C$52*L5*L20+L2*M5*M20)/L32</f>
        <v>4.8308125917554783E-2</v>
      </c>
      <c r="N56" s="183">
        <f>(Model!$C$52*N5*N20+N2*O5*O20)/N32</f>
        <v>5.2299658332662348E-2</v>
      </c>
      <c r="P56" s="183">
        <f>(Model!$C$52*P5*P20+P2*Q5*Q20)/P32</f>
        <v>5.6403033014891128E-2</v>
      </c>
      <c r="R56" s="183">
        <f>(Model!$C$52*R5*R20+R2*S5*S20)/R32</f>
        <v>6.0653953411103211E-2</v>
      </c>
      <c r="T56" s="183">
        <f>(Model!$C$52*T5*T20+T2*U5*U20)/T32</f>
        <v>6.5099910790577642E-2</v>
      </c>
      <c r="V56" s="183">
        <f>(Model!$C$52*V5*V20+V2*W5*W20)/V32</f>
        <v>6.9806502188360597E-2</v>
      </c>
      <c r="X56" s="183">
        <f>(Model!$C$52*X5*X20+X2*Y5*Y20)/X32</f>
        <v>7.4868026167097257E-2</v>
      </c>
      <c r="Z56" s="183">
        <f>(Model!$C$52*Z5*Z20+Z2*AA5*AA20)/Z32</f>
        <v>8.0426581327611643E-2</v>
      </c>
      <c r="AB56" s="183">
        <f>(Model!$C$52*AB5*AB20+AB2*AC5*AC20)/AB32</f>
        <v>8.6707344825209753E-2</v>
      </c>
      <c r="AD56" s="183">
        <f>(Model!$C$52*AD5*AD20+AD2*AE5*AE20)/AD32</f>
        <v>9.4087010852403813E-2</v>
      </c>
      <c r="AF56" s="183">
        <f>(Model!$C$52*AF5*AF20+AF2*AG5*AG20)/AF32</f>
        <v>0.10322873461862016</v>
      </c>
      <c r="AH56" s="183">
        <f>(Model!$C$52*AH5*AH20+AH2*AI5*AI20)/AH32</f>
        <v>0.1153339287974587</v>
      </c>
      <c r="AJ56" s="183">
        <f>(Model!$C$52*AJ5*AJ20+AJ2*AK5*AK20)/AJ32</f>
        <v>0.13246703007439461</v>
      </c>
      <c r="AL56" s="183">
        <f>(Model!$C$52*AL5*AL20+AL2*AM5*AM20)/AL32</f>
        <v>0.15707913013006417</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0.15934737473889729</v>
      </c>
      <c r="F57" s="183">
        <f t="array" ref="F57">SUM(Model!tauL*F13:G13*F26:G26)/F32</f>
        <v>0.16016945387152523</v>
      </c>
      <c r="H57" s="183">
        <f t="array" ref="H57">SUM(Model!tauL*H13:I13*H26:I26)/H32</f>
        <v>0.16099799817821644</v>
      </c>
      <c r="J57" s="183">
        <f t="array" ref="J57">SUM(Model!tauL*J13:K13*J26:K26)/J32</f>
        <v>0.16183640339270092</v>
      </c>
      <c r="L57" s="183">
        <f t="array" ref="L57">SUM(Model!tauL*L13:M13*L26:M26)/L32</f>
        <v>0.16268869445827869</v>
      </c>
      <c r="N57" s="183">
        <f t="array" ref="N57">SUM(Model!tauL*N13:O13*N26:O26)/N32</f>
        <v>0.16355977007440259</v>
      </c>
      <c r="P57" s="183">
        <f t="array" ref="P57">SUM(Model!tauL*P13:Q13*P26:Q26)/P32</f>
        <v>0.16445575407285654</v>
      </c>
      <c r="R57" s="183">
        <f t="array" ref="R57">SUM(Model!tauL*R13:S13*R26:S26)/R32</f>
        <v>0.16538454351919138</v>
      </c>
      <c r="T57" s="183">
        <f t="array" ref="T57">SUM(Model!tauL*T13:U13*T26:U26)/T32</f>
        <v>0.16635664576823803</v>
      </c>
      <c r="V57" s="183">
        <f t="array" ref="V57">SUM(Model!tauL*V13:W13*V26:W26)/V32</f>
        <v>0.16738659335117625</v>
      </c>
      <c r="X57" s="183">
        <f t="array" ref="X57">SUM(Model!tauL*X13:Y13*X26:Y26)/X32</f>
        <v>0.16849531134293669</v>
      </c>
      <c r="Y57" s="183"/>
      <c r="Z57" s="183">
        <f t="array" ref="Z57">SUM(Model!tauL*Z13:AA13*Z26:AA26)/Z32</f>
        <v>0.16971436662203951</v>
      </c>
      <c r="AB57" s="183">
        <f t="array" ref="AB57">SUM(Model!tauL*AB13:AC13*AB26:AC26)/AB32</f>
        <v>0.17109383296429073</v>
      </c>
      <c r="AD57" s="183">
        <f t="array" ref="AD57">SUM(Model!tauL*AD13:AE13*AD26:AE26)/AD32</f>
        <v>0.17271760101226724</v>
      </c>
      <c r="AF57" s="183">
        <f t="array" ref="AF57">SUM(Model!tauL*AF13:AG13*AF26:AG26)/AF32</f>
        <v>0.17473348129941799</v>
      </c>
      <c r="AH57" s="183">
        <f t="array" ref="AH57">SUM(Model!tauL*AH13:AI13*AH26:AI26)/AH32</f>
        <v>0.17740946773869304</v>
      </c>
      <c r="AJ57" s="183">
        <f t="array" ref="AJ57">SUM(Model!tauL*AJ13:AK13*AJ26:AK26)/AJ32</f>
        <v>0.18120629999436033</v>
      </c>
      <c r="AL57" s="183">
        <f t="array" ref="AL57">SUM(Model!tauL*AL13:AM13*AL26:AM26)/AL32</f>
        <v>0.18667140760722958</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1.0670959276968157E-2</v>
      </c>
      <c r="F58" s="183">
        <f t="array" ref="F58">SUM(Model!tauY/(1+Model!tauY)*F3:G3*F18:G18)/F32</f>
        <v>1.0590164749339692E-2</v>
      </c>
      <c r="H58" s="183">
        <f t="array" ref="H58">SUM(Model!tauY/(1+Model!tauY)*H3:I3*H18:I18)/H32</f>
        <v>1.0510157173198444E-2</v>
      </c>
      <c r="J58" s="183">
        <f t="array" ref="J58">SUM(Model!tauY/(1+Model!tauY)*J3:K3*J18:K18)/J32</f>
        <v>1.0430773397842871E-2</v>
      </c>
      <c r="L58" s="183">
        <f t="array" ref="L58">SUM(Model!tauY/(1+Model!tauY)*L3:M3*L18:M18)/L32</f>
        <v>1.0351839970198345E-2</v>
      </c>
      <c r="N58" s="183">
        <f t="array" ref="N58">SUM(Model!tauY/(1+Model!tauY)*N3:O3*N18:O18)/N32</f>
        <v>1.0273164108997796E-2</v>
      </c>
      <c r="P58" s="183">
        <f t="array" ref="P58">SUM(Model!tauY/(1+Model!tauY)*P3:Q3*P18:Q18)/P32</f>
        <v>1.0194530193043654E-2</v>
      </c>
      <c r="R58" s="183">
        <f t="array" ref="R58">SUM(Model!tauY/(1+Model!tauY)*R3:S3*R18:S18)/R32</f>
        <v>1.0115695477733978E-2</v>
      </c>
      <c r="T58" s="183">
        <f t="array" ref="T58">SUM(Model!tauY/(1+Model!tauY)*T3:U3*T18:U18)/T32</f>
        <v>1.0036385435218155E-2</v>
      </c>
      <c r="V58" s="183">
        <f t="array" ref="V58">SUM(Model!tauY/(1+Model!tauY)*V3:W3*V18:W18)/V32</f>
        <v>9.9562961417077461E-3</v>
      </c>
      <c r="X58" s="183">
        <f t="array" ref="X58">SUM(Model!tauY/(1+Model!tauY)*X3:Y3*X18:Y18)/X32</f>
        <v>9.8751031748536382E-3</v>
      </c>
      <c r="Y58" s="183"/>
      <c r="Z58" s="183">
        <f t="array" ref="Z58">SUM(Model!tauY/(1+Model!tauY)*Z3:AA3*Z18:AA18)/Z32</f>
        <v>9.7924998337230122E-3</v>
      </c>
      <c r="AB58" s="183">
        <f t="array" ref="AB58">SUM(Model!tauY/(1+Model!tauY)*AB3:AC3*AB18:AC18)/AB32</f>
        <v>9.7082772417826108E-3</v>
      </c>
      <c r="AD58" s="183">
        <f t="array" ref="AD58">SUM(Model!tauY/(1+Model!tauY)*AD3:AE3*AD18:AE18)/AD32</f>
        <v>9.6225289714421611E-3</v>
      </c>
      <c r="AF58" s="183">
        <f t="array" ref="AF58">SUM(Model!tauY/(1+Model!tauY)*AF3:AG3*AF18:AG18)/AF32</f>
        <v>9.5360823326528076E-3</v>
      </c>
      <c r="AH58" s="183">
        <f t="array" ref="AH58">SUM(Model!tauY/(1+Model!tauY)*AH3:AI3*AH18:AI18)/AH32</f>
        <v>9.4513485079591574E-3</v>
      </c>
      <c r="AJ58" s="183">
        <f t="array" ref="AJ58">SUM(Model!tauY/(1+Model!tauY)*AJ3:AK3*AJ18:AK18)/AJ32</f>
        <v>9.3735183686948914E-3</v>
      </c>
      <c r="AL58" s="183">
        <f t="array" ref="AL58">SUM(Model!tauY/(1+Model!tauY)*AL3:AM3*AL18:AM18)/AL32</f>
        <v>9.3105338779178159E-3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4.343836808507695E-3</v>
      </c>
      <c r="F59" s="183">
        <f>(F2*G5*G20)/F32</f>
        <v>8.1496241023553927E-3</v>
      </c>
      <c r="H59" s="183">
        <f>(H2*I5*I20)/H32</f>
        <v>1.1982463008395788E-2</v>
      </c>
      <c r="J59" s="183">
        <f>(J2*K5*K20)/J32</f>
        <v>1.5857710636460576E-2</v>
      </c>
      <c r="L59" s="183">
        <f>(L2*M5*M20)/L32</f>
        <v>1.9793617562443126E-2</v>
      </c>
      <c r="N59" s="183">
        <f>(N2*O5*O20)/N32</f>
        <v>2.3812287224638858E-2</v>
      </c>
      <c r="P59" s="183">
        <f>(P2*Q5*Q20)/P32</f>
        <v>2.794134272449067E-2</v>
      </c>
      <c r="R59" s="183">
        <f>(R2*S5*S20)/R32</f>
        <v>3.2216364370064893E-2</v>
      </c>
      <c r="T59" s="183">
        <f>(T2*U5*U20)/T32</f>
        <v>3.6684688287007154E-2</v>
      </c>
      <c r="V59" s="183">
        <f>(V2*W5*W20)/V32</f>
        <v>4.1411720542671421E-2</v>
      </c>
      <c r="X59" s="183">
        <f>(X2*Y5*Y20)/X32</f>
        <v>4.6491534317949362E-2</v>
      </c>
      <c r="Z59" s="183">
        <f>(Z2*AA5*AA20)/Z32</f>
        <v>5.2065980505063843E-2</v>
      </c>
      <c r="AB59" s="183">
        <f>(AB2*AC5*AC20)/AB32</f>
        <v>5.8360014187919043E-2</v>
      </c>
      <c r="AD59" s="183">
        <f>(AD2*AE5*AE20)/AD32</f>
        <v>6.5750254751167081E-2</v>
      </c>
      <c r="AF59" s="183">
        <f>(AF2*AG5*AG20)/AF32</f>
        <v>7.4900231728522337E-2</v>
      </c>
      <c r="AH59" s="183">
        <f>(AH2*AI5*AI20)/AH32</f>
        <v>8.7012795801612683E-2</v>
      </c>
      <c r="AJ59" s="183">
        <f>(AJ2*AK5*AK20)/AJ32</f>
        <v>0.10415554615261519</v>
      </c>
      <c r="AL59" s="183">
        <f>(AL2*AM5*AM20)/AL32</f>
        <v>0.12878269964429934</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2.8636050206385082E-2</v>
      </c>
      <c r="F60" s="183">
        <f>Model!$C$52*F5*F20/F32</f>
        <v>2.8603820679873302E-2</v>
      </c>
      <c r="H60" s="183">
        <f>Model!$C$52*H5*H20/H32</f>
        <v>2.8572794905535267E-2</v>
      </c>
      <c r="J60" s="183">
        <f>Model!$C$52*J5*J20/J32</f>
        <v>2.8543006839517399E-2</v>
      </c>
      <c r="L60" s="183">
        <f>Model!$C$52*L5*L20/L32</f>
        <v>2.8514508355111656E-2</v>
      </c>
      <c r="N60" s="183">
        <f>Model!$C$52*N5*N20/N32</f>
        <v>2.8487371108023487E-2</v>
      </c>
      <c r="P60" s="183">
        <f>Model!$C$52*P5*P20/P32</f>
        <v>2.8461690290400455E-2</v>
      </c>
      <c r="R60" s="183">
        <f>Model!$C$52*R5*R20/R32</f>
        <v>2.8437589041038325E-2</v>
      </c>
      <c r="T60" s="183">
        <f>Model!$C$52*T5*T20/T32</f>
        <v>2.8415222503570477E-2</v>
      </c>
      <c r="V60" s="183">
        <f>Model!$C$52*V5*V20/V32</f>
        <v>2.8394781645689187E-2</v>
      </c>
      <c r="X60" s="183">
        <f>Model!$C$52*X5*X20/X32</f>
        <v>2.8376491849147895E-2</v>
      </c>
      <c r="Z60" s="183">
        <f>Model!$C$52*Z5*Z20/Z32</f>
        <v>2.83606008225478E-2</v>
      </c>
      <c r="AB60" s="183">
        <f>Model!$C$52*AB5*AB20/AB32</f>
        <v>2.8347330637290714E-2</v>
      </c>
      <c r="AD60" s="183">
        <f>Model!$C$52*AD5*AD20/AD32</f>
        <v>2.8336756101236732E-2</v>
      </c>
      <c r="AF60" s="183">
        <f>Model!$C$52*AF5*AF20/AF32</f>
        <v>2.8328502890097827E-2</v>
      </c>
      <c r="AH60" s="183">
        <f>Model!$C$52*AH5*AH20/AH32</f>
        <v>2.8321132995846012E-2</v>
      </c>
      <c r="AJ60" s="183">
        <f>Model!$C$52*AJ5*AJ20/AJ32</f>
        <v>2.8311483921779419E-2</v>
      </c>
      <c r="AL60" s="183">
        <f>Model!$C$52*AL5*AL20/AL32</f>
        <v>2.8296430485764829E-2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1.0120103387724315</v>
      </c>
      <c r="F62">
        <f>F13/F15</f>
        <v>1.0250952879532984</v>
      </c>
      <c r="H62">
        <f>H13/H15</f>
        <v>1.0394235725297374</v>
      </c>
      <c r="J62">
        <f>J13/J15</f>
        <v>1.0552101862770018</v>
      </c>
      <c r="L62">
        <f>L13/L15</f>
        <v>1.0727324435878363</v>
      </c>
      <c r="N62">
        <f>N13/N15</f>
        <v>1.0923536364854023</v>
      </c>
      <c r="P62">
        <f>P13/P15</f>
        <v>1.1145586461276071</v>
      </c>
      <c r="R62">
        <f>R13/R15</f>
        <v>1.1400095459323043</v>
      </c>
      <c r="T62">
        <f>T13/T15</f>
        <v>1.1696353843035188</v>
      </c>
      <c r="V62">
        <f>V13/V15</f>
        <v>1.2047841898531806</v>
      </c>
      <c r="X62">
        <f>X13/X15</f>
        <v>1.2474930055182156</v>
      </c>
      <c r="Z62">
        <f>Z13/Z15</f>
        <v>1.3009992827185664</v>
      </c>
      <c r="AB62">
        <f>AB13/AB15</f>
        <v>1.370782081738761</v>
      </c>
      <c r="AD62">
        <f>AD13/AD15</f>
        <v>1.4668838396516881</v>
      </c>
      <c r="AF62">
        <f>AF13/AF15</f>
        <v>1.6096870131272911</v>
      </c>
      <c r="AH62">
        <f>AH13/AH15</f>
        <v>1.8463752554349544</v>
      </c>
      <c r="AJ62">
        <f>AJ13/AJ15</f>
        <v>2.3065497586767973</v>
      </c>
      <c r="AL62">
        <f>AL13/AL15</f>
        <v>3.4405800138093907</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0.99905895291890012</v>
      </c>
      <c r="E65" s="181"/>
      <c r="F65" s="181">
        <f t="array" ref="F65">SQRT((F9:G9*$B$22:$C$22+F10:G10*$B$23:$C$23+F11:G11*$B$24:$C$24+F4:G4*($B$25:$C$25-$B$19:$C$19))/($B$9:$C$9*$B$22:$C$22+$B$10:$C$10*$B$23:$C$23+$B$11:$C$11*$B$24:$C$24+$B$4:$C$4*($B$25:$C$25-$B$19:$C$19))*(F9:G9*F22:G22+F10:G10*F23:G23+F11:G11*F24:G24+F4:G4*(F25:G25-F19:G19))/($B$9:$C$9*F22:G22+$B$10:$C$10*F23:G23+$B$11:$C$11*F24:G24+$B$4:$C$4*(F25:G25-F19:G19)))</f>
        <v>0.99811574830539385</v>
      </c>
      <c r="G65" s="181"/>
      <c r="H65" s="181">
        <f t="array" ref="H65">SQRT((H9:I9*$B$22:$C$22+H10:I10*$B$23:$C$23+H11:I11*$B$24:$C$24+H4:I4*($B$25:$C$25-$B$19:$C$19))/($B$9:$C$9*$B$22:$C$22+$B$10:$C$10*$B$23:$C$23+$B$11:$C$11*$B$24:$C$24+$B$4:$C$4*($B$25:$C$25-$B$19:$C$19))*(H9:I9*H22:I22+H10:I10*H23:I23+H11:I11*H24:I24+H4:I4*(H25:I25-H19:I19))/($B$9:$C$9*H22:I22+$B$10:$C$10*H23:I23+$B$11:$C$11*H24:I24+$B$4:$C$4*(H25:I25-H19:I19)))</f>
        <v>0.99716616231483723</v>
      </c>
      <c r="I65" s="181"/>
      <c r="J65" s="181">
        <f t="array" ref="J65">SQRT((J9:K9*$B$22:$C$22+J10:K10*$B$23:$C$23+J11:K11*$B$24:$C$24+J4:K4*($B$25:$C$25-$B$19:$C$19))/($B$9:$C$9*$B$22:$C$22+$B$10:$C$10*$B$23:$C$23+$B$11:$C$11*$B$24:$C$24+$B$4:$C$4*($B$25:$C$25-$B$19:$C$19))*(J9:K9*J22:K22+J10:K10*J23:K23+J11:K11*J24:K24+J4:K4*(J25:K25-J19:K19))/($B$9:$C$9*J22:K22+$B$10:$C$10*J23:K23+$B$11:$C$11*J24:K24+$B$4:$C$4*(J25:K25-J19:K19)))</f>
        <v>0.99620556586874243</v>
      </c>
      <c r="K65" s="181"/>
      <c r="L65" s="181">
        <f t="array" ref="L65">SQRT((L9:M9*$B$22:$C$22+L10:M10*$B$23:$C$23+L11:M11*$B$24:$C$24+L4:M4*($B$25:$C$25-$B$19:$C$19))/($B$9:$C$9*$B$22:$C$22+$B$10:$C$10*$B$23:$C$23+$B$11:$C$11*$B$24:$C$24+$B$4:$C$4*($B$25:$C$25-$B$19:$C$19))*(L9:M9*L22:M22+L10:M10*L23:M23+L11:M11*L24:M24+L4:M4*(L25:M25-L19:M19))/($B$9:$C$9*L22:M22+$B$10:$C$10*L23:M23+$B$11:$C$11*L24:M24+$B$4:$C$4*(L25:M25-L19:M19)))</f>
        <v>0.99522890660193752</v>
      </c>
      <c r="M65" s="181"/>
      <c r="N65" s="181">
        <f t="array" ref="N65">SQRT((N9:O9*$B$22:$C$22+N10:O10*$B$23:$C$23+N11:O11*$B$24:$C$24+N4:O4*($B$25:$C$25-$B$19:$C$19))/($B$9:$C$9*$B$22:$C$22+$B$10:$C$10*$B$23:$C$23+$B$11:$C$11*$B$24:$C$24+$B$4:$C$4*($B$25:$C$25-$B$19:$C$19))*(N9:O9*N22:O22+N10:O10*N23:O23+N11:O11*N24:O24+N4:O4*(N25:O25-N19:O19))/($B$9:$C$9*N22:O22+$B$10:$C$10*N23:O23+$B$11:$C$11*N24:O24+$B$4:$C$4*(N25:O25-N19:O19)))</f>
        <v>0.99423069998324154</v>
      </c>
      <c r="O65" s="181"/>
      <c r="P65" s="181">
        <f t="array" ref="P65">SQRT((P9:Q9*$B$22:$C$22+P10:Q10*$B$23:$C$23+P11:Q11*$B$24:$C$24+P4:Q4*($B$25:$C$25-$B$19:$C$19))/($B$9:$C$9*$B$22:$C$22+$B$10:$C$10*$B$23:$C$23+$B$11:$C$11*$B$24:$C$24+$B$4:$C$4*($B$25:$C$25-$B$19:$C$19))*(P9:Q9*P22:Q22+P10:Q10*P23:Q23+P11:Q11*P24:Q24+P4:Q4*(P25:Q25-P19:Q19))/($B$9:$C$9*P22:Q22+$B$10:$C$10*P23:Q23+$B$11:$C$11*P24:Q24+$B$4:$C$4*(P25:Q25-P19:Q19)))</f>
        <v>0.9932051703524527</v>
      </c>
      <c r="Q65" s="181"/>
      <c r="R65" s="181">
        <f t="array" ref="R65">SQRT((R9:S9*$B$22:$C$22+R10:S10*$B$23:$C$23+R11:S11*$B$24:$C$24+R4:S4*($B$25:$C$25-$B$19:$C$19))/($B$9:$C$9*$B$22:$C$22+$B$10:$C$10*$B$23:$C$23+$B$11:$C$11*$B$24:$C$24+$B$4:$C$4*($B$25:$C$25-$B$19:$C$19))*(R9:S9*R22:S22+R10:S10*R23:S23+R11:S11*R24:S24+R4:S4*(R25:S25-R19:S19))/($B$9:$C$9*R22:S22+$B$10:$C$10*R23:S23+$B$11:$C$11*R24:S24+$B$4:$C$4*(R25:S25-R19:S19)))</f>
        <v>0.99214659985646625</v>
      </c>
      <c r="S65" s="181"/>
      <c r="T65" s="181">
        <f t="array" ref="T65">SQRT((T9:U9*$B$22:$C$22+T10:U10*$B$23:$C$23+T11:U11*$B$24:$C$24+T4:U4*($B$25:$C$25-$B$19:$C$19))/($B$9:$C$9*$B$22:$C$22+$B$10:$C$10*$B$23:$C$23+$B$11:$C$11*$B$24:$C$24+$B$4:$C$4*($B$25:$C$25-$B$19:$C$19))*(T9:U9*T22:U22+T10:U10*T23:U23+T11:U11*T24:U24+T4:U4*(T25:U25-T19:U19))/($B$9:$C$9*T22:U22+$B$10:$C$10*T23:U23+$B$11:$C$11*T24:U24+$B$4:$C$4*(T25:U25-T19:U19)))</f>
        <v>0.99105010006262328</v>
      </c>
      <c r="U65" s="181"/>
      <c r="V65" s="181">
        <f t="array" ref="V65">SQRT((V9:W9*$B$22:$C$22+V10:W10*$B$23:$C$23+V11:W11*$B$24:$C$24+V4:W4*($B$25:$C$25-$B$19:$C$19))/($B$9:$C$9*$B$22:$C$22+$B$10:$C$10*$B$23:$C$23+$B$11:$C$11*$B$24:$C$24+$B$4:$C$4*($B$25:$C$25-$B$19:$C$19))*(V9:W9*V22:W22+V10:W10*V23:W23+V11:W11*V24:W24+V4:W4*(V25:W25-V19:W19))/($B$9:$C$9*V22:W22+$B$10:$C$10*V23:W23+$B$11:$C$11*V24:W24+$B$4:$C$4*(V25:W25-V19:W19)))</f>
        <v>0.98991320013243178</v>
      </c>
      <c r="W65" s="181"/>
      <c r="X65" s="181">
        <f t="array" ref="X65">SQRT((X9:Y9*$B$22:$C$22+X10:Y10*$B$23:$C$23+X11:Y11*$B$24:$C$24+X4:Y4*($B$25:$C$25-$B$19:$C$19))/($B$9:$C$9*$B$22:$C$22+$B$10:$C$10*$B$23:$C$23+$B$11:$C$11*$B$24:$C$24+$B$4:$C$4*($B$25:$C$25-$B$19:$C$19))*(X9:Y9*X22:Y22+X10:Y10*X23:Y23+X11:Y11*X24:Y24+X4:Y4*(X25:Y25-X19:Y19))/($B$9:$C$9*X22:Y22+$B$10:$C$10*X23:Y23+$B$11:$C$11*X24:Y24+$B$4:$C$4*(X25:Y25-X19:Y19)))</f>
        <v>0.98873900896142963</v>
      </c>
      <c r="Y65" s="181"/>
      <c r="Z65" s="181">
        <f t="array" ref="Z65">SQRT((Z9:AA9*$B$22:$C$22+Z10:AA10*$B$23:$C$23+Z11:AA11*$B$24:$C$24+Z4:AA4*($B$25:$C$25-$B$19:$C$19))/($B$9:$C$9*$B$22:$C$22+$B$10:$C$10*$B$23:$C$23+$B$11:$C$11*$B$24:$C$24+$B$4:$C$4*($B$25:$C$25-$B$19:$C$19))*(Z9:AA9*Z22:AA22+Z10:AA10*Z23:AA23+Z11:AA11*Z24:AA24+Z4:AA4*(Z25:AA25-Z19:AA19))/($B$9:$C$9*Z22:AA22+$B$10:$C$10*Z23:AA23+$B$11:$C$11*Z24:AA24+$B$4:$C$4*(Z25:AA25-Z19:AA19)))</f>
        <v>0.98754247497555581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0.98636276029063719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0.98528760850836383</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0.98449961134481767</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0.98434985719094925</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0.9853929367868719</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0.98803266230089215</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0.99896542512408382</v>
      </c>
      <c r="E66" s="181"/>
      <c r="F66" s="181">
        <f t="array" ref="F66">SQRT((F9:G9*$B$22:$C$22)/($B$9:$C$9*$B$22:$C$22)*(F9:G9*F22:G22)/($B$9:$C$9*F22:G22))</f>
        <v>0.99792779110326113</v>
      </c>
      <c r="G66" s="181"/>
      <c r="H66" s="181">
        <f t="array" ref="H66">SQRT((H9:I9*$B$22:$C$22)/($B$9:$C$9*$B$22:$C$22)*(H9:I9*H22:I22)/($B$9:$C$9*H22:I22))</f>
        <v>0.99688243738551174</v>
      </c>
      <c r="I66" s="181"/>
      <c r="J66" s="181">
        <f t="array" ref="J66">SQRT((J9:K9*$B$22:$C$22)/($B$9:$C$9*$B$22:$C$22)*(J9:K9*J22:K22)/($B$9:$C$9*J22:K22))</f>
        <v>0.99582424286386972</v>
      </c>
      <c r="K66" s="181"/>
      <c r="L66" s="181">
        <f t="array" ref="L66">SQRT((L9:M9*$B$22:$C$22)/($B$9:$C$9*$B$22:$C$22)*(L9:M9*L22:M22)/($B$9:$C$9*L22:M22))</f>
        <v>0.99474760378189564</v>
      </c>
      <c r="M66" s="181"/>
      <c r="N66" s="181">
        <f t="array" ref="N66">SQRT((N9:O9*$B$22:$C$22)/($B$9:$C$9*$B$22:$C$22)*(N9:O9*N22:O22)/($B$9:$C$9*N22:O22))</f>
        <v>0.99364642133658898</v>
      </c>
      <c r="O66" s="181"/>
      <c r="P66" s="181">
        <f t="array" ref="P66">SQRT((P9:Q9*$B$22:$C$22)/($B$9:$C$9*$B$22:$C$22)*(P9:Q9*P22:Q22)/($B$9:$C$9*P22:Q22))</f>
        <v>0.99251425448214192</v>
      </c>
      <c r="Q66" s="181"/>
      <c r="R66" s="181">
        <f t="array" ref="R66">SQRT((R9:S9*$B$22:$C$22)/($B$9:$C$9*$B$22:$C$22)*(R9:S9*R22:S22)/($B$9:$C$9*R22:S22))</f>
        <v>0.99134470290715171</v>
      </c>
      <c r="S66" s="181"/>
      <c r="T66" s="181">
        <f t="array" ref="T66">SQRT((T9:U9*$B$22:$C$22)/($B$9:$C$9*$B$22:$C$22)*(T9:U9*T22:U22)/($B$9:$C$9*T22:U22))</f>
        <v>0.99013225933005755</v>
      </c>
      <c r="U66" s="181"/>
      <c r="V66" s="181">
        <f t="array" ref="V66">SQRT((V9:W9*$B$22:$C$22)/($B$9:$C$9*$B$22:$C$22)*(V9:W9*V22:W22)/($B$9:$C$9*V22:W22))</f>
        <v>0.98887407072506173</v>
      </c>
      <c r="W66" s="181"/>
      <c r="X66" s="181">
        <f t="array" ref="X66">SQRT((X9:Y9*$B$22:$C$22)/($B$9:$C$9*$B$22:$C$22)*(X9:Y9*X22:Y22)/($B$9:$C$9*X22:Y22))</f>
        <v>0.98757345512808969</v>
      </c>
      <c r="Y66" s="181"/>
      <c r="Z66" s="181">
        <f t="array" ref="Z66">SQRT((Z9:AA9*$B$22:$C$22)/($B$9:$C$9*$B$22:$C$22)*(Z9:AA9*Z22:AA22)/($B$9:$C$9*Z22:AA22))</f>
        <v>0.98624687879936224</v>
      </c>
      <c r="AA66" s="181"/>
      <c r="AB66" s="181">
        <f t="array" ref="AB66">SQRT((AB9:AC9*$B$22:$C$22)/($B$9:$C$9*$B$22:$C$22)*(AB9:AC9*AB22:AC22)/($B$9:$C$9*AB22:AC22))</f>
        <v>0.98493777050881293</v>
      </c>
      <c r="AC66" s="181"/>
      <c r="AD66" s="181">
        <f t="array" ref="AD66">SQRT((AD9:AE9*$B$22:$C$22)/($B$9:$C$9*$B$22:$C$22)*(AD9:AE9*AD22:AE22)/($B$9:$C$9*AD22:AE22))</f>
        <v>0.98374374809576481</v>
      </c>
      <c r="AE66" s="181"/>
      <c r="AF66" s="181">
        <f t="array" ref="AF66">SQRT((AF9:AG9*$B$22:$C$22)/($B$9:$C$9*$B$22:$C$22)*(AF9:AG9*AF22:AG22)/($B$9:$C$9*AF22:AG22))</f>
        <v>0.98286829335918657</v>
      </c>
      <c r="AG66" s="181"/>
      <c r="AH66" s="181">
        <f t="array" ref="AH66">SQRT((AH9:AI9*$B$22:$C$22)/($B$9:$C$9*$B$22:$C$22)*(AH9:AI9*AH22:AI22)/($B$9:$C$9*AH22:AI22))</f>
        <v>0.98270274683025838</v>
      </c>
      <c r="AI66" s="181"/>
      <c r="AJ66" s="181">
        <f t="array" ref="AJ66">SQRT((AJ9:AK9*$B$22:$C$22)/($B$9:$C$9*$B$22:$C$22)*(AJ9:AK9*AJ22:AK22)/($B$9:$C$9*AJ22:AK22))</f>
        <v>0.98386393661653082</v>
      </c>
      <c r="AK66" s="181"/>
      <c r="AL66" s="181">
        <f t="array" ref="AL66">SQRT((AL9:AM9*$B$22:$C$22)/($B$9:$C$9*$B$22:$C$22)*(AL9:AM9*AL22:AM22)/($B$9:$C$9*AL22:AM22))</f>
        <v>0.98679588137627294</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0.99896542512408382</v>
      </c>
      <c r="E68" s="181"/>
      <c r="F68" s="181">
        <f>F66/F67</f>
        <v>0.99792779110326113</v>
      </c>
      <c r="G68" s="181"/>
      <c r="H68" s="181">
        <f>H66/H67</f>
        <v>0.99688243738551174</v>
      </c>
      <c r="I68" s="181"/>
      <c r="J68" s="181">
        <f>J66/J67</f>
        <v>0.99582424286386972</v>
      </c>
      <c r="K68" s="181"/>
      <c r="L68" s="181">
        <f>L66/L67</f>
        <v>0.99474760378189564</v>
      </c>
      <c r="M68" s="181"/>
      <c r="N68" s="181">
        <f>N66/N67</f>
        <v>0.99364642133658898</v>
      </c>
      <c r="O68" s="181"/>
      <c r="P68" s="181">
        <f>P66/P67</f>
        <v>0.99251425448214192</v>
      </c>
      <c r="Q68" s="181"/>
      <c r="R68" s="181">
        <f>R66/R67</f>
        <v>0.99134470290715171</v>
      </c>
      <c r="S68" s="181"/>
      <c r="T68" s="181">
        <f>T66/T67</f>
        <v>0.99013225933005755</v>
      </c>
      <c r="U68" s="181"/>
      <c r="V68" s="181">
        <f>V66/V67</f>
        <v>0.98887407072506173</v>
      </c>
      <c r="W68" s="181"/>
      <c r="X68" s="181">
        <f>X66/X67</f>
        <v>0.98757345512808969</v>
      </c>
      <c r="Y68" s="181"/>
      <c r="Z68" s="181">
        <f>Z66/Z67</f>
        <v>0.98624687879936224</v>
      </c>
      <c r="AA68" s="181"/>
      <c r="AB68" s="181">
        <f>AB66/AB67</f>
        <v>0.98493777050881293</v>
      </c>
      <c r="AC68" s="181"/>
      <c r="AD68" s="181">
        <f>AD66/AD67</f>
        <v>0.98374374809576481</v>
      </c>
      <c r="AE68" s="181"/>
      <c r="AF68" s="181">
        <f>AF66/AF67</f>
        <v>0.98286829335918657</v>
      </c>
      <c r="AG68" s="181"/>
      <c r="AH68" s="181">
        <f>AH66/AH67</f>
        <v>0.98270274683025838</v>
      </c>
      <c r="AI68" s="181"/>
      <c r="AJ68" s="181">
        <f>AJ66/AJ67</f>
        <v>0.98386393661653082</v>
      </c>
      <c r="AK68" s="181"/>
      <c r="AL68" s="181">
        <f>AL66/AL67</f>
        <v>0.98679588137627294</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1.0050023481701593</v>
      </c>
      <c r="E69" s="181"/>
      <c r="F69" s="181">
        <f>F32/F65/($B$32)</f>
        <v>1.0095017054422775</v>
      </c>
      <c r="G69" s="181"/>
      <c r="H69" s="181">
        <f>H32/H65/($B$32)</f>
        <v>1.0134537335053648</v>
      </c>
      <c r="I69" s="181"/>
      <c r="J69" s="181">
        <f>J32/J65/($B$32)</f>
        <v>1.0167995944714432</v>
      </c>
      <c r="K69" s="181"/>
      <c r="L69" s="181">
        <f>L32/L65/($B$32)</f>
        <v>1.0194617842590565</v>
      </c>
      <c r="M69" s="181"/>
      <c r="N69" s="181">
        <f>N32/N65/($B$32)</f>
        <v>1.0213384630264348</v>
      </c>
      <c r="O69" s="181"/>
      <c r="P69" s="181">
        <f>P32/P65/($B$32)</f>
        <v>1.0222949933725141</v>
      </c>
      <c r="Q69" s="181"/>
      <c r="R69" s="181">
        <f>R32/R65/($B$32)</f>
        <v>1.0221514668386666</v>
      </c>
      <c r="S69" s="181"/>
      <c r="T69" s="181">
        <f>T32/T65/($B$32)</f>
        <v>1.0206636764125923</v>
      </c>
      <c r="U69" s="181"/>
      <c r="V69" s="181">
        <f>V32/V65/($B$32)</f>
        <v>1.0174930785011438</v>
      </c>
      <c r="W69" s="181"/>
      <c r="X69" s="181">
        <f>X32/X65/($B$32)</f>
        <v>1.0121573697827635</v>
      </c>
      <c r="Y69" s="181"/>
      <c r="Z69" s="181">
        <f>Z32/Z65/($B$32)</f>
        <v>1.0039443587797772</v>
      </c>
      <c r="AA69" s="181"/>
      <c r="AB69" s="181">
        <f>AB32/AB65/($B$32)</f>
        <v>0.99175328292738729</v>
      </c>
      <c r="AC69" s="181"/>
      <c r="AD69" s="181">
        <f>AD32/AD65/($B$32)</f>
        <v>0.97377689246867927</v>
      </c>
      <c r="AE69" s="181"/>
      <c r="AF69" s="181">
        <f>AF32/AF65/($B$32)</f>
        <v>0.94680564887799867</v>
      </c>
      <c r="AG69" s="181"/>
      <c r="AH69" s="181">
        <f>AH32/AH65/($B$32)</f>
        <v>0.90454402580796134</v>
      </c>
      <c r="AI69" s="181"/>
      <c r="AJ69" s="181">
        <f>AJ32/AJ65/($B$32)</f>
        <v>0.83318787458860577</v>
      </c>
      <c r="AK69" s="181"/>
      <c r="AL69" s="181">
        <f>AL32/AL65/($B$32)</f>
        <v>0.7000018997689379</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1.0043409512625219</v>
      </c>
      <c r="E70" s="129"/>
      <c r="F70" s="129">
        <f>F18/$B$18</f>
        <v>1.0082171490730234</v>
      </c>
      <c r="G70" s="129"/>
      <c r="H70" s="129">
        <f>H18/$B$18</f>
        <v>1.0115889476423263</v>
      </c>
      <c r="I70" s="129"/>
      <c r="J70" s="129">
        <f>J18/$B$18</f>
        <v>1.0144030326724731</v>
      </c>
      <c r="K70" s="129"/>
      <c r="L70" s="129">
        <f>L18/$B$18</f>
        <v>1.0165883979491466</v>
      </c>
      <c r="M70" s="129"/>
      <c r="N70" s="129">
        <f>N18/$B$18</f>
        <v>1.0180507680744209</v>
      </c>
      <c r="O70" s="129"/>
      <c r="P70" s="129">
        <f>P18/$B$18</f>
        <v>1.0186642005033686</v>
      </c>
      <c r="Q70" s="129"/>
      <c r="R70" s="129">
        <f>R18/$B$18</f>
        <v>1.0182585617229516</v>
      </c>
      <c r="S70" s="129"/>
      <c r="T70" s="129">
        <f>T18/$B$18</f>
        <v>1.0166001614346585</v>
      </c>
      <c r="U70" s="129"/>
      <c r="V70" s="129">
        <f>V18/$B$18</f>
        <v>1.0133608443578268</v>
      </c>
      <c r="W70" s="129"/>
      <c r="X70" s="129">
        <f>X18/$B$18</f>
        <v>1.0080665320239228</v>
      </c>
      <c r="Y70" s="129"/>
      <c r="Z70" s="129">
        <f>Z18/$B$18</f>
        <v>1.0000068423161115</v>
      </c>
      <c r="AA70" s="129"/>
      <c r="AB70" s="129">
        <f>AB18/$B$18</f>
        <v>0.98806752282801347</v>
      </c>
      <c r="AC70" s="129"/>
      <c r="AD70" s="129">
        <f>AD18/$B$18</f>
        <v>0.97039535026162538</v>
      </c>
      <c r="AE70" s="129"/>
      <c r="AF70" s="129">
        <f>AF18/$B$18</f>
        <v>0.9436716189560973</v>
      </c>
      <c r="AG70" s="129"/>
      <c r="AH70" s="129">
        <f>AH18/$B$18</f>
        <v>0.90139219130855097</v>
      </c>
      <c r="AI70" s="129"/>
      <c r="AJ70" s="129">
        <f>AJ18/$B$18</f>
        <v>0.8294999577951554</v>
      </c>
      <c r="AK70" s="129"/>
      <c r="AL70" s="129">
        <f>AL18/$B$18</f>
        <v>0.69547928120747593</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0.93341776507958429</v>
      </c>
      <c r="E71" s="129"/>
      <c r="F71" s="129">
        <f>G18/$C$18</f>
        <v>0.86707838358575662</v>
      </c>
      <c r="G71" s="129"/>
      <c r="H71" s="129">
        <f>I18/$C$18</f>
        <v>0.80099844997634873</v>
      </c>
      <c r="I71" s="129"/>
      <c r="J71" s="129">
        <f>K18/$C$18</f>
        <v>0.73520221631653926</v>
      </c>
      <c r="K71" s="129"/>
      <c r="L71" s="129">
        <f>M18/$C$18</f>
        <v>0.66972673696250318</v>
      </c>
      <c r="M71" s="129"/>
      <c r="N71" s="129">
        <f>O18/$C$18</f>
        <v>0.60462513599507972</v>
      </c>
      <c r="O71" s="129"/>
      <c r="P71" s="129">
        <f>Q18/$C$18</f>
        <v>0.53997508082043555</v>
      </c>
      <c r="Q71" s="129"/>
      <c r="R71" s="129">
        <f>S18/$C$18</f>
        <v>0.47589105650133323</v>
      </c>
      <c r="S71" s="129"/>
      <c r="T71" s="129">
        <f>U18/$C$18</f>
        <v>0.41254237605221916</v>
      </c>
      <c r="U71" s="129"/>
      <c r="V71" s="129">
        <f>W18/$C$18</f>
        <v>0.35018282648001925</v>
      </c>
      <c r="W71" s="129"/>
      <c r="X71" s="129">
        <f>Y18/$C$18</f>
        <v>0.28919535578996441</v>
      </c>
      <c r="Y71" s="129"/>
      <c r="Z71" s="129">
        <f>AA18/$C$18</f>
        <v>0.2301654030742801</v>
      </c>
      <c r="AA71" s="129"/>
      <c r="AB71" s="129">
        <f>AC18/$C$18</f>
        <v>0.17399059796127761</v>
      </c>
      <c r="AC71" s="129"/>
      <c r="AD71" s="129">
        <f>AE18/$C$18</f>
        <v>0.12205037250727692</v>
      </c>
      <c r="AE71" s="129"/>
      <c r="AF71" s="129">
        <f>AG18/$C$18</f>
        <v>7.6416180577484324E-2</v>
      </c>
      <c r="AG71" s="129"/>
      <c r="AH71" s="129">
        <f>AI18/$C$18</f>
        <v>3.9949797828074091E-2</v>
      </c>
      <c r="AI71" s="129"/>
      <c r="AJ71" s="129">
        <f>AK18/$C$18</f>
        <v>1.5637455916726713E-2</v>
      </c>
      <c r="AK71" s="129"/>
      <c r="AL71" s="129">
        <f>AM18/$C$18</f>
        <v>4.0062095998805317E-3</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1.011567515342745</v>
      </c>
      <c r="E72" s="129"/>
      <c r="F72" s="129">
        <f>G19/$C$19</f>
        <v>1.0247657271047645</v>
      </c>
      <c r="G72" s="129"/>
      <c r="H72" s="129">
        <f>I19/$C$19</f>
        <v>1.0398064277175116</v>
      </c>
      <c r="I72" s="129"/>
      <c r="J72" s="129">
        <f>K19/$C$19</f>
        <v>1.0569178410480502</v>
      </c>
      <c r="K72" s="129"/>
      <c r="L72" s="129">
        <f>M19/$C$19</f>
        <v>1.0763431166477215</v>
      </c>
      <c r="M72" s="129"/>
      <c r="N72" s="129">
        <f>O19/$C$19</f>
        <v>1.0983262072164222</v>
      </c>
      <c r="O72" s="129"/>
      <c r="P72" s="129">
        <f>Q19/$C$19</f>
        <v>1.1230916996715035</v>
      </c>
      <c r="Q72" s="129"/>
      <c r="R72" s="129">
        <f>S19/$C$19</f>
        <v>1.1508033211437663</v>
      </c>
      <c r="S72" s="129"/>
      <c r="T72" s="129">
        <f>U19/$C$19</f>
        <v>1.181485282864283</v>
      </c>
      <c r="U72" s="129"/>
      <c r="V72" s="129">
        <f>W19/$C$19</f>
        <v>1.2148800765768495</v>
      </c>
      <c r="W72" s="129"/>
      <c r="X72" s="129">
        <f>Y19/$C$19</f>
        <v>1.2501811037625128</v>
      </c>
      <c r="Y72" s="129"/>
      <c r="Z72" s="129">
        <f>AA19/$C$19</f>
        <v>1.285539603548882</v>
      </c>
      <c r="AA72" s="129"/>
      <c r="AB72" s="129">
        <f>AC19/$C$19</f>
        <v>1.3171322682231421</v>
      </c>
      <c r="AC72" s="129"/>
      <c r="AD72" s="129">
        <f>AE19/$C$19</f>
        <v>1.3374104411861347</v>
      </c>
      <c r="AE72" s="129"/>
      <c r="AF72" s="129">
        <f>AG19/$C$19</f>
        <v>1.3319201504120952</v>
      </c>
      <c r="AG72" s="129"/>
      <c r="AH72" s="129">
        <f>AI19/$C$19</f>
        <v>1.2744389877412825</v>
      </c>
      <c r="AI72" s="129"/>
      <c r="AJ72" s="129">
        <f>AK19/$C$19</f>
        <v>1.1244218693235766</v>
      </c>
      <c r="AK72" s="129"/>
      <c r="AL72" s="129">
        <f>AM19/$C$19</f>
        <v>0.84467023248848072</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0.47641153352875021</v>
      </c>
      <c r="D73" s="183">
        <f t="array" ref="D73">SUM(D9:E9*D22:E22)/D32</f>
        <v>0.47641154165566141</v>
      </c>
      <c r="E73" s="129"/>
      <c r="F73" s="183">
        <f t="array" ref="F73">SUM(F9:G9*F22:G22)/F32</f>
        <v>0.47641154580266531</v>
      </c>
      <c r="G73" s="129"/>
      <c r="H73" s="183">
        <f t="array" ref="H73">SUM(H9:I9*H22:I22)/H32</f>
        <v>0.47641155035370369</v>
      </c>
      <c r="I73" s="129"/>
      <c r="J73" s="183">
        <f t="array" ref="J73">SUM(J9:K9*J22:K22)/J32</f>
        <v>0.47641153706400757</v>
      </c>
      <c r="K73" s="129"/>
      <c r="L73" s="183">
        <f t="array" ref="L73">SUM(L9:M9*L22:M22)/L32</f>
        <v>0.47641153424070565</v>
      </c>
      <c r="M73" s="129"/>
      <c r="N73" s="183">
        <f t="array" ref="N73">SUM(N9:O9*N22:O22)/N32</f>
        <v>0.47641153463848185</v>
      </c>
      <c r="O73" s="129"/>
      <c r="P73" s="183">
        <f t="array" ref="P73">SUM(P9:Q9*P22:Q22)/P32</f>
        <v>0.47641153479362464</v>
      </c>
      <c r="Q73" s="129"/>
      <c r="R73" s="183">
        <f t="array" ref="R73">SUM(R9:S9*R22:S22)/R32</f>
        <v>0.47641153674479808</v>
      </c>
      <c r="S73" s="129"/>
      <c r="T73" s="183">
        <f t="array" ref="T73">SUM(T9:U9*T22:U22)/T32</f>
        <v>0.47641153409397069</v>
      </c>
      <c r="U73" s="129"/>
      <c r="V73" s="183">
        <f t="array" ref="V73">SUM(V9:W9*V22:W22)/V32</f>
        <v>0.4764115359626338</v>
      </c>
      <c r="W73" s="129"/>
      <c r="X73" s="183">
        <f t="array" ref="X73">SUM(X9:Y9*X22:Y22)/X32</f>
        <v>0.47641153391139712</v>
      </c>
      <c r="Y73" s="129"/>
      <c r="Z73" s="183">
        <f t="array" ref="Z73">SUM(Z9:AA9*Z22:AA22)/Z32</f>
        <v>0.47641153310542766</v>
      </c>
      <c r="AA73" s="129"/>
      <c r="AB73" s="183">
        <f t="array" ref="AB73">SUM(AB9:AC9*AB22:AC22)/AB32</f>
        <v>0.47641153506668638</v>
      </c>
      <c r="AC73" s="129"/>
      <c r="AD73" s="183">
        <f t="array" ref="AD73">SUM(AD9:AE9*AD22:AE22)/AD32</f>
        <v>0.47641153412644632</v>
      </c>
      <c r="AE73" s="129"/>
      <c r="AF73" s="183">
        <f t="array" ref="AF73">SUM(AF9:AG9*AF22:AG22)/AF32</f>
        <v>0.47641153329137947</v>
      </c>
      <c r="AG73" s="129"/>
      <c r="AH73" s="183">
        <f t="array" ref="AH73">SUM(AH9:AI9*AH22:AI22)/AH32</f>
        <v>0.4764115334518893</v>
      </c>
      <c r="AI73" s="129"/>
      <c r="AJ73" s="183">
        <f t="array" ref="AJ73">SUM(AJ9:AK9*AJ22:AK22)/AJ32</f>
        <v>0.47641153365036004</v>
      </c>
      <c r="AK73" s="129"/>
      <c r="AL73" s="183">
        <f t="array" ref="AL73">SUM(AL9:AM9*AL22:AM22)/AL32</f>
        <v>0.47641153352806942</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0.22604620456442481</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0.22604620456442487</v>
      </c>
      <c r="Y74" s="129"/>
      <c r="Z74" s="183">
        <f t="array" ref="Z74">SUM(Z10:AA10*Z23:AA23)/Z32</f>
        <v>0.22604620456442484</v>
      </c>
      <c r="AA74" s="129"/>
      <c r="AB74" s="183">
        <f t="array" ref="AB74">SUM(AB10:AC10*AB23:AC23)/AB32</f>
        <v>0.22604620456442487</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0.22038438833063598</v>
      </c>
      <c r="E75" s="129"/>
      <c r="F75" s="183">
        <f t="array" ref="F75">SUM(F11:G11*F24:G24)/F32</f>
        <v>0.22038438833184787</v>
      </c>
      <c r="G75" s="129"/>
      <c r="H75" s="183">
        <f t="array" ref="H75">SUM(H11:I11*H24:I24)/H32</f>
        <v>0.22038438833270885</v>
      </c>
      <c r="I75" s="129"/>
      <c r="J75" s="183">
        <f t="array" ref="J75">SUM(J11:K11*J24:K24)/J32</f>
        <v>0.22038438833005444</v>
      </c>
      <c r="K75" s="129"/>
      <c r="L75" s="183">
        <f t="array" ref="L75">SUM(L11:M11*L24:M24)/L32</f>
        <v>0.22038438831567816</v>
      </c>
      <c r="M75" s="129"/>
      <c r="N75" s="183">
        <f t="array" ref="N75">SUM(N11:O11*N24:O24)/N32</f>
        <v>0.22038438830359949</v>
      </c>
      <c r="O75" s="129"/>
      <c r="P75" s="183">
        <f t="array" ref="P75">SUM(P11:Q11*P24:Q24)/P32</f>
        <v>0.22038438829598125</v>
      </c>
      <c r="Q75" s="129"/>
      <c r="R75" s="183">
        <f t="array" ref="R75">SUM(R11:S11*R24:S24)/R32</f>
        <v>0.22038438828228527</v>
      </c>
      <c r="S75" s="129"/>
      <c r="T75" s="183">
        <f t="array" ref="T75">SUM(T11:U11*T24:U24)/T32</f>
        <v>0.22038438832357876</v>
      </c>
      <c r="U75" s="129"/>
      <c r="V75" s="183">
        <f t="array" ref="V75">SUM(V11:W11*V24:W24)/V32</f>
        <v>0.22038438834442939</v>
      </c>
      <c r="W75" s="129"/>
      <c r="X75" s="183">
        <f t="array" ref="X75">SUM(X11:Y11*X24:Y24)/X32</f>
        <v>0.22038438831905727</v>
      </c>
      <c r="Y75" s="129"/>
      <c r="Z75" s="183">
        <f t="array" ref="Z75">SUM(Z11:AA11*Z24:AA24)/Z32</f>
        <v>0.22038438836326416</v>
      </c>
      <c r="AA75" s="129"/>
      <c r="AB75" s="183">
        <f t="array" ref="AB75">SUM(AB11:AC11*AB24:AC24)/AB32</f>
        <v>0.22038438837880395</v>
      </c>
      <c r="AC75" s="129"/>
      <c r="AD75" s="183">
        <f t="array" ref="AD75">SUM(AD11:AE11*AD24:AE24)/AD32</f>
        <v>0.22038438831882948</v>
      </c>
      <c r="AE75" s="129"/>
      <c r="AF75" s="183">
        <f t="array" ref="AF75">SUM(AF11:AG11*AF24:AG24)/AF32</f>
        <v>0.22038438834453869</v>
      </c>
      <c r="AG75" s="129"/>
      <c r="AH75" s="183">
        <f t="array" ref="AH75">SUM(AH11:AI11*AH24:AI24)/AH32</f>
        <v>0.22038438833674917</v>
      </c>
      <c r="AI75" s="129"/>
      <c r="AJ75" s="183">
        <f t="array" ref="AJ75">SUM(AJ11:AK11*AJ24:AK24)/AJ32</f>
        <v>0.22038438834177909</v>
      </c>
      <c r="AK75" s="129"/>
      <c r="AL75" s="183">
        <f t="array" ref="AL75">SUM(AL11:AM11*AL24:AM24)/AL32</f>
        <v>0.22038438833210328</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0.22287063848507974</v>
      </c>
      <c r="E76" s="129"/>
      <c r="F76" s="183">
        <f t="array" ref="F76">SUM(F12:G12*F25:G25)/F32</f>
        <v>0.2227647518125063</v>
      </c>
      <c r="G76" s="129"/>
      <c r="H76" s="183">
        <f t="array" ref="H76">SUM(H12:I12*H25:I25)/H32</f>
        <v>0.22270501771850579</v>
      </c>
      <c r="I76" s="129"/>
      <c r="J76" s="183">
        <f t="array" ref="J76">SUM(J12:K12*J25:K25)/J32</f>
        <v>0.22269607869350025</v>
      </c>
      <c r="K76" s="129"/>
      <c r="L76" s="183">
        <f t="array" ref="L76">SUM(L12:M12*L25:M25)/L32</f>
        <v>0.22274333917135966</v>
      </c>
      <c r="M76" s="129"/>
      <c r="N76" s="183">
        <f t="array" ref="N76">SUM(N12:O12*N25:O25)/N32</f>
        <v>0.22285300437614911</v>
      </c>
      <c r="O76" s="129"/>
      <c r="P76" s="183">
        <f t="array" ref="P76">SUM(P12:Q12*P25:Q25)/P32</f>
        <v>0.2230320191651492</v>
      </c>
      <c r="Q76" s="129"/>
      <c r="R76" s="183">
        <f t="array" ref="R76">SUM(R12:S12*R25:S25)/R32</f>
        <v>0.22328784554783151</v>
      </c>
      <c r="S76" s="129"/>
      <c r="T76" s="183">
        <f t="array" ref="T76">SUM(T12:U12*T25:U25)/T32</f>
        <v>0.2236278828994942</v>
      </c>
      <c r="U76" s="129"/>
      <c r="V76" s="183">
        <f t="array" ref="V76">SUM(V12:W12*V25:W25)/V32</f>
        <v>0.22405819225466181</v>
      </c>
      <c r="W76" s="129"/>
      <c r="X76" s="183">
        <f t="array" ref="X76">SUM(X12:Y12*X25:Y25)/X32</f>
        <v>0.22458081139383279</v>
      </c>
      <c r="Y76" s="129"/>
      <c r="Z76" s="183">
        <f t="array" ref="Z76">SUM(Z12:AA12*Z25:AA25)/Z32</f>
        <v>0.22518826682478618</v>
      </c>
      <c r="AA76" s="129"/>
      <c r="AB76" s="183">
        <f t="array" ref="AB76">SUM(AB12:AC12*AB25:AC25)/AB32</f>
        <v>0.22585236196367955</v>
      </c>
      <c r="AC76" s="129"/>
      <c r="AD76" s="183">
        <f t="array" ref="AD76">SUM(AD12:AE12*AD25:AE25)/AD32</f>
        <v>0.22650169626835825</v>
      </c>
      <c r="AE76" s="129"/>
      <c r="AF76" s="183">
        <f t="array" ref="AF76">SUM(AF12:AG12*AF25:AG25)/AF32</f>
        <v>0.22697830390861715</v>
      </c>
      <c r="AG76" s="129"/>
      <c r="AH76" s="183">
        <f t="array" ref="AH76">SUM(AH12:AI12*AH25:AI25)/AH32</f>
        <v>0.22696836563930389</v>
      </c>
      <c r="AI76" s="129"/>
      <c r="AJ76" s="183">
        <f t="array" ref="AJ76">SUM(AJ12:AK12*AJ25:AK25)/AJ32</f>
        <v>0.22597092924107695</v>
      </c>
      <c r="AK76" s="129"/>
      <c r="AL76" s="183">
        <f t="array" ref="AL76">SUM(AL12:AM12*AL25:AM25)/AL32</f>
        <v>0.22363102418053057</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0.14571277303580213</v>
      </c>
      <c r="E77" s="129"/>
      <c r="F77" s="183">
        <f t="array" ref="F77">SUM(F4:G4*F19:G19)/F32</f>
        <v>0.14560689051144407</v>
      </c>
      <c r="G77" s="129"/>
      <c r="H77" s="183">
        <f t="array" ref="H77">SUM(H4:I4*H19:I19)/H32</f>
        <v>0.14554716096934384</v>
      </c>
      <c r="I77" s="129"/>
      <c r="J77" s="183">
        <f t="array" ref="J77">SUM(J4:K4*J19:K19)/J32</f>
        <v>0.14553820865198708</v>
      </c>
      <c r="K77" s="129"/>
      <c r="L77" s="183">
        <f t="array" ref="L77">SUM(L4:M4*L19:M19)/L32</f>
        <v>0.14558546629216895</v>
      </c>
      <c r="M77" s="129"/>
      <c r="N77" s="183">
        <f t="array" ref="N77">SUM(N4:O4*N19:O19)/N32</f>
        <v>0.14569513188265565</v>
      </c>
      <c r="O77" s="129"/>
      <c r="P77" s="183">
        <f t="array" ref="P77">SUM(P4:Q4*P19:Q19)/P32</f>
        <v>0.1458741468191799</v>
      </c>
      <c r="Q77" s="129"/>
      <c r="R77" s="183">
        <f t="array" ref="R77">SUM(R4:S4*R19:S19)/R32</f>
        <v>0.14612997513933984</v>
      </c>
      <c r="S77" s="129"/>
      <c r="T77" s="183">
        <f t="array" ref="T77">SUM(T4:U4*T19:U19)/T32</f>
        <v>0.1464700098814686</v>
      </c>
      <c r="U77" s="129"/>
      <c r="V77" s="183">
        <f t="array" ref="V77">SUM(V4:W4*V19:W19)/V32</f>
        <v>0.14690032112615048</v>
      </c>
      <c r="W77" s="129"/>
      <c r="X77" s="183">
        <f t="array" ref="X77">SUM(X4:Y4*X19:Y19)/X32</f>
        <v>0.14742293818871152</v>
      </c>
      <c r="Y77" s="129"/>
      <c r="Z77" s="183">
        <f t="array" ref="Z77">SUM(Z4:AA4*Z19:AA19)/Z32</f>
        <v>0.14803039285790323</v>
      </c>
      <c r="AA77" s="129"/>
      <c r="AB77" s="183">
        <f t="array" ref="AB77">SUM(AB4:AC4*AB19:AC19)/AB32</f>
        <v>0.14869448997359522</v>
      </c>
      <c r="AC77" s="129"/>
      <c r="AD77" s="183">
        <f t="array" ref="AD77">SUM(AD4:AE4*AD19:AE19)/AD32</f>
        <v>0.14934382327805859</v>
      </c>
      <c r="AE77" s="129"/>
      <c r="AF77" s="183">
        <f t="array" ref="AF77">SUM(AF4:AG4*AF19:AG19)/AF32</f>
        <v>0.14982043010896048</v>
      </c>
      <c r="AG77" s="129"/>
      <c r="AH77" s="183">
        <f t="array" ref="AH77">SUM(AH4:AI4*AH19:AI19)/AH32</f>
        <v>0.14981049199236712</v>
      </c>
      <c r="AI77" s="129"/>
      <c r="AJ77" s="183">
        <f t="array" ref="AJ77">SUM(AJ4:AK4*AJ19:AK19)/AJ32</f>
        <v>0.14881305579764054</v>
      </c>
      <c r="AK77" s="129"/>
      <c r="AL77" s="183">
        <f t="array" ref="AL77">SUM(AL4:AM4*AL19:AM19)/AL32</f>
        <v>0.14647315060512808</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0.34867873186761428</v>
      </c>
      <c r="E78" s="129"/>
      <c r="F78" s="183">
        <f t="array" ref="F78">SUM(F13:G13*F26:G26)/F32</f>
        <v>0.35047757863198192</v>
      </c>
      <c r="G78" s="129"/>
      <c r="H78" s="183">
        <f t="array" ref="H78">SUM(H13:I13*H26:I26)/H32</f>
        <v>0.35229057227951832</v>
      </c>
      <c r="I78" s="129"/>
      <c r="J78" s="183">
        <f t="array" ref="J78">SUM(J13:K13*J26:K26)/J32</f>
        <v>0.35412514324409594</v>
      </c>
      <c r="K78" s="129"/>
      <c r="L78" s="183">
        <f t="array" ref="L78">SUM(L13:M13*L26:M26)/L32</f>
        <v>0.35599009877546056</v>
      </c>
      <c r="M78" s="129"/>
      <c r="N78" s="183">
        <f t="array" ref="N78">SUM(N13:O13*N26:O26)/N32</f>
        <v>0.35789615804809416</v>
      </c>
      <c r="O78" s="129"/>
      <c r="P78" s="183">
        <f t="array" ref="P78">SUM(P13:Q13*P26:Q26)/P32</f>
        <v>0.35985672103111488</v>
      </c>
      <c r="Q78" s="129"/>
      <c r="R78" s="183">
        <f t="array" ref="R78">SUM(R13:S13*R26:S26)/R32</f>
        <v>0.36188906782597546</v>
      </c>
      <c r="S78" s="129"/>
      <c r="T78" s="183">
        <f t="array" ref="T78">SUM(T13:U13*T26:U26)/T32</f>
        <v>0.36401619028405569</v>
      </c>
      <c r="U78" s="129"/>
      <c r="V78" s="183">
        <f t="array" ref="V78">SUM(V13:W13*V26:W26)/V32</f>
        <v>0.36626988801643096</v>
      </c>
      <c r="W78" s="129"/>
      <c r="X78" s="183">
        <f t="array" ref="X78">SUM(X13:Y13*X26:Y26)/X32</f>
        <v>0.36869594859006322</v>
      </c>
      <c r="Y78" s="129"/>
      <c r="Z78" s="183">
        <f t="array" ref="Z78">SUM(Z13:AA13*Z26:AA26)/Z32</f>
        <v>0.37136344561968532</v>
      </c>
      <c r="AA78" s="129"/>
      <c r="AB78" s="183">
        <f t="array" ref="AB78">SUM(AB13:AC13*AB26:AC26)/AB32</f>
        <v>0.37438194890948451</v>
      </c>
      <c r="AC78" s="129"/>
      <c r="AD78" s="183">
        <f t="array" ref="AD78">SUM(AD13:AE13*AD26:AE26)/AD32</f>
        <v>0.37793502522933792</v>
      </c>
      <c r="AE78" s="129"/>
      <c r="AF78" s="183">
        <f t="array" ref="AF78">SUM(AF13:AG13*AF26:AG26)/AF32</f>
        <v>0.38234610877101782</v>
      </c>
      <c r="AG78" s="129"/>
      <c r="AH78" s="183">
        <f t="array" ref="AH78">SUM(AH13:AI13*AH26:AI26)/AH32</f>
        <v>0.38820161508023854</v>
      </c>
      <c r="AI78" s="129"/>
      <c r="AJ78" s="183">
        <f t="array" ref="AJ78">SUM(AJ13:AK13*AJ26:AK26)/AJ32</f>
        <v>0.3965097196736741</v>
      </c>
      <c r="AK78" s="129"/>
      <c r="AL78" s="183">
        <f t="array" ref="AL78">SUM(AL13:AM13*AL26:AM26)/AL32</f>
        <v>0.40846829003040386</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0.44832307141213573</v>
      </c>
      <c r="F79" s="183">
        <f t="array" ref="F79">SUM(F15:G15*F27:G27)/F32</f>
        <v>0.44200939566102471</v>
      </c>
      <c r="H79" s="183">
        <f t="array" ref="H79">SUM(H15:I15*H27:I27)/H32</f>
        <v>0.4356460679752166</v>
      </c>
      <c r="J79" s="183">
        <f t="array" ref="J79">SUM(J15:K15*J27:K27)/J32</f>
        <v>0.42920697425728488</v>
      </c>
      <c r="L79" s="183">
        <f t="array" ref="L79">SUM(L15:M15*L27:M27)/L32</f>
        <v>0.42266123828426472</v>
      </c>
      <c r="N79" s="183">
        <f t="array" ref="N79">SUM(N15:O15*N27:O27)/N32</f>
        <v>0.41597124488411247</v>
      </c>
      <c r="P79" s="183">
        <f t="array" ref="P79">SUM(P15:Q15*P27:Q27)/P32</f>
        <v>0.40908995580651847</v>
      </c>
      <c r="R79" s="183">
        <f t="array" ref="R79">SUM(R15:S15*R27:S27)/R32</f>
        <v>0.4019567428399467</v>
      </c>
      <c r="T79" s="183">
        <f t="array" ref="T79">SUM(T15:U15*T27:U27)/T32</f>
        <v>0.39449086824868346</v>
      </c>
      <c r="V79" s="183">
        <f t="array" ref="V79">SUM(V15:W15*V27:W27)/V32</f>
        <v>0.38658073303914703</v>
      </c>
      <c r="X79" s="183">
        <f t="array" ref="X79">SUM(X15:Y15*X27:Y27)/X32</f>
        <v>0.37806560835417585</v>
      </c>
      <c r="Z79" s="183">
        <f t="array" ref="Z79">SUM(Z15:AA15*Z27:AA27)/Z32</f>
        <v>0.3687031187923151</v>
      </c>
      <c r="AB79" s="183">
        <f t="array" ref="AB79">SUM(AB15:AC15*AB27:AC27)/AB32</f>
        <v>0.35810860736307137</v>
      </c>
      <c r="AD79" s="183">
        <f t="array" ref="AD79">SUM(AD15:AE15*AD27:AE27)/AD32</f>
        <v>0.34563783119014413</v>
      </c>
      <c r="AF79" s="183">
        <f t="array" ref="AF79">SUM(AF15:AG15*AF27:AG27)/AF32</f>
        <v>0.33015559642215381</v>
      </c>
      <c r="AH79" s="183">
        <f t="array" ref="AH79">SUM(AH15:AI15*AH27:AI27)/AH32</f>
        <v>0.30960364162919901</v>
      </c>
      <c r="AJ79" s="183">
        <f t="array" ref="AJ79">SUM(AJ15:AK15*AJ27:AK27)/AJ32</f>
        <v>0.28044343500950059</v>
      </c>
      <c r="AL79" s="183">
        <f t="array" ref="AL79">SUM(AL15:AM15*AL27:AM27)/AL32</f>
        <v>0.23847063789657583</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0.20299822103075824</v>
      </c>
      <c r="F80" s="195">
        <f>F55</f>
        <v>0.20751306340309361</v>
      </c>
      <c r="H80" s="195">
        <f>H55</f>
        <v>0.21206341326534595</v>
      </c>
      <c r="J80" s="195">
        <f>J55</f>
        <v>0.21666789426652178</v>
      </c>
      <c r="L80" s="195">
        <f>L55</f>
        <v>0.22134866034603182</v>
      </c>
      <c r="N80" s="195">
        <f>N55</f>
        <v>0.22613259251606274</v>
      </c>
      <c r="P80" s="195">
        <f>P55</f>
        <v>0.23105331728079134</v>
      </c>
      <c r="R80" s="195">
        <f>R55</f>
        <v>0.2361541924080286</v>
      </c>
      <c r="T80" s="195">
        <f>T55</f>
        <v>0.24149294199403379</v>
      </c>
      <c r="V80" s="195">
        <f>V55</f>
        <v>0.24714939168124458</v>
      </c>
      <c r="X80" s="195">
        <f>X55</f>
        <v>0.25323844068488754</v>
      </c>
      <c r="Z80" s="195">
        <f>Z55</f>
        <v>0.25993344778337418</v>
      </c>
      <c r="AB80" s="195">
        <f>AB55</f>
        <v>0.26750945503128315</v>
      </c>
      <c r="AD80" s="195">
        <f>AD55</f>
        <v>0.27642714083611319</v>
      </c>
      <c r="AF80" s="195">
        <f>AF55</f>
        <v>0.2874982982506909</v>
      </c>
      <c r="AH80" s="195">
        <f>AH55</f>
        <v>0.30219474504411092</v>
      </c>
      <c r="AJ80" s="195">
        <f>AJ55</f>
        <v>0.32304684843744985</v>
      </c>
      <c r="AL80" s="195">
        <f>AL55</f>
        <v>0.35306107161521155</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-2.3047983533666602E-2</v>
      </c>
      <c r="F81" s="195">
        <f>F51/F$32</f>
        <v>-1.8533141161331222E-2</v>
      </c>
      <c r="H81" s="195">
        <f>H51/H$32</f>
        <v>-1.3982791299078895E-2</v>
      </c>
      <c r="J81" s="195">
        <f>J51/J$32</f>
        <v>-9.3783102979030589E-3</v>
      </c>
      <c r="L81" s="195">
        <f>L51/L$32</f>
        <v>-4.6975442183930056E-3</v>
      </c>
      <c r="N81" s="195">
        <f>N51/N$32</f>
        <v>8.638795163789545E-5</v>
      </c>
      <c r="P81" s="195">
        <f>P51/P$32</f>
        <v>5.007112716366521E-3</v>
      </c>
      <c r="R81" s="195">
        <f>R51/R$32</f>
        <v>1.0107987843603762E-2</v>
      </c>
      <c r="T81" s="195">
        <f>T51/T$32</f>
        <v>1.5446737429608972E-2</v>
      </c>
      <c r="V81" s="195">
        <f>V51/V$32</f>
        <v>2.1103187116819737E-2</v>
      </c>
      <c r="X81" s="195">
        <f>X51/X$32</f>
        <v>2.7192236120462707E-2</v>
      </c>
      <c r="Z81" s="195">
        <f>Z51/Z$32</f>
        <v>3.3887243218949308E-2</v>
      </c>
      <c r="AB81" s="195">
        <f>AB51/AB$32</f>
        <v>4.1463250466858288E-2</v>
      </c>
      <c r="AD81" s="195">
        <f>AD51/AD$32</f>
        <v>5.0380936271688347E-2</v>
      </c>
      <c r="AF81" s="195">
        <f>AF51/AF$32</f>
        <v>6.1452093686266078E-2</v>
      </c>
      <c r="AH81" s="195">
        <f>AH51/AH$32</f>
        <v>7.6148540479686083E-2</v>
      </c>
      <c r="AJ81" s="195">
        <f>AJ51/AJ$32</f>
        <v>9.7000643873025025E-2</v>
      </c>
      <c r="AL81" s="195">
        <f>AL51/AL$32</f>
        <v>0.12701486705078671</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0.14142341945650638</v>
      </c>
      <c r="F82" s="195">
        <f>F52/F$32</f>
        <v>0.14215302822596737</v>
      </c>
      <c r="H82" s="195">
        <f>H52/H$32</f>
        <v>0.14288837494388784</v>
      </c>
      <c r="J82" s="195">
        <f>J52/J$32</f>
        <v>0.14363247337987933</v>
      </c>
      <c r="L82" s="195">
        <f>L52/L$32</f>
        <v>0.14438889573740946</v>
      </c>
      <c r="N82" s="195">
        <f>N52/N$32</f>
        <v>0.14516198969292196</v>
      </c>
      <c r="P82" s="195">
        <f>P52/P$32</f>
        <v>0.14595719024798168</v>
      </c>
      <c r="R82" s="195">
        <f>R52/R$32</f>
        <v>0.14678150617832578</v>
      </c>
      <c r="T82" s="195">
        <f>T52/T$32</f>
        <v>0.14764426293441796</v>
      </c>
      <c r="V82" s="195">
        <f>V52/V$32</f>
        <v>0.14855835837702414</v>
      </c>
      <c r="X82" s="195">
        <f>X52/X$32</f>
        <v>0.14954236385477135</v>
      </c>
      <c r="Z82" s="195">
        <f>Z52/Z$32</f>
        <v>0.15062429549223774</v>
      </c>
      <c r="AB82" s="195">
        <f>AB52/AB$32</f>
        <v>0.15184859459014255</v>
      </c>
      <c r="AD82" s="195">
        <f>AD52/AD$32</f>
        <v>0.15328971547541179</v>
      </c>
      <c r="AF82" s="195">
        <f>AF52/AF$32</f>
        <v>0.15507884243085093</v>
      </c>
      <c r="AH82" s="195">
        <f>AH52/AH$32</f>
        <v>0.15745382446793588</v>
      </c>
      <c r="AJ82" s="195">
        <f>AJ52/AJ$32</f>
        <v>0.16082357562686825</v>
      </c>
      <c r="AL82" s="195">
        <f>AL52/AL$32</f>
        <v>0.16567394864102172</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0.18183897090809842</v>
      </c>
      <c r="F83" s="195">
        <f>F53/F$32</f>
        <v>0.17927815623127791</v>
      </c>
      <c r="H83" s="195">
        <f>H53/H$32</f>
        <v>0.17669720282574894</v>
      </c>
      <c r="J83" s="195">
        <f>J53/J$32</f>
        <v>0.17408551886408832</v>
      </c>
      <c r="L83" s="195">
        <f>L53/L$32</f>
        <v>0.17143058100996234</v>
      </c>
      <c r="N83" s="195">
        <f>N53/N$32</f>
        <v>0.16871713262232102</v>
      </c>
      <c r="P83" s="195">
        <f>P53/P$32</f>
        <v>0.1659260950777898</v>
      </c>
      <c r="R83" s="195">
        <f>R53/R$32</f>
        <v>0.1630328776909975</v>
      </c>
      <c r="T83" s="195">
        <f>T53/T$32</f>
        <v>0.16000473339244939</v>
      </c>
      <c r="V83" s="195">
        <f>V53/V$32</f>
        <v>0.15679639784613139</v>
      </c>
      <c r="X83" s="195">
        <f>X53/X$32</f>
        <v>0.15334267973835661</v>
      </c>
      <c r="Z83" s="195">
        <f>Z53/Z$32</f>
        <v>0.14954527207494078</v>
      </c>
      <c r="AB83" s="195">
        <f>AB53/AB$32</f>
        <v>0.14524815872429464</v>
      </c>
      <c r="AD83" s="195">
        <f>AD53/AD$32</f>
        <v>0.14019003602146882</v>
      </c>
      <c r="AF83" s="195">
        <f>AF53/AF$32</f>
        <v>0.13391047153530183</v>
      </c>
      <c r="AH83" s="195">
        <f>AH53/AH$32</f>
        <v>0.12557463840958444</v>
      </c>
      <c r="AJ83" s="195">
        <f>AJ53/AJ$32</f>
        <v>0.11374731498745563</v>
      </c>
      <c r="AL83" s="195">
        <f>AL53/AL$32</f>
        <v>9.6723229635103963E-2</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AH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c r="B2" s="188">
        <v>5.7716594496607888E-3</v>
      </c>
      <c r="C2" s="189"/>
      <c r="D2" s="188">
        <v>3.9580833161691011E-2</v>
      </c>
      <c r="E2" s="189"/>
      <c r="F2" s="188">
        <v>7.6344237872326859E-2</v>
      </c>
      <c r="G2" s="189"/>
      <c r="H2" s="188">
        <v>0.11649269626001767</v>
      </c>
      <c r="I2" s="189"/>
      <c r="J2" s="188">
        <v>0.1605483641619512</v>
      </c>
      <c r="K2" s="189"/>
      <c r="L2" s="188">
        <v>0.20914992403627541</v>
      </c>
      <c r="M2" s="189"/>
      <c r="N2" s="188">
        <v>0.2630883664821233</v>
      </c>
      <c r="O2" s="189"/>
      <c r="P2" s="188">
        <v>0.32335535558258921</v>
      </c>
      <c r="Q2" s="189"/>
      <c r="R2" s="188">
        <v>0.39121154023071875</v>
      </c>
      <c r="S2" s="189"/>
      <c r="T2" s="188">
        <v>0.4682829471858333</v>
      </c>
      <c r="U2" s="189"/>
      <c r="V2" s="188">
        <v>0.55669902453785669</v>
      </c>
      <c r="W2" s="189"/>
      <c r="X2" s="188">
        <v>0.65928798502492991</v>
      </c>
      <c r="Y2" s="189"/>
      <c r="Z2" s="188">
        <v>0.77984884859241632</v>
      </c>
      <c r="AA2" s="189"/>
      <c r="AB2" s="188">
        <v>0.92350025665234559</v>
      </c>
      <c r="AC2" s="189"/>
      <c r="AD2" s="188">
        <v>1.0970385343435798</v>
      </c>
      <c r="AE2" s="189"/>
      <c r="AF2" s="188">
        <v>1.3090260800753812</v>
      </c>
      <c r="AG2" s="189"/>
      <c r="AH2" s="188">
        <v>1.5688463204017444</v>
      </c>
      <c r="AI2" s="189"/>
      <c r="AJ2" s="188">
        <v>1.8834906266024611</v>
      </c>
      <c r="AK2" s="189"/>
      <c r="AL2" s="188">
        <v>2.2518838266430499</v>
      </c>
      <c r="AM2" s="189"/>
      <c r="AN2" s="188">
        <v>2.6608439425400672</v>
      </c>
      <c r="AO2" s="189"/>
      <c r="AP2" s="188">
        <v>2.7456435919112412</v>
      </c>
      <c r="AQ2" s="189"/>
      <c r="AR2" s="188">
        <v>2.8310080457366782</v>
      </c>
      <c r="AS2" s="189"/>
      <c r="AT2" s="188">
        <v>2.9167553320251627</v>
      </c>
      <c r="AU2" s="189"/>
      <c r="AV2" s="188">
        <v>3.002711543661388</v>
      </c>
      <c r="AW2" s="189"/>
    </row>
    <row r="3" spans="1:49" x14ac:dyDescent="0.2">
      <c r="B3" s="81">
        <v>1000</v>
      </c>
      <c r="C3" s="82">
        <v>1000</v>
      </c>
      <c r="D3" s="81">
        <v>999.13359628875423</v>
      </c>
      <c r="E3" s="82">
        <v>1015.8549814930831</v>
      </c>
      <c r="F3" s="81">
        <v>998.25541839970629</v>
      </c>
      <c r="G3" s="82">
        <v>1033.3400673981591</v>
      </c>
      <c r="H3" s="81">
        <v>997.36309403989242</v>
      </c>
      <c r="I3" s="82">
        <v>1052.7106673148114</v>
      </c>
      <c r="J3" s="81">
        <v>996.45390495541596</v>
      </c>
      <c r="K3" s="82">
        <v>1074.2778487938197</v>
      </c>
      <c r="L3" s="81">
        <v>995.52474307644263</v>
      </c>
      <c r="M3" s="82">
        <v>1098.4232803887671</v>
      </c>
      <c r="N3" s="81">
        <v>994.57218099818829</v>
      </c>
      <c r="O3" s="82">
        <v>1125.6204453978353</v>
      </c>
      <c r="P3" s="81">
        <v>993.5925738571716</v>
      </c>
      <c r="Q3" s="82">
        <v>1156.4625164470658</v>
      </c>
      <c r="R3" s="81">
        <v>992.58233994830164</v>
      </c>
      <c r="S3" s="82">
        <v>1191.7009469371953</v>
      </c>
      <c r="T3" s="81">
        <v>991.5385037069434</v>
      </c>
      <c r="U3" s="82">
        <v>1232.2981886274347</v>
      </c>
      <c r="V3" s="81">
        <v>990.45970912086045</v>
      </c>
      <c r="W3" s="82">
        <v>1279.5004722054716</v>
      </c>
      <c r="X3" s="81">
        <v>989.34804582593881</v>
      </c>
      <c r="Y3" s="82">
        <v>1334.9359791668282</v>
      </c>
      <c r="Z3" s="81">
        <v>988.21215192462694</v>
      </c>
      <c r="AA3" s="82">
        <v>1400.7413066109063</v>
      </c>
      <c r="AB3" s="81">
        <v>987.07224316481745</v>
      </c>
      <c r="AC3" s="82">
        <v>1479.7061888862938</v>
      </c>
      <c r="AD3" s="81">
        <v>985.96736305908132</v>
      </c>
      <c r="AE3" s="82">
        <v>1575.378909403631</v>
      </c>
      <c r="AF3" s="81">
        <v>984.96354137353785</v>
      </c>
      <c r="AG3" s="82">
        <v>1691.9583162570862</v>
      </c>
      <c r="AH3" s="81">
        <v>984.15619360180619</v>
      </c>
      <c r="AI3" s="82">
        <v>1833.5791689184732</v>
      </c>
      <c r="AJ3" s="81">
        <v>983.65239669226241</v>
      </c>
      <c r="AK3" s="82">
        <v>2002.4636150524989</v>
      </c>
      <c r="AL3" s="81">
        <v>983.52203824992228</v>
      </c>
      <c r="AM3" s="82">
        <v>2196.1788261675556</v>
      </c>
      <c r="AN3" s="81">
        <v>983.74593094948864</v>
      </c>
      <c r="AO3" s="82">
        <v>2406.3475691896228</v>
      </c>
      <c r="AP3" s="81">
        <v>983.82500384545017</v>
      </c>
      <c r="AQ3" s="82">
        <v>2449.334377711974</v>
      </c>
      <c r="AR3" s="81">
        <v>983.91313968510644</v>
      </c>
      <c r="AS3" s="82">
        <v>2492.4154219044312</v>
      </c>
      <c r="AT3" s="81">
        <v>984.00927707857397</v>
      </c>
      <c r="AU3" s="82">
        <v>2535.5018822649054</v>
      </c>
      <c r="AV3" s="81">
        <v>984.11237400921993</v>
      </c>
      <c r="AW3" s="82">
        <v>2578.510625706821</v>
      </c>
    </row>
    <row r="4" spans="1:49" x14ac:dyDescent="0.2">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B5" s="39">
        <v>1000</v>
      </c>
      <c r="C5" s="40">
        <v>1000</v>
      </c>
      <c r="D5" s="39">
        <v>999.09072304541496</v>
      </c>
      <c r="E5" s="40">
        <v>1013.8152631352324</v>
      </c>
      <c r="F5" s="39">
        <v>998.16875102542588</v>
      </c>
      <c r="G5" s="40">
        <v>1028.8060057401935</v>
      </c>
      <c r="H5" s="39">
        <v>997.23157725514147</v>
      </c>
      <c r="I5" s="40">
        <v>1045.1157657916281</v>
      </c>
      <c r="J5" s="39">
        <v>996.27632737979286</v>
      </c>
      <c r="K5" s="40">
        <v>1062.9100034763887</v>
      </c>
      <c r="L5" s="39">
        <v>995.29971241029807</v>
      </c>
      <c r="M5" s="40">
        <v>1082.3792287691128</v>
      </c>
      <c r="N5" s="39">
        <v>994.29810170356586</v>
      </c>
      <c r="O5" s="40">
        <v>1103.7425927477266</v>
      </c>
      <c r="P5" s="39">
        <v>993.26762913562266</v>
      </c>
      <c r="Q5" s="40">
        <v>1127.2507788570383</v>
      </c>
      <c r="R5" s="39">
        <v>992.20448752041864</v>
      </c>
      <c r="S5" s="40">
        <v>1153.1877535989379</v>
      </c>
      <c r="T5" s="39">
        <v>991.10550003958792</v>
      </c>
      <c r="U5" s="40">
        <v>1181.8691863091294</v>
      </c>
      <c r="V5" s="39">
        <v>989.96918875897268</v>
      </c>
      <c r="W5" s="40">
        <v>1213.634066700396</v>
      </c>
      <c r="X5" s="39">
        <v>988.79770307455237</v>
      </c>
      <c r="Y5" s="40">
        <v>1248.8234010608892</v>
      </c>
      <c r="Z5" s="39">
        <v>987.60010062184415</v>
      </c>
      <c r="AA5" s="40">
        <v>1287.7309411272015</v>
      </c>
      <c r="AB5" s="39">
        <v>986.39767132156328</v>
      </c>
      <c r="AC5" s="40">
        <v>1330.5090694457301</v>
      </c>
      <c r="AD5" s="39">
        <v>985.23162193600479</v>
      </c>
      <c r="AE5" s="40">
        <v>1376.9953440542192</v>
      </c>
      <c r="AF5" s="39">
        <v>984.1717376308369</v>
      </c>
      <c r="AG5" s="40">
        <v>1426.4287271813309</v>
      </c>
      <c r="AH5" s="39">
        <v>983.31896178234285</v>
      </c>
      <c r="AI5" s="40">
        <v>1477.10690759672</v>
      </c>
      <c r="AJ5" s="39">
        <v>982.78666382838492</v>
      </c>
      <c r="AK5" s="40">
        <v>1526.2236081923234</v>
      </c>
      <c r="AL5" s="39">
        <v>982.64891147269248</v>
      </c>
      <c r="AM5" s="40">
        <v>1570.4036848657138</v>
      </c>
      <c r="AN5" s="39">
        <v>982.88549846632782</v>
      </c>
      <c r="AO5" s="40">
        <v>1607.0633255620694</v>
      </c>
      <c r="AP5" s="39">
        <v>982.96904907761188</v>
      </c>
      <c r="AQ5" s="40">
        <v>1613.3979597714513</v>
      </c>
      <c r="AR5" s="39">
        <v>983.06217242213017</v>
      </c>
      <c r="AS5" s="40">
        <v>1619.4035813333867</v>
      </c>
      <c r="AT5" s="39">
        <v>983.16374600399331</v>
      </c>
      <c r="AU5" s="40">
        <v>1625.0873389759258</v>
      </c>
      <c r="AV5" s="39">
        <v>983.27266788757436</v>
      </c>
      <c r="AW5" s="40">
        <v>1630.4584457954918</v>
      </c>
    </row>
    <row r="6" spans="1:49" x14ac:dyDescent="0.2">
      <c r="B6" s="39">
        <v>999.99999999999943</v>
      </c>
      <c r="C6" s="40">
        <v>999.99999999999909</v>
      </c>
      <c r="D6" s="39">
        <v>999.02124051665658</v>
      </c>
      <c r="E6" s="40">
        <v>1017.0933526023248</v>
      </c>
      <c r="F6" s="39">
        <v>998.02895486579905</v>
      </c>
      <c r="G6" s="40">
        <v>1035.8975621677696</v>
      </c>
      <c r="H6" s="39">
        <v>997.02045151100594</v>
      </c>
      <c r="I6" s="40">
        <v>1056.6766111835145</v>
      </c>
      <c r="J6" s="39">
        <v>995.99264501796506</v>
      </c>
      <c r="K6" s="40">
        <v>1079.751597320344</v>
      </c>
      <c r="L6" s="39">
        <v>994.94200584192868</v>
      </c>
      <c r="M6" s="40">
        <v>1105.5159857709898</v>
      </c>
      <c r="N6" s="39">
        <v>993.86463931160472</v>
      </c>
      <c r="O6" s="40">
        <v>1134.4573137145742</v>
      </c>
      <c r="P6" s="39">
        <v>992.75640017974376</v>
      </c>
      <c r="Q6" s="40">
        <v>1167.18565713968</v>
      </c>
      <c r="R6" s="39">
        <v>991.61320956680254</v>
      </c>
      <c r="S6" s="40">
        <v>1204.4730501295346</v>
      </c>
      <c r="T6" s="39">
        <v>990.4316693741531</v>
      </c>
      <c r="U6" s="40">
        <v>1247.3072961694077</v>
      </c>
      <c r="V6" s="39">
        <v>989.21021045228451</v>
      </c>
      <c r="W6" s="40">
        <v>1296.9662324280141</v>
      </c>
      <c r="X6" s="39">
        <v>987.9511634913531</v>
      </c>
      <c r="Y6" s="40">
        <v>1355.1178099838764</v>
      </c>
      <c r="Z6" s="39">
        <v>986.66428071390942</v>
      </c>
      <c r="AA6" s="40">
        <v>1423.9488289587312</v>
      </c>
      <c r="AB6" s="39">
        <v>985.3724481952213</v>
      </c>
      <c r="AC6" s="40">
        <v>1506.3118390617428</v>
      </c>
      <c r="AD6" s="39">
        <v>984.11992721828074</v>
      </c>
      <c r="AE6" s="40">
        <v>1605.830852082611</v>
      </c>
      <c r="AF6" s="39">
        <v>982.98163789588989</v>
      </c>
      <c r="AG6" s="40">
        <v>1726.7871973255981</v>
      </c>
      <c r="AH6" s="39">
        <v>982.06591170745321</v>
      </c>
      <c r="AI6" s="40">
        <v>1873.3830708901951</v>
      </c>
      <c r="AJ6" s="39">
        <v>981.49438097702523</v>
      </c>
      <c r="AK6" s="40">
        <v>2047.8457633469002</v>
      </c>
      <c r="AL6" s="39">
        <v>981.34648321836357</v>
      </c>
      <c r="AM6" s="40">
        <v>2247.6254278483684</v>
      </c>
      <c r="AN6" s="39">
        <v>981.60049666312557</v>
      </c>
      <c r="AO6" s="40">
        <v>2464.0938582874778</v>
      </c>
      <c r="AP6" s="39">
        <v>981.6902036131745</v>
      </c>
      <c r="AQ6" s="40">
        <v>2508.3418508978748</v>
      </c>
      <c r="AR6" s="39">
        <v>981.79019000246865</v>
      </c>
      <c r="AS6" s="40">
        <v>2552.6789978656279</v>
      </c>
      <c r="AT6" s="39">
        <v>981.89925102055884</v>
      </c>
      <c r="AU6" s="40">
        <v>2597.014394915469</v>
      </c>
      <c r="AV6" s="39">
        <v>982.01620389674326</v>
      </c>
      <c r="AW6" s="40">
        <v>2641.2630041769703</v>
      </c>
    </row>
    <row r="7" spans="1:49" x14ac:dyDescent="0.2">
      <c r="B7" s="31">
        <v>1015.9116825427475</v>
      </c>
      <c r="C7" s="32">
        <v>1015.9116825427475</v>
      </c>
      <c r="D7" s="31">
        <v>1014.9879374619176</v>
      </c>
      <c r="E7" s="32">
        <v>1014.9879374619176</v>
      </c>
      <c r="F7" s="31">
        <v>1014.0512953158332</v>
      </c>
      <c r="G7" s="32">
        <v>1014.0512953158332</v>
      </c>
      <c r="H7" s="31">
        <v>1013.0992095340287</v>
      </c>
      <c r="I7" s="32">
        <v>1013.0992095340287</v>
      </c>
      <c r="J7" s="31">
        <v>1012.1287600259144</v>
      </c>
      <c r="K7" s="32">
        <v>1012.1287600259144</v>
      </c>
      <c r="L7" s="31">
        <v>1011.1366054690585</v>
      </c>
      <c r="M7" s="32">
        <v>1011.1366054690585</v>
      </c>
      <c r="N7" s="31">
        <v>1010.1190574507294</v>
      </c>
      <c r="O7" s="32">
        <v>1010.1190574507294</v>
      </c>
      <c r="P7" s="31">
        <v>1009.0721883304161</v>
      </c>
      <c r="Q7" s="32">
        <v>1009.0721883304161</v>
      </c>
      <c r="R7" s="31">
        <v>1007.992130343333</v>
      </c>
      <c r="S7" s="32">
        <v>1007.992130343333</v>
      </c>
      <c r="T7" s="31">
        <v>1006.8756561225888</v>
      </c>
      <c r="U7" s="32">
        <v>1006.8756561225888</v>
      </c>
      <c r="V7" s="31">
        <v>1005.7212642176066</v>
      </c>
      <c r="W7" s="32">
        <v>1005.7212642176066</v>
      </c>
      <c r="X7" s="31">
        <v>1004.5311382248725</v>
      </c>
      <c r="Y7" s="32">
        <v>1004.5311382248725</v>
      </c>
      <c r="Z7" s="31">
        <v>1003.3144799021244</v>
      </c>
      <c r="AA7" s="32">
        <v>1003.3144799021244</v>
      </c>
      <c r="AB7" s="31">
        <v>1002.0929179285373</v>
      </c>
      <c r="AC7" s="32">
        <v>1002.0929179285373</v>
      </c>
      <c r="AD7" s="31">
        <v>1000.9083147353267</v>
      </c>
      <c r="AE7" s="32">
        <v>1000.9083147353267</v>
      </c>
      <c r="AF7" s="31">
        <v>999.83156588756287</v>
      </c>
      <c r="AG7" s="32">
        <v>999.83156588756287</v>
      </c>
      <c r="AH7" s="31">
        <v>998.96522094048748</v>
      </c>
      <c r="AI7" s="32">
        <v>998.96522094048748</v>
      </c>
      <c r="AJ7" s="31">
        <v>998.42445323046798</v>
      </c>
      <c r="AK7" s="32">
        <v>998.42445323046798</v>
      </c>
      <c r="AL7" s="31">
        <v>998.28450900302232</v>
      </c>
      <c r="AM7" s="32">
        <v>998.28450900302232</v>
      </c>
      <c r="AN7" s="31">
        <v>998.52486049379411</v>
      </c>
      <c r="AO7" s="32">
        <v>998.52486049379411</v>
      </c>
      <c r="AP7" s="31">
        <v>998.6097405358812</v>
      </c>
      <c r="AQ7" s="32">
        <v>998.6097405358812</v>
      </c>
      <c r="AR7" s="31">
        <v>998.70434562949481</v>
      </c>
      <c r="AS7" s="32">
        <v>998.70434562949481</v>
      </c>
      <c r="AT7" s="31">
        <v>998.80753541794718</v>
      </c>
      <c r="AU7" s="32">
        <v>998.80753541794718</v>
      </c>
      <c r="AV7" s="31">
        <v>998.91819043196176</v>
      </c>
      <c r="AW7" s="32">
        <v>998.91819043196176</v>
      </c>
    </row>
    <row r="8" spans="1:49" x14ac:dyDescent="0.2">
      <c r="B8" s="33">
        <v>1005.7716594496609</v>
      </c>
      <c r="C8" s="34">
        <v>1005.7716594496609</v>
      </c>
      <c r="D8" s="33">
        <v>1053.9429159221638</v>
      </c>
      <c r="E8" s="34">
        <v>1053.9429159221638</v>
      </c>
      <c r="F8" s="33">
        <v>1107.3494161669014</v>
      </c>
      <c r="G8" s="34">
        <v>1107.3494161669014</v>
      </c>
      <c r="H8" s="33">
        <v>1166.8641192525479</v>
      </c>
      <c r="I8" s="34">
        <v>1166.8641192525479</v>
      </c>
      <c r="J8" s="33">
        <v>1233.5584657858967</v>
      </c>
      <c r="K8" s="34">
        <v>1233.5584657858967</v>
      </c>
      <c r="L8" s="33">
        <v>1308.7587622446154</v>
      </c>
      <c r="M8" s="34">
        <v>1308.7587622446154</v>
      </c>
      <c r="N8" s="33">
        <v>1394.1244284904694</v>
      </c>
      <c r="O8" s="34">
        <v>1394.1244284904694</v>
      </c>
      <c r="P8" s="33">
        <v>1491.7533552851066</v>
      </c>
      <c r="Q8" s="34">
        <v>1491.7533552851066</v>
      </c>
      <c r="R8" s="33">
        <v>1604.3281108595811</v>
      </c>
      <c r="S8" s="34">
        <v>1604.3281108595811</v>
      </c>
      <c r="T8" s="33">
        <v>1735.3183720620912</v>
      </c>
      <c r="U8" s="34">
        <v>1735.3183720620912</v>
      </c>
      <c r="V8" s="33">
        <v>1889.2629677784187</v>
      </c>
      <c r="W8" s="34">
        <v>1889.2629677784187</v>
      </c>
      <c r="X8" s="33">
        <v>2072.1576647983029</v>
      </c>
      <c r="Y8" s="34">
        <v>2072.1576647983029</v>
      </c>
      <c r="Z8" s="33">
        <v>2291.9664328620779</v>
      </c>
      <c r="AA8" s="34">
        <v>2291.9664328620779</v>
      </c>
      <c r="AB8" s="33">
        <v>2559.2345365571355</v>
      </c>
      <c r="AC8" s="34">
        <v>2559.2345365571355</v>
      </c>
      <c r="AD8" s="33">
        <v>2887.6122980933928</v>
      </c>
      <c r="AE8" s="34">
        <v>2887.6122980933928</v>
      </c>
      <c r="AF8" s="33">
        <v>3293.661132430424</v>
      </c>
      <c r="AG8" s="34">
        <v>3293.661132430424</v>
      </c>
      <c r="AH8" s="33">
        <v>3794.4606444198339</v>
      </c>
      <c r="AI8" s="34">
        <v>3794.4606444198339</v>
      </c>
      <c r="AJ8" s="33">
        <v>4400.8514683219519</v>
      </c>
      <c r="AK8" s="34">
        <v>4400.8514683219519</v>
      </c>
      <c r="AL8" s="33">
        <v>5106.7703441154636</v>
      </c>
      <c r="AM8" s="34">
        <v>5106.7703441154636</v>
      </c>
      <c r="AN8" s="33">
        <v>5883.2080406621981</v>
      </c>
      <c r="AO8" s="34">
        <v>5883.2080406621981</v>
      </c>
      <c r="AP8" s="33">
        <v>6043.2137292206071</v>
      </c>
      <c r="AQ8" s="34">
        <v>6043.2137292206071</v>
      </c>
      <c r="AR8" s="33">
        <v>6203.9481493829953</v>
      </c>
      <c r="AS8" s="34">
        <v>6203.9481493829953</v>
      </c>
      <c r="AT8" s="33">
        <v>6365.0694999405405</v>
      </c>
      <c r="AU8" s="34">
        <v>6365.0694999405405</v>
      </c>
      <c r="AV8" s="33">
        <v>6526.25484244582</v>
      </c>
      <c r="AW8" s="34">
        <v>6526.25484244582</v>
      </c>
    </row>
    <row r="9" spans="1:49" x14ac:dyDescent="0.2">
      <c r="B9" s="39">
        <v>1015.9116825427475</v>
      </c>
      <c r="C9" s="40">
        <v>1005.7716594496609</v>
      </c>
      <c r="D9" s="39">
        <v>1014.9879374619176</v>
      </c>
      <c r="E9" s="40">
        <v>1053.9429159221638</v>
      </c>
      <c r="F9" s="39">
        <v>1014.0512953158332</v>
      </c>
      <c r="G9" s="40">
        <v>1107.3494161669014</v>
      </c>
      <c r="H9" s="39">
        <v>1013.0992095340287</v>
      </c>
      <c r="I9" s="40">
        <v>1166.8641192525479</v>
      </c>
      <c r="J9" s="39">
        <v>1012.1287600259144</v>
      </c>
      <c r="K9" s="40">
        <v>1233.5584657858967</v>
      </c>
      <c r="L9" s="39">
        <v>1011.1366054690585</v>
      </c>
      <c r="M9" s="40">
        <v>1308.7587622446154</v>
      </c>
      <c r="N9" s="39">
        <v>1010.1190574507294</v>
      </c>
      <c r="O9" s="40">
        <v>1394.1244284904694</v>
      </c>
      <c r="P9" s="39">
        <v>1009.0721883304161</v>
      </c>
      <c r="Q9" s="40">
        <v>1491.7533552851066</v>
      </c>
      <c r="R9" s="39">
        <v>1007.992130343333</v>
      </c>
      <c r="S9" s="40">
        <v>1604.3281108595811</v>
      </c>
      <c r="T9" s="39">
        <v>1006.8756561225888</v>
      </c>
      <c r="U9" s="40">
        <v>1735.3183720620912</v>
      </c>
      <c r="V9" s="39">
        <v>1005.7212642176066</v>
      </c>
      <c r="W9" s="40">
        <v>1889.2629677784187</v>
      </c>
      <c r="X9" s="39">
        <v>1004.5311382248725</v>
      </c>
      <c r="Y9" s="40">
        <v>2072.1576647983029</v>
      </c>
      <c r="Z9" s="39">
        <v>1003.3144799021244</v>
      </c>
      <c r="AA9" s="40">
        <v>2291.9664328620779</v>
      </c>
      <c r="AB9" s="39">
        <v>1002.0929179285373</v>
      </c>
      <c r="AC9" s="40">
        <v>2559.2345365571355</v>
      </c>
      <c r="AD9" s="39">
        <v>1000.9083147353267</v>
      </c>
      <c r="AE9" s="40">
        <v>2887.6122980933928</v>
      </c>
      <c r="AF9" s="39">
        <v>999.83156588756287</v>
      </c>
      <c r="AG9" s="40">
        <v>3293.661132430424</v>
      </c>
      <c r="AH9" s="39">
        <v>998.96522094048748</v>
      </c>
      <c r="AI9" s="40">
        <v>3794.4606444198339</v>
      </c>
      <c r="AJ9" s="39">
        <v>998.42445323046798</v>
      </c>
      <c r="AK9" s="40">
        <v>4400.8514683219519</v>
      </c>
      <c r="AL9" s="39">
        <v>998.28450900302232</v>
      </c>
      <c r="AM9" s="40">
        <v>5106.7703441154636</v>
      </c>
      <c r="AN9" s="39">
        <v>998.52486049379411</v>
      </c>
      <c r="AO9" s="40">
        <v>5883.2080406621981</v>
      </c>
      <c r="AP9" s="39">
        <v>998.6097405358812</v>
      </c>
      <c r="AQ9" s="40">
        <v>6043.2137292206071</v>
      </c>
      <c r="AR9" s="39">
        <v>998.70434562949481</v>
      </c>
      <c r="AS9" s="40">
        <v>6203.9481493829953</v>
      </c>
      <c r="AT9" s="39">
        <v>998.80753541794718</v>
      </c>
      <c r="AU9" s="40">
        <v>6365.0694999405405</v>
      </c>
      <c r="AV9" s="39">
        <v>998.91819043196176</v>
      </c>
      <c r="AW9" s="40">
        <v>6526.25484244582</v>
      </c>
    </row>
    <row r="10" spans="1:49" x14ac:dyDescent="0.2">
      <c r="B10" s="39">
        <v>1015.9116825427475</v>
      </c>
      <c r="C10" s="40">
        <v>1005.7716594496609</v>
      </c>
      <c r="D10" s="39">
        <v>1014.9879374619176</v>
      </c>
      <c r="E10" s="40">
        <v>1053.9429159221638</v>
      </c>
      <c r="F10" s="39">
        <v>1014.0512953158332</v>
      </c>
      <c r="G10" s="40">
        <v>1107.3494161669014</v>
      </c>
      <c r="H10" s="39">
        <v>1013.0992095340287</v>
      </c>
      <c r="I10" s="40">
        <v>1166.8641192525479</v>
      </c>
      <c r="J10" s="39">
        <v>1012.1287600259144</v>
      </c>
      <c r="K10" s="40">
        <v>1233.5584657858967</v>
      </c>
      <c r="L10" s="39">
        <v>1011.1366054690585</v>
      </c>
      <c r="M10" s="40">
        <v>1308.7587622446154</v>
      </c>
      <c r="N10" s="39">
        <v>1010.1190574507294</v>
      </c>
      <c r="O10" s="40">
        <v>1394.1244284904694</v>
      </c>
      <c r="P10" s="39">
        <v>1009.0721883304161</v>
      </c>
      <c r="Q10" s="40">
        <v>1491.7533552851066</v>
      </c>
      <c r="R10" s="39">
        <v>1007.992130343333</v>
      </c>
      <c r="S10" s="40">
        <v>1604.3281108595811</v>
      </c>
      <c r="T10" s="39">
        <v>1006.8756561225888</v>
      </c>
      <c r="U10" s="40">
        <v>1735.3183720620912</v>
      </c>
      <c r="V10" s="39">
        <v>1005.7212642176066</v>
      </c>
      <c r="W10" s="40">
        <v>1889.2629677784187</v>
      </c>
      <c r="X10" s="39">
        <v>1004.5311382248725</v>
      </c>
      <c r="Y10" s="40">
        <v>2072.1576647983029</v>
      </c>
      <c r="Z10" s="39">
        <v>1003.3144799021244</v>
      </c>
      <c r="AA10" s="40">
        <v>2291.9664328620779</v>
      </c>
      <c r="AB10" s="39">
        <v>1002.0929179285373</v>
      </c>
      <c r="AC10" s="40">
        <v>2559.2345365571355</v>
      </c>
      <c r="AD10" s="39">
        <v>1000.9083147353267</v>
      </c>
      <c r="AE10" s="40">
        <v>2887.6122980933928</v>
      </c>
      <c r="AF10" s="39">
        <v>999.83156588756287</v>
      </c>
      <c r="AG10" s="40">
        <v>3293.661132430424</v>
      </c>
      <c r="AH10" s="39">
        <v>998.96522094048748</v>
      </c>
      <c r="AI10" s="40">
        <v>3794.4606444198339</v>
      </c>
      <c r="AJ10" s="39">
        <v>998.42445323046798</v>
      </c>
      <c r="AK10" s="40">
        <v>4400.8514683219519</v>
      </c>
      <c r="AL10" s="39">
        <v>998.28450900302232</v>
      </c>
      <c r="AM10" s="40">
        <v>5106.7703441154636</v>
      </c>
      <c r="AN10" s="39">
        <v>998.52486049379411</v>
      </c>
      <c r="AO10" s="40">
        <v>5883.2080406621981</v>
      </c>
      <c r="AP10" s="39">
        <v>998.6097405358812</v>
      </c>
      <c r="AQ10" s="40">
        <v>6043.2137292206071</v>
      </c>
      <c r="AR10" s="39">
        <v>998.70434562949481</v>
      </c>
      <c r="AS10" s="40">
        <v>6203.9481493829953</v>
      </c>
      <c r="AT10" s="39">
        <v>998.80753541794718</v>
      </c>
      <c r="AU10" s="40">
        <v>6365.0694999405405</v>
      </c>
      <c r="AV10" s="39">
        <v>998.91819043196176</v>
      </c>
      <c r="AW10" s="40">
        <v>6526.25484244582</v>
      </c>
    </row>
    <row r="11" spans="1:49" x14ac:dyDescent="0.2">
      <c r="B11" s="39">
        <v>1015.9116825427475</v>
      </c>
      <c r="C11" s="40">
        <v>1005.7716594496609</v>
      </c>
      <c r="D11" s="39">
        <v>1014.9879374619176</v>
      </c>
      <c r="E11" s="40">
        <v>1053.9429159221638</v>
      </c>
      <c r="F11" s="39">
        <v>1014.0512953158332</v>
      </c>
      <c r="G11" s="40">
        <v>1107.3494161669014</v>
      </c>
      <c r="H11" s="39">
        <v>1013.0992095340287</v>
      </c>
      <c r="I11" s="40">
        <v>1166.8641192525479</v>
      </c>
      <c r="J11" s="39">
        <v>1012.1287600259144</v>
      </c>
      <c r="K11" s="40">
        <v>1233.5584657858967</v>
      </c>
      <c r="L11" s="39">
        <v>1011.1366054690585</v>
      </c>
      <c r="M11" s="40">
        <v>1308.7587622446154</v>
      </c>
      <c r="N11" s="39">
        <v>1010.1190574507294</v>
      </c>
      <c r="O11" s="40">
        <v>1394.1244284904694</v>
      </c>
      <c r="P11" s="39">
        <v>1009.0721883304161</v>
      </c>
      <c r="Q11" s="40">
        <v>1491.7533552851066</v>
      </c>
      <c r="R11" s="39">
        <v>1007.992130343333</v>
      </c>
      <c r="S11" s="40">
        <v>1604.3281108595811</v>
      </c>
      <c r="T11" s="39">
        <v>1006.8756561225888</v>
      </c>
      <c r="U11" s="40">
        <v>1735.3183720620912</v>
      </c>
      <c r="V11" s="39">
        <v>1005.7212642176066</v>
      </c>
      <c r="W11" s="40">
        <v>1889.2629677784187</v>
      </c>
      <c r="X11" s="39">
        <v>1004.5311382248725</v>
      </c>
      <c r="Y11" s="40">
        <v>2072.1576647983029</v>
      </c>
      <c r="Z11" s="39">
        <v>1003.3144799021244</v>
      </c>
      <c r="AA11" s="40">
        <v>2291.9664328620779</v>
      </c>
      <c r="AB11" s="39">
        <v>1002.0929179285373</v>
      </c>
      <c r="AC11" s="40">
        <v>2559.2345365571355</v>
      </c>
      <c r="AD11" s="39">
        <v>1000.9083147353267</v>
      </c>
      <c r="AE11" s="40">
        <v>2887.6122980933928</v>
      </c>
      <c r="AF11" s="39">
        <v>999.83156588756287</v>
      </c>
      <c r="AG11" s="40">
        <v>3293.661132430424</v>
      </c>
      <c r="AH11" s="39">
        <v>998.96522094048748</v>
      </c>
      <c r="AI11" s="40">
        <v>3794.4606444198339</v>
      </c>
      <c r="AJ11" s="39">
        <v>998.42445323046798</v>
      </c>
      <c r="AK11" s="40">
        <v>4400.8514683219519</v>
      </c>
      <c r="AL11" s="39">
        <v>998.28450900302232</v>
      </c>
      <c r="AM11" s="40">
        <v>5106.7703441154636</v>
      </c>
      <c r="AN11" s="39">
        <v>998.52486049379411</v>
      </c>
      <c r="AO11" s="40">
        <v>5883.2080406621981</v>
      </c>
      <c r="AP11" s="39">
        <v>998.6097405358812</v>
      </c>
      <c r="AQ11" s="40">
        <v>6043.2137292206071</v>
      </c>
      <c r="AR11" s="39">
        <v>998.70434562949481</v>
      </c>
      <c r="AS11" s="40">
        <v>6203.9481493829953</v>
      </c>
      <c r="AT11" s="39">
        <v>998.80753541794718</v>
      </c>
      <c r="AU11" s="40">
        <v>6365.0694999405405</v>
      </c>
      <c r="AV11" s="39">
        <v>998.91819043196176</v>
      </c>
      <c r="AW11" s="40">
        <v>6526.25484244582</v>
      </c>
    </row>
    <row r="12" spans="1:49" x14ac:dyDescent="0.2">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B13" s="93">
        <v>1000</v>
      </c>
      <c r="C13" s="94">
        <v>1000</v>
      </c>
      <c r="D13" s="93">
        <v>996.95775520518373</v>
      </c>
      <c r="E13" s="94">
        <v>996.95775520518373</v>
      </c>
      <c r="F13" s="93">
        <v>993.69675570629465</v>
      </c>
      <c r="G13" s="94">
        <v>993.69675570629465</v>
      </c>
      <c r="H13" s="93">
        <v>990.19117593291583</v>
      </c>
      <c r="I13" s="94">
        <v>990.19117593291583</v>
      </c>
      <c r="J13" s="93">
        <v>986.41129897467454</v>
      </c>
      <c r="K13" s="94">
        <v>986.41129897467454</v>
      </c>
      <c r="L13" s="93">
        <v>982.32284921191922</v>
      </c>
      <c r="M13" s="94">
        <v>982.32284921191922</v>
      </c>
      <c r="N13" s="93">
        <v>977.88636554948766</v>
      </c>
      <c r="O13" s="94">
        <v>977.88636554948766</v>
      </c>
      <c r="P13" s="93">
        <v>973.05652093737649</v>
      </c>
      <c r="Q13" s="94">
        <v>973.05652093737649</v>
      </c>
      <c r="R13" s="93">
        <v>967.78160437966415</v>
      </c>
      <c r="S13" s="94">
        <v>967.78160437966415</v>
      </c>
      <c r="T13" s="93">
        <v>962.00338294417793</v>
      </c>
      <c r="U13" s="94">
        <v>962.00338294417793</v>
      </c>
      <c r="V13" s="93">
        <v>955.65777308337488</v>
      </c>
      <c r="W13" s="94">
        <v>955.65777308337488</v>
      </c>
      <c r="X13" s="93">
        <v>948.6773926383662</v>
      </c>
      <c r="Y13" s="94">
        <v>948.6773926383662</v>
      </c>
      <c r="Z13" s="93">
        <v>940.99767964473892</v>
      </c>
      <c r="AA13" s="94">
        <v>940.99767964473892</v>
      </c>
      <c r="AB13" s="93">
        <v>932.56972857074629</v>
      </c>
      <c r="AC13" s="94">
        <v>932.56972857074629</v>
      </c>
      <c r="AD13" s="93">
        <v>923.38491050603932</v>
      </c>
      <c r="AE13" s="94">
        <v>923.38491050603932</v>
      </c>
      <c r="AF13" s="93">
        <v>913.51746236641736</v>
      </c>
      <c r="AG13" s="94">
        <v>913.51746236641736</v>
      </c>
      <c r="AH13" s="93">
        <v>903.18271786331673</v>
      </c>
      <c r="AI13" s="94">
        <v>903.18271786331673</v>
      </c>
      <c r="AJ13" s="93">
        <v>892.78146761629921</v>
      </c>
      <c r="AK13" s="94">
        <v>892.78146761629921</v>
      </c>
      <c r="AL13" s="93">
        <v>882.85389955194535</v>
      </c>
      <c r="AM13" s="94">
        <v>882.85389955194535</v>
      </c>
      <c r="AN13" s="93">
        <v>873.89543704536572</v>
      </c>
      <c r="AO13" s="94">
        <v>873.89543704536572</v>
      </c>
      <c r="AP13" s="93">
        <v>872.24748644890258</v>
      </c>
      <c r="AQ13" s="94">
        <v>872.24748644890258</v>
      </c>
      <c r="AR13" s="93">
        <v>870.64983657452899</v>
      </c>
      <c r="AS13" s="94">
        <v>870.64983657452899</v>
      </c>
      <c r="AT13" s="93">
        <v>869.10257831170816</v>
      </c>
      <c r="AU13" s="94">
        <v>869.10257831170816</v>
      </c>
      <c r="AV13" s="93">
        <v>867.60541263613266</v>
      </c>
      <c r="AW13" s="94">
        <v>867.60541263613266</v>
      </c>
    </row>
    <row r="14" spans="1:49" x14ac:dyDescent="0.2">
      <c r="B14" s="39">
        <v>1457.0034251455234</v>
      </c>
      <c r="C14" s="40">
        <v>1457.0034251455236</v>
      </c>
      <c r="D14" s="39">
        <v>1452.5708640593448</v>
      </c>
      <c r="E14" s="40">
        <v>1452.570864059345</v>
      </c>
      <c r="F14" s="39">
        <v>1447.8195766200656</v>
      </c>
      <c r="G14" s="40">
        <v>1447.8195766200658</v>
      </c>
      <c r="H14" s="39">
        <v>1442.7119348831318</v>
      </c>
      <c r="I14" s="40">
        <v>1442.711934883132</v>
      </c>
      <c r="J14" s="39">
        <v>1437.2046412083455</v>
      </c>
      <c r="K14" s="40">
        <v>1437.2046412083457</v>
      </c>
      <c r="L14" s="39">
        <v>1431.2477559004758</v>
      </c>
      <c r="M14" s="40">
        <v>1431.247755900476</v>
      </c>
      <c r="N14" s="39">
        <v>1424.7837840087107</v>
      </c>
      <c r="O14" s="40">
        <v>1424.7837840087109</v>
      </c>
      <c r="P14" s="39">
        <v>1417.7466838659441</v>
      </c>
      <c r="Q14" s="40">
        <v>1417.7466838659443</v>
      </c>
      <c r="R14" s="39">
        <v>1410.0611123740005</v>
      </c>
      <c r="S14" s="40">
        <v>1410.0611123740007</v>
      </c>
      <c r="T14" s="39">
        <v>1401.6422239512476</v>
      </c>
      <c r="U14" s="40">
        <v>1401.6422239512478</v>
      </c>
      <c r="V14" s="39">
        <v>1392.3966486494205</v>
      </c>
      <c r="W14" s="40">
        <v>1392.3966486494207</v>
      </c>
      <c r="X14" s="39">
        <v>1382.226210432224</v>
      </c>
      <c r="Y14" s="40">
        <v>1382.2262104322242</v>
      </c>
      <c r="Z14" s="39">
        <v>1371.0368422963745</v>
      </c>
      <c r="AA14" s="40">
        <v>1371.0368422963747</v>
      </c>
      <c r="AB14" s="39">
        <v>1358.7572887146082</v>
      </c>
      <c r="AC14" s="40">
        <v>1358.7572887146084</v>
      </c>
      <c r="AD14" s="39">
        <v>1345.3749773349919</v>
      </c>
      <c r="AE14" s="40">
        <v>1345.3749773349921</v>
      </c>
      <c r="AF14" s="39">
        <v>1330.9980715981167</v>
      </c>
      <c r="AG14" s="40">
        <v>1330.9980715981169</v>
      </c>
      <c r="AH14" s="39">
        <v>1315.9403134590953</v>
      </c>
      <c r="AI14" s="40">
        <v>1315.9403134590955</v>
      </c>
      <c r="AJ14" s="39">
        <v>1300.7856562233951</v>
      </c>
      <c r="AK14" s="40">
        <v>1300.7856562233951</v>
      </c>
      <c r="AL14" s="39">
        <v>1286.3211555502662</v>
      </c>
      <c r="AM14" s="40">
        <v>1286.3211555502662</v>
      </c>
      <c r="AN14" s="39">
        <v>1273.2686449941418</v>
      </c>
      <c r="AO14" s="40">
        <v>1273.2686449941421</v>
      </c>
      <c r="AP14" s="39">
        <v>1270.8675753306245</v>
      </c>
      <c r="AQ14" s="40">
        <v>1270.8675753306247</v>
      </c>
      <c r="AR14" s="39">
        <v>1268.5397939914787</v>
      </c>
      <c r="AS14" s="40">
        <v>1268.539793991479</v>
      </c>
      <c r="AT14" s="39">
        <v>1266.2854334029641</v>
      </c>
      <c r="AU14" s="40">
        <v>1266.2854334029644</v>
      </c>
      <c r="AV14" s="39">
        <v>1264.1040578856403</v>
      </c>
      <c r="AW14" s="40">
        <v>1264.1040578856405</v>
      </c>
    </row>
    <row r="15" spans="1:49" x14ac:dyDescent="0.2">
      <c r="B15" s="144">
        <v>1000</v>
      </c>
      <c r="C15" s="145">
        <v>1000</v>
      </c>
      <c r="D15" s="144">
        <v>997.21318842580092</v>
      </c>
      <c r="E15" s="145">
        <v>997.21318842580092</v>
      </c>
      <c r="F15" s="144">
        <v>994.29767949850611</v>
      </c>
      <c r="G15" s="145">
        <v>994.29767949850611</v>
      </c>
      <c r="H15" s="144">
        <v>991.23071323899944</v>
      </c>
      <c r="I15" s="145">
        <v>991.23071323899944</v>
      </c>
      <c r="J15" s="144">
        <v>987.98442259023579</v>
      </c>
      <c r="K15" s="145">
        <v>987.98442259023579</v>
      </c>
      <c r="L15" s="144">
        <v>984.52442576463682</v>
      </c>
      <c r="M15" s="145">
        <v>984.52442576463682</v>
      </c>
      <c r="N15" s="144">
        <v>980.80793292052135</v>
      </c>
      <c r="O15" s="145">
        <v>980.80793292052135</v>
      </c>
      <c r="P15" s="144">
        <v>976.78122467865705</v>
      </c>
      <c r="Q15" s="145">
        <v>976.78122467865705</v>
      </c>
      <c r="R15" s="144">
        <v>972.37624899730633</v>
      </c>
      <c r="S15" s="145">
        <v>972.37624899730633</v>
      </c>
      <c r="T15" s="144">
        <v>967.50604540961172</v>
      </c>
      <c r="U15" s="145">
        <v>967.50604540961172</v>
      </c>
      <c r="V15" s="144">
        <v>962.05865653003866</v>
      </c>
      <c r="W15" s="145">
        <v>962.05865653003866</v>
      </c>
      <c r="X15" s="144">
        <v>955.88921084650792</v>
      </c>
      <c r="Y15" s="145">
        <v>955.88921084650792</v>
      </c>
      <c r="Z15" s="144">
        <v>948.81044021810953</v>
      </c>
      <c r="AA15" s="145">
        <v>948.81044021810953</v>
      </c>
      <c r="AB15" s="144">
        <v>940.58344113952091</v>
      </c>
      <c r="AC15" s="145">
        <v>940.58344113952091</v>
      </c>
      <c r="AD15" s="144">
        <v>930.91519528819742</v>
      </c>
      <c r="AE15" s="145">
        <v>930.91519528819742</v>
      </c>
      <c r="AF15" s="144">
        <v>919.48015288457566</v>
      </c>
      <c r="AG15" s="145">
        <v>919.48015288457566</v>
      </c>
      <c r="AH15" s="144">
        <v>906.00061161028634</v>
      </c>
      <c r="AI15" s="145">
        <v>906.00061161028634</v>
      </c>
      <c r="AJ15" s="144">
        <v>890.42304775216201</v>
      </c>
      <c r="AK15" s="145">
        <v>890.42304775216201</v>
      </c>
      <c r="AL15" s="144">
        <v>873.14249187348582</v>
      </c>
      <c r="AM15" s="145">
        <v>873.14249187348582</v>
      </c>
      <c r="AN15" s="144">
        <v>855.04659643403988</v>
      </c>
      <c r="AO15" s="145">
        <v>855.04659643403988</v>
      </c>
      <c r="AP15" s="144">
        <v>851.42539518804529</v>
      </c>
      <c r="AQ15" s="145">
        <v>851.42539518804529</v>
      </c>
      <c r="AR15" s="144">
        <v>847.82291955724872</v>
      </c>
      <c r="AS15" s="145">
        <v>847.82291955724872</v>
      </c>
      <c r="AT15" s="144">
        <v>844.24646125943059</v>
      </c>
      <c r="AU15" s="145">
        <v>844.24646125943059</v>
      </c>
      <c r="AV15" s="144">
        <v>840.70263979976937</v>
      </c>
      <c r="AW15" s="145">
        <v>840.70263979976937</v>
      </c>
    </row>
    <row r="16" spans="1:49" s="27" customFormat="1" x14ac:dyDescent="0.2">
      <c r="A16"/>
      <c r="B16" s="39">
        <v>1000</v>
      </c>
      <c r="C16" s="40">
        <v>1000</v>
      </c>
      <c r="D16" s="39">
        <v>997.07699983268856</v>
      </c>
      <c r="E16" s="40">
        <v>997.14028014917744</v>
      </c>
      <c r="F16" s="39">
        <v>993.97727888161126</v>
      </c>
      <c r="G16" s="40">
        <v>994.12615468289368</v>
      </c>
      <c r="H16" s="39">
        <v>990.67643534588797</v>
      </c>
      <c r="I16" s="40">
        <v>990.93398560574428</v>
      </c>
      <c r="J16" s="39">
        <v>987.14560626090292</v>
      </c>
      <c r="K16" s="40">
        <v>987.53537390731856</v>
      </c>
      <c r="L16" s="39">
        <v>983.35045457895251</v>
      </c>
      <c r="M16" s="40">
        <v>983.89596324729769</v>
      </c>
      <c r="N16" s="39">
        <v>979.2499518035379</v>
      </c>
      <c r="O16" s="40">
        <v>979.97390840624109</v>
      </c>
      <c r="P16" s="39">
        <v>974.79483943875675</v>
      </c>
      <c r="Q16" s="40">
        <v>975.71787984637024</v>
      </c>
      <c r="R16" s="39">
        <v>969.92576700260395</v>
      </c>
      <c r="S16" s="40">
        <v>971.06448529083582</v>
      </c>
      <c r="T16" s="39">
        <v>964.57108754063256</v>
      </c>
      <c r="U16" s="40">
        <v>965.93496265402041</v>
      </c>
      <c r="V16" s="39">
        <v>958.64438180808156</v>
      </c>
      <c r="W16" s="40">
        <v>960.23102472815776</v>
      </c>
      <c r="X16" s="39">
        <v>952.04213629490482</v>
      </c>
      <c r="Y16" s="40">
        <v>953.82993545972158</v>
      </c>
      <c r="Z16" s="39">
        <v>944.64259600472053</v>
      </c>
      <c r="AA16" s="40">
        <v>946.57948766995685</v>
      </c>
      <c r="AB16" s="39">
        <v>936.30830961923971</v>
      </c>
      <c r="AC16" s="40">
        <v>938.29507175049912</v>
      </c>
      <c r="AD16" s="39">
        <v>926.8980835246507</v>
      </c>
      <c r="AE16" s="40">
        <v>928.76492122278637</v>
      </c>
      <c r="AF16" s="39">
        <v>916.29965099903575</v>
      </c>
      <c r="AG16" s="40">
        <v>917.77765291396099</v>
      </c>
      <c r="AH16" s="39">
        <v>904.49790253492949</v>
      </c>
      <c r="AI16" s="40">
        <v>905.19617728619596</v>
      </c>
      <c r="AJ16" s="39">
        <v>891.68022421414901</v>
      </c>
      <c r="AK16" s="40">
        <v>891.09610681741492</v>
      </c>
      <c r="AL16" s="39">
        <v>878.31619202108811</v>
      </c>
      <c r="AM16" s="40">
        <v>875.91273582305189</v>
      </c>
      <c r="AN16" s="39">
        <v>865.08065538037351</v>
      </c>
      <c r="AO16" s="40">
        <v>860.42025144165405</v>
      </c>
      <c r="AP16" s="39">
        <v>862.50806989205103</v>
      </c>
      <c r="AQ16" s="40">
        <v>857.36085602633477</v>
      </c>
      <c r="AR16" s="39">
        <v>859.97062341509434</v>
      </c>
      <c r="AS16" s="40">
        <v>854.32902541007729</v>
      </c>
      <c r="AT16" s="39">
        <v>857.47176428737328</v>
      </c>
      <c r="AU16" s="40">
        <v>851.32999420688532</v>
      </c>
      <c r="AV16" s="39">
        <v>855.01442350905904</v>
      </c>
      <c r="AW16" s="40">
        <v>848.36840718461008</v>
      </c>
    </row>
    <row r="17" spans="2:49" x14ac:dyDescent="0.2">
      <c r="B17" s="33">
        <v>1000.0000000000002</v>
      </c>
      <c r="C17" s="34">
        <v>999.99999999999977</v>
      </c>
      <c r="D17" s="33">
        <v>999.17346758699443</v>
      </c>
      <c r="E17" s="34">
        <v>1024.0704000931303</v>
      </c>
      <c r="F17" s="33">
        <v>998.33602040718336</v>
      </c>
      <c r="G17" s="34">
        <v>1050.6559394037176</v>
      </c>
      <c r="H17" s="33">
        <v>997.48540780153735</v>
      </c>
      <c r="I17" s="34">
        <v>1080.1610280009832</v>
      </c>
      <c r="J17" s="33">
        <v>996.61906232518504</v>
      </c>
      <c r="K17" s="34">
        <v>1113.0798053697649</v>
      </c>
      <c r="L17" s="33">
        <v>995.73404028618643</v>
      </c>
      <c r="M17" s="34">
        <v>1150.0210860706593</v>
      </c>
      <c r="N17" s="33">
        <v>994.8271060280349</v>
      </c>
      <c r="O17" s="34">
        <v>1191.7430095133814</v>
      </c>
      <c r="P17" s="33">
        <v>993.89482001253316</v>
      </c>
      <c r="Q17" s="34">
        <v>1239.1993788711952</v>
      </c>
      <c r="R17" s="33">
        <v>992.93381116879402</v>
      </c>
      <c r="S17" s="34">
        <v>1293.6037506837299</v>
      </c>
      <c r="T17" s="33">
        <v>991.94129195993071</v>
      </c>
      <c r="U17" s="34">
        <v>1356.5176838256239</v>
      </c>
      <c r="V17" s="33">
        <v>990.91601647219761</v>
      </c>
      <c r="W17" s="34">
        <v>1429.9730029874977</v>
      </c>
      <c r="X17" s="33">
        <v>989.86002470932044</v>
      </c>
      <c r="Y17" s="34">
        <v>1516.6385987192411</v>
      </c>
      <c r="Z17" s="33">
        <v>988.78156136885138</v>
      </c>
      <c r="AA17" s="34">
        <v>1620.0377011098624</v>
      </c>
      <c r="AB17" s="33">
        <v>987.69984732763226</v>
      </c>
      <c r="AC17" s="34">
        <v>1744.8031034320027</v>
      </c>
      <c r="AD17" s="33">
        <v>986.6519050961233</v>
      </c>
      <c r="AE17" s="34">
        <v>1896.8807721840972</v>
      </c>
      <c r="AF17" s="33">
        <v>985.7002714829141</v>
      </c>
      <c r="AG17" s="34">
        <v>2083.3992810162968</v>
      </c>
      <c r="AH17" s="33">
        <v>984.93521675566524</v>
      </c>
      <c r="AI17" s="34">
        <v>2311.5557284576398</v>
      </c>
      <c r="AJ17" s="33">
        <v>984.45795631653255</v>
      </c>
      <c r="AK17" s="34">
        <v>2585.6019139755517</v>
      </c>
      <c r="AL17" s="33">
        <v>984.33448198927499</v>
      </c>
      <c r="AM17" s="34">
        <v>2902.2258376463683</v>
      </c>
      <c r="AN17" s="33">
        <v>984.54655530223317</v>
      </c>
      <c r="AO17" s="34">
        <v>3248.140423877473</v>
      </c>
      <c r="AP17" s="33">
        <v>984.62145929379335</v>
      </c>
      <c r="AQ17" s="34">
        <v>3319.1699537616905</v>
      </c>
      <c r="AR17" s="33">
        <v>984.70495152092678</v>
      </c>
      <c r="AS17" s="34">
        <v>3390.444190352599</v>
      </c>
      <c r="AT17" s="33">
        <v>984.79602762992499</v>
      </c>
      <c r="AU17" s="34">
        <v>3461.8142366775605</v>
      </c>
      <c r="AV17" s="33">
        <v>984.89370141147811</v>
      </c>
      <c r="AW17" s="34">
        <v>3533.1400046187819</v>
      </c>
    </row>
    <row r="18" spans="2:49" x14ac:dyDescent="0.2">
      <c r="B18" s="31">
        <v>27857.010133999996</v>
      </c>
      <c r="C18" s="32">
        <v>1236.7674480000003</v>
      </c>
      <c r="D18" s="31">
        <v>27764.007515438592</v>
      </c>
      <c r="E18" s="32">
        <v>1157.0324755059157</v>
      </c>
      <c r="F18" s="31">
        <v>27657.208456931428</v>
      </c>
      <c r="G18" s="32">
        <v>1077.5821470058497</v>
      </c>
      <c r="H18" s="31">
        <v>27534.075582778551</v>
      </c>
      <c r="I18" s="32">
        <v>998.4585553920848</v>
      </c>
      <c r="J18" s="31">
        <v>27391.397939961851</v>
      </c>
      <c r="K18" s="32">
        <v>919.71700029173348</v>
      </c>
      <c r="L18" s="31">
        <v>27225.073963106192</v>
      </c>
      <c r="M18" s="32">
        <v>841.42689989994551</v>
      </c>
      <c r="N18" s="31">
        <v>27029.770511051665</v>
      </c>
      <c r="O18" s="32">
        <v>763.68148487284304</v>
      </c>
      <c r="P18" s="31">
        <v>26798.449231426501</v>
      </c>
      <c r="Q18" s="32">
        <v>686.60508730076208</v>
      </c>
      <c r="R18" s="31">
        <v>26521.648715920335</v>
      </c>
      <c r="S18" s="32">
        <v>610.36758936207525</v>
      </c>
      <c r="T18" s="31">
        <v>26186.400588319513</v>
      </c>
      <c r="U18" s="32">
        <v>535.20401676248912</v>
      </c>
      <c r="V18" s="31">
        <v>25774.555845680261</v>
      </c>
      <c r="W18" s="32">
        <v>461.44283326265003</v>
      </c>
      <c r="X18" s="31">
        <v>25260.136797229781</v>
      </c>
      <c r="Y18" s="32">
        <v>389.55004339408072</v>
      </c>
      <c r="Z18" s="31">
        <v>24605.146893859172</v>
      </c>
      <c r="AA18" s="32">
        <v>320.18287718823734</v>
      </c>
      <c r="AB18" s="31">
        <v>23752.905842448414</v>
      </c>
      <c r="AC18" s="32">
        <v>254.26658465318019</v>
      </c>
      <c r="AD18" s="31">
        <v>22617.875458644994</v>
      </c>
      <c r="AE18" s="32">
        <v>193.0680881217684</v>
      </c>
      <c r="AF18" s="31">
        <v>21071.685675701054</v>
      </c>
      <c r="AG18" s="32">
        <v>138.22120909806137</v>
      </c>
      <c r="AH18" s="31">
        <v>18929.559750103148</v>
      </c>
      <c r="AI18" s="32">
        <v>91.581016809804296</v>
      </c>
      <c r="AJ18" s="31">
        <v>15952.559350977584</v>
      </c>
      <c r="AK18" s="32">
        <v>54.726503372016133</v>
      </c>
      <c r="AL18" s="31">
        <v>11892.393651275152</v>
      </c>
      <c r="AM18" s="32">
        <v>28.140067988461428</v>
      </c>
      <c r="AN18" s="31">
        <v>6581.1141116296667</v>
      </c>
      <c r="AO18" s="32">
        <v>10.669970141049175</v>
      </c>
      <c r="AP18" s="31">
        <v>5364.3586607957495</v>
      </c>
      <c r="AQ18" s="32">
        <v>8.0740225577696307</v>
      </c>
      <c r="AR18" s="31">
        <v>4096.9768484421884</v>
      </c>
      <c r="AS18" s="32">
        <v>5.7291901321974983</v>
      </c>
      <c r="AT18" s="31">
        <v>2779.778328705871</v>
      </c>
      <c r="AU18" s="32">
        <v>3.6149837685579675</v>
      </c>
      <c r="AV18" s="31">
        <v>1413.7444991139535</v>
      </c>
      <c r="AW18" s="32">
        <v>1.7115718217570324</v>
      </c>
    </row>
    <row r="19" spans="2:49" x14ac:dyDescent="0.2">
      <c r="B19" s="39">
        <v>1886.3937399999918</v>
      </c>
      <c r="C19" s="40">
        <v>262.78711299999759</v>
      </c>
      <c r="D19" s="39">
        <v>1875.9953630731941</v>
      </c>
      <c r="E19" s="40">
        <v>263.7320981088356</v>
      </c>
      <c r="F19" s="39">
        <v>1864.6417335973465</v>
      </c>
      <c r="G19" s="40">
        <v>264.96016999858017</v>
      </c>
      <c r="H19" s="39">
        <v>1852.1579702103561</v>
      </c>
      <c r="I19" s="40">
        <v>266.48980470647695</v>
      </c>
      <c r="J19" s="39">
        <v>1838.3243522363034</v>
      </c>
      <c r="K19" s="40">
        <v>268.33668578202833</v>
      </c>
      <c r="L19" s="39">
        <v>1822.8623001757173</v>
      </c>
      <c r="M19" s="40">
        <v>270.50989098283077</v>
      </c>
      <c r="N19" s="39">
        <v>1805.4129128998793</v>
      </c>
      <c r="O19" s="40">
        <v>273.00673180788476</v>
      </c>
      <c r="P19" s="39">
        <v>1785.5072418466552</v>
      </c>
      <c r="Q19" s="40">
        <v>275.80342304047338</v>
      </c>
      <c r="R19" s="39">
        <v>1762.5217659594061</v>
      </c>
      <c r="S19" s="40">
        <v>278.84024291613173</v>
      </c>
      <c r="T19" s="39">
        <v>1735.6116598273334</v>
      </c>
      <c r="U19" s="40">
        <v>281.99693094405967</v>
      </c>
      <c r="V19" s="39">
        <v>1703.6083853865596</v>
      </c>
      <c r="W19" s="40">
        <v>285.05272511839229</v>
      </c>
      <c r="X19" s="39">
        <v>1664.8582021379311</v>
      </c>
      <c r="Y19" s="40">
        <v>287.62102848369898</v>
      </c>
      <c r="Z19" s="39">
        <v>1616.9666063072759</v>
      </c>
      <c r="AA19" s="40">
        <v>289.04444239646881</v>
      </c>
      <c r="AB19" s="39">
        <v>1556.3897863684635</v>
      </c>
      <c r="AC19" s="40">
        <v>288.23312598714364</v>
      </c>
      <c r="AD19" s="39">
        <v>1477.8034535903494</v>
      </c>
      <c r="AE19" s="40">
        <v>283.43606656872299</v>
      </c>
      <c r="AF19" s="39">
        <v>1373.2146698829863</v>
      </c>
      <c r="AG19" s="40">
        <v>271.98468326477439</v>
      </c>
      <c r="AH19" s="39">
        <v>1231.0419269299973</v>
      </c>
      <c r="AI19" s="40">
        <v>250.19686226480056</v>
      </c>
      <c r="AJ19" s="39">
        <v>1036.0868816578907</v>
      </c>
      <c r="AK19" s="40">
        <v>213.878965893116</v>
      </c>
      <c r="AL19" s="39">
        <v>772.126416265393</v>
      </c>
      <c r="AM19" s="40">
        <v>159.82666903615203</v>
      </c>
      <c r="AN19" s="39">
        <v>427.53379065376606</v>
      </c>
      <c r="AO19" s="40">
        <v>87.640740227089665</v>
      </c>
      <c r="AP19" s="39">
        <v>348.56017753285641</v>
      </c>
      <c r="AQ19" s="40">
        <v>71.224605845077789</v>
      </c>
      <c r="AR19" s="39">
        <v>266.27021364951651</v>
      </c>
      <c r="AS19" s="40">
        <v>54.218276451963185</v>
      </c>
      <c r="AT19" s="39">
        <v>180.70798300441234</v>
      </c>
      <c r="AU19" s="40">
        <v>36.655648076626683</v>
      </c>
      <c r="AV19" s="39">
        <v>91.929310575989163</v>
      </c>
      <c r="AW19" s="40">
        <v>18.571329569638031</v>
      </c>
    </row>
    <row r="20" spans="2:49" x14ac:dyDescent="0.2">
      <c r="B20" s="79">
        <v>26548.356269999993</v>
      </c>
      <c r="C20" s="80">
        <v>1408.5418709999938</v>
      </c>
      <c r="D20" s="79">
        <v>26450.092694010549</v>
      </c>
      <c r="E20" s="80">
        <v>1338.1147774499941</v>
      </c>
      <c r="F20" s="79">
        <v>26338.603928179324</v>
      </c>
      <c r="G20" s="80">
        <v>1267.6876838999945</v>
      </c>
      <c r="H20" s="79">
        <v>26211.463578579369</v>
      </c>
      <c r="I20" s="80">
        <v>1197.2605903499946</v>
      </c>
      <c r="J20" s="79">
        <v>26065.604938509216</v>
      </c>
      <c r="K20" s="80">
        <v>1126.8334967999949</v>
      </c>
      <c r="L20" s="79">
        <v>25897.115664543206</v>
      </c>
      <c r="M20" s="80">
        <v>1056.4064032499953</v>
      </c>
      <c r="N20" s="79">
        <v>25700.916720566311</v>
      </c>
      <c r="O20" s="80">
        <v>985.97930969999561</v>
      </c>
      <c r="P20" s="79">
        <v>25470.316561506461</v>
      </c>
      <c r="Q20" s="80">
        <v>915.55221614999596</v>
      </c>
      <c r="R20" s="79">
        <v>25196.336840807213</v>
      </c>
      <c r="S20" s="80">
        <v>845.12512259999642</v>
      </c>
      <c r="T20" s="79">
        <v>24866.695548459349</v>
      </c>
      <c r="U20" s="80">
        <v>774.69802904999653</v>
      </c>
      <c r="V20" s="79">
        <v>24464.238583118178</v>
      </c>
      <c r="W20" s="80">
        <v>704.27093549999688</v>
      </c>
      <c r="X20" s="79">
        <v>23964.459750949802</v>
      </c>
      <c r="Y20" s="80">
        <v>633.84384194999734</v>
      </c>
      <c r="Z20" s="79">
        <v>23331.576804250602</v>
      </c>
      <c r="AA20" s="80">
        <v>563.41674839999757</v>
      </c>
      <c r="AB20" s="79">
        <v>22512.285408268952</v>
      </c>
      <c r="AC20" s="80">
        <v>492.98965484999775</v>
      </c>
      <c r="AD20" s="79">
        <v>21426.206329293807</v>
      </c>
      <c r="AE20" s="80">
        <v>422.56256129999804</v>
      </c>
      <c r="AF20" s="79">
        <v>19952.712566866645</v>
      </c>
      <c r="AG20" s="80">
        <v>352.13546774999827</v>
      </c>
      <c r="AH20" s="79">
        <v>17917.99071027106</v>
      </c>
      <c r="AI20" s="80">
        <v>281.70837419999856</v>
      </c>
      <c r="AJ20" s="79">
        <v>15096.732378804838</v>
      </c>
      <c r="AK20" s="80">
        <v>211.28128064999879</v>
      </c>
      <c r="AL20" s="79">
        <v>11253.741799778281</v>
      </c>
      <c r="AM20" s="80">
        <v>140.85418709999902</v>
      </c>
      <c r="AN20" s="79">
        <v>6228.3051307766</v>
      </c>
      <c r="AO20" s="80">
        <v>70.42709354999927</v>
      </c>
      <c r="AP20" s="79">
        <v>5076.9556777905827</v>
      </c>
      <c r="AQ20" s="80">
        <v>56.341674839999328</v>
      </c>
      <c r="AR20" s="79">
        <v>3877.6258968674219</v>
      </c>
      <c r="AS20" s="80">
        <v>42.256256129999379</v>
      </c>
      <c r="AT20" s="79">
        <v>2631.061003849481</v>
      </c>
      <c r="AU20" s="80">
        <v>28.170837419999433</v>
      </c>
      <c r="AV20" s="79">
        <v>1338.1702154404577</v>
      </c>
      <c r="AW20" s="80">
        <v>14.08541870999948</v>
      </c>
    </row>
    <row r="21" spans="2:49" x14ac:dyDescent="0.2">
      <c r="B21" s="79">
        <v>24661.962529999968</v>
      </c>
      <c r="C21" s="80">
        <v>1145.7547579999991</v>
      </c>
      <c r="D21" s="79">
        <v>24574.0990036613</v>
      </c>
      <c r="E21" s="80">
        <v>1074.5022564284166</v>
      </c>
      <c r="F21" s="79">
        <v>24473.968950622573</v>
      </c>
      <c r="G21" s="80">
        <v>1003.2310274416404</v>
      </c>
      <c r="H21" s="79">
        <v>24359.320974368064</v>
      </c>
      <c r="I21" s="80">
        <v>931.96547783403435</v>
      </c>
      <c r="J21" s="79">
        <v>24227.308231203511</v>
      </c>
      <c r="K21" s="80">
        <v>860.74049672833496</v>
      </c>
      <c r="L21" s="79">
        <v>24074.297127154532</v>
      </c>
      <c r="M21" s="80">
        <v>789.60637789413636</v>
      </c>
      <c r="N21" s="79">
        <v>23895.56772111644</v>
      </c>
      <c r="O21" s="80">
        <v>718.63493290723306</v>
      </c>
      <c r="P21" s="79">
        <v>23684.897622590943</v>
      </c>
      <c r="Q21" s="80">
        <v>647.92910535158501</v>
      </c>
      <c r="R21" s="79">
        <v>23433.932194954836</v>
      </c>
      <c r="S21" s="80">
        <v>577.63660841091598</v>
      </c>
      <c r="T21" s="79">
        <v>23131.2343641564</v>
      </c>
      <c r="U21" s="80">
        <v>507.97008441182356</v>
      </c>
      <c r="V21" s="79">
        <v>22760.818479614427</v>
      </c>
      <c r="W21" s="80">
        <v>439.23620120975147</v>
      </c>
      <c r="X21" s="79">
        <v>22299.831579890244</v>
      </c>
      <c r="Y21" s="80">
        <v>371.87760731277575</v>
      </c>
      <c r="Z21" s="79">
        <v>21714.88459858673</v>
      </c>
      <c r="AA21" s="80">
        <v>306.53120890906786</v>
      </c>
      <c r="AB21" s="79">
        <v>20956.214225610427</v>
      </c>
      <c r="AC21" s="80">
        <v>244.10233823536333</v>
      </c>
      <c r="AD21" s="79">
        <v>19948.760325948475</v>
      </c>
      <c r="AE21" s="80">
        <v>185.84185331189119</v>
      </c>
      <c r="AF21" s="79">
        <v>18579.880257588749</v>
      </c>
      <c r="AG21" s="80">
        <v>133.37571879874261</v>
      </c>
      <c r="AH21" s="79">
        <v>16687.330147763132</v>
      </c>
      <c r="AI21" s="80">
        <v>88.565198263069774</v>
      </c>
      <c r="AJ21" s="79">
        <v>14060.987648112798</v>
      </c>
      <c r="AK21" s="80">
        <v>53.023294145923231</v>
      </c>
      <c r="AL21" s="79">
        <v>10481.87453583872</v>
      </c>
      <c r="AM21" s="80">
        <v>27.30493249644422</v>
      </c>
      <c r="AN21" s="79">
        <v>5800.9108815316213</v>
      </c>
      <c r="AO21" s="80">
        <v>10.364889052563028</v>
      </c>
      <c r="AP21" s="79">
        <v>4728.5081385039439</v>
      </c>
      <c r="AQ21" s="80">
        <v>7.844599268597106</v>
      </c>
      <c r="AR21" s="79">
        <v>3611.4407746896459</v>
      </c>
      <c r="AS21" s="80">
        <v>5.5673495849765002</v>
      </c>
      <c r="AT21" s="79">
        <v>2450.4100670251723</v>
      </c>
      <c r="AU21" s="80">
        <v>3.5134281814422428</v>
      </c>
      <c r="AV21" s="79">
        <v>1246.2695446282469</v>
      </c>
      <c r="AW21" s="80">
        <v>1.6637344507935634</v>
      </c>
    </row>
    <row r="22" spans="2:49" x14ac:dyDescent="0.2">
      <c r="B22" s="39">
        <v>6533.604468832059</v>
      </c>
      <c r="C22" s="40">
        <v>379.90788307663331</v>
      </c>
      <c r="D22" s="39">
        <v>6497.5374281291815</v>
      </c>
      <c r="E22" s="40">
        <v>356.79514237295075</v>
      </c>
      <c r="F22" s="39">
        <v>6458.0195740147483</v>
      </c>
      <c r="G22" s="40">
        <v>333.83144449467812</v>
      </c>
      <c r="H22" s="39">
        <v>6414.4276069908065</v>
      </c>
      <c r="I22" s="40">
        <v>311.03805680264634</v>
      </c>
      <c r="J22" s="39">
        <v>6365.978057281488</v>
      </c>
      <c r="K22" s="40">
        <v>288.43898806435197</v>
      </c>
      <c r="L22" s="39">
        <v>6311.6758551791818</v>
      </c>
      <c r="M22" s="40">
        <v>266.06181955571856</v>
      </c>
      <c r="N22" s="39">
        <v>6250.2365805798854</v>
      </c>
      <c r="O22" s="40">
        <v>243.93790091749685</v>
      </c>
      <c r="P22" s="39">
        <v>6179.9779634004572</v>
      </c>
      <c r="Q22" s="40">
        <v>222.10317920943703</v>
      </c>
      <c r="R22" s="39">
        <v>6098.6575624259558</v>
      </c>
      <c r="S22" s="40">
        <v>200.5989148424689</v>
      </c>
      <c r="T22" s="39">
        <v>6003.2297000936014</v>
      </c>
      <c r="U22" s="40">
        <v>179.47276970535242</v>
      </c>
      <c r="V22" s="39">
        <v>5889.4742794728727</v>
      </c>
      <c r="W22" s="40">
        <v>158.78021558072166</v>
      </c>
      <c r="X22" s="39">
        <v>5751.4157925630025</v>
      </c>
      <c r="Y22" s="40">
        <v>138.5865510235449</v>
      </c>
      <c r="Z22" s="39">
        <v>5580.4183316407943</v>
      </c>
      <c r="AA22" s="40">
        <v>118.97040560710943</v>
      </c>
      <c r="AB22" s="39">
        <v>5363.7695028124681</v>
      </c>
      <c r="AC22" s="40">
        <v>100.02882918889473</v>
      </c>
      <c r="AD22" s="39">
        <v>5082.5732196038352</v>
      </c>
      <c r="AE22" s="40">
        <v>81.885637376603256</v>
      </c>
      <c r="AF22" s="39">
        <v>4708.9778970211546</v>
      </c>
      <c r="AG22" s="40">
        <v>64.702604020622715</v>
      </c>
      <c r="AH22" s="39">
        <v>4203.7847387450574</v>
      </c>
      <c r="AI22" s="40">
        <v>48.687608292362526</v>
      </c>
      <c r="AJ22" s="39">
        <v>3517.8451366578752</v>
      </c>
      <c r="AK22" s="40">
        <v>34.080700087311598</v>
      </c>
      <c r="AL22" s="39">
        <v>2602.5819934581759</v>
      </c>
      <c r="AM22" s="40">
        <v>21.087816736180461</v>
      </c>
      <c r="AN22" s="39">
        <v>1428.9346035766969</v>
      </c>
      <c r="AO22" s="40">
        <v>9.7724522587511018</v>
      </c>
      <c r="AP22" s="39">
        <v>1162.9167442302671</v>
      </c>
      <c r="AQ22" s="40">
        <v>7.7019310991497649</v>
      </c>
      <c r="AR22" s="39">
        <v>886.78050027361849</v>
      </c>
      <c r="AS22" s="40">
        <v>5.6916248093874531</v>
      </c>
      <c r="AT22" s="39">
        <v>600.74437599500766</v>
      </c>
      <c r="AU22" s="40">
        <v>3.7393980634849657</v>
      </c>
      <c r="AV22" s="39">
        <v>305.05883191110257</v>
      </c>
      <c r="AW22" s="40">
        <v>1.8429784958411932</v>
      </c>
    </row>
    <row r="23" spans="2:49" x14ac:dyDescent="0.2">
      <c r="B23" s="110">
        <v>3278.5018080150408</v>
      </c>
      <c r="C23" s="8">
        <v>0</v>
      </c>
      <c r="D23" s="110">
        <v>3269.3827161504018</v>
      </c>
      <c r="E23" s="8">
        <v>0</v>
      </c>
      <c r="F23" s="110">
        <v>3258.5473381355932</v>
      </c>
      <c r="G23" s="8">
        <v>0</v>
      </c>
      <c r="H23" s="110">
        <v>3245.6849116875615</v>
      </c>
      <c r="I23" s="8">
        <v>0</v>
      </c>
      <c r="J23" s="110">
        <v>3230.4032800912823</v>
      </c>
      <c r="K23" s="8">
        <v>0</v>
      </c>
      <c r="L23" s="110">
        <v>3212.203163177332</v>
      </c>
      <c r="M23" s="8">
        <v>0</v>
      </c>
      <c r="N23" s="110">
        <v>3190.4375616623201</v>
      </c>
      <c r="O23" s="8">
        <v>0</v>
      </c>
      <c r="P23" s="110">
        <v>3164.2558356416566</v>
      </c>
      <c r="Q23" s="8">
        <v>0</v>
      </c>
      <c r="R23" s="110">
        <v>3132.5190652830347</v>
      </c>
      <c r="S23" s="8">
        <v>0</v>
      </c>
      <c r="T23" s="110">
        <v>3093.6727341666565</v>
      </c>
      <c r="U23" s="8">
        <v>0</v>
      </c>
      <c r="V23" s="110">
        <v>3045.5507669851154</v>
      </c>
      <c r="W23" s="8">
        <v>0</v>
      </c>
      <c r="X23" s="110">
        <v>2985.0659244238564</v>
      </c>
      <c r="Y23" s="8">
        <v>0</v>
      </c>
      <c r="Z23" s="110">
        <v>2907.7214897950985</v>
      </c>
      <c r="AA23" s="8">
        <v>0</v>
      </c>
      <c r="AB23" s="110">
        <v>2806.8344354806977</v>
      </c>
      <c r="AC23" s="8">
        <v>0</v>
      </c>
      <c r="AD23" s="110">
        <v>2672.3496592629976</v>
      </c>
      <c r="AE23" s="8">
        <v>0</v>
      </c>
      <c r="AF23" s="110">
        <v>2489.2072934592316</v>
      </c>
      <c r="AG23" s="8">
        <v>0</v>
      </c>
      <c r="AH23" s="110">
        <v>2235.741880313356</v>
      </c>
      <c r="AI23" s="8">
        <v>0</v>
      </c>
      <c r="AJ23" s="110">
        <v>1883.9006654525379</v>
      </c>
      <c r="AK23" s="8">
        <v>0</v>
      </c>
      <c r="AL23" s="110">
        <v>1404.4171253780303</v>
      </c>
      <c r="AM23" s="8">
        <v>0</v>
      </c>
      <c r="AN23" s="110">
        <v>777.295996576074</v>
      </c>
      <c r="AO23" s="8">
        <v>0</v>
      </c>
      <c r="AP23" s="110">
        <v>633.61184750940481</v>
      </c>
      <c r="AQ23" s="8">
        <v>0</v>
      </c>
      <c r="AR23" s="110">
        <v>483.93745206533208</v>
      </c>
      <c r="AS23" s="8">
        <v>0</v>
      </c>
      <c r="AT23" s="110">
        <v>328.36564243294896</v>
      </c>
      <c r="AU23" s="8">
        <v>0</v>
      </c>
      <c r="AV23" s="110">
        <v>167.00969377832092</v>
      </c>
      <c r="AW23" s="8">
        <v>0</v>
      </c>
    </row>
    <row r="24" spans="2:49" x14ac:dyDescent="0.2">
      <c r="B24" s="93">
        <v>3196.3846373657216</v>
      </c>
      <c r="C24" s="8">
        <v>0</v>
      </c>
      <c r="D24" s="93">
        <v>3209.9688593516298</v>
      </c>
      <c r="E24" s="8">
        <v>0</v>
      </c>
      <c r="F24" s="93">
        <v>3222.0294383611867</v>
      </c>
      <c r="G24" s="8">
        <v>0</v>
      </c>
      <c r="H24" s="93">
        <v>3232.2717246830503</v>
      </c>
      <c r="I24" s="8">
        <v>0</v>
      </c>
      <c r="J24" s="93">
        <v>3240.3189225312335</v>
      </c>
      <c r="K24" s="8">
        <v>0</v>
      </c>
      <c r="L24" s="93">
        <v>3245.6855680812077</v>
      </c>
      <c r="M24" s="8">
        <v>0</v>
      </c>
      <c r="N24" s="93">
        <v>3247.7341460760563</v>
      </c>
      <c r="O24" s="8">
        <v>0</v>
      </c>
      <c r="P24" s="93">
        <v>3245.6152198197569</v>
      </c>
      <c r="Q24" s="8">
        <v>0</v>
      </c>
      <c r="R24" s="93">
        <v>3238.1754218084602</v>
      </c>
      <c r="S24" s="8">
        <v>0</v>
      </c>
      <c r="T24" s="93">
        <v>3223.8171503231779</v>
      </c>
      <c r="U24" s="8">
        <v>0</v>
      </c>
      <c r="V24" s="93">
        <v>3200.279331106753</v>
      </c>
      <c r="W24" s="8">
        <v>0</v>
      </c>
      <c r="X24" s="93">
        <v>3164.284281926371</v>
      </c>
      <c r="Y24" s="8">
        <v>0</v>
      </c>
      <c r="Z24" s="93">
        <v>3110.9670699485619</v>
      </c>
      <c r="AA24" s="8">
        <v>0</v>
      </c>
      <c r="AB24" s="93">
        <v>3032.9406289956341</v>
      </c>
      <c r="AC24" s="8">
        <v>0</v>
      </c>
      <c r="AD24" s="93">
        <v>2918.8056413807153</v>
      </c>
      <c r="AE24" s="8">
        <v>0</v>
      </c>
      <c r="AF24" s="93">
        <v>2750.9527911837508</v>
      </c>
      <c r="AG24" s="8">
        <v>0</v>
      </c>
      <c r="AH24" s="93">
        <v>2503.0390626325648</v>
      </c>
      <c r="AI24" s="8">
        <v>0</v>
      </c>
      <c r="AJ24" s="93">
        <v>2139.1286862203274</v>
      </c>
      <c r="AK24" s="8">
        <v>0</v>
      </c>
      <c r="AL24" s="93">
        <v>1618.7108858636989</v>
      </c>
      <c r="AM24" s="8">
        <v>0</v>
      </c>
      <c r="AN24" s="93">
        <v>909.53121503758814</v>
      </c>
      <c r="AO24" s="8">
        <v>0</v>
      </c>
      <c r="AP24" s="93">
        <v>743.60637922674334</v>
      </c>
      <c r="AQ24" s="8">
        <v>0</v>
      </c>
      <c r="AR24" s="93">
        <v>569.61852894965455</v>
      </c>
      <c r="AS24" s="8">
        <v>0</v>
      </c>
      <c r="AT24" s="93">
        <v>387.6251112901063</v>
      </c>
      <c r="AU24" s="8">
        <v>0</v>
      </c>
      <c r="AV24" s="93">
        <v>197.71405531128934</v>
      </c>
      <c r="AW24" s="8">
        <v>0</v>
      </c>
    </row>
    <row r="25" spans="2:49" x14ac:dyDescent="0.2">
      <c r="B25" s="39">
        <v>3195.0476040000012</v>
      </c>
      <c r="C25" s="40">
        <v>91.012690000004397</v>
      </c>
      <c r="D25" s="39">
        <v>3189.9058072454509</v>
      </c>
      <c r="E25" s="40">
        <v>82.507993245614344</v>
      </c>
      <c r="F25" s="39">
        <v>3183.2285535256988</v>
      </c>
      <c r="G25" s="40">
        <v>74.263900160207555</v>
      </c>
      <c r="H25" s="39">
        <v>3174.7296189136173</v>
      </c>
      <c r="I25" s="40">
        <v>66.301888668424581</v>
      </c>
      <c r="J25" s="39">
        <v>3164.0446356839093</v>
      </c>
      <c r="K25" s="40">
        <v>58.645524828484312</v>
      </c>
      <c r="L25" s="39">
        <v>3150.7052902720143</v>
      </c>
      <c r="M25" s="40">
        <v>51.320495269364599</v>
      </c>
      <c r="N25" s="39">
        <v>3134.0980161264438</v>
      </c>
      <c r="O25" s="40">
        <v>44.354962907469741</v>
      </c>
      <c r="P25" s="39">
        <v>3113.4064463346203</v>
      </c>
      <c r="Q25" s="40">
        <v>37.779638666104837</v>
      </c>
      <c r="R25" s="39">
        <v>3087.5234273403175</v>
      </c>
      <c r="S25" s="40">
        <v>31.62793228195028</v>
      </c>
      <c r="T25" s="39">
        <v>3054.9173939368939</v>
      </c>
      <c r="U25" s="40">
        <v>25.93591944933971</v>
      </c>
      <c r="V25" s="39">
        <v>3013.425049080719</v>
      </c>
      <c r="W25" s="40">
        <v>20.742013328038055</v>
      </c>
      <c r="X25" s="39">
        <v>2959.9224224441846</v>
      </c>
      <c r="Y25" s="40">
        <v>16.08630449538478</v>
      </c>
      <c r="Z25" s="39">
        <v>2889.8041677011479</v>
      </c>
      <c r="AA25" s="40">
        <v>12.008703886579063</v>
      </c>
      <c r="AB25" s="39">
        <v>2796.1579424511365</v>
      </c>
      <c r="AC25" s="40">
        <v>8.545789946926444</v>
      </c>
      <c r="AD25" s="39">
        <v>2668.5144608190976</v>
      </c>
      <c r="AE25" s="40">
        <v>5.7247212757219499</v>
      </c>
      <c r="AF25" s="39">
        <v>2491.1610203534883</v>
      </c>
      <c r="AG25" s="40">
        <v>3.5531150779015674</v>
      </c>
      <c r="AH25" s="39">
        <v>2241.5853762433235</v>
      </c>
      <c r="AI25" s="40">
        <v>2.004564491796109</v>
      </c>
      <c r="AJ25" s="39">
        <v>1890.9928694258615</v>
      </c>
      <c r="AK25" s="40">
        <v>1.0043436501686525</v>
      </c>
      <c r="AL25" s="39">
        <v>1410.0805293847459</v>
      </c>
      <c r="AM25" s="40">
        <v>0.4293422687605955</v>
      </c>
      <c r="AN25" s="39">
        <v>779.96722618068009</v>
      </c>
      <c r="AO25" s="40">
        <v>0.13560022059993612</v>
      </c>
      <c r="AP25" s="39">
        <v>635.66006248487781</v>
      </c>
      <c r="AQ25" s="40">
        <v>9.9039333025946863E-2</v>
      </c>
      <c r="AR25" s="39">
        <v>485.39223005199125</v>
      </c>
      <c r="AS25" s="40">
        <v>6.7868192084590731E-2</v>
      </c>
      <c r="AT25" s="39">
        <v>329.27185478519135</v>
      </c>
      <c r="AU25" s="40">
        <v>4.1380180599156081E-2</v>
      </c>
      <c r="AV25" s="39">
        <v>167.42656764993555</v>
      </c>
      <c r="AW25" s="40">
        <v>1.8943978048121129E-2</v>
      </c>
    </row>
    <row r="26" spans="2:49" x14ac:dyDescent="0.2">
      <c r="B26" s="31">
        <v>5036.2953101960647</v>
      </c>
      <c r="C26" s="32">
        <v>74.905331803938267</v>
      </c>
      <c r="D26" s="31">
        <v>5024.795452929372</v>
      </c>
      <c r="E26" s="32">
        <v>70.347910113431553</v>
      </c>
      <c r="F26" s="31">
        <v>5011.2653601290604</v>
      </c>
      <c r="G26" s="32">
        <v>65.793333241072546</v>
      </c>
      <c r="H26" s="31">
        <v>4995.2945185096532</v>
      </c>
      <c r="I26" s="32">
        <v>61.242331014708242</v>
      </c>
      <c r="J26" s="31">
        <v>4976.3559750423528</v>
      </c>
      <c r="K26" s="32">
        <v>56.696087847818028</v>
      </c>
      <c r="L26" s="31">
        <v>4953.7671109149278</v>
      </c>
      <c r="M26" s="32">
        <v>52.156310327233157</v>
      </c>
      <c r="N26" s="31">
        <v>4926.6272874993265</v>
      </c>
      <c r="O26" s="32">
        <v>47.625680027898383</v>
      </c>
      <c r="P26" s="31">
        <v>4893.7303352890704</v>
      </c>
      <c r="Q26" s="32">
        <v>43.10826300008074</v>
      </c>
      <c r="R26" s="31">
        <v>4853.4305153553823</v>
      </c>
      <c r="S26" s="32">
        <v>38.610299098065944</v>
      </c>
      <c r="T26" s="31">
        <v>4803.4378881307312</v>
      </c>
      <c r="U26" s="32">
        <v>34.141351652384266</v>
      </c>
      <c r="V26" s="31">
        <v>4740.4988981063307</v>
      </c>
      <c r="W26" s="32">
        <v>29.716050507968152</v>
      </c>
      <c r="X26" s="31">
        <v>4659.8849820705263</v>
      </c>
      <c r="Y26" s="32">
        <v>25.356889456451178</v>
      </c>
      <c r="Z26" s="31">
        <v>4554.5726926329153</v>
      </c>
      <c r="AA26" s="32">
        <v>21.098014920091298</v>
      </c>
      <c r="AB26" s="31">
        <v>4413.9206475575256</v>
      </c>
      <c r="AC26" s="32">
        <v>16.99083297873662</v>
      </c>
      <c r="AD26" s="31">
        <v>4221.6113738262338</v>
      </c>
      <c r="AE26" s="32">
        <v>13.110459225206712</v>
      </c>
      <c r="AF26" s="31">
        <v>3952.7426319161118</v>
      </c>
      <c r="AG26" s="32">
        <v>9.5604265791387615</v>
      </c>
      <c r="AH26" s="31">
        <v>3570.8062650863526</v>
      </c>
      <c r="AI26" s="32">
        <v>6.4677621633792244</v>
      </c>
      <c r="AJ26" s="31">
        <v>3027.5505367040196</v>
      </c>
      <c r="AK26" s="32">
        <v>3.9546644505276234</v>
      </c>
      <c r="AL26" s="31">
        <v>2271.2736351040949</v>
      </c>
      <c r="AM26" s="32">
        <v>2.0831999700239718</v>
      </c>
      <c r="AN26" s="31">
        <v>1264.7298185834447</v>
      </c>
      <c r="AO26" s="32">
        <v>0.8091142683340613</v>
      </c>
      <c r="AP26" s="31">
        <v>1032.1399307165739</v>
      </c>
      <c r="AQ26" s="32">
        <v>0.61512897585695248</v>
      </c>
      <c r="AR26" s="31">
        <v>789.22152887678851</v>
      </c>
      <c r="AS26" s="32">
        <v>0.43850078756503069</v>
      </c>
      <c r="AT26" s="31">
        <v>536.10733831289542</v>
      </c>
      <c r="AU26" s="32">
        <v>0.27794100685481754</v>
      </c>
      <c r="AV26" s="31">
        <v>272.96669356831404</v>
      </c>
      <c r="AW26" s="32">
        <v>0.1321831354584323</v>
      </c>
    </row>
    <row r="27" spans="2:49" x14ac:dyDescent="0.2">
      <c r="B27" s="33">
        <v>6425.1981590000414</v>
      </c>
      <c r="C27" s="34">
        <v>273.22915400000028</v>
      </c>
      <c r="D27" s="33">
        <v>6410.0342357935488</v>
      </c>
      <c r="E27" s="34">
        <v>256.5953815429757</v>
      </c>
      <c r="F27" s="33">
        <v>6392.1060838292988</v>
      </c>
      <c r="G27" s="34">
        <v>239.96995573152481</v>
      </c>
      <c r="H27" s="33">
        <v>6370.8844483887942</v>
      </c>
      <c r="I27" s="34">
        <v>223.35601600196969</v>
      </c>
      <c r="J27" s="33">
        <v>6345.6945106396979</v>
      </c>
      <c r="K27" s="34">
        <v>206.75861736052667</v>
      </c>
      <c r="L27" s="33">
        <v>6315.6673800186509</v>
      </c>
      <c r="M27" s="34">
        <v>190.18458393072413</v>
      </c>
      <c r="N27" s="33">
        <v>6279.663512097507</v>
      </c>
      <c r="O27" s="34">
        <v>173.64453745781762</v>
      </c>
      <c r="P27" s="33">
        <v>6236.1650725350319</v>
      </c>
      <c r="Q27" s="34">
        <v>157.15416736703182</v>
      </c>
      <c r="R27" s="33">
        <v>6183.1112645583371</v>
      </c>
      <c r="S27" s="34">
        <v>140.73720339225494</v>
      </c>
      <c r="T27" s="33">
        <v>6117.6467005359682</v>
      </c>
      <c r="U27" s="34">
        <v>124.42954732908021</v>
      </c>
      <c r="V27" s="33">
        <v>6035.7277560935745</v>
      </c>
      <c r="W27" s="34">
        <v>108.2855338846673</v>
      </c>
      <c r="X27" s="33">
        <v>5931.4904206257406</v>
      </c>
      <c r="Y27" s="34">
        <v>92.388300043490503</v>
      </c>
      <c r="Z27" s="33">
        <v>5796.2312758770877</v>
      </c>
      <c r="AA27" s="34">
        <v>76.862980152786932</v>
      </c>
      <c r="AB27" s="33">
        <v>5616.7495679739968</v>
      </c>
      <c r="AC27" s="34">
        <v>61.897268955227915</v>
      </c>
      <c r="AD27" s="33">
        <v>5372.7345701744744</v>
      </c>
      <c r="AE27" s="34">
        <v>47.764272043805796</v>
      </c>
      <c r="AF27" s="33">
        <v>5032.9918232748796</v>
      </c>
      <c r="AG27" s="34">
        <v>34.839161130450996</v>
      </c>
      <c r="AH27" s="33">
        <v>4551.3031680516315</v>
      </c>
      <c r="AI27" s="34">
        <v>23.58116887498436</v>
      </c>
      <c r="AJ27" s="33">
        <v>3865.5506813081711</v>
      </c>
      <c r="AK27" s="34">
        <v>14.43099324442681</v>
      </c>
      <c r="AL27" s="33">
        <v>2907.2736528027881</v>
      </c>
      <c r="AM27" s="34">
        <v>7.6114231924701219</v>
      </c>
      <c r="AN27" s="33">
        <v>1624.1046250971604</v>
      </c>
      <c r="AO27" s="34">
        <v>2.9610422735974775</v>
      </c>
      <c r="AP27" s="33">
        <v>1326.3613515434363</v>
      </c>
      <c r="AQ27" s="34">
        <v>2.2519278851575533</v>
      </c>
      <c r="AR27" s="33">
        <v>1014.9292574140464</v>
      </c>
      <c r="AS27" s="34">
        <v>1.6058886317123502</v>
      </c>
      <c r="AT27" s="33">
        <v>689.9341221228151</v>
      </c>
      <c r="AU27" s="34">
        <v>1.0182564027777576</v>
      </c>
      <c r="AV27" s="33">
        <v>351.55150139479611</v>
      </c>
      <c r="AW27" s="34">
        <v>0.4844426322250257</v>
      </c>
    </row>
    <row r="28" spans="2:49" x14ac:dyDescent="0.2">
      <c r="B28" s="39">
        <v>13763.097676000029</v>
      </c>
      <c r="C28" s="40">
        <v>382.36647899999997</v>
      </c>
      <c r="D28" s="39">
        <v>13731.178387723321</v>
      </c>
      <c r="E28" s="40">
        <v>359.09252717039226</v>
      </c>
      <c r="F28" s="39">
        <v>13693.536691001176</v>
      </c>
      <c r="G28" s="40">
        <v>335.83106574377797</v>
      </c>
      <c r="H28" s="39">
        <v>13649.045110408189</v>
      </c>
      <c r="I28" s="40">
        <v>312.5862967890186</v>
      </c>
      <c r="J28" s="39">
        <v>13596.260922005089</v>
      </c>
      <c r="K28" s="40">
        <v>289.36500031549218</v>
      </c>
      <c r="L28" s="39">
        <v>13533.320495688629</v>
      </c>
      <c r="M28" s="40">
        <v>266.17648631402955</v>
      </c>
      <c r="N28" s="39">
        <v>13457.771872827809</v>
      </c>
      <c r="O28" s="40">
        <v>243.03528329720896</v>
      </c>
      <c r="P28" s="39">
        <v>13366.339648432559</v>
      </c>
      <c r="Q28" s="40">
        <v>219.96300509924882</v>
      </c>
      <c r="R28" s="39">
        <v>13254.565047387265</v>
      </c>
      <c r="S28" s="40">
        <v>196.99247385342241</v>
      </c>
      <c r="T28" s="39">
        <v>13116.256224315142</v>
      </c>
      <c r="U28" s="40">
        <v>174.17352703114651</v>
      </c>
      <c r="V28" s="39">
        <v>12942.629352815868</v>
      </c>
      <c r="W28" s="40">
        <v>151.58181795946547</v>
      </c>
      <c r="X28" s="39">
        <v>12720.931559061719</v>
      </c>
      <c r="Y28" s="40">
        <v>129.33326147116574</v>
      </c>
      <c r="Z28" s="39">
        <v>12432.227554267323</v>
      </c>
      <c r="AA28" s="40">
        <v>107.60274770026784</v>
      </c>
      <c r="AB28" s="39">
        <v>12047.814136079094</v>
      </c>
      <c r="AC28" s="40">
        <v>86.652873809880305</v>
      </c>
      <c r="AD28" s="39">
        <v>11523.608418046904</v>
      </c>
      <c r="AE28" s="40">
        <v>66.866188635300119</v>
      </c>
      <c r="AF28" s="39">
        <v>10792.134320853502</v>
      </c>
      <c r="AG28" s="40">
        <v>48.768703836937071</v>
      </c>
      <c r="AH28" s="39">
        <v>9753.9765929072219</v>
      </c>
      <c r="AI28" s="40">
        <v>33.004715598190948</v>
      </c>
      <c r="AJ28" s="39">
        <v>8276.7000210462083</v>
      </c>
      <c r="AK28" s="40">
        <v>20.19295073328956</v>
      </c>
      <c r="AL28" s="39">
        <v>6216.4987259105665</v>
      </c>
      <c r="AM28" s="40">
        <v>10.646632734366415</v>
      </c>
      <c r="AN28" s="39">
        <v>3466.7587763992751</v>
      </c>
      <c r="AO28" s="40">
        <v>4.13989435982716</v>
      </c>
      <c r="AP28" s="39">
        <v>2830.1310958840659</v>
      </c>
      <c r="AQ28" s="40">
        <v>3.1481447288469973</v>
      </c>
      <c r="AR28" s="39">
        <v>2164.7706923135756</v>
      </c>
      <c r="AS28" s="40">
        <v>2.2447614793662471</v>
      </c>
      <c r="AT28" s="39">
        <v>1470.9981213182452</v>
      </c>
      <c r="AU28" s="40">
        <v>1.4231990194993007</v>
      </c>
      <c r="AV28" s="39">
        <v>749.2371621363344</v>
      </c>
      <c r="AW28" s="40">
        <v>0.67702360530687067</v>
      </c>
    </row>
    <row r="29" spans="2:49" x14ac:dyDescent="0.2">
      <c r="B29" s="33">
        <v>14362.768558000025</v>
      </c>
      <c r="C29" s="34">
        <v>817.26650999999993</v>
      </c>
      <c r="D29" s="33">
        <v>14314.417573803585</v>
      </c>
      <c r="E29" s="34">
        <v>762.42454625942264</v>
      </c>
      <c r="F29" s="33">
        <v>14258.947110085526</v>
      </c>
      <c r="G29" s="34">
        <v>707.94579009798338</v>
      </c>
      <c r="H29" s="33">
        <v>14195.048483601071</v>
      </c>
      <c r="I29" s="34">
        <v>653.87221179512187</v>
      </c>
      <c r="J29" s="33">
        <v>14121.06571977531</v>
      </c>
      <c r="K29" s="34">
        <v>600.25595992381841</v>
      </c>
      <c r="L29" s="33">
        <v>14034.883805268315</v>
      </c>
      <c r="M29" s="34">
        <v>547.16010284191225</v>
      </c>
      <c r="N29" s="33">
        <v>13933.752974382744</v>
      </c>
      <c r="O29" s="34">
        <v>494.66501235601447</v>
      </c>
      <c r="P29" s="33">
        <v>13814.044796817378</v>
      </c>
      <c r="Q29" s="34">
        <v>442.87310214014843</v>
      </c>
      <c r="R29" s="33">
        <v>13670.882474441005</v>
      </c>
      <c r="S29" s="34">
        <v>391.91801445051198</v>
      </c>
      <c r="T29" s="33">
        <v>13497.582717311989</v>
      </c>
      <c r="U29" s="34">
        <v>341.97679976239107</v>
      </c>
      <c r="V29" s="33">
        <v>13284.79404959141</v>
      </c>
      <c r="W29" s="34">
        <v>293.28710997241848</v>
      </c>
      <c r="X29" s="33">
        <v>13019.133445594975</v>
      </c>
      <c r="Y29" s="34">
        <v>246.17351758413642</v>
      </c>
      <c r="Z29" s="33">
        <v>12681.029236273778</v>
      </c>
      <c r="AA29" s="34">
        <v>201.07831821085713</v>
      </c>
      <c r="AB29" s="33">
        <v>12241.289665101713</v>
      </c>
      <c r="AC29" s="34">
        <v>158.60435711357019</v>
      </c>
      <c r="AD29" s="33">
        <v>11655.864098042161</v>
      </c>
      <c r="AE29" s="34">
        <v>119.552015574143</v>
      </c>
      <c r="AF29" s="33">
        <v>10858.644992641375</v>
      </c>
      <c r="AG29" s="34">
        <v>84.921243758256466</v>
      </c>
      <c r="AH29" s="33">
        <v>9754.4688976024008</v>
      </c>
      <c r="AI29" s="34">
        <v>55.804532140060473</v>
      </c>
      <c r="AJ29" s="33">
        <v>8220.2526550495004</v>
      </c>
      <c r="AK29" s="34">
        <v>33.069254004050428</v>
      </c>
      <c r="AL29" s="33">
        <v>6128.0445555799397</v>
      </c>
      <c r="AM29" s="34">
        <v>16.866639903073224</v>
      </c>
      <c r="AN29" s="33">
        <v>3391.2184449663964</v>
      </c>
      <c r="AO29" s="34">
        <v>6.348075842501907</v>
      </c>
      <c r="AP29" s="33">
        <v>2764.2381634451585</v>
      </c>
      <c r="AQ29" s="34">
        <v>4.7970265363401063</v>
      </c>
      <c r="AR29" s="33">
        <v>2111.1671373270024</v>
      </c>
      <c r="AS29" s="34">
        <v>3.3993527410576996</v>
      </c>
      <c r="AT29" s="33">
        <v>1432.4215901561411</v>
      </c>
      <c r="AU29" s="34">
        <v>2.1421410835820587</v>
      </c>
      <c r="AV29" s="33">
        <v>728.50631532883665</v>
      </c>
      <c r="AW29" s="34">
        <v>1.0129630691811404</v>
      </c>
    </row>
    <row r="30" spans="2:49" x14ac:dyDescent="0.2">
      <c r="B30" s="112">
        <v>2924829.9599999995</v>
      </c>
      <c r="D30" s="112">
        <v>2952420.2684652307</v>
      </c>
      <c r="F30" s="112">
        <v>2978644.6653144313</v>
      </c>
      <c r="H30" s="112">
        <v>3003235.296933854</v>
      </c>
      <c r="J30" s="112">
        <v>3025848.0590985478</v>
      </c>
      <c r="L30" s="112">
        <v>3046035.3545177891</v>
      </c>
      <c r="N30" s="112">
        <v>3063206.1895831251</v>
      </c>
      <c r="P30" s="112">
        <v>3076567.8142914786</v>
      </c>
      <c r="R30" s="112">
        <v>3085037.404532616</v>
      </c>
      <c r="T30" s="112">
        <v>3087105.7893793131</v>
      </c>
      <c r="V30" s="112">
        <v>3080622.9130448522</v>
      </c>
      <c r="X30" s="112">
        <v>3062449.0260061985</v>
      </c>
      <c r="Z30" s="112">
        <v>3027881.187490399</v>
      </c>
      <c r="AB30" s="112">
        <v>2969695.5729244407</v>
      </c>
      <c r="AD30" s="112">
        <v>2876574.3438596176</v>
      </c>
      <c r="AF30" s="112">
        <v>2730682.3503550445</v>
      </c>
      <c r="AH30" s="112">
        <v>2504626.3426100817</v>
      </c>
      <c r="AJ30" s="112">
        <v>2159712.1432793741</v>
      </c>
      <c r="AL30" s="112">
        <v>1650154.6214330909</v>
      </c>
      <c r="AN30" s="112">
        <v>936421.63194270153</v>
      </c>
      <c r="AP30" s="112">
        <v>767089.18047446967</v>
      </c>
      <c r="AR30" s="112">
        <v>588745.45086276648</v>
      </c>
      <c r="AT30" s="112">
        <v>401408.15830871521</v>
      </c>
      <c r="AV30" s="112">
        <v>205131.02060546921</v>
      </c>
    </row>
    <row r="31" spans="2:49" x14ac:dyDescent="0.2">
      <c r="B31" s="77">
        <v>0.999999999999998</v>
      </c>
      <c r="D31" s="77">
        <v>0.99140039521925905</v>
      </c>
      <c r="F31" s="77">
        <v>0.98217927498423141</v>
      </c>
      <c r="H31" s="77">
        <v>0.97223855897960954</v>
      </c>
      <c r="J31" s="77">
        <v>0.96145667236898635</v>
      </c>
      <c r="L31" s="77">
        <v>0.94968137950459874</v>
      </c>
      <c r="N31" s="77">
        <v>0.93671886642287672</v>
      </c>
      <c r="P31" s="77">
        <v>0.92231874503094657</v>
      </c>
      <c r="R31" s="77">
        <v>0.90615171650176596</v>
      </c>
      <c r="T31" s="77">
        <v>0.88777642695936043</v>
      </c>
      <c r="V31" s="77">
        <v>0.86658926649098023</v>
      </c>
      <c r="X31" s="77">
        <v>0.84174648287509546</v>
      </c>
      <c r="Z31" s="77">
        <v>0.81204430452636944</v>
      </c>
      <c r="AB31" s="77">
        <v>0.7757336457248214</v>
      </c>
      <c r="AD31" s="77">
        <v>0.73024950184020987</v>
      </c>
      <c r="AF31" s="77">
        <v>0.67186569141357211</v>
      </c>
      <c r="AH31" s="77">
        <v>0.59542332071595427</v>
      </c>
      <c r="AJ31" s="77">
        <v>0.49458455733621587</v>
      </c>
      <c r="AL31" s="77">
        <v>0.36327460523545752</v>
      </c>
      <c r="AN31" s="77">
        <v>0.19813066266240398</v>
      </c>
      <c r="AP31" s="77">
        <v>0.16104579571141847</v>
      </c>
      <c r="AR31" s="77">
        <v>0.12265717387870916</v>
      </c>
      <c r="AT31" s="77">
        <v>8.29960696265402E-2</v>
      </c>
      <c r="AV31" s="77">
        <v>4.2097619679436871E-2</v>
      </c>
    </row>
    <row r="32" spans="2:49" x14ac:dyDescent="0.2">
      <c r="B32" s="83">
        <v>14734457.915000005</v>
      </c>
      <c r="D32" s="83">
        <v>14680113.856516331</v>
      </c>
      <c r="F32" s="83">
        <v>14617958.994054239</v>
      </c>
      <c r="H32" s="83">
        <v>14546587.166828675</v>
      </c>
      <c r="J32" s="83">
        <v>14464228.994964525</v>
      </c>
      <c r="L32" s="83">
        <v>14368638.521273656</v>
      </c>
      <c r="N32" s="83">
        <v>14256916.14177599</v>
      </c>
      <c r="P32" s="83">
        <v>14125265.083131257</v>
      </c>
      <c r="R32" s="83">
        <v>13968624.565230539</v>
      </c>
      <c r="T32" s="83">
        <v>13780119.732799288</v>
      </c>
      <c r="V32" s="83">
        <v>13550217.193486217</v>
      </c>
      <c r="X32" s="83">
        <v>13265392.694895511</v>
      </c>
      <c r="Z32" s="83">
        <v>12906029.897098009</v>
      </c>
      <c r="AB32" s="83">
        <v>12443070.720930897</v>
      </c>
      <c r="AD32" s="83">
        <v>11832877.260605011</v>
      </c>
      <c r="AF32" s="83">
        <v>11010085.441752076</v>
      </c>
      <c r="AH32" s="83">
        <v>9880406.4670618661</v>
      </c>
      <c r="AJ32" s="83">
        <v>8321008.9524369128</v>
      </c>
      <c r="AL32" s="83">
        <v>6202306.5733176703</v>
      </c>
      <c r="AN32" s="83">
        <v>3433587.2970709433</v>
      </c>
      <c r="AP32" s="83">
        <v>2799122.2584827524</v>
      </c>
      <c r="AR32" s="83">
        <v>2138104.6291921502</v>
      </c>
      <c r="AT32" s="83">
        <v>1450916.1021587052</v>
      </c>
      <c r="AV32" s="83">
        <v>738030.62261144444</v>
      </c>
    </row>
    <row r="33" spans="1:49 16319:16384" x14ac:dyDescent="0.2">
      <c r="B33" s="111">
        <v>7019665.6909999885</v>
      </c>
      <c r="D33" s="111">
        <v>6970963.8254978629</v>
      </c>
      <c r="F33" s="111">
        <v>6918431.1693639932</v>
      </c>
      <c r="H33" s="111">
        <v>6861390.686460685</v>
      </c>
      <c r="J33" s="111">
        <v>6798995.8330579838</v>
      </c>
      <c r="L33" s="111">
        <v>6730177.23666918</v>
      </c>
      <c r="N33" s="111">
        <v>6653562.8703231979</v>
      </c>
      <c r="P33" s="111">
        <v>6567367.050167419</v>
      </c>
      <c r="R33" s="111">
        <v>6469225.3066739254</v>
      </c>
      <c r="T33" s="111">
        <v>6355948.2376909275</v>
      </c>
      <c r="V33" s="111">
        <v>6223147.0992410798</v>
      </c>
      <c r="X33" s="111">
        <v>6064649.4364492232</v>
      </c>
      <c r="Z33" s="111">
        <v>5871590.6922019497</v>
      </c>
      <c r="AB33" s="111">
        <v>5630992.6664810423</v>
      </c>
      <c r="AD33" s="111">
        <v>5323643.769278476</v>
      </c>
      <c r="AF33" s="111">
        <v>4921293.1965383505</v>
      </c>
      <c r="AH33" s="111">
        <v>4384177.9638630003</v>
      </c>
      <c r="AJ33" s="111">
        <v>3662286.7061377848</v>
      </c>
      <c r="AL33" s="111">
        <v>2705807.9246099754</v>
      </c>
      <c r="AN33" s="111">
        <v>1484320.0953968512</v>
      </c>
      <c r="AP33" s="111">
        <v>1207844.4039805115</v>
      </c>
      <c r="AR33" s="111">
        <v>920942.08444594126</v>
      </c>
      <c r="AT33" s="111">
        <v>623829.53816579061</v>
      </c>
      <c r="AV33" s="111">
        <v>316756.56368093367</v>
      </c>
    </row>
    <row r="34" spans="1:49 16319:16384" x14ac:dyDescent="0.2">
      <c r="B34" s="111">
        <v>1136879.4410000162</v>
      </c>
      <c r="D34" s="111">
        <v>1132686.3393090356</v>
      </c>
      <c r="F34" s="111">
        <v>1127890.5500899795</v>
      </c>
      <c r="H34" s="111">
        <v>1122383.7326652089</v>
      </c>
      <c r="J34" s="111">
        <v>1116029.1224940615</v>
      </c>
      <c r="L34" s="111">
        <v>1108653.5943828307</v>
      </c>
      <c r="N34" s="111">
        <v>1100033.3343261494</v>
      </c>
      <c r="P34" s="111">
        <v>1089875.4201135966</v>
      </c>
      <c r="R34" s="111">
        <v>1077789.3507467301</v>
      </c>
      <c r="T34" s="111">
        <v>1063244.7226148406</v>
      </c>
      <c r="V34" s="111">
        <v>1045505.9519038049</v>
      </c>
      <c r="X34" s="111">
        <v>1023529.4963179396</v>
      </c>
      <c r="Z34" s="111">
        <v>995801.82288398244</v>
      </c>
      <c r="AB34" s="111">
        <v>960080.8200424558</v>
      </c>
      <c r="AD34" s="111">
        <v>912999.66193574737</v>
      </c>
      <c r="AF34" s="111">
        <v>849514.78228362906</v>
      </c>
      <c r="AH34" s="111">
        <v>762351.15154032176</v>
      </c>
      <c r="AJ34" s="111">
        <v>642031.36552502343</v>
      </c>
      <c r="AL34" s="111">
        <v>478556.78635196155</v>
      </c>
      <c r="AN34" s="111">
        <v>264928.29552042426</v>
      </c>
      <c r="AP34" s="111">
        <v>215974.3184399695</v>
      </c>
      <c r="AR34" s="111">
        <v>164971.60814259615</v>
      </c>
      <c r="AT34" s="111">
        <v>111949.60388475147</v>
      </c>
      <c r="AV34" s="111">
        <v>56944.871482356481</v>
      </c>
    </row>
    <row r="35" spans="1:49 16319:16384" x14ac:dyDescent="0.2">
      <c r="B35" s="192">
        <v>1</v>
      </c>
      <c r="D35" s="192">
        <v>1.0016771930109636</v>
      </c>
      <c r="F35" s="192">
        <v>1.0034703145506654</v>
      </c>
      <c r="H35" s="192">
        <v>1.0053977243864483</v>
      </c>
      <c r="J35" s="192">
        <v>1.0074822501007858</v>
      </c>
      <c r="L35" s="192">
        <v>1.0097525003207908</v>
      </c>
      <c r="N35" s="192">
        <v>1.012244861572223</v>
      </c>
      <c r="P35" s="192">
        <v>1.0150061536735662</v>
      </c>
      <c r="R35" s="192">
        <v>1.0180974551806223</v>
      </c>
      <c r="T35" s="192">
        <v>1.0215995106815143</v>
      </c>
      <c r="V35" s="192">
        <v>1.0256204592484699</v>
      </c>
      <c r="X35" s="192">
        <v>1.0303067429274044</v>
      </c>
      <c r="Z35" s="192">
        <v>1.0358578463388244</v>
      </c>
      <c r="AB35" s="192">
        <v>1.0425445662536066</v>
      </c>
      <c r="AD35" s="192">
        <v>1.0507255796390831</v>
      </c>
      <c r="AF35" s="192">
        <v>1.060844522575249</v>
      </c>
      <c r="AH35" s="192">
        <v>1.0733645067559368</v>
      </c>
      <c r="AJ35" s="192">
        <v>1.0885775357299756</v>
      </c>
      <c r="AL35" s="192">
        <v>1.1063038483886909</v>
      </c>
      <c r="AN35" s="192">
        <v>1.1257306002811305</v>
      </c>
      <c r="AP35" s="192">
        <v>1.1297169005819656</v>
      </c>
      <c r="AR35" s="192">
        <v>1.133713991995734</v>
      </c>
      <c r="AT35" s="192">
        <v>1.13771274913651</v>
      </c>
      <c r="AV35" s="192">
        <v>1.1417046238044615</v>
      </c>
    </row>
    <row r="36" spans="1:49 16319:16384" x14ac:dyDescent="0.2">
      <c r="B36" s="35">
        <v>0.47195767671988198</v>
      </c>
      <c r="C36" s="36">
        <v>0.31738834428178964</v>
      </c>
      <c r="D36" s="35">
        <v>0.47197185366477645</v>
      </c>
      <c r="E36" s="36">
        <v>0.31924223936436691</v>
      </c>
      <c r="F36" s="35">
        <v>0.47198636150743795</v>
      </c>
      <c r="G36" s="36">
        <v>0.32125857275527581</v>
      </c>
      <c r="H36" s="35">
        <v>0.47200124573226609</v>
      </c>
      <c r="I36" s="36">
        <v>0.32345995681829642</v>
      </c>
      <c r="J36" s="35">
        <v>0.47201656093048688</v>
      </c>
      <c r="K36" s="36">
        <v>0.32587335808336354</v>
      </c>
      <c r="L36" s="35">
        <v>0.47203236874366289</v>
      </c>
      <c r="M36" s="36">
        <v>0.32853112523788647</v>
      </c>
      <c r="N36" s="35">
        <v>0.47204873989357965</v>
      </c>
      <c r="O36" s="36">
        <v>0.33147238290171421</v>
      </c>
      <c r="P36" s="35">
        <v>0.47206575115881627</v>
      </c>
      <c r="Q36" s="36">
        <v>0.33474478597554602</v>
      </c>
      <c r="R36" s="35">
        <v>0.47208348162303043</v>
      </c>
      <c r="S36" s="36">
        <v>0.33840681968479502</v>
      </c>
      <c r="T36" s="35">
        <v>0.47210200291653559</v>
      </c>
      <c r="U36" s="36">
        <v>0.34253073571453307</v>
      </c>
      <c r="V36" s="35">
        <v>0.47212135990669996</v>
      </c>
      <c r="W36" s="36">
        <v>0.34720625771691871</v>
      </c>
      <c r="X36" s="35">
        <v>0.47214153820239596</v>
      </c>
      <c r="Y36" s="36">
        <v>0.35254496848405403</v>
      </c>
      <c r="Z36" s="35">
        <v>0.47216240004022997</v>
      </c>
      <c r="AA36" s="36">
        <v>0.35868470413751358</v>
      </c>
      <c r="AB36" s="35">
        <v>0.47218358573294278</v>
      </c>
      <c r="AC36" s="36">
        <v>0.36579197778631267</v>
      </c>
      <c r="AD36" s="35">
        <v>0.47220435989149084</v>
      </c>
      <c r="AE36" s="36">
        <v>0.3740565945242485</v>
      </c>
      <c r="AF36" s="35">
        <v>0.4722234401249622</v>
      </c>
      <c r="AG36" s="36">
        <v>0.38366531846923718</v>
      </c>
      <c r="AH36" s="35">
        <v>0.47223892947839791</v>
      </c>
      <c r="AI36" s="36">
        <v>0.39473243282247367</v>
      </c>
      <c r="AJ36" s="35">
        <v>0.47224866028314355</v>
      </c>
      <c r="AK36" s="36">
        <v>0.4071719541410308</v>
      </c>
      <c r="AL36" s="35">
        <v>0.47225118625991802</v>
      </c>
      <c r="AM36" s="36">
        <v>0.42056704303204762</v>
      </c>
      <c r="AN36" s="35">
        <v>0.47224684985767573</v>
      </c>
      <c r="AO36" s="36">
        <v>0.43420055456927936</v>
      </c>
      <c r="AP36" s="35">
        <v>0.47224532075039216</v>
      </c>
      <c r="AQ36" s="36">
        <v>0.43688673234774456</v>
      </c>
      <c r="AR36" s="35">
        <v>0.47224361782081214</v>
      </c>
      <c r="AS36" s="36">
        <v>0.43954645259179637</v>
      </c>
      <c r="AT36" s="35">
        <v>0.4722417620429899</v>
      </c>
      <c r="AU36" s="36">
        <v>0.44217511993198355</v>
      </c>
      <c r="AV36" s="35">
        <v>0.47223977395656092</v>
      </c>
      <c r="AW36" s="36">
        <v>0.44476869218856518</v>
      </c>
    </row>
    <row r="37" spans="1:49 16319:16384" x14ac:dyDescent="0.2">
      <c r="B37" s="37">
        <v>2.1403217525954466E-2</v>
      </c>
      <c r="C37" s="38">
        <v>0.3496246130199252</v>
      </c>
      <c r="D37" s="37">
        <v>2.0899145667689439E-2</v>
      </c>
      <c r="E37" s="38">
        <v>0.34664160957239615</v>
      </c>
      <c r="F37" s="37">
        <v>2.0379815463792268E-2</v>
      </c>
      <c r="G37" s="38">
        <v>0.34355380755804626</v>
      </c>
      <c r="H37" s="37">
        <v>1.9844246583485329E-2</v>
      </c>
      <c r="I37" s="38">
        <v>0.34035417596344103</v>
      </c>
      <c r="J37" s="37">
        <v>1.9291371517374142E-2</v>
      </c>
      <c r="K37" s="38">
        <v>0.33703507381812425</v>
      </c>
      <c r="L37" s="37">
        <v>1.872003823013426E-2</v>
      </c>
      <c r="M37" s="38">
        <v>0.33358827005875141</v>
      </c>
      <c r="N37" s="37">
        <v>1.8129001587028806E-2</v>
      </c>
      <c r="O37" s="38">
        <v>0.33000490253678894</v>
      </c>
      <c r="P37" s="37">
        <v>1.7516930265435795E-2</v>
      </c>
      <c r="Q37" s="38">
        <v>0.32627554116113616</v>
      </c>
      <c r="R37" s="37">
        <v>1.6882419464383264E-2</v>
      </c>
      <c r="S37" s="38">
        <v>0.32239030299864679</v>
      </c>
      <c r="T37" s="37">
        <v>1.6224028285778892E-2</v>
      </c>
      <c r="U37" s="38">
        <v>0.31833914375365985</v>
      </c>
      <c r="V37" s="37">
        <v>1.5540355742096928E-2</v>
      </c>
      <c r="W37" s="38">
        <v>0.31411242657867872</v>
      </c>
      <c r="X37" s="37">
        <v>1.4830198946616746E-2</v>
      </c>
      <c r="Y37" s="38">
        <v>0.30970205830970859</v>
      </c>
      <c r="Z37" s="37">
        <v>1.4092878153237587E-2</v>
      </c>
      <c r="AA37" s="38">
        <v>0.30510375233411274</v>
      </c>
      <c r="AB37" s="37">
        <v>1.3328859164716007E-2</v>
      </c>
      <c r="AC37" s="38">
        <v>0.30032127499655087</v>
      </c>
      <c r="AD37" s="37">
        <v>1.2540946263663652E-2</v>
      </c>
      <c r="AE37" s="38">
        <v>0.29537442201086256</v>
      </c>
      <c r="AF37" s="37">
        <v>1.1736387448827549E-2</v>
      </c>
      <c r="AG37" s="38">
        <v>0.29031284231784105</v>
      </c>
      <c r="AH37" s="37">
        <v>1.0929921016758494E-2</v>
      </c>
      <c r="AI37" s="38">
        <v>0.28523563355432613</v>
      </c>
      <c r="AJ37" s="37">
        <v>1.0146356798511199E-2</v>
      </c>
      <c r="AK37" s="38">
        <v>0.28030711723344359</v>
      </c>
      <c r="AL37" s="37">
        <v>9.4183738623186703E-3</v>
      </c>
      <c r="AM37" s="38">
        <v>0.27574067866254193</v>
      </c>
      <c r="AN37" s="37">
        <v>8.7759162930248248E-3</v>
      </c>
      <c r="AO37" s="38">
        <v>0.27172853084536686</v>
      </c>
      <c r="AP37" s="37">
        <v>8.6593127427092281E-3</v>
      </c>
      <c r="AQ37" s="38">
        <v>0.27100277439171272</v>
      </c>
      <c r="AR37" s="37">
        <v>8.5467930959089947E-3</v>
      </c>
      <c r="AS37" s="38">
        <v>0.27030326881612826</v>
      </c>
      <c r="AT37" s="37">
        <v>8.4383466952017375E-3</v>
      </c>
      <c r="AU37" s="38">
        <v>0.26962990686533078</v>
      </c>
      <c r="AV37" s="37">
        <v>8.3339359976064321E-3</v>
      </c>
      <c r="AW37" s="38">
        <v>0.26898240927297107</v>
      </c>
    </row>
    <row r="38" spans="1:49 16319:16384" x14ac:dyDescent="0.2">
      <c r="B38" s="35">
        <v>0.18079094942242827</v>
      </c>
      <c r="C38" s="36">
        <v>6.0565413429233668E-2</v>
      </c>
      <c r="D38" s="35">
        <v>0.180982354587509</v>
      </c>
      <c r="E38" s="36">
        <v>6.0800290054669151E-2</v>
      </c>
      <c r="F38" s="35">
        <v>0.18119201610432745</v>
      </c>
      <c r="G38" s="36">
        <v>6.1056443282662687E-2</v>
      </c>
      <c r="H38" s="35">
        <v>0.18142227086911927</v>
      </c>
      <c r="I38" s="36">
        <v>6.1336878415207713E-2</v>
      </c>
      <c r="J38" s="35">
        <v>0.18167586721750514</v>
      </c>
      <c r="K38" s="36">
        <v>6.1645145006381394E-2</v>
      </c>
      <c r="L38" s="35">
        <v>0.18195605703874229</v>
      </c>
      <c r="M38" s="36">
        <v>6.1985551369269379E-2</v>
      </c>
      <c r="N38" s="35">
        <v>0.1822667079428209</v>
      </c>
      <c r="O38" s="36">
        <v>6.2363277061546554E-2</v>
      </c>
      <c r="P38" s="35">
        <v>0.18261244496006881</v>
      </c>
      <c r="Q38" s="36">
        <v>6.278465423195663E-2</v>
      </c>
      <c r="R38" s="35">
        <v>0.18299882361544062</v>
      </c>
      <c r="S38" s="36">
        <v>6.3257453002082631E-2</v>
      </c>
      <c r="T38" s="35">
        <v>0.18343253674479082</v>
      </c>
      <c r="U38" s="36">
        <v>6.3791284413202365E-2</v>
      </c>
      <c r="V38" s="35">
        <v>0.18392165228720417</v>
      </c>
      <c r="W38" s="36">
        <v>6.4398119042958418E-2</v>
      </c>
      <c r="X38" s="35">
        <v>0.18447584110397869</v>
      </c>
      <c r="Y38" s="36">
        <v>6.5092765066898928E-2</v>
      </c>
      <c r="Z38" s="35">
        <v>0.18510650280936231</v>
      </c>
      <c r="AA38" s="36">
        <v>6.589363898959423E-2</v>
      </c>
      <c r="AB38" s="35">
        <v>0.18582655431023026</v>
      </c>
      <c r="AC38" s="36">
        <v>6.6822909514091783E-2</v>
      </c>
      <c r="AD38" s="35">
        <v>0.18664933324728566</v>
      </c>
      <c r="AE38" s="36">
        <v>6.7905884150766135E-2</v>
      </c>
      <c r="AF38" s="35">
        <v>0.18758549708598973</v>
      </c>
      <c r="AG38" s="36">
        <v>6.916758029772474E-2</v>
      </c>
      <c r="AH38" s="35">
        <v>0.18863651940277665</v>
      </c>
      <c r="AI38" s="36">
        <v>7.0623393238922985E-2</v>
      </c>
      <c r="AJ38" s="35">
        <v>0.18978462766342813</v>
      </c>
      <c r="AK38" s="36">
        <v>7.2262326420616946E-2</v>
      </c>
      <c r="AL38" s="35">
        <v>0.19098540644595627</v>
      </c>
      <c r="AM38" s="36">
        <v>7.4029670819493701E-2</v>
      </c>
      <c r="AN38" s="35">
        <v>0.19217564034461979</v>
      </c>
      <c r="AO38" s="36">
        <v>7.5830977747656694E-2</v>
      </c>
      <c r="AP38" s="35">
        <v>0.19240695784563111</v>
      </c>
      <c r="AQ38" s="36">
        <v>7.6186184947553054E-2</v>
      </c>
      <c r="AR38" s="35">
        <v>0.1926350960896637</v>
      </c>
      <c r="AS38" s="36">
        <v>7.6538005799580366E-2</v>
      </c>
      <c r="AT38" s="35">
        <v>0.19285974452591723</v>
      </c>
      <c r="AU38" s="36">
        <v>7.6885824293946803E-2</v>
      </c>
      <c r="AV38" s="35">
        <v>0.19308064062452054</v>
      </c>
      <c r="AW38" s="36">
        <v>7.7229090697893285E-2</v>
      </c>
    </row>
    <row r="39" spans="1:49 16319:16384" x14ac:dyDescent="0.2">
      <c r="B39" s="37">
        <v>0.23064923795098771</v>
      </c>
      <c r="C39" s="38">
        <v>0.22092201281804777</v>
      </c>
      <c r="D39" s="37">
        <v>0.23087568436325892</v>
      </c>
      <c r="E39" s="38">
        <v>0.22177025016586388</v>
      </c>
      <c r="F39" s="37">
        <v>0.23111898996542848</v>
      </c>
      <c r="G39" s="38">
        <v>0.22269295793207133</v>
      </c>
      <c r="H39" s="37">
        <v>0.23138181738607286</v>
      </c>
      <c r="I39" s="38">
        <v>0.22370083845318947</v>
      </c>
      <c r="J39" s="37">
        <v>0.23166742071903673</v>
      </c>
      <c r="K39" s="38">
        <v>0.22480678001487742</v>
      </c>
      <c r="L39" s="37">
        <v>0.23197980613669844</v>
      </c>
      <c r="M39" s="38">
        <v>0.22602627031931005</v>
      </c>
      <c r="N39" s="37">
        <v>0.23232396699520405</v>
      </c>
      <c r="O39" s="38">
        <v>0.22737822102198843</v>
      </c>
      <c r="P39" s="37">
        <v>0.23270619201434575</v>
      </c>
      <c r="Q39" s="38">
        <v>0.22888581846203485</v>
      </c>
      <c r="R39" s="37">
        <v>0.23313449819002985</v>
      </c>
      <c r="S39" s="38">
        <v>0.23057777943181126</v>
      </c>
      <c r="T39" s="37">
        <v>0.23361922841983693</v>
      </c>
      <c r="U39" s="38">
        <v>0.23248993548622618</v>
      </c>
      <c r="V39" s="37">
        <v>0.23417388032721986</v>
      </c>
      <c r="W39" s="38">
        <v>0.234667278542458</v>
      </c>
      <c r="X39" s="37">
        <v>0.23481624300927115</v>
      </c>
      <c r="Y39" s="38">
        <v>0.23716670453564212</v>
      </c>
      <c r="Z39" s="37">
        <v>0.23556987084371692</v>
      </c>
      <c r="AA39" s="38">
        <v>0.24005962101339587</v>
      </c>
      <c r="AB39" s="37">
        <v>0.23646578676434607</v>
      </c>
      <c r="AC39" s="38">
        <v>0.24343453953910552</v>
      </c>
      <c r="AD39" s="37">
        <v>0.23754373305300477</v>
      </c>
      <c r="AE39" s="38">
        <v>0.24739599645116278</v>
      </c>
      <c r="AF39" s="37">
        <v>0.23885093488646264</v>
      </c>
      <c r="AG39" s="38">
        <v>0.2520536562933281</v>
      </c>
      <c r="AH39" s="37">
        <v>0.24043365129116812</v>
      </c>
      <c r="AI39" s="38">
        <v>0.25748970361355339</v>
      </c>
      <c r="AJ39" s="37">
        <v>0.24231539254992882</v>
      </c>
      <c r="AK39" s="38">
        <v>0.2636929523219998</v>
      </c>
      <c r="AL39" s="37">
        <v>0.24446496963132885</v>
      </c>
      <c r="AM39" s="38">
        <v>0.27048346846891469</v>
      </c>
      <c r="AN39" s="37">
        <v>0.2467826263986459</v>
      </c>
      <c r="AO39" s="38">
        <v>0.27751176755461088</v>
      </c>
      <c r="AP39" s="37">
        <v>0.24725441295282141</v>
      </c>
      <c r="AQ39" s="38">
        <v>0.27891027911366478</v>
      </c>
      <c r="AR39" s="37">
        <v>0.24772638336971747</v>
      </c>
      <c r="AS39" s="38">
        <v>0.28029941312078477</v>
      </c>
      <c r="AT39" s="37">
        <v>0.2481975325147652</v>
      </c>
      <c r="AU39" s="38">
        <v>0.28167661820067991</v>
      </c>
      <c r="AV39" s="37">
        <v>0.24866692787496367</v>
      </c>
      <c r="AW39" s="38">
        <v>0.2830396166067492</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6.3949949727450092E-2</v>
      </c>
      <c r="E42" s="126"/>
      <c r="F42" s="167">
        <f>6.1%+(1-6.1%)*(1-SUM(F26:G26)/SUM($B$26:$C$26))</f>
        <v>6.727235986394467E-2</v>
      </c>
      <c r="G42" s="126"/>
      <c r="H42" s="167">
        <f>6.1%+(1-6.1%)*(1-SUM(H26:I26)/SUM($B$26:$C$26))</f>
        <v>7.1042513438592622E-2</v>
      </c>
      <c r="I42" s="126"/>
      <c r="J42" s="167">
        <f>6.1%+(1-6.1%)*(1-SUM(J26:K26)/SUM($B$26:$C$26))</f>
        <v>7.5357001597851414E-2</v>
      </c>
      <c r="K42" s="126"/>
      <c r="L42" s="167">
        <f>6.1%+(1-6.1%)*(1-SUM(L26:M26)/SUM($B$26:$C$26))</f>
        <v>8.0340917568231529E-2</v>
      </c>
      <c r="M42" s="126"/>
      <c r="N42" s="167">
        <f>6.1%+(1-6.1%)*(1-SUM(N26:O26)/SUM($B$26:$C$26))</f>
        <v>8.6159228787313108E-2</v>
      </c>
      <c r="O42" s="126"/>
      <c r="P42" s="167">
        <f>6.1%+(1-6.1%)*(1-SUM(P26:Q26)/SUM($B$26:$C$26))</f>
        <v>9.3032778697653445E-2</v>
      </c>
      <c r="Q42" s="126"/>
      <c r="R42" s="167">
        <f>6.1%+(1-6.1%)*(1-SUM(R26:S26)/SUM($B$26:$C$26))</f>
        <v>0.10126276651618378</v>
      </c>
      <c r="S42" s="126"/>
      <c r="T42" s="167">
        <f>6.1%+(1-6.1%)*(1-SUM(T26:U26)/SUM($B$26:$C$26))</f>
        <v>0.11126812967786792</v>
      </c>
      <c r="U42" s="126"/>
      <c r="V42" s="167">
        <f>6.1%+(1-6.1%)*(1-SUM(V26:W26)/SUM($B$26:$C$26))</f>
        <v>0.1236439047330939</v>
      </c>
      <c r="W42" s="126"/>
      <c r="X42" s="167">
        <f>6.1%+(1-6.1%)*(1-SUM(X26:Y26)/SUM($B$26:$C$26))</f>
        <v>0.13925466333437886</v>
      </c>
      <c r="Y42" s="152"/>
      <c r="Z42" s="167">
        <f>6.1%+(1-6.1%)*(1-SUM(Z26:AA26)/SUM($B$26:$C$26))</f>
        <v>0.15938443913032552</v>
      </c>
      <c r="AA42" s="126"/>
      <c r="AB42" s="167">
        <f>6.1%+(1-6.1%)*(1-SUM(AB26:AC26)/SUM($B$26:$C$26))</f>
        <v>0.18597876083465484</v>
      </c>
      <c r="AC42" s="126"/>
      <c r="AD42" s="167">
        <f>6.1%+(1-6.1%)*(1-SUM(AD26:AE26)/SUM($B$26:$C$26))</f>
        <v>0.22202157971256184</v>
      </c>
      <c r="AE42" s="126"/>
      <c r="AF42" s="167">
        <f>6.1%+(1-6.1%)*(1-SUM(AF26:AG26)/SUM($B$26:$C$26))</f>
        <v>0.27206876964407806</v>
      </c>
      <c r="AG42" s="126"/>
      <c r="AH42" s="167">
        <f>6.1%+(1-6.1%)*(1-SUM(AH26:AI26)/SUM($B$26:$C$26))</f>
        <v>0.34280405977701872</v>
      </c>
      <c r="AI42" s="126"/>
      <c r="AJ42" s="167">
        <f>6.1%+(1-6.1%)*(1-SUM(AJ26:AK26)/SUM($B$26:$C$26))</f>
        <v>0.44306952842096675</v>
      </c>
      <c r="AK42" s="126"/>
      <c r="AL42" s="167">
        <f>6.1%+(1-6.1%)*(1-SUM(AL26:AM26)/SUM($B$26:$C$26))</f>
        <v>0.58235212865771979</v>
      </c>
      <c r="AM42" s="126"/>
      <c r="AN42" s="167">
        <f>6.1%+(1-6.1%)*(1-SUM(AN26:AO26)/SUM($B$26:$C$26))</f>
        <v>0.76750256129979966</v>
      </c>
      <c r="AO42" s="126"/>
      <c r="AP42" s="167">
        <f>6.1%+(1-6.1%)*(1-SUM(AP26:AQ26)/SUM($B$26:$C$26))</f>
        <v>0.81026825809136538</v>
      </c>
      <c r="AQ42" s="126"/>
      <c r="AR42" s="167">
        <f>6.1%+(1-6.1%)*(1-SUM(AR26:AS26)/SUM($B$26:$C$26))</f>
        <v>0.85492826054179649</v>
      </c>
      <c r="AS42" s="126"/>
      <c r="AT42" s="167">
        <f>6.1%+(1-6.1%)*(1-SUM(AT26:AU26)/SUM($B$26:$C$26))</f>
        <v>0.90145842189357639</v>
      </c>
      <c r="AU42" s="126"/>
      <c r="AV42" s="167">
        <f>6.1%+(1-6.1%)*(1-SUM(AV26:AW26)/SUM($B$26:$C$26))</f>
        <v>0.94982786566474964</v>
      </c>
      <c r="XFD42" s="167"/>
    </row>
    <row r="43" spans="1:49 16319:16384" x14ac:dyDescent="0.2">
      <c r="A43" t="s">
        <v>95</v>
      </c>
      <c r="B43" s="152">
        <f>SUM(B15:C15*B27:C27)/SUM(B15:C15*B27:C27,B13:C13*B26:C26)</f>
        <v>0.56058995943839207</v>
      </c>
      <c r="C43" s="126"/>
      <c r="D43" s="152">
        <f t="array" ref="D43">SUM(D15:E15*D27:E27)/SUM(D15:E15*D27:E27,D13:E13*D26:E26)</f>
        <v>0.56686772061502388</v>
      </c>
      <c r="E43" s="126"/>
      <c r="F43" s="152">
        <f t="array" ref="F43">SUM(F15:G15*F27:G27)/SUM(F15:G15*F27:G27,F13:G13*F26:G26)</f>
        <v>0.56655035634357431</v>
      </c>
      <c r="G43" s="126"/>
      <c r="H43" s="152">
        <f t="array" ref="H43">SUM(H15:I15*H27:I27)/SUM(H15:I15*H27:I27,H13:I13*H26:I26)</f>
        <v>0.56624919389762673</v>
      </c>
      <c r="I43" s="126"/>
      <c r="J43" s="152">
        <f t="array" ref="J43">SUM(J15:K15*J27:K27)/SUM(J15:K15*J27:K27,J13:K13*J26:K26)</f>
        <v>0.56596485076564507</v>
      </c>
      <c r="K43" s="126"/>
      <c r="L43" s="152">
        <f t="array" ref="L43">SUM(L15:M15*L27:M27)/SUM(L15:M15*L27:M27,L13:M13*L26:M26)</f>
        <v>0.56569766661152998</v>
      </c>
      <c r="M43" s="126"/>
      <c r="N43" s="152">
        <f t="array" ref="N43">SUM(N15:O15*N27:O27)/SUM(N15:O15*N27:O27,N13:O13*N26:O26)</f>
        <v>0.56544754098446182</v>
      </c>
      <c r="O43" s="126"/>
      <c r="P43" s="152">
        <f t="array" ref="P43">SUM(P15:Q15*P27:Q27)/SUM(P15:Q15*P27:Q27,P13:Q13*P26:Q26)</f>
        <v>0.56521362571256761</v>
      </c>
      <c r="Q43" s="126"/>
      <c r="R43" s="152">
        <f t="array" ref="R43">SUM(R15:S15*R27:S27)/SUM(R15:S15*R27:S27,R13:S13*R26:S26)</f>
        <v>0.56499387212667695</v>
      </c>
      <c r="S43" s="126"/>
      <c r="T43" s="152">
        <f t="array" ref="T43">SUM(T15:U15*T27:U27)/SUM(T15:U15*T27:U27,T13:U13*T26:U26)</f>
        <v>0.56478430210948505</v>
      </c>
      <c r="U43" s="126"/>
      <c r="V43" s="152">
        <f t="array" ref="V43">SUM(V15:W15*V27:W27)/SUM(V15:W15*V27:W27,V13:W13*V26:W26)</f>
        <v>0.56457786973632174</v>
      </c>
      <c r="W43" s="126"/>
      <c r="X43" s="152">
        <f t="array" ref="X43">SUM(X15:Y15*X27:Y27)/SUM(X15:Y15*X27:Y27,X13:Y13*X26:Y26)</f>
        <v>0.56436268150323843</v>
      </c>
      <c r="Y43" s="126"/>
      <c r="Z43" s="152">
        <f t="array" ref="Z43">SUM(Z15:AA15*Z27:AA27)/SUM(Z15:AA15*Z27:AA27,Z13:AA13*Z26:AA26)</f>
        <v>0.56411918218804502</v>
      </c>
      <c r="AA43" s="126"/>
      <c r="AB43" s="152">
        <f t="array" ref="AB43">SUM(AB15:AC15*AB27:AC27)/SUM(AB15:AC15*AB27:AC27,AB13:AC13*AB26:AC26)</f>
        <v>0.56381607681821777</v>
      </c>
      <c r="AC43" s="126"/>
      <c r="AD43" s="152">
        <f t="array" ref="AD43">SUM(AD15:AE15*AD27:AE27)/SUM(AD15:AE15*AD27:AE27,AD13:AE13*AD26:AE26)</f>
        <v>0.56340487252854687</v>
      </c>
      <c r="AE43" s="126"/>
      <c r="AF43" s="152">
        <f t="array" ref="AF43">SUM(AF15:AG15*AF27:AG27)/SUM(AF15:AG15*AF27:AG27,AF13:AG13*AF26:AG26)</f>
        <v>0.56281473239987156</v>
      </c>
      <c r="AG43" s="126"/>
      <c r="AH43" s="152">
        <f t="array" ref="AH43">SUM(AH15:AI15*AH27:AI27)/SUM(AH15:AI15*AH27:AI27,AH13:AI13*AH26:AI26)</f>
        <v>0.56195384882686128</v>
      </c>
      <c r="AI43" s="126"/>
      <c r="AJ43" s="152">
        <f t="array" ref="AJ43">SUM(AJ15:AK15*AJ27:AK27)/SUM(AJ15:AK15*AJ27:AK27,AJ13:AK13*AJ26:AK26)</f>
        <v>0.5607301898598287</v>
      </c>
      <c r="AK43" s="126"/>
      <c r="AL43" s="152">
        <f t="array" ref="AL43">SUM(AL15:AM15*AL27:AM27)/SUM(AL15:AM15*AL27:AM27,AL13:AM13*AL26:AM26)</f>
        <v>0.55910040744637401</v>
      </c>
      <c r="AM43" s="126"/>
      <c r="AN43" s="152">
        <f t="array" ref="AN43">SUM(AN15:AO15*AN27:AO27)/SUM(AN15:AO15*AN27:AO27,AN13:AO13*AN26:AO26)</f>
        <v>0.55711840964748816</v>
      </c>
      <c r="AO43" s="126"/>
      <c r="AP43" s="152">
        <f t="array" ref="AP43">SUM(AP15:AQ15*AP27:AQ27)/SUM(AP15:AQ15*AP27:AQ27,AP13:AQ13*AP26:AQ26)</f>
        <v>0.55669127203879476</v>
      </c>
      <c r="AQ43" s="126"/>
      <c r="AR43" s="152">
        <f t="array" ref="AR43">SUM(AR15:AS15*AR27:AS27)/SUM(AR15:AS15*AR27:AS27,AR13:AS13*AR26:AS26)</f>
        <v>0.55625694249101931</v>
      </c>
      <c r="AS43" s="126"/>
      <c r="AT43" s="152">
        <f t="array" ref="AT43">SUM(AT15:AU15*AT27:AU27)/SUM(AT15:AU15*AT27:AU27,AT13:AU13*AT26:AU26)</f>
        <v>0.55581676323203622</v>
      </c>
      <c r="AU43" s="126"/>
      <c r="AV43" s="152">
        <f t="array" ref="AV43">SUM(AV15:AW15*AV27:AW27)/SUM(AV15:AW15*AV27:AW27,AV13:AW13*AV26:AW26)</f>
        <v>0.55537204626344583</v>
      </c>
    </row>
    <row r="44" spans="1:49 16319:16384" x14ac:dyDescent="0.2">
      <c r="A44" t="s">
        <v>129</v>
      </c>
      <c r="B44" s="183">
        <f>(SUM(B11:C11*B24:C24)+B34)/B32</f>
        <v>0.29754226190682465</v>
      </c>
      <c r="D44" s="183">
        <f>(SUM(D11:E11*D24:E24)+D34)/D32</f>
        <v>0.29909618236580099</v>
      </c>
      <c r="F44" s="183">
        <f>(SUM(F11:G11*F24:G24)+F34)/F32</f>
        <v>0.30067081713620925</v>
      </c>
      <c r="H44" s="183">
        <f>(SUM(H11:I11*H24:I24)+H34)/H32</f>
        <v>0.3022699146895082</v>
      </c>
      <c r="J44" s="183">
        <f>(SUM(J11:K11*J24:K24)+J34)/J32</f>
        <v>0.30389791928587245</v>
      </c>
      <c r="L44" s="183">
        <f>(SUM(L11:M11*L24:M24)+L34)/L32</f>
        <v>0.30556027111490008</v>
      </c>
      <c r="N44" s="183">
        <f>(SUM(N11:O11*N24:O24)+N34)/N32</f>
        <v>0.30726360772893963</v>
      </c>
      <c r="P44" s="183">
        <f>(SUM(P11:Q11*P24:Q24)+P34)/P32</f>
        <v>0.3090161810604416</v>
      </c>
      <c r="R44" s="183">
        <f>(SUM(R11:S11*R24:S24)+R34)/R32</f>
        <v>0.31082836197117042</v>
      </c>
      <c r="T44" s="183">
        <f>(SUM(T11:U11*T24:U24)+T34)/T32</f>
        <v>0.31271337365879109</v>
      </c>
      <c r="V44" s="183">
        <f>(SUM(V11:W11*V24:W24)+V34)/V32</f>
        <v>0.31468830836776374</v>
      </c>
      <c r="X44" s="183">
        <f>(SUM(X11:Y11*X24:Y24)+X34)/X32</f>
        <v>0.31677551387720981</v>
      </c>
      <c r="Z44" s="183">
        <f>(SUM(Z11:AA11*Z24:AA24)+Z34)/Z32</f>
        <v>0.31900438504235973</v>
      </c>
      <c r="AB44" s="183">
        <f>(SUM(AB11:AC11*AB24:AC24)+AB34)/AB32</f>
        <v>0.32141335804908949</v>
      </c>
      <c r="AD44" s="183">
        <f>(SUM(AD11:AE11*AD24:AE24)+AD34)/AD32</f>
        <v>0.32405106662063266</v>
      </c>
      <c r="AF44" s="183">
        <f>(SUM(AF11:AG11*AF24:AG24)+AF34)/AF32</f>
        <v>0.32697332261599221</v>
      </c>
      <c r="AH44" s="183">
        <f>(SUM(AH11:AI11*AH24:AI24)+AH34)/AH32</f>
        <v>0.33022934154003386</v>
      </c>
      <c r="AJ44" s="183">
        <f>(SUM(AJ11:AK11*AJ24:AK24)+AJ34)/AJ32</f>
        <v>0.33382847805261073</v>
      </c>
      <c r="AL44" s="183">
        <f>(SUM(AL11:AM11*AL24:AM24)+AL34)/AL32</f>
        <v>0.33769546272910039</v>
      </c>
      <c r="AN44" s="183">
        <f>(SUM(AN11:AO11*AN24:AO24)+AN34)/AN32</f>
        <v>0.34165953087353368</v>
      </c>
      <c r="AP44" s="183">
        <f>(SUM(AP11:AQ11*AP24:AQ24)+AP34)/AP32</f>
        <v>0.34244552518402266</v>
      </c>
      <c r="AR44" s="183">
        <f>(SUM(AR11:AS11*AR24:AS24)+AR34)/AR32</f>
        <v>0.34322553645701193</v>
      </c>
      <c r="AT44" s="183">
        <f>(SUM(AT11:AU11*AT24:AU24)+AT34)/AT32</f>
        <v>0.34399817137320299</v>
      </c>
      <c r="AV44" s="183">
        <f>(SUM(AV11:AW11*AV24:AW24)+AV34)/AV32</f>
        <v>0.3447621684538606</v>
      </c>
    </row>
    <row r="45" spans="1:49 16319:16384" x14ac:dyDescent="0.2">
      <c r="A45" t="s">
        <v>82</v>
      </c>
      <c r="B45" s="183">
        <f>SUM(B11:C11*B24:C24)/B32</f>
        <v>0.22038438833194082</v>
      </c>
      <c r="D45" s="183">
        <f>SUM(D11:E11*D24:E24)/D32</f>
        <v>0.22193831081385457</v>
      </c>
      <c r="F45" s="183">
        <f>SUM(F11:G11*F24:G24)/F32</f>
        <v>0.22351294916375553</v>
      </c>
      <c r="H45" s="183">
        <f>SUM(H11:I11*H24:I24)/H32</f>
        <v>0.2251120411764248</v>
      </c>
      <c r="J45" s="183">
        <f>SUM(J11:K11*J24:K24)/J32</f>
        <v>0.22674004776139731</v>
      </c>
      <c r="L45" s="183">
        <f>SUM(L11:M11*L24:M24)/L32</f>
        <v>0.22840239754591857</v>
      </c>
      <c r="N45" s="183">
        <f>SUM(N11:O11*N24:O24)/N32</f>
        <v>0.23010573407751209</v>
      </c>
      <c r="P45" s="183">
        <f>SUM(P11:Q11*P24:Q24)/P32</f>
        <v>0.23185830730024207</v>
      </c>
      <c r="R45" s="183">
        <f>SUM(R11:S11*R24:S24)/R32</f>
        <v>0.23367048964711443</v>
      </c>
      <c r="T45" s="183">
        <f>SUM(T11:U11*T24:U24)/T32</f>
        <v>0.23555550106904019</v>
      </c>
      <c r="V45" s="183">
        <f>SUM(V11:W11*V24:W24)/V32</f>
        <v>0.23753043429277146</v>
      </c>
      <c r="X45" s="183">
        <f>SUM(X11:Y11*X24:Y24)/X32</f>
        <v>0.23961764001254907</v>
      </c>
      <c r="Z45" s="183">
        <f>SUM(Z11:AA11*Z24:AA24)/Z32</f>
        <v>0.24184651148839456</v>
      </c>
      <c r="AB45" s="183">
        <f>SUM(AB11:AC11*AB24:AC24)/AB32</f>
        <v>0.24425548909737868</v>
      </c>
      <c r="AD45" s="183">
        <f>SUM(AD11:AE11*AD24:AE24)/AD32</f>
        <v>0.24689319184275585</v>
      </c>
      <c r="AF45" s="183">
        <f>SUM(AF11:AG11*AF24:AG24)/AF32</f>
        <v>0.24981544888486493</v>
      </c>
      <c r="AH45" s="183">
        <f>SUM(AH11:AI11*AH24:AI24)/AH32</f>
        <v>0.25307146811835246</v>
      </c>
      <c r="AJ45" s="183">
        <f>SUM(AJ11:AK11*AJ24:AK24)/AJ32</f>
        <v>0.25667060342528003</v>
      </c>
      <c r="AL45" s="183">
        <f>SUM(AL11:AM11*AL24:AM24)/AL32</f>
        <v>0.26053758917110609</v>
      </c>
      <c r="AN45" s="183">
        <f>SUM(AN11:AO11*AN24:AO24)/AN32</f>
        <v>0.26450165702351564</v>
      </c>
      <c r="AP45" s="183">
        <f>SUM(AP11:AQ11*AP24:AQ24)/AP32</f>
        <v>0.26528765264542298</v>
      </c>
      <c r="AR45" s="183">
        <f>SUM(AR11:AS11*AR24:AS24)/AR32</f>
        <v>0.26606766219295963</v>
      </c>
      <c r="AT45" s="183">
        <f>SUM(AT11:AU11*AT24:AU24)/AT32</f>
        <v>0.26684029593285857</v>
      </c>
      <c r="AV45" s="183">
        <f>SUM(AV11:AW11*AV24:AW24)/AV32</f>
        <v>0.26760429757736093</v>
      </c>
      <c r="XCQ45" s="183"/>
    </row>
    <row r="46" spans="1:49 16319:16384" x14ac:dyDescent="0.2">
      <c r="A46" t="s">
        <v>126</v>
      </c>
      <c r="B46" s="183">
        <f>B34/B32</f>
        <v>7.7157873574883795E-2</v>
      </c>
      <c r="D46" s="183">
        <f>D34/D32</f>
        <v>7.7157871551946394E-2</v>
      </c>
      <c r="F46" s="183">
        <f>F34/F32</f>
        <v>7.7157867972453734E-2</v>
      </c>
      <c r="H46" s="183">
        <f>H34/H32</f>
        <v>7.7157873513083383E-2</v>
      </c>
      <c r="J46" s="183">
        <f>J34/J32</f>
        <v>7.7157871524475174E-2</v>
      </c>
      <c r="L46" s="183">
        <f>L34/L32</f>
        <v>7.7157873568981544E-2</v>
      </c>
      <c r="N46" s="183">
        <f>N34/N32</f>
        <v>7.7157873651427525E-2</v>
      </c>
      <c r="P46" s="183">
        <f>P34/P32</f>
        <v>7.7157873760199586E-2</v>
      </c>
      <c r="R46" s="183">
        <f>R34/R32</f>
        <v>7.7157872324055993E-2</v>
      </c>
      <c r="T46" s="183">
        <f>T34/T32</f>
        <v>7.7157872589750973E-2</v>
      </c>
      <c r="V46" s="183">
        <f>V34/V32</f>
        <v>7.7157874074992278E-2</v>
      </c>
      <c r="X46" s="183">
        <f>X34/X32</f>
        <v>7.715787386466072E-2</v>
      </c>
      <c r="Z46" s="183">
        <f>Z34/Z32</f>
        <v>7.7157873553965181E-2</v>
      </c>
      <c r="AB46" s="183">
        <f>AB34/AB32</f>
        <v>7.7157868951710798E-2</v>
      </c>
      <c r="AD46" s="183">
        <f>AD34/AD32</f>
        <v>7.7157874777876806E-2</v>
      </c>
      <c r="AF46" s="183">
        <f>AF34/AF32</f>
        <v>7.7157873731127244E-2</v>
      </c>
      <c r="AH46" s="183">
        <f>AH34/AH32</f>
        <v>7.71578734216814E-2</v>
      </c>
      <c r="AJ46" s="183">
        <f>AJ34/AJ32</f>
        <v>7.7157874627330675E-2</v>
      </c>
      <c r="AL46" s="183">
        <f>AL34/AL32</f>
        <v>7.7157873557994278E-2</v>
      </c>
      <c r="AN46" s="183">
        <f>AN34/AN32</f>
        <v>7.7157873850018044E-2</v>
      </c>
      <c r="AP46" s="183">
        <f>AP34/AP32</f>
        <v>7.7157872538599695E-2</v>
      </c>
      <c r="AR46" s="183">
        <f>AR34/AR32</f>
        <v>7.7157874264052323E-2</v>
      </c>
      <c r="AT46" s="183">
        <f>AT34/AT32</f>
        <v>7.7157875440344456E-2</v>
      </c>
      <c r="AV46" s="183">
        <f>AV34/AV32</f>
        <v>7.7157870876499654E-2</v>
      </c>
      <c r="XCS46" s="183"/>
    </row>
    <row r="48" spans="1:49 16319:16384" x14ac:dyDescent="0.2">
      <c r="A48" t="s">
        <v>143</v>
      </c>
      <c r="B48" s="181">
        <f>B24/$B$24</f>
        <v>1</v>
      </c>
      <c r="C48" s="181"/>
      <c r="D48" s="181">
        <f>D24/$B$24</f>
        <v>1.004249870878213</v>
      </c>
      <c r="E48" s="181"/>
      <c r="F48" s="181">
        <f>F24/$B$24</f>
        <v>1.0080230647762718</v>
      </c>
      <c r="G48" s="181"/>
      <c r="H48" s="181">
        <f>H24/$B$24</f>
        <v>1.0112273995118763</v>
      </c>
      <c r="I48" s="181"/>
      <c r="J48" s="181">
        <f>J24/$B$24</f>
        <v>1.0137449932188762</v>
      </c>
      <c r="K48" s="181"/>
      <c r="L48" s="181">
        <f>L24/$B$24</f>
        <v>1.0154239668590439</v>
      </c>
      <c r="M48" s="181"/>
      <c r="N48" s="181">
        <f>N24/$B$24</f>
        <v>1.0160648715771121</v>
      </c>
      <c r="O48" s="181"/>
      <c r="P48" s="181">
        <f>P24/$B$24</f>
        <v>1.0154019581618965</v>
      </c>
      <c r="Q48" s="181"/>
      <c r="R48" s="181">
        <f>R24/$B$24</f>
        <v>1.0130743915967448</v>
      </c>
      <c r="S48" s="181"/>
      <c r="T48" s="181">
        <f>T24/$B$24</f>
        <v>1.0085823566528165</v>
      </c>
      <c r="U48" s="181"/>
      <c r="V48" s="181">
        <f>V24/$B$24</f>
        <v>1.0012184684206971</v>
      </c>
      <c r="W48" s="181"/>
      <c r="X48" s="181">
        <f>X24/$B$24</f>
        <v>0.98995729266618993</v>
      </c>
      <c r="Y48" s="181"/>
      <c r="Z48" s="181">
        <f>Z24/$B$24</f>
        <v>0.97327681830946478</v>
      </c>
      <c r="AA48" s="181"/>
      <c r="AB48" s="181">
        <f>AB24/$B$24</f>
        <v>0.94886597612207624</v>
      </c>
      <c r="AC48" s="181"/>
      <c r="AD48" s="181">
        <f>AD24/$B$24</f>
        <v>0.91315845010011965</v>
      </c>
      <c r="AE48" s="181"/>
      <c r="AF48" s="181">
        <f>AF24/$B$24</f>
        <v>0.86064510479281042</v>
      </c>
      <c r="AG48" s="181"/>
      <c r="AH48" s="181">
        <f>AH24/$B$24</f>
        <v>0.78308443651369419</v>
      </c>
      <c r="AI48" s="181"/>
      <c r="AJ48" s="181">
        <f>AJ24/$B$24</f>
        <v>0.66923381535936666</v>
      </c>
      <c r="AK48" s="181"/>
      <c r="AL48" s="181">
        <f>AL24/$B$24</f>
        <v>0.50641930477983665</v>
      </c>
      <c r="AM48" s="181"/>
      <c r="AN48" s="181">
        <f>AN24/$B$24</f>
        <v>0.28454998951164151</v>
      </c>
      <c r="AO48" s="181"/>
      <c r="AP48" s="181">
        <f>AP24/$B$24</f>
        <v>0.23263983018000656</v>
      </c>
      <c r="AQ48" s="181"/>
      <c r="AR48" s="181">
        <f>AR24/$B$24</f>
        <v>0.17820712885765266</v>
      </c>
      <c r="AS48" s="181"/>
      <c r="AT48" s="181">
        <f>AT24/$B$24</f>
        <v>0.12126985806362932</v>
      </c>
      <c r="AU48" s="181"/>
      <c r="AV48" s="181">
        <f>AV24/$B$24</f>
        <v>6.1855526709774837E-2</v>
      </c>
    </row>
    <row r="49" spans="1:48 16321:16384" x14ac:dyDescent="0.2">
      <c r="A49" t="s">
        <v>144</v>
      </c>
      <c r="B49" s="181">
        <f>B13/B35/$B$13*$B$35</f>
        <v>1</v>
      </c>
      <c r="C49" s="181"/>
      <c r="D49" s="181">
        <f>D13/D35/$B$13*$B$35</f>
        <v>0.99528846434888507</v>
      </c>
      <c r="E49" s="181"/>
      <c r="F49" s="181">
        <f>F13/F35/$B$13*$B$35</f>
        <v>0.9902602411823741</v>
      </c>
      <c r="G49" s="181"/>
      <c r="H49" s="181">
        <f>H13/H35/$B$13*$B$35</f>
        <v>0.98487509163320186</v>
      </c>
      <c r="I49" s="181"/>
      <c r="J49" s="181">
        <f>J13/J35/$B$13*$B$35</f>
        <v>0.97908553612333771</v>
      </c>
      <c r="K49" s="181"/>
      <c r="L49" s="181">
        <f>L13/L35/$B$13*$B$35</f>
        <v>0.97283527290087679</v>
      </c>
      <c r="M49" s="181"/>
      <c r="N49" s="181">
        <f>N13/N35/$B$13*$B$35</f>
        <v>0.96605712972514413</v>
      </c>
      <c r="O49" s="181"/>
      <c r="P49" s="181">
        <f>P13/P35/$B$13*$B$35</f>
        <v>0.95867056314450572</v>
      </c>
      <c r="Q49" s="181"/>
      <c r="R49" s="181">
        <f>R13/R35/$B$13*$B$35</f>
        <v>0.95057855164559701</v>
      </c>
      <c r="S49" s="181"/>
      <c r="T49" s="181">
        <f>T13/T35/$B$13*$B$35</f>
        <v>0.94166390340420236</v>
      </c>
      <c r="U49" s="181"/>
      <c r="V49" s="181">
        <f>V13/V35/$B$13*$B$35</f>
        <v>0.93178501312623907</v>
      </c>
      <c r="W49" s="181"/>
      <c r="X49" s="181">
        <f>X13/X35/$B$13*$B$35</f>
        <v>0.92077179844799883</v>
      </c>
      <c r="Y49" s="181"/>
      <c r="Z49" s="181">
        <f>Z13/Z35/$B$13*$B$35</f>
        <v>0.90842356696977011</v>
      </c>
      <c r="AA49" s="181"/>
      <c r="AB49" s="181">
        <f>AB13/AB35/$B$13*$B$35</f>
        <v>0.89451305848913887</v>
      </c>
      <c r="AC49" s="181"/>
      <c r="AD49" s="181">
        <f>AD13/AD35/$B$13*$B$35</f>
        <v>0.87880692009346117</v>
      </c>
      <c r="AE49" s="181"/>
      <c r="AF49" s="181">
        <f>AF13/AF35/$B$13*$B$35</f>
        <v>0.86112285346849093</v>
      </c>
      <c r="AG49" s="181"/>
      <c r="AH49" s="181">
        <f>AH13/AH35/$B$13*$B$35</f>
        <v>0.84145014315130862</v>
      </c>
      <c r="AI49" s="181"/>
      <c r="AJ49" s="181">
        <f>AJ13/AJ35/$B$13*$B$35</f>
        <v>0.8201358546477997</v>
      </c>
      <c r="AK49" s="181"/>
      <c r="AL49" s="181">
        <f>AL13/AL35/$B$13*$B$35</f>
        <v>0.79802117730838973</v>
      </c>
      <c r="AM49" s="181"/>
      <c r="AN49" s="181">
        <f>AN13/AN35/$B$13*$B$35</f>
        <v>0.7762918026987331</v>
      </c>
      <c r="AO49" s="181"/>
      <c r="AP49" s="181">
        <f>AP13/AP35/$B$13*$B$35</f>
        <v>0.77209386351533782</v>
      </c>
      <c r="AQ49" s="181"/>
      <c r="AR49" s="181">
        <f>AR13/AR35/$B$13*$B$35</f>
        <v>0.76796250440720071</v>
      </c>
      <c r="AS49" s="181"/>
      <c r="AT49" s="181">
        <f>AT13/AT35/$B$13*$B$35</f>
        <v>0.76390334816176675</v>
      </c>
      <c r="AU49" s="181"/>
      <c r="AV49" s="181">
        <f>AV13/AV35/$B$13*$B$35</f>
        <v>0.75992108164110095</v>
      </c>
    </row>
    <row r="51" spans="1:48 16321:16384" x14ac:dyDescent="0.2">
      <c r="A51" t="s">
        <v>150</v>
      </c>
      <c r="B51" s="27">
        <f>B30-B10*B23</f>
        <v>-405838.32800000021</v>
      </c>
      <c r="D51" s="27">
        <f>D30-D10*D23</f>
        <v>-365963.75137390755</v>
      </c>
      <c r="F51" s="27">
        <f>F30-F10*F23</f>
        <v>-325689.48376992717</v>
      </c>
      <c r="H51" s="27">
        <f>H30-H10*H23</f>
        <v>-284965.52149333805</v>
      </c>
      <c r="J51" s="27">
        <f>J30-J10*J23</f>
        <v>-243736.00716388831</v>
      </c>
      <c r="L51" s="27">
        <f>L30-L10*L23</f>
        <v>-201940.84797431063</v>
      </c>
      <c r="N51" s="27">
        <f>N30-N10*N23</f>
        <v>-159515.59305862105</v>
      </c>
      <c r="P51" s="27">
        <f>P30-P10*P23</f>
        <v>-116394.7462167372</v>
      </c>
      <c r="R51" s="27">
        <f>R30-R10*R23</f>
        <v>-72517.16142313648</v>
      </c>
      <c r="T51" s="27">
        <f>T30-T10*T23</f>
        <v>-27837.974663302302</v>
      </c>
      <c r="V51" s="27">
        <f>V30-V10*V23</f>
        <v>17647.745433680248</v>
      </c>
      <c r="X51" s="27">
        <f>X30-X10*X23</f>
        <v>63857.355268420652</v>
      </c>
      <c r="Z51" s="27">
        <f>Z30-Z10*Z23</f>
        <v>110522.11325639952</v>
      </c>
      <c r="AB51" s="27">
        <f>AB30-AB10*AB23</f>
        <v>156986.66333128978</v>
      </c>
      <c r="AD51" s="27">
        <f>AD30-AD10*AD23</f>
        <v>201797.35002316628</v>
      </c>
      <c r="AF51" s="27">
        <f>AF30-AF10*AF23</f>
        <v>241894.3243169589</v>
      </c>
      <c r="AH51" s="27">
        <f>AH30-AH10*AH23</f>
        <v>271197.96117694909</v>
      </c>
      <c r="AJ51" s="27">
        <f>AJ30-AJ10*AJ23</f>
        <v>278779.6514344092</v>
      </c>
      <c r="AL51" s="27">
        <f>AL30-AL10*AL23</f>
        <v>248146.76098964782</v>
      </c>
      <c r="AN51" s="27">
        <f>AN30-AN10*AN23</f>
        <v>160272.25539919257</v>
      </c>
      <c r="AP51" s="27">
        <f>AP30-AP10*AP23</f>
        <v>134358.21783264261</v>
      </c>
      <c r="AQ51" s="27"/>
      <c r="AR51" s="27">
        <f>AR30-AR10*AR23</f>
        <v>105435.01447225397</v>
      </c>
      <c r="AT51" s="27">
        <f>AT30-AT10*AT23</f>
        <v>73434.080274330568</v>
      </c>
      <c r="AV51" s="27">
        <f>AV30-AV10*AV23</f>
        <v>38301.999511832808</v>
      </c>
      <c r="XFD51" s="27"/>
    </row>
    <row r="52" spans="1:48 16321:16384" x14ac:dyDescent="0.2">
      <c r="A52" t="s">
        <v>151</v>
      </c>
      <c r="B52" s="27">
        <f t="array" ref="B52">Calibration!sL*SUM(B13:C13*B26:C26)</f>
        <v>2073093.0976150823</v>
      </c>
      <c r="D52" s="27">
        <f t="array" ref="D52">Calibration!sL*SUM(D13:E13*D26:E26)</f>
        <v>2060293.2531681086</v>
      </c>
      <c r="F52" s="27">
        <f t="array" ref="F52">Calibration!sL*SUM(F13:G13*F26:G26)</f>
        <v>2046265.2637775112</v>
      </c>
      <c r="H52" s="27">
        <f t="array" ref="H52">Calibration!sL*SUM(H13:I13*H26:I26)</f>
        <v>2030804.440235815</v>
      </c>
      <c r="J52" s="27">
        <f t="array" ref="J52">Calibration!sL*SUM(J13:K13*J26:K26)</f>
        <v>2013656.2625999488</v>
      </c>
      <c r="L52" s="27">
        <f t="array" ref="L52">Calibration!sL*SUM(L13:M13*L26:M26)</f>
        <v>1994501.2996818959</v>
      </c>
      <c r="N52" s="27">
        <f t="array" ref="N52">Calibration!sL*SUM(N13:O13*N26:O26)</f>
        <v>1972932.0802718538</v>
      </c>
      <c r="P52" s="27">
        <f t="array" ref="P52">Calibration!sL*SUM(P13:Q13*P26:Q26)</f>
        <v>1948421.3166521976</v>
      </c>
      <c r="R52" s="27">
        <f t="array" ref="R52">Calibration!sL*SUM(R13:S13*R26:S26)</f>
        <v>1920274.4807780802</v>
      </c>
      <c r="T52" s="27">
        <f t="array" ref="T52">Calibration!sL*SUM(T13:U13*T26:U26)</f>
        <v>1887559.1377899437</v>
      </c>
      <c r="V52" s="27">
        <f t="array" ref="V52">Calibration!sL*SUM(V13:W13*V26:W26)</f>
        <v>1848997.0642632691</v>
      </c>
      <c r="X52" s="27">
        <f t="array" ref="X52">Calibration!sL*SUM(X13:Y13*X26:Y26)</f>
        <v>1802795.4078364559</v>
      </c>
      <c r="Z52" s="27">
        <f t="array" ref="Z52">Calibration!sL*SUM(Z13:AA13*Z26:AA26)</f>
        <v>1746381.7770617842</v>
      </c>
      <c r="AB52" s="27">
        <f t="array" ref="AB52">Calibration!sL*SUM(AB13:AC13*AB26:AC26)</f>
        <v>1675985.5269213589</v>
      </c>
      <c r="AD52" s="27">
        <f t="array" ref="AD52">Calibration!sL*SUM(AD13:AE13*AD26:AE26)</f>
        <v>1586001.2937483659</v>
      </c>
      <c r="AF52" s="27">
        <f t="array" ref="AF52">Calibration!sL*SUM(AF13:AG13*AF26:AG26)</f>
        <v>1468116.1602917151</v>
      </c>
      <c r="AH52" s="27">
        <f t="array" ref="AH52">Calibration!sL*SUM(AH13:AI13*AH26:AI26)</f>
        <v>1310459.8038485835</v>
      </c>
      <c r="AJ52" s="27">
        <f t="array" ref="AJ52">Calibration!sL*SUM(AJ13:AK13*AJ26:AK26)</f>
        <v>1097739.6732318136</v>
      </c>
      <c r="AL52" s="27">
        <f t="array" ref="AL52">Calibration!sL*SUM(AL13:AM13*AL26:AM26)</f>
        <v>814052.33294697327</v>
      </c>
      <c r="AN52" s="27">
        <f t="array" ref="AN52">Calibration!sL*SUM(AN13:AO13*AN26:AO26)</f>
        <v>448570.6538313512</v>
      </c>
      <c r="AP52" s="27">
        <f t="array" ref="AP52">Calibration!sL*SUM(AP13:AQ13*AP26:AQ26)</f>
        <v>365370.04102142813</v>
      </c>
      <c r="AQ52" s="27"/>
      <c r="AR52" s="27">
        <f t="array" ref="AR52">Calibration!sL*SUM(AR13:AS13*AR26:AS26)</f>
        <v>278855.71826337348</v>
      </c>
      <c r="AT52" s="27">
        <f t="array" ref="AT52">Calibration!sL*SUM(AT13:AU13*AT26:AU26)</f>
        <v>189079.20376169769</v>
      </c>
      <c r="AV52" s="27">
        <f t="array" ref="AV52">Calibration!sL*SUM(AV13:AW13*AV26:AW26)</f>
        <v>96103.242861282386</v>
      </c>
    </row>
    <row r="53" spans="1:48 16321:16384" x14ac:dyDescent="0.2">
      <c r="A53" t="s">
        <v>152</v>
      </c>
      <c r="B53" s="27">
        <f t="array" ref="B53">Calibration!sK*SUM(B15:C15*B27:C27)</f>
        <v>2716869.1663849424</v>
      </c>
      <c r="D53" s="27">
        <f t="array" ref="D53">Calibration!sK*SUM(D15:E15*D27:E27)</f>
        <v>2696436.6218105271</v>
      </c>
      <c r="F53" s="27">
        <f t="array" ref="F53">Calibration!sK*SUM(F15:G15*F27:G27)</f>
        <v>2674618.2199784135</v>
      </c>
      <c r="H53" s="27">
        <f t="array" ref="H53">Calibration!sK*SUM(H15:I15*H27:I27)</f>
        <v>2651156.7496103835</v>
      </c>
      <c r="J53" s="27">
        <f t="array" ref="J53">Calibration!sK*SUM(J15:K15*J27:K27)</f>
        <v>2625728.9718725835</v>
      </c>
      <c r="L53" s="27">
        <f t="array" ref="L53">Calibration!sK*SUM(L15:M15*L27:M27)</f>
        <v>2597924.6357732485</v>
      </c>
      <c r="N53" s="27">
        <f t="array" ref="N53">Calibration!sK*SUM(N15:O15*N27:O27)</f>
        <v>2567215.0051719975</v>
      </c>
      <c r="P53" s="27">
        <f t="array" ref="P53">Calibration!sK*SUM(P15:Q15*P27:Q27)</f>
        <v>2532908.8994693379</v>
      </c>
      <c r="R53" s="27">
        <f t="array" ref="R53">Calibration!sK*SUM(R15:S15*R27:S27)</f>
        <v>2494087.4275610098</v>
      </c>
      <c r="T53" s="27">
        <f t="array" ref="T53">Calibration!sK*SUM(T15:U15*T27:U27)</f>
        <v>2449506.7055124003</v>
      </c>
      <c r="V53" s="27">
        <f t="array" ref="V53">Calibration!sK*SUM(V15:W15*V27:W27)</f>
        <v>2397450.0860999278</v>
      </c>
      <c r="X53" s="27">
        <f t="array" ref="X53">Calibration!sK*SUM(X15:Y15*X27:Y27)</f>
        <v>2335498.8366908459</v>
      </c>
      <c r="Z53" s="27">
        <f t="array" ref="Z53">Calibration!sK*SUM(Z15:AA15*Z27:AA27)</f>
        <v>2260176.2215863634</v>
      </c>
      <c r="AB53" s="27">
        <f t="array" ref="AB53">Calibration!sK*SUM(AB15:AC15*AB27:AC27)</f>
        <v>2166397.0962063684</v>
      </c>
      <c r="AD53" s="27">
        <f t="array" ref="AD53">Calibration!sK*SUM(AD15:AE15*AD27:AE27)</f>
        <v>2046657.8770804857</v>
      </c>
      <c r="AF53" s="27">
        <f t="array" ref="AF53">Calibration!sK*SUM(AF15:AG15*AF27:AG27)</f>
        <v>1889993.7054655361</v>
      </c>
      <c r="AH53" s="27">
        <f t="array" ref="AH53">Calibration!sK*SUM(AH15:AI15*AH27:AI27)</f>
        <v>1681142.3374760672</v>
      </c>
      <c r="AJ53" s="27">
        <f t="array" ref="AJ53">Calibration!sK*SUM(AJ15:AK15*AJ27:AK27)</f>
        <v>1401270.383665846</v>
      </c>
      <c r="AL53" s="27">
        <f t="array" ref="AL53">Calibration!sK*SUM(AL15:AM15*AL27:AM27)</f>
        <v>1032291.7025104</v>
      </c>
      <c r="AN53" s="27">
        <f t="array" ref="AN53">Calibration!sK*SUM(AN15:AO15*AN27:AO27)</f>
        <v>564274.90941346833</v>
      </c>
      <c r="AP53" s="27">
        <f t="array" ref="AP53">Calibration!sK*SUM(AP15:AQ15*AP27:AQ27)</f>
        <v>458818.6518152316</v>
      </c>
      <c r="AQ53" s="27"/>
      <c r="AR53" s="27">
        <f t="array" ref="AR53">Calibration!sK*SUM(AR15:AS15*AR27:AS27)</f>
        <v>349561.36577794666</v>
      </c>
      <c r="AT53" s="27">
        <f t="array" ref="AT53">Calibration!sK*SUM(AT15:AU15*AT27:AU27)</f>
        <v>236599.18324251618</v>
      </c>
      <c r="AV53" s="27">
        <f t="array" ref="AV53">Calibration!sK*SUM(AV15:AW15*AV27:AW27)</f>
        <v>120039.80899511166</v>
      </c>
      <c r="XFD53" s="27"/>
    </row>
    <row r="55" spans="1:48 16321:16384" x14ac:dyDescent="0.2">
      <c r="A55" t="s">
        <v>153</v>
      </c>
      <c r="B55" s="183">
        <f>B30/B32</f>
        <v>0.19850271905982084</v>
      </c>
      <c r="D55" s="183">
        <f>D30/D32</f>
        <v>0.20111698705624723</v>
      </c>
      <c r="F55" s="183">
        <f>F30/F32</f>
        <v>0.20376611170724832</v>
      </c>
      <c r="H55" s="183">
        <f>H30/H32</f>
        <v>0.20645635037902804</v>
      </c>
      <c r="J55" s="183">
        <f>J30/J32</f>
        <v>0.20919525404029107</v>
      </c>
      <c r="L55" s="183">
        <f>L30/L32</f>
        <v>0.211991926027504</v>
      </c>
      <c r="N55" s="183">
        <f>N30/N32</f>
        <v>0.21485755819291366</v>
      </c>
      <c r="P55" s="183">
        <f>P30/P32</f>
        <v>0.21780602319213055</v>
      </c>
      <c r="R55" s="183">
        <f>R30/R32</f>
        <v>0.22085477278927071</v>
      </c>
      <c r="T55" s="183">
        <f>T30/T32</f>
        <v>0.22402604979051222</v>
      </c>
      <c r="V55" s="183">
        <f>V30/V32</f>
        <v>0.2273486003254436</v>
      </c>
      <c r="X55" s="183">
        <f>X30/X32</f>
        <v>0.23086003531464402</v>
      </c>
      <c r="Z55" s="183">
        <f>Z30/Z32</f>
        <v>0.23460980732511977</v>
      </c>
      <c r="AB55" s="183">
        <f>AB30/AB32</f>
        <v>0.2386625970009974</v>
      </c>
      <c r="AD55" s="183">
        <f>AD30/AD32</f>
        <v>0.24310015903203405</v>
      </c>
      <c r="AF55" s="183">
        <f>AF30/AF32</f>
        <v>0.24801645407762618</v>
      </c>
      <c r="AH55" s="183">
        <f>AH30/AH32</f>
        <v>0.2534942616945679</v>
      </c>
      <c r="AJ55" s="183">
        <f>AJ30/AJ32</f>
        <v>0.25954931134245146</v>
      </c>
      <c r="AL55" s="183">
        <f>AL30/AL32</f>
        <v>0.2660549913046959</v>
      </c>
      <c r="AN55" s="183">
        <f>AN30/AN32</f>
        <v>0.27272399124423763</v>
      </c>
      <c r="AP55" s="183">
        <f>AP30/AP32</f>
        <v>0.27404632939836854</v>
      </c>
      <c r="AR55" s="183">
        <f>AR30/AR32</f>
        <v>0.27535857825873322</v>
      </c>
      <c r="AT55" s="183">
        <f>AT30/AT32</f>
        <v>0.27665842133221297</v>
      </c>
      <c r="AV55" s="183">
        <f>AV30/AV32</f>
        <v>0.27794377945949517</v>
      </c>
      <c r="XCS55" s="183"/>
      <c r="XFD55" s="183"/>
    </row>
    <row r="56" spans="1:48 16321:16384" x14ac:dyDescent="0.2">
      <c r="A56" t="s">
        <v>154</v>
      </c>
      <c r="B56" s="183">
        <f>(Model!$C$52*B5*B20+B2*C5*C20)/B32</f>
        <v>2.9221206744340551E-2</v>
      </c>
      <c r="D56" s="183">
        <f>(Model!$C$52*D5*D20+D2*E5*E20)/D32</f>
        <v>3.2300716786413122E-2</v>
      </c>
      <c r="F56" s="183">
        <f>(Model!$C$52*F5*F20+F2*G5*G20)/F32</f>
        <v>3.542851349472894E-2</v>
      </c>
      <c r="H56" s="183">
        <f>(Model!$C$52*H5*H20+H2*I5*I20)/H32</f>
        <v>3.8612381354708861E-2</v>
      </c>
      <c r="J56" s="183">
        <f>(Model!$C$52*J5*J20+J2*K5*K20)/J32</f>
        <v>4.1861591819839922E-2</v>
      </c>
      <c r="L56" s="183">
        <f>(Model!$C$52*L5*L20+L2*M5*M20)/L32</f>
        <v>4.5187206782096548E-2</v>
      </c>
      <c r="N56" s="183">
        <f>(Model!$C$52*N5*N20+N2*O5*O20)/N32</f>
        <v>4.8602624940904386E-2</v>
      </c>
      <c r="P56" s="183">
        <f>(Model!$C$52*P5*P20+P2*Q5*Q20)/P32</f>
        <v>5.2124208863650198E-2</v>
      </c>
      <c r="R56" s="183">
        <f>(Model!$C$52*R5*R20+R2*S5*S20)/R32</f>
        <v>5.5772192357963379E-2</v>
      </c>
      <c r="T56" s="183">
        <f>(Model!$C$52*T5*T20+T2*U5*U20)/T32</f>
        <v>5.9571881766447822E-2</v>
      </c>
      <c r="V56" s="183">
        <f>(Model!$C$52*V5*V20+V2*W5*W20)/V32</f>
        <v>6.3555315617106381E-2</v>
      </c>
      <c r="X56" s="183">
        <f>(Model!$C$52*X5*X20+X2*Y5*Y20)/X32</f>
        <v>6.7763438822758648E-2</v>
      </c>
      <c r="Z56" s="183">
        <f>(Model!$C$52*Z5*Z20+Z2*AA5*AA20)/Z32</f>
        <v>7.2248735662683194E-2</v>
      </c>
      <c r="AB56" s="183">
        <f>(Model!$C$52*AB5*AB20+AB2*AC5*AC20)/AB32</f>
        <v>7.707782400470585E-2</v>
      </c>
      <c r="AD56" s="183">
        <f>(Model!$C$52*AD5*AD20+AD2*AE5*AE20)/AD32</f>
        <v>8.2331811804106342E-2</v>
      </c>
      <c r="AF56" s="183">
        <f>(Model!$C$52*AF5*AF20+AF2*AG5*AG20)/AF32</f>
        <v>8.8098753965613147E-2</v>
      </c>
      <c r="AH56" s="183">
        <f>(Model!$C$52*AH5*AH20+AH2*AI5*AI20)/AH32</f>
        <v>9.4446264230499483E-2</v>
      </c>
      <c r="AJ56" s="183">
        <f>(Model!$C$52*AJ5*AJ20+AJ2*AK5*AK20)/AJ32</f>
        <v>0.10136205622428793</v>
      </c>
      <c r="AL56" s="183">
        <f>(Model!$C$52*AL5*AL20+AL2*AM5*AM20)/AL32</f>
        <v>0.10868070138093469</v>
      </c>
      <c r="AN56" s="183">
        <f>(Model!$C$52*AN5*AN20+AN2*AO5*AO20)/AN32</f>
        <v>0.11607777177572608</v>
      </c>
      <c r="AP56" s="183">
        <f>(Model!$C$52*AP5*AP20+AP2*AQ5*AQ20)/AP32</f>
        <v>0.11753339318782176</v>
      </c>
      <c r="AR56" s="183">
        <f>(Model!$C$52*AR5*AR20+AR2*AS5*AS20)/AR32</f>
        <v>0.11897461983194814</v>
      </c>
      <c r="AT56" s="183">
        <f>(Model!$C$52*AT5*AT20+AT2*AU5*AU20)/AT32</f>
        <v>0.12039912635183601</v>
      </c>
      <c r="AV56" s="183">
        <f>(Model!$C$52*AV5*AV20+AV2*AW5*AW20)/AV32</f>
        <v>0.1218048569875617</v>
      </c>
      <c r="XFD56" s="183"/>
    </row>
    <row r="57" spans="1:48 16321:16384" x14ac:dyDescent="0.2">
      <c r="A57" t="s">
        <v>155</v>
      </c>
      <c r="B57" s="183">
        <f t="array" ref="B57">SUM(Model!tauL*B13:C13*B26:C26)/B32</f>
        <v>0.15852881819439493</v>
      </c>
      <c r="D57" s="183">
        <f t="array" ref="D57">SUM(Model!tauL*D13:E13*D26:E26)/D32</f>
        <v>0.15813324953628538</v>
      </c>
      <c r="F57" s="183">
        <f t="array" ref="F57">SUM(Model!tauL*F13:G13*F26:G26)/F32</f>
        <v>0.15772435924302566</v>
      </c>
      <c r="H57" s="183">
        <f t="array" ref="H57">SUM(Model!tauL*H13:I13*H26:I26)/H32</f>
        <v>0.1573006689860815</v>
      </c>
      <c r="J57" s="183">
        <f t="array" ref="J57">SUM(Model!tauL*J13:K13*J26:K26)/J32</f>
        <v>0.15686051167028678</v>
      </c>
      <c r="L57" s="183">
        <f t="array" ref="L57">SUM(Model!tauL*L13:M13*L26:M26)/L32</f>
        <v>0.15640199323296738</v>
      </c>
      <c r="N57" s="183">
        <f t="array" ref="N57">SUM(Model!tauL*N13:O13*N26:O26)/N32</f>
        <v>0.15592297716034187</v>
      </c>
      <c r="P57" s="183">
        <f t="array" ref="P57">SUM(Model!tauL*P13:Q13*P26:Q26)/P32</f>
        <v>0.15542105211512117</v>
      </c>
      <c r="R57" s="183">
        <f t="array" ref="R57">SUM(Model!tauL*R13:S13*R26:S26)/R32</f>
        <v>0.15489351828455949</v>
      </c>
      <c r="T57" s="183">
        <f t="array" ref="T57">SUM(Model!tauL*T13:U13*T26:U26)/T32</f>
        <v>0.15433739121990026</v>
      </c>
      <c r="V57" s="183">
        <f t="array" ref="V57">SUM(Model!tauL*V13:W13*V26:W26)/V32</f>
        <v>0.15374944055270506</v>
      </c>
      <c r="X57" s="183">
        <f t="array" ref="X57">SUM(Model!tauL*X13:Y13*X26:Y26)/X32</f>
        <v>0.15312634319980853</v>
      </c>
      <c r="Y57" s="183"/>
      <c r="Z57" s="183">
        <f t="array" ref="Z57">SUM(Model!tauL*Z13:AA13*Z26:AA26)/Z32</f>
        <v>0.15246498073649775</v>
      </c>
      <c r="AB57" s="183">
        <f t="array" ref="AB57">SUM(Model!tauL*AB13:AC13*AB26:AC26)/AB32</f>
        <v>0.15176312949235585</v>
      </c>
      <c r="AD57" s="183">
        <f t="array" ref="AD57">SUM(Model!tauL*AD13:AE13*AD26:AE26)/AD32</f>
        <v>0.15102079654631964</v>
      </c>
      <c r="AF57" s="183">
        <f t="array" ref="AF57">SUM(Model!tauL*AF13:AG13*AF26:AG26)/AF32</f>
        <v>0.15024267555166101</v>
      </c>
      <c r="AH57" s="183">
        <f t="array" ref="AH57">SUM(Model!tauL*AH13:AI13*AH26:AI26)/AH32</f>
        <v>0.14944193148299773</v>
      </c>
      <c r="AJ57" s="183">
        <f t="array" ref="AJ57">SUM(Model!tauL*AJ13:AK13*AJ26:AK26)/AJ32</f>
        <v>0.14864385159602786</v>
      </c>
      <c r="AL57" s="183">
        <f t="array" ref="AL57">SUM(Model!tauL*AL13:AM13*AL26:AM26)/AL32</f>
        <v>0.14788450608009043</v>
      </c>
      <c r="AN57" s="183">
        <f t="array" ref="AN57">SUM(Model!tauL*AN13:AO13*AN26:AO26)/AN32</f>
        <v>0.14719950293043124</v>
      </c>
      <c r="AP57" s="183">
        <f t="array" ref="AP57">SUM(Model!tauL*AP13:AQ13*AP26:AQ26)/AP32</f>
        <v>0.14707357366762244</v>
      </c>
      <c r="AR57" s="183">
        <f t="array" ref="AR57">SUM(Model!tauL*AR13:AS13*AR26:AS26)/AR32</f>
        <v>0.1469515529255141</v>
      </c>
      <c r="AT57" s="183">
        <f t="array" ref="AT57">SUM(Model!tauL*AT13:AU13*AT26:AU26)/AT32</f>
        <v>0.14683346359735694</v>
      </c>
      <c r="AV57" s="183">
        <f t="array" ref="AV57">SUM(Model!tauL*AV13:AW13*AV26:AW26)/AV32</f>
        <v>0.14671929770211817</v>
      </c>
      <c r="XFD57" s="183"/>
    </row>
    <row r="58" spans="1:48 16321:16384" x14ac:dyDescent="0.2">
      <c r="A58" t="s">
        <v>156</v>
      </c>
      <c r="B58" s="183">
        <f t="array" ref="B58">SUM(Model!tauY/(1+Model!tauY)*B3:C3*B18:C18)/B32</f>
        <v>1.075269412108535E-2</v>
      </c>
      <c r="D58" s="183">
        <f t="array" ref="D58">SUM(Model!tauY/(1+Model!tauY)*D3:E3*D18:E18)/D32</f>
        <v>1.0683020733548735E-2</v>
      </c>
      <c r="F58" s="183">
        <f t="array" ref="F58">SUM(Model!tauY/(1+Model!tauY)*F3:G3*F18:G18)/F32</f>
        <v>1.061323896949368E-2</v>
      </c>
      <c r="H58" s="183">
        <f t="array" ref="H58">SUM(Model!tauY/(1+Model!tauY)*H3:I3*H18:I18)/H32</f>
        <v>1.0543300038237698E-2</v>
      </c>
      <c r="J58" s="183">
        <f t="array" ref="J58">SUM(Model!tauY/(1+Model!tauY)*J3:K3*J18:K18)/J32</f>
        <v>1.0473150550164376E-2</v>
      </c>
      <c r="L58" s="183">
        <f t="array" ref="L58">SUM(Model!tauY/(1+Model!tauY)*L3:M3*L18:M18)/L32</f>
        <v>1.0402726012440047E-2</v>
      </c>
      <c r="N58" s="183">
        <f t="array" ref="N58">SUM(Model!tauY/(1+Model!tauY)*N3:O3*N18:O18)/N32</f>
        <v>1.0331956091667434E-2</v>
      </c>
      <c r="P58" s="183">
        <f t="array" ref="P58">SUM(Model!tauY/(1+Model!tauY)*P3:Q3*P18:Q18)/P32</f>
        <v>1.0260762213359182E-2</v>
      </c>
      <c r="R58" s="183">
        <f t="array" ref="R58">SUM(Model!tauY/(1+Model!tauY)*R3:S3*R18:S18)/R32</f>
        <v>1.0189062146747804E-2</v>
      </c>
      <c r="T58" s="183">
        <f t="array" ref="T58">SUM(Model!tauY/(1+Model!tauY)*T3:U3*T18:U18)/T32</f>
        <v>1.0116776804164149E-2</v>
      </c>
      <c r="V58" s="183">
        <f t="array" ref="V58">SUM(Model!tauY/(1+Model!tauY)*V3:W3*V18:W18)/V32</f>
        <v>1.0043844155632186E-2</v>
      </c>
      <c r="X58" s="183">
        <f t="array" ref="X58">SUM(Model!tauY/(1+Model!tauY)*X3:Y3*X18:Y18)/X32</f>
        <v>9.970253292076816E-3</v>
      </c>
      <c r="Y58" s="183"/>
      <c r="Z58" s="183">
        <f t="array" ref="Z58">SUM(Model!tauY/(1+Model!tauY)*Z3:AA3*Z18:AA18)/Z32</f>
        <v>9.8960909259388288E-3</v>
      </c>
      <c r="AB58" s="183">
        <f t="array" ref="AB58">SUM(Model!tauY/(1+Model!tauY)*AB3:AC3*AB18:AC18)/AB32</f>
        <v>9.8216435039357071E-3</v>
      </c>
      <c r="AD58" s="183">
        <f t="array" ref="AD58">SUM(Model!tauY/(1+Model!tauY)*AD3:AE3*AD18:AE18)/AD32</f>
        <v>9.7475506816080693E-3</v>
      </c>
      <c r="AF58" s="183">
        <f t="array" ref="AF58">SUM(Model!tauY/(1+Model!tauY)*AF3:AG3*AF18:AG18)/AF32</f>
        <v>9.6750245603520486E-3</v>
      </c>
      <c r="AH58" s="183">
        <f t="array" ref="AH58">SUM(Model!tauY/(1+Model!tauY)*AH3:AI3*AH18:AI18)/AH32</f>
        <v>9.6060659810706696E-3</v>
      </c>
      <c r="AJ58" s="183">
        <f t="array" ref="AJ58">SUM(Model!tauY/(1+Model!tauY)*AJ3:AK3*AJ18:AK18)/AJ32</f>
        <v>9.5434035221356461E-3</v>
      </c>
      <c r="AL58" s="183">
        <f t="array" ref="AL58">SUM(Model!tauY/(1+Model!tauY)*AL3:AM3*AL18:AM18)/AL32</f>
        <v>9.489783843670772E-3</v>
      </c>
      <c r="AN58" s="183">
        <f t="array" ref="AN58">SUM(Model!tauY/(1+Model!tauY)*AN3:AO3*AN18:AO18)/AN32</f>
        <v>9.4467165380802826E-3</v>
      </c>
      <c r="AP58" s="183">
        <f t="array" ref="AP58">SUM(Model!tauY/(1+Model!tauY)*AP3:AQ3*AP18:AQ18)/AP32</f>
        <v>9.4393625429242956E-3</v>
      </c>
      <c r="AR58" s="183">
        <f t="array" ref="AR58">SUM(Model!tauY/(1+Model!tauY)*AR3:AS3*AR18:AS18)/AR32</f>
        <v>9.4324055012709671E-3</v>
      </c>
      <c r="AT58" s="183">
        <f t="array" ref="AT58">SUM(Model!tauY/(1+Model!tauY)*AT3:AU3*AT18:AU18)/AT32</f>
        <v>9.425831383020028E-3</v>
      </c>
      <c r="AV58" s="183">
        <f t="array" ref="AV58">SUM(Model!tauY/(1+Model!tauY)*AV3:AW3*AV18:AW18)/AV32</f>
        <v>9.4196247698153032E-3</v>
      </c>
      <c r="XFD58" s="183"/>
    </row>
    <row r="59" spans="1:48 16321:16384" x14ac:dyDescent="0.2">
      <c r="A59" t="s">
        <v>157</v>
      </c>
      <c r="B59" s="183">
        <f>(B2*C5*C20)/B32</f>
        <v>5.5174232040962052E-4</v>
      </c>
      <c r="D59" s="183">
        <f>(D2*E5*E20)/D32</f>
        <v>3.6576967796977081E-3</v>
      </c>
      <c r="F59" s="183">
        <f>(F2*G5*G20)/F32</f>
        <v>6.8113827716946495E-3</v>
      </c>
      <c r="H59" s="183">
        <f>(H2*I5*I20)/H32</f>
        <v>1.0020529480011297E-2</v>
      </c>
      <c r="J59" s="183">
        <f>(J2*K5*K20)/J32</f>
        <v>1.3294341756806289E-2</v>
      </c>
      <c r="L59" s="183">
        <f>(L2*M5*M20)/L32</f>
        <v>1.6643802986218408E-2</v>
      </c>
      <c r="N59" s="183">
        <f>(N2*O5*O20)/N32</f>
        <v>2.0082216876908789E-2</v>
      </c>
      <c r="P59" s="183">
        <f>(P2*Q5*Q20)/P32</f>
        <v>2.3625832129666666E-2</v>
      </c>
      <c r="R59" s="183">
        <f>(R2*S5*S20)/R32</f>
        <v>2.7294745302893365E-2</v>
      </c>
      <c r="T59" s="183">
        <f>(T2*U5*U20)/T32</f>
        <v>3.1114097823230425E-2</v>
      </c>
      <c r="V59" s="183">
        <f>(V2*W5*W20)/V32</f>
        <v>3.511573219961301E-2</v>
      </c>
      <c r="X59" s="183">
        <f>(X2*Y5*Y20)/X32</f>
        <v>3.9340362169391865E-2</v>
      </c>
      <c r="Z59" s="183">
        <f>(Z2*AA5*AA20)/Z32</f>
        <v>4.3840212667441661E-2</v>
      </c>
      <c r="AB59" s="183">
        <f>(AB2*AC5*AC20)/AB32</f>
        <v>4.8681628315244072E-2</v>
      </c>
      <c r="AD59" s="183">
        <f>(AD2*AE5*AE20)/AD32</f>
        <v>5.3945473715608983E-2</v>
      </c>
      <c r="AF59" s="183">
        <f>(AF2*AG5*AG20)/AF32</f>
        <v>5.9719677917023532E-2</v>
      </c>
      <c r="AH59" s="183">
        <f>(AH2*AI5*AI20)/AH32</f>
        <v>6.6071973437835593E-2</v>
      </c>
      <c r="AJ59" s="183">
        <f>(AJ2*AK5*AK20)/AJ32</f>
        <v>7.2990554288789922E-2</v>
      </c>
      <c r="AL59" s="183">
        <f>(AL2*AM5*AM20)/AL32</f>
        <v>8.0310775545833435E-2</v>
      </c>
      <c r="AN59" s="183">
        <f>(AN2*AO5*AO20)/AN32</f>
        <v>8.7708981257181462E-2</v>
      </c>
      <c r="AP59" s="183">
        <f>(AP2*AQ5*AQ20)/AP32</f>
        <v>8.9164822625036347E-2</v>
      </c>
      <c r="AR59" s="183">
        <f>(AR2*AS5*AS20)/AR32</f>
        <v>9.0606271957840476E-2</v>
      </c>
      <c r="AT59" s="183">
        <f>(AT2*AU5*AU20)/AT32</f>
        <v>9.2031004846912873E-2</v>
      </c>
      <c r="AV59" s="183">
        <f>(AV2*AW5*AW20)/AV32</f>
        <v>9.3436965964530203E-2</v>
      </c>
      <c r="XFD59" s="183"/>
    </row>
    <row r="60" spans="1:48 16321:16384" x14ac:dyDescent="0.2">
      <c r="A60" t="s">
        <v>158</v>
      </c>
      <c r="B60" s="183">
        <f>Model!$C$52*B5*B20/B32</f>
        <v>2.8669464423930927E-2</v>
      </c>
      <c r="D60" s="183">
        <f>Model!$C$52*D5*D20/D32</f>
        <v>2.8643020006715418E-2</v>
      </c>
      <c r="F60" s="183">
        <f>Model!$C$52*F5*F20/F32</f>
        <v>2.8617130723034293E-2</v>
      </c>
      <c r="H60" s="183">
        <f>Model!$C$52*H5*H20/H32</f>
        <v>2.8591851874697566E-2</v>
      </c>
      <c r="J60" s="183">
        <f>Model!$C$52*J5*J20/J32</f>
        <v>2.8567250063033626E-2</v>
      </c>
      <c r="L60" s="183">
        <f>Model!$C$52*L5*L20/L32</f>
        <v>2.8543403795878143E-2</v>
      </c>
      <c r="N60" s="183">
        <f>Model!$C$52*N5*N20/N32</f>
        <v>2.8520408063995594E-2</v>
      </c>
      <c r="P60" s="183">
        <f>Model!$C$52*P5*P20/P32</f>
        <v>2.8498376733983529E-2</v>
      </c>
      <c r="R60" s="183">
        <f>Model!$C$52*R5*R20/R32</f>
        <v>2.8477447055070017E-2</v>
      </c>
      <c r="T60" s="183">
        <f>Model!$C$52*T5*T20/T32</f>
        <v>2.8457783943217397E-2</v>
      </c>
      <c r="V60" s="183">
        <f>Model!$C$52*V5*V20/V32</f>
        <v>2.8439583417493367E-2</v>
      </c>
      <c r="X60" s="183">
        <f>Model!$C$52*X5*X20/X32</f>
        <v>2.8423076653366786E-2</v>
      </c>
      <c r="Z60" s="183">
        <f>Model!$C$52*Z5*Z20/Z32</f>
        <v>2.8408522995241534E-2</v>
      </c>
      <c r="AB60" s="183">
        <f>Model!$C$52*AB5*AB20/AB32</f>
        <v>2.8396195689461778E-2</v>
      </c>
      <c r="AD60" s="183">
        <f>Model!$C$52*AD5*AD20/AD32</f>
        <v>2.8386338088497356E-2</v>
      </c>
      <c r="AF60" s="183">
        <f>Model!$C$52*AF5*AF20/AF32</f>
        <v>2.8379076048589615E-2</v>
      </c>
      <c r="AH60" s="183">
        <f>Model!$C$52*AH5*AH20/AH32</f>
        <v>2.8374290792663893E-2</v>
      </c>
      <c r="AJ60" s="183">
        <f>Model!$C$52*AJ5*AJ20/AJ32</f>
        <v>2.8371501935498013E-2</v>
      </c>
      <c r="AL60" s="183">
        <f>Model!$C$52*AL5*AL20/AL32</f>
        <v>2.8369925835101267E-2</v>
      </c>
      <c r="AN60" s="183">
        <f>Model!$C$52*AN5*AN20/AN32</f>
        <v>2.8368790518544604E-2</v>
      </c>
      <c r="AP60" s="183">
        <f>Model!$C$52*AP5*AP20/AP32</f>
        <v>2.8368570562785418E-2</v>
      </c>
      <c r="AR60" s="183">
        <f>Model!$C$52*AR5*AR20/AR32</f>
        <v>2.8368347874107663E-2</v>
      </c>
      <c r="AT60" s="183">
        <f>Model!$C$52*AT5*AT20/AT32</f>
        <v>2.8368121504923152E-2</v>
      </c>
      <c r="AV60" s="183">
        <f>Model!$C$52*AV5*AV20/AV32</f>
        <v>2.8367891023031486E-2</v>
      </c>
      <c r="XFD60" s="183"/>
    </row>
    <row r="62" spans="1:48 16321:16384" x14ac:dyDescent="0.2">
      <c r="A62" t="s">
        <v>159</v>
      </c>
      <c r="B62">
        <f>B13/B15</f>
        <v>1</v>
      </c>
      <c r="D62">
        <f>D13/D15</f>
        <v>0.99974385294580748</v>
      </c>
      <c r="F62">
        <f>F13/F15</f>
        <v>0.99939562989575259</v>
      </c>
      <c r="H62">
        <f>H13/H15</f>
        <v>0.99895126604513018</v>
      </c>
      <c r="J62">
        <f>J13/J15</f>
        <v>0.99840774451540748</v>
      </c>
      <c r="L62">
        <f>L13/L15</f>
        <v>0.99776381723489727</v>
      </c>
      <c r="N62">
        <f>N13/N15</f>
        <v>0.99702126453817086</v>
      </c>
      <c r="P62">
        <f>P13/P15</f>
        <v>0.99618675743638918</v>
      </c>
      <c r="R62">
        <f>R13/R15</f>
        <v>0.99527482841916382</v>
      </c>
      <c r="T62">
        <f>T13/T15</f>
        <v>0.9943125291138577</v>
      </c>
      <c r="V62">
        <f>V13/V15</f>
        <v>0.99334668067979293</v>
      </c>
      <c r="X62">
        <f>X13/X15</f>
        <v>0.99245538277207346</v>
      </c>
      <c r="Z62">
        <f>Z13/Z15</f>
        <v>0.99176573081175767</v>
      </c>
      <c r="AB62">
        <f>AB13/AB15</f>
        <v>0.99148006203568073</v>
      </c>
      <c r="AD62">
        <f>AD13/AD15</f>
        <v>0.99191087993807336</v>
      </c>
      <c r="AF62">
        <f>AF13/AF15</f>
        <v>0.99351515038203675</v>
      </c>
      <c r="AH62">
        <f>AH13/AH15</f>
        <v>0.99688974410076703</v>
      </c>
      <c r="AJ62">
        <f>AJ13/AJ15</f>
        <v>1.0026486509643826</v>
      </c>
      <c r="AL62">
        <f>AL13/AL15</f>
        <v>1.011122362923401</v>
      </c>
      <c r="AN62">
        <f>AN13/AN15</f>
        <v>1.0220442262327394</v>
      </c>
      <c r="AP62">
        <f>AP13/AP15</f>
        <v>1.0244555675441869</v>
      </c>
      <c r="AR62">
        <f>AR13/AR15</f>
        <v>1.0269241565552403</v>
      </c>
      <c r="AT62">
        <f>AT13/AT15</f>
        <v>1.0294417781925882</v>
      </c>
      <c r="AV62">
        <f>AV13/AV15</f>
        <v>1.0320003430020996</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0.99917289146211796</v>
      </c>
      <c r="E65" s="181"/>
      <c r="F65" s="181">
        <f t="array" ref="F65">SQRT((F9:G9*$B$22:$C$22+F10:G10*$B$23:$C$23+F11:G11*$B$24:$C$24+F4:G4*($B$25:$C$25-$B$19:$C$19))/($B$9:$C$9*$B$22:$C$22+$B$10:$C$10*$B$23:$C$23+$B$11:$C$11*$B$24:$C$24+$B$4:$C$4*($B$25:$C$25-$B$19:$C$19))*(F9:G9*F22:G22+F10:G10*F23:G23+F11:G11*F24:G24+F4:G4*(F25:G25-F19:G19))/($B$9:$C$9*F22:G22+$B$10:$C$10*F23:G23+$B$11:$C$11*F24:G24+$B$4:$C$4*(F25:G25-F19:G19)))</f>
        <v>0.99833472749694507</v>
      </c>
      <c r="G65" s="181"/>
      <c r="H65" s="181">
        <f t="array" ref="H65">SQRT((H9:I9*$B$22:$C$22+H10:I10*$B$23:$C$23+H11:I11*$B$24:$C$24+H4:I4*($B$25:$C$25-$B$19:$C$19))/($B$9:$C$9*$B$22:$C$22+$B$10:$C$10*$B$23:$C$23+$B$11:$C$11*$B$24:$C$24+$B$4:$C$4*($B$25:$C$25-$B$19:$C$19))*(H9:I9*H22:I22+H10:I10*H23:I23+H11:I11*H24:I24+H4:I4*(H25:I25-H19:I19))/($B$9:$C$9*H22:I22+$B$10:$C$10*H23:I23+$B$11:$C$11*H24:I24+$B$4:$C$4*(H25:I25-H19:I19)))</f>
        <v>0.9974832535927256</v>
      </c>
      <c r="I65" s="181"/>
      <c r="J65" s="181">
        <f t="array" ref="J65">SQRT((J9:K9*$B$22:$C$22+J10:K10*$B$23:$C$23+J11:K11*$B$24:$C$24+J4:K4*($B$25:$C$25-$B$19:$C$19))/($B$9:$C$9*$B$22:$C$22+$B$10:$C$10*$B$23:$C$23+$B$11:$C$11*$B$24:$C$24+$B$4:$C$4*($B$25:$C$25-$B$19:$C$19))*(J9:K9*J22:K22+J10:K10*J23:K23+J11:K11*J24:K24+J4:K4*(J25:K25-J19:K19))/($B$9:$C$9*J22:K22+$B$10:$C$10*J23:K23+$B$11:$C$11*J24:K24+$B$4:$C$4*(J25:K25-J19:K19)))</f>
        <v>0.99661588815440816</v>
      </c>
      <c r="K65" s="181"/>
      <c r="L65" s="181">
        <f t="array" ref="L65">SQRT((L9:M9*$B$22:$C$22+L10:M10*$B$23:$C$23+L11:M11*$B$24:$C$24+L4:M4*($B$25:$C$25-$B$19:$C$19))/($B$9:$C$9*$B$22:$C$22+$B$10:$C$10*$B$23:$C$23+$B$11:$C$11*$B$24:$C$24+$B$4:$C$4*($B$25:$C$25-$B$19:$C$19))*(L9:M9*L22:M22+L10:M10*L23:M23+L11:M11*L24:M24+L4:M4*(L25:M25-L19:M19))/($B$9:$C$9*L22:M22+$B$10:$C$10*L23:M23+$B$11:$C$11*L24:M24+$B$4:$C$4*(L25:M25-L19:M19)))</f>
        <v>0.99572968139919815</v>
      </c>
      <c r="M65" s="181"/>
      <c r="N65" s="181">
        <f t="array" ref="N65">SQRT((N9:O9*$B$22:$C$22+N10:O10*$B$23:$C$23+N11:O11*$B$24:$C$24+N4:O4*($B$25:$C$25-$B$19:$C$19))/($B$9:$C$9*$B$22:$C$22+$B$10:$C$10*$B$23:$C$23+$B$11:$C$11*$B$24:$C$24+$B$4:$C$4*($B$25:$C$25-$B$19:$C$19))*(N9:O9*N22:O22+N10:O10*N23:O23+N11:O11*N24:O24+N4:O4*(N25:O25-N19:O19))/($B$9:$C$9*N22:O22+$B$10:$C$10*N23:O23+$B$11:$C$11*N24:O24+$B$4:$C$4*(N25:O25-N19:O19)))</f>
        <v>0.99482138329070624</v>
      </c>
      <c r="O65" s="181"/>
      <c r="P65" s="181">
        <f t="array" ref="P65">SQRT((P9:Q9*$B$22:$C$22+P10:Q10*$B$23:$C$23+P11:Q11*$B$24:$C$24+P4:Q4*($B$25:$C$25-$B$19:$C$19))/($B$9:$C$9*$B$22:$C$22+$B$10:$C$10*$B$23:$C$23+$B$11:$C$11*$B$24:$C$24+$B$4:$C$4*($B$25:$C$25-$B$19:$C$19))*(P9:Q9*P22:Q22+P10:Q10*P23:Q23+P11:Q11*P24:Q24+P4:Q4*(P25:Q25-P19:Q19))/($B$9:$C$9*P22:Q22+$B$10:$C$10*P23:Q23+$B$11:$C$11*P24:Q24+$B$4:$C$4*(P25:Q25-P19:Q19)))</f>
        <v>0.99388754144924496</v>
      </c>
      <c r="Q65" s="181"/>
      <c r="R65" s="181">
        <f t="array" ref="R65">SQRT((R9:S9*$B$22:$C$22+R10:S10*$B$23:$C$23+R11:S11*$B$24:$C$24+R4:S4*($B$25:$C$25-$B$19:$C$19))/($B$9:$C$9*$B$22:$C$22+$B$10:$C$10*$B$23:$C$23+$B$11:$C$11*$B$24:$C$24+$B$4:$C$4*($B$25:$C$25-$B$19:$C$19))*(R9:S9*R22:S22+R10:S10*R23:S23+R11:S11*R24:S24+R4:S4*(R25:S25-R19:S19))/($B$9:$C$9*R22:S22+$B$10:$C$10*R23:S23+$B$11:$C$11*R24:S24+$B$4:$C$4*(R25:S25-R19:S19)))</f>
        <v>0.99292476920294981</v>
      </c>
      <c r="S65" s="181"/>
      <c r="T65" s="181">
        <f t="array" ref="T65">SQRT((T9:U9*$B$22:$C$22+T10:U10*$B$23:$C$23+T11:U11*$B$24:$C$24+T4:U4*($B$25:$C$25-$B$19:$C$19))/($B$9:$C$9*$B$22:$C$22+$B$10:$C$10*$B$23:$C$23+$B$11:$C$11*$B$24:$C$24+$B$4:$C$4*($B$25:$C$25-$B$19:$C$19))*(T9:U9*T22:U22+T10:U10*T23:U23+T11:U11*T24:U24+T4:U4*(T25:U25-T19:U19))/($B$9:$C$9*T22:U22+$B$10:$C$10*T23:U23+$B$11:$C$11*T24:U24+$B$4:$C$4*(T25:U25-T19:U19)))</f>
        <v>0.99193026309373022</v>
      </c>
      <c r="U65" s="181"/>
      <c r="V65" s="181">
        <f t="array" ref="V65">SQRT((V9:W9*$B$22:$C$22+V10:W10*$B$23:$C$23+V11:W11*$B$24:$C$24+V4:W4*($B$25:$C$25-$B$19:$C$19))/($B$9:$C$9*$B$22:$C$22+$B$10:$C$10*$B$23:$C$23+$B$11:$C$11*$B$24:$C$24+$B$4:$C$4*($B$25:$C$25-$B$19:$C$19))*(V9:W9*V22:W22+V10:W10*V23:W23+V11:W11*V24:W24+V4:W4*(V25:W25-V19:W19))/($B$9:$C$9*V22:W22+$B$10:$C$10*V23:W23+$B$11:$C$11*V24:W24+$B$4:$C$4*(V25:W25-V19:W19)))</f>
        <v>0.99090276707996472</v>
      </c>
      <c r="W65" s="181"/>
      <c r="X65" s="181">
        <f t="array" ref="X65">SQRT((X9:Y9*$B$22:$C$22+X10:Y10*$B$23:$C$23+X11:Y11*$B$24:$C$24+X4:Y4*($B$25:$C$25-$B$19:$C$19))/($B$9:$C$9*$B$22:$C$22+$B$10:$C$10*$B$23:$C$23+$B$11:$C$11*$B$24:$C$24+$B$4:$C$4*($B$25:$C$25-$B$19:$C$19))*(X9:Y9*X22:Y22+X10:Y10*X23:Y23+X11:Y11*X24:Y24+X4:Y4*(X25:Y25-X19:Y19))/($B$9:$C$9*X22:Y22+$B$10:$C$10*X23:Y23+$B$11:$C$11*X24:Y24+$B$4:$C$4*(X25:Y25-X19:Y19)))</f>
        <v>0.98984430802239065</v>
      </c>
      <c r="Y65" s="181"/>
      <c r="Z65" s="181">
        <f t="array" ref="Z65">SQRT((Z9:AA9*$B$22:$C$22+Z10:AA10*$B$23:$C$23+Z11:AA11*$B$24:$C$24+Z4:AA4*($B$25:$C$25-$B$19:$C$19))/($B$9:$C$9*$B$22:$C$22+$B$10:$C$10*$B$23:$C$23+$B$11:$C$11*$B$24:$C$24+$B$4:$C$4*($B$25:$C$25-$B$19:$C$19))*(Z9:AA9*Z22:AA22+Z10:AA10*Z23:AA23+Z11:AA11*Z24:AA24+Z4:AA4*(Z25:AA25-Z19:AA19))/($B$9:$C$9*Z22:AA22+$B$10:$C$10*Z23:AA23+$B$11:$C$11*Z24:AA24+$B$4:$C$4*(Z25:AA25-Z19:AA19)))</f>
        <v>0.98876314119933861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0.9876785201625371</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0.98662756626924386</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0.98567298919039659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0.98490533691612425</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0.98442616966084628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0.98430174596258313</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0.98451384176950152</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0.98458884826341098</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0.98467246980036438</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0.98476369910416672</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0.98486154718632524</v>
      </c>
    </row>
    <row r="66" spans="1:48 16384:16384" x14ac:dyDescent="0.2">
      <c r="A66" t="s">
        <v>166</v>
      </c>
      <c r="B66" s="181">
        <f t="array" ref="B66">SQRT((B9:C9*$B$22:$C$22)/($B$9:$C$9*$B$22:$C$22)*(B9:C9*B22:C22)/($B$9:$C$9*B22:C22))</f>
        <v>1</v>
      </c>
      <c r="C66" s="181"/>
      <c r="D66" s="181">
        <f t="array" ref="D66">SQRT((D9:E9*$B$22:$C$22)/($B$9:$C$9*$B$22:$C$22)*(D9:E9*D22:E22)/($B$9:$C$9*D22:E22))</f>
        <v>0.9990907230454148</v>
      </c>
      <c r="E66" s="181"/>
      <c r="F66" s="181">
        <f t="array" ref="F66">SQRT((F9:G9*$B$22:$C$22)/($B$9:$C$9*$B$22:$C$22)*(F9:G9*F22:G22)/($B$9:$C$9*F22:G22))</f>
        <v>0.9981687510254259</v>
      </c>
      <c r="G66" s="181"/>
      <c r="H66" s="181">
        <f t="array" ref="H66">SQRT((H9:I9*$B$22:$C$22)/($B$9:$C$9*$B$22:$C$22)*(H9:I9*H22:I22)/($B$9:$C$9*H22:I22))</f>
        <v>0.99723157725514155</v>
      </c>
      <c r="I66" s="181"/>
      <c r="J66" s="181">
        <f t="array" ref="J66">SQRT((J9:K9*$B$22:$C$22)/($B$9:$C$9*$B$22:$C$22)*(J9:K9*J22:K22)/($B$9:$C$9*J22:K22))</f>
        <v>0.99627632737979277</v>
      </c>
      <c r="K66" s="181"/>
      <c r="L66" s="181">
        <f t="array" ref="L66">SQRT((L9:M9*$B$22:$C$22)/($B$9:$C$9*$B$22:$C$22)*(L9:M9*L22:M22)/($B$9:$C$9*L22:M22))</f>
        <v>0.99529971241029802</v>
      </c>
      <c r="M66" s="181"/>
      <c r="N66" s="181">
        <f t="array" ref="N66">SQRT((N9:O9*$B$22:$C$22)/($B$9:$C$9*$B$22:$C$22)*(N9:O9*N22:O22)/($B$9:$C$9*N22:O22))</f>
        <v>0.99429810170356581</v>
      </c>
      <c r="O66" s="181"/>
      <c r="P66" s="181">
        <f t="array" ref="P66">SQRT((P9:Q9*$B$22:$C$22)/($B$9:$C$9*$B$22:$C$22)*(P9:Q9*P22:Q22)/($B$9:$C$9*P22:Q22))</f>
        <v>0.99326762913562261</v>
      </c>
      <c r="Q66" s="181"/>
      <c r="R66" s="181">
        <f t="array" ref="R66">SQRT((R9:S9*$B$22:$C$22)/($B$9:$C$9*$B$22:$C$22)*(R9:S9*R22:S22)/($B$9:$C$9*R22:S22))</f>
        <v>0.99220448752041857</v>
      </c>
      <c r="S66" s="181"/>
      <c r="T66" s="181">
        <f t="array" ref="T66">SQRT((T9:U9*$B$22:$C$22)/($B$9:$C$9*$B$22:$C$22)*(T9:U9*T22:U22)/($B$9:$C$9*T22:U22))</f>
        <v>0.99110550003958797</v>
      </c>
      <c r="U66" s="181"/>
      <c r="V66" s="181">
        <f t="array" ref="V66">SQRT((V9:W9*$B$22:$C$22)/($B$9:$C$9*$B$22:$C$22)*(V9:W9*V22:W22)/($B$9:$C$9*V22:W22))</f>
        <v>0.98996918875897255</v>
      </c>
      <c r="W66" s="181"/>
      <c r="X66" s="181">
        <f t="array" ref="X66">SQRT((X9:Y9*$B$22:$C$22)/($B$9:$C$9*$B$22:$C$22)*(X9:Y9*X22:Y22)/($B$9:$C$9*X22:Y22))</f>
        <v>0.98879770307455239</v>
      </c>
      <c r="Y66" s="181"/>
      <c r="Z66" s="181">
        <f t="array" ref="Z66">SQRT((Z9:AA9*$B$22:$C$22)/($B$9:$C$9*$B$22:$C$22)*(Z9:AA9*Z22:AA22)/($B$9:$C$9*Z22:AA22))</f>
        <v>0.98760010062184411</v>
      </c>
      <c r="AA66" s="181"/>
      <c r="AB66" s="181">
        <f t="array" ref="AB66">SQRT((AB9:AC9*$B$22:$C$22)/($B$9:$C$9*$B$22:$C$22)*(AB9:AC9*AB22:AC22)/($B$9:$C$9*AB22:AC22))</f>
        <v>0.9863976713215632</v>
      </c>
      <c r="AC66" s="181"/>
      <c r="AD66" s="181">
        <f t="array" ref="AD66">SQRT((AD9:AE9*$B$22:$C$22)/($B$9:$C$9*$B$22:$C$22)*(AD9:AE9*AD22:AE22)/($B$9:$C$9*AD22:AE22))</f>
        <v>0.98523162193600478</v>
      </c>
      <c r="AE66" s="181"/>
      <c r="AF66" s="181">
        <f t="array" ref="AF66">SQRT((AF9:AG9*$B$22:$C$22)/($B$9:$C$9*$B$22:$C$22)*(AF9:AG9*AF22:AG22)/($B$9:$C$9*AF22:AG22))</f>
        <v>0.98417173763083687</v>
      </c>
      <c r="AG66" s="181"/>
      <c r="AH66" s="181">
        <f t="array" ref="AH66">SQRT((AH9:AI9*$B$22:$C$22)/($B$9:$C$9*$B$22:$C$22)*(AH9:AI9*AH22:AI22)/($B$9:$C$9*AH22:AI22))</f>
        <v>0.9833189617823429</v>
      </c>
      <c r="AI66" s="181"/>
      <c r="AJ66" s="181">
        <f t="array" ref="AJ66">SQRT((AJ9:AK9*$B$22:$C$22)/($B$9:$C$9*$B$22:$C$22)*(AJ9:AK9*AJ22:AK22)/($B$9:$C$9*AJ22:AK22))</f>
        <v>0.98278666382838475</v>
      </c>
      <c r="AK66" s="181"/>
      <c r="AL66" s="181">
        <f t="array" ref="AL66">SQRT((AL9:AM9*$B$22:$C$22)/($B$9:$C$9*$B$22:$C$22)*(AL9:AM9*AL22:AM22)/($B$9:$C$9*AL22:AM22))</f>
        <v>0.9826489114726924</v>
      </c>
      <c r="AM66" s="181"/>
      <c r="AN66" s="181">
        <f t="array" ref="AN66">SQRT((AN9:AO9*$B$22:$C$22)/($B$9:$C$9*$B$22:$C$22)*(AN9:AO9*AN22:AO22)/($B$9:$C$9*AN22:AO22))</f>
        <v>0.98288549846632778</v>
      </c>
      <c r="AO66" s="181"/>
      <c r="AP66" s="181">
        <f t="array" ref="AP66">SQRT((AP9:AQ9*$B$22:$C$22)/($B$9:$C$9*$B$22:$C$22)*(AP9:AQ9*AP22:AQ22)/($B$9:$C$9*AP22:AQ22))</f>
        <v>0.98296904907761185</v>
      </c>
      <c r="AQ66" s="181"/>
      <c r="AR66" s="181">
        <f t="array" ref="AR66">SQRT((AR9:AS9*$B$22:$C$22)/($B$9:$C$9*$B$22:$C$22)*(AR9:AS9*AR22:AS22)/($B$9:$C$9*AR22:AS22))</f>
        <v>0.98306217242213023</v>
      </c>
      <c r="AS66" s="181"/>
      <c r="AT66" s="181">
        <f t="array" ref="AT66">SQRT((AT9:AU9*$B$22:$C$22)/($B$9:$C$9*$B$22:$C$22)*(AT9:AU9*AT22:AU22)/($B$9:$C$9*AT22:AU22))</f>
        <v>0.98316374600399314</v>
      </c>
      <c r="AU66" s="181"/>
      <c r="AV66" s="181">
        <f t="array" ref="AV66">SQRT((AV9:AW9*$B$22:$C$22)/($B$9:$C$9*$B$22:$C$22)*(AV9:AW9*AV22:AW22)/($B$9:$C$9*AV22:AW22))</f>
        <v>0.98327266788757428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0.9990907230454148</v>
      </c>
      <c r="E68" s="181"/>
      <c r="F68" s="181">
        <f>F66/F67</f>
        <v>0.9981687510254259</v>
      </c>
      <c r="G68" s="181"/>
      <c r="H68" s="181">
        <f>H66/H67</f>
        <v>0.99723157725514155</v>
      </c>
      <c r="I68" s="181"/>
      <c r="J68" s="181">
        <f>J66/J67</f>
        <v>0.99627632737979277</v>
      </c>
      <c r="K68" s="181"/>
      <c r="L68" s="181">
        <f>L66/L67</f>
        <v>0.99529971241029802</v>
      </c>
      <c r="M68" s="181"/>
      <c r="N68" s="181">
        <f>N66/N67</f>
        <v>0.99429810170356581</v>
      </c>
      <c r="O68" s="181"/>
      <c r="P68" s="181">
        <f>P66/P67</f>
        <v>0.99326762913562261</v>
      </c>
      <c r="Q68" s="181"/>
      <c r="R68" s="181">
        <f>R66/R67</f>
        <v>0.99220448752041857</v>
      </c>
      <c r="S68" s="181"/>
      <c r="T68" s="181">
        <f>T66/T67</f>
        <v>0.99110550003958797</v>
      </c>
      <c r="U68" s="181"/>
      <c r="V68" s="181">
        <f>V66/V67</f>
        <v>0.98996918875897255</v>
      </c>
      <c r="W68" s="181"/>
      <c r="X68" s="181">
        <f>X66/X67</f>
        <v>0.98879770307455239</v>
      </c>
      <c r="Y68" s="181"/>
      <c r="Z68" s="181">
        <f>Z66/Z67</f>
        <v>0.98760010062184411</v>
      </c>
      <c r="AA68" s="181"/>
      <c r="AB68" s="181">
        <f>AB66/AB67</f>
        <v>0.9863976713215632</v>
      </c>
      <c r="AC68" s="181"/>
      <c r="AD68" s="181">
        <f>AD66/AD67</f>
        <v>0.98523162193600478</v>
      </c>
      <c r="AE68" s="181"/>
      <c r="AF68" s="181">
        <f>AF66/AF67</f>
        <v>0.98417173763083687</v>
      </c>
      <c r="AG68" s="181"/>
      <c r="AH68" s="181">
        <f>AH66/AH67</f>
        <v>0.9833189617823429</v>
      </c>
      <c r="AI68" s="181"/>
      <c r="AJ68" s="181">
        <f>AJ66/AJ67</f>
        <v>0.98278666382838475</v>
      </c>
      <c r="AK68" s="181"/>
      <c r="AL68" s="181">
        <f>AL66/AL67</f>
        <v>0.9826489114726924</v>
      </c>
      <c r="AM68" s="181"/>
      <c r="AN68" s="181">
        <f>AN66/AN67</f>
        <v>0.98288549846632778</v>
      </c>
      <c r="AO68" s="181"/>
      <c r="AP68" s="181">
        <f>AP66/AP67</f>
        <v>0.98296904907761185</v>
      </c>
      <c r="AQ68" s="181"/>
      <c r="AR68" s="181">
        <f>AR66/AR67</f>
        <v>0.98306217242213023</v>
      </c>
      <c r="AS68" s="181"/>
      <c r="AT68" s="181">
        <f>AT66/AT67</f>
        <v>0.98316374600399314</v>
      </c>
      <c r="AU68" s="181"/>
      <c r="AV68" s="181">
        <f>AV66/AV67</f>
        <v>0.98327266788757428</v>
      </c>
      <c r="XFD68" s="181"/>
    </row>
    <row r="69" spans="1:48 16384:16384" x14ac:dyDescent="0.2">
      <c r="A69" t="s">
        <v>161</v>
      </c>
      <c r="B69" s="181">
        <f>B32/B65/($B$32)</f>
        <v>1</v>
      </c>
      <c r="C69" s="181"/>
      <c r="D69" s="181">
        <f>D32/D65/($B$32)</f>
        <v>0.99713651088389199</v>
      </c>
      <c r="E69" s="181"/>
      <c r="F69" s="181">
        <f>F32/F65/($B$32)</f>
        <v>0.99374829863727465</v>
      </c>
      <c r="G69" s="181"/>
      <c r="H69" s="181">
        <f>H32/H65/($B$32)</f>
        <v>0.98974049080632565</v>
      </c>
      <c r="I69" s="181"/>
      <c r="J69" s="181">
        <f>J32/J65/($B$32)</f>
        <v>0.98499339828259502</v>
      </c>
      <c r="K69" s="181"/>
      <c r="L69" s="181">
        <f>L32/L65/($B$32)</f>
        <v>0.97935468095412936</v>
      </c>
      <c r="M69" s="181"/>
      <c r="N69" s="181">
        <f>N32/N65/($B$32)</f>
        <v>0.97262699869303615</v>
      </c>
      <c r="O69" s="181"/>
      <c r="P69" s="181">
        <f>P32/P65/($B$32)</f>
        <v>0.96455100407590055</v>
      </c>
      <c r="Q69" s="181"/>
      <c r="R69" s="181">
        <f>R32/R65/($B$32)</f>
        <v>0.95477961426141478</v>
      </c>
      <c r="S69" s="181"/>
      <c r="T69" s="181">
        <f>T32/T65/($B$32)</f>
        <v>0.94283932429564887</v>
      </c>
      <c r="U69" s="181"/>
      <c r="V69" s="181">
        <f>V32/V65/($B$32)</f>
        <v>0.92807068036610985</v>
      </c>
      <c r="W69" s="181"/>
      <c r="X69" s="181">
        <f>X32/X65/($B$32)</f>
        <v>0.90953425085239481</v>
      </c>
      <c r="Y69" s="181"/>
      <c r="Z69" s="181">
        <f>Z32/Z65/($B$32)</f>
        <v>0.88586233259484781</v>
      </c>
      <c r="AA69" s="181"/>
      <c r="AB69" s="181">
        <f>AB32/AB65/($B$32)</f>
        <v>0.85502300106921603</v>
      </c>
      <c r="AC69" s="181"/>
      <c r="AD69" s="181">
        <f>AD32/AD65/($B$32)</f>
        <v>0.81395979103441718</v>
      </c>
      <c r="AE69" s="181"/>
      <c r="AF69" s="181">
        <f>AF32/AF65/($B$32)</f>
        <v>0.75809506765097023</v>
      </c>
      <c r="AG69" s="181"/>
      <c r="AH69" s="181">
        <f>AH32/AH65/($B$32)</f>
        <v>0.68084171630028278</v>
      </c>
      <c r="AI69" s="181"/>
      <c r="AJ69" s="181">
        <f>AJ32/AJ65/($B$32)</f>
        <v>0.57366542588873481</v>
      </c>
      <c r="AK69" s="181"/>
      <c r="AL69" s="181">
        <f>AL32/AL65/($B$32)</f>
        <v>0.42765229894041124</v>
      </c>
      <c r="AM69" s="181"/>
      <c r="AN69" s="181">
        <f>AN32/AN65/($B$32)</f>
        <v>0.23669664623251183</v>
      </c>
      <c r="AO69" s="181"/>
      <c r="AP69" s="181">
        <f>AP32/AP65/($B$32)</f>
        <v>0.19294467296100135</v>
      </c>
      <c r="AQ69" s="181"/>
      <c r="AR69" s="181">
        <f>AR32/AR65/($B$32)</f>
        <v>0.14736793411479004</v>
      </c>
      <c r="AS69" s="181"/>
      <c r="AT69" s="181">
        <f>AT32/AT65/($B$32)</f>
        <v>9.9994498543603191E-2</v>
      </c>
      <c r="AU69" s="181"/>
      <c r="AV69" s="181">
        <f>AV32/AV65/($B$32)</f>
        <v>5.0858674613091646E-2</v>
      </c>
    </row>
    <row r="70" spans="1:48 16384:16384" x14ac:dyDescent="0.2">
      <c r="A70" t="s">
        <v>162</v>
      </c>
      <c r="B70" s="129">
        <f>B18/$B$18</f>
        <v>1</v>
      </c>
      <c r="C70" s="129"/>
      <c r="D70" s="129">
        <f>D18/$B$18</f>
        <v>0.99666142855554007</v>
      </c>
      <c r="E70" s="129"/>
      <c r="F70" s="129">
        <f>F18/$B$18</f>
        <v>0.99282759793289133</v>
      </c>
      <c r="G70" s="129"/>
      <c r="H70" s="129">
        <f>H18/$B$18</f>
        <v>0.98840742241654644</v>
      </c>
      <c r="I70" s="129"/>
      <c r="J70" s="129">
        <f>J18/$B$18</f>
        <v>0.9832856364771948</v>
      </c>
      <c r="K70" s="129"/>
      <c r="L70" s="129">
        <f>L18/$B$18</f>
        <v>0.97731500373320701</v>
      </c>
      <c r="M70" s="129"/>
      <c r="N70" s="129">
        <f>N18/$B$18</f>
        <v>0.97030407717952938</v>
      </c>
      <c r="O70" s="129"/>
      <c r="P70" s="129">
        <f>P18/$B$18</f>
        <v>0.96200019680929427</v>
      </c>
      <c r="Q70" s="129"/>
      <c r="R70" s="129">
        <f>R18/$B$18</f>
        <v>0.95206372070598388</v>
      </c>
      <c r="S70" s="129"/>
      <c r="T70" s="129">
        <f>T18/$B$18</f>
        <v>0.94002911519777665</v>
      </c>
      <c r="U70" s="129"/>
      <c r="V70" s="129">
        <f>V18/$B$18</f>
        <v>0.92524487451084847</v>
      </c>
      <c r="W70" s="129"/>
      <c r="X70" s="129">
        <f>X18/$B$18</f>
        <v>0.90677846171292142</v>
      </c>
      <c r="Y70" s="129"/>
      <c r="Z70" s="129">
        <f>Z18/$B$18</f>
        <v>0.88326589161943603</v>
      </c>
      <c r="AA70" s="129"/>
      <c r="AB70" s="129">
        <f>AB18/$B$18</f>
        <v>0.8526724773473644</v>
      </c>
      <c r="AC70" s="129"/>
      <c r="AD70" s="129">
        <f>AD18/$B$18</f>
        <v>0.81192760277742293</v>
      </c>
      <c r="AE70" s="129"/>
      <c r="AF70" s="129">
        <f>AF18/$B$18</f>
        <v>0.75642308971208194</v>
      </c>
      <c r="AG70" s="129"/>
      <c r="AH70" s="129">
        <f>AH18/$B$18</f>
        <v>0.67952589524312479</v>
      </c>
      <c r="AI70" s="129"/>
      <c r="AJ70" s="129">
        <f>AJ18/$B$18</f>
        <v>0.57265870508864092</v>
      </c>
      <c r="AK70" s="129"/>
      <c r="AL70" s="129">
        <f>AL18/$B$18</f>
        <v>0.42690847273520804</v>
      </c>
      <c r="AM70" s="129"/>
      <c r="AN70" s="129">
        <f>AN18/$B$18</f>
        <v>0.23624624753240461</v>
      </c>
      <c r="AO70" s="129"/>
      <c r="AP70" s="129">
        <f>AP18/$B$18</f>
        <v>0.19256763862997811</v>
      </c>
      <c r="AQ70" s="129"/>
      <c r="AR70" s="129">
        <f>AR18/$B$18</f>
        <v>0.14707166450148762</v>
      </c>
      <c r="AS70" s="129"/>
      <c r="AT70" s="129">
        <f>AT18/$B$18</f>
        <v>9.9787389792887357E-2</v>
      </c>
      <c r="AU70" s="129"/>
      <c r="AV70" s="129">
        <f>AV18/$B$18</f>
        <v>5.0750044326847987E-2</v>
      </c>
    </row>
    <row r="71" spans="1:48 16384:16384" x14ac:dyDescent="0.2">
      <c r="A71" t="s">
        <v>163</v>
      </c>
      <c r="B71" s="129">
        <f>C18/$C$18</f>
        <v>1</v>
      </c>
      <c r="D71" s="129">
        <f>E18/$C$18</f>
        <v>0.93552953498005997</v>
      </c>
      <c r="E71" s="129"/>
      <c r="F71" s="129">
        <f>G18/$C$18</f>
        <v>0.87128922154963562</v>
      </c>
      <c r="G71" s="129"/>
      <c r="H71" s="129">
        <f>I18/$C$18</f>
        <v>0.80731309431430365</v>
      </c>
      <c r="I71" s="129"/>
      <c r="J71" s="129">
        <f>K18/$C$18</f>
        <v>0.74364586630981033</v>
      </c>
      <c r="K71" s="129"/>
      <c r="L71" s="129">
        <f>M18/$C$18</f>
        <v>0.68034366627342324</v>
      </c>
      <c r="M71" s="129"/>
      <c r="N71" s="129">
        <f>O18/$C$18</f>
        <v>0.61748187673261179</v>
      </c>
      <c r="O71" s="129"/>
      <c r="P71" s="129">
        <f>Q18/$C$18</f>
        <v>0.55516102757319818</v>
      </c>
      <c r="Q71" s="129"/>
      <c r="R71" s="129">
        <f>S18/$C$18</f>
        <v>0.49351847863485737</v>
      </c>
      <c r="S71" s="129"/>
      <c r="T71" s="129">
        <f>U18/$C$18</f>
        <v>0.43274426217150003</v>
      </c>
      <c r="U71" s="129"/>
      <c r="V71" s="129">
        <f>W18/$C$18</f>
        <v>0.37310396065877854</v>
      </c>
      <c r="W71" s="129"/>
      <c r="X71" s="129">
        <f>Y18/$C$18</f>
        <v>0.31497436646156024</v>
      </c>
      <c r="Y71" s="129"/>
      <c r="Z71" s="129">
        <f>AA18/$C$18</f>
        <v>0.25888688912859975</v>
      </c>
      <c r="AA71" s="129"/>
      <c r="AB71" s="129">
        <f>AC18/$C$18</f>
        <v>0.20558964829189144</v>
      </c>
      <c r="AC71" s="129"/>
      <c r="AD71" s="129">
        <f>AE18/$C$18</f>
        <v>0.15610702596836812</v>
      </c>
      <c r="AE71" s="129"/>
      <c r="AF71" s="129">
        <f>AG18/$C$18</f>
        <v>0.11176006396479909</v>
      </c>
      <c r="AG71" s="129"/>
      <c r="AH71" s="129">
        <f>AI18/$C$18</f>
        <v>7.4048696024383298E-2</v>
      </c>
      <c r="AI71" s="129"/>
      <c r="AJ71" s="129">
        <f>AK18/$C$18</f>
        <v>4.4249631133577605E-2</v>
      </c>
      <c r="AK71" s="129"/>
      <c r="AL71" s="129">
        <f>AM18/$C$18</f>
        <v>2.2752917724320167E-2</v>
      </c>
      <c r="AM71" s="129"/>
      <c r="AN71" s="129">
        <f>AO18/$C$18</f>
        <v>8.6273051237755194E-3</v>
      </c>
      <c r="AO71" s="129"/>
      <c r="AP71" s="129">
        <f>AQ18/$C$18</f>
        <v>6.528327189421328E-3</v>
      </c>
      <c r="AQ71" s="129"/>
      <c r="AR71" s="129">
        <f>AS18/$C$18</f>
        <v>4.6323907873402383E-3</v>
      </c>
      <c r="AS71" s="129"/>
      <c r="AT71" s="129">
        <f>AU18/$C$18</f>
        <v>2.9229292656463633E-3</v>
      </c>
      <c r="AU71" s="129"/>
      <c r="AV71" s="129">
        <f>AW18/$C$18</f>
        <v>1.3839075604106877E-3</v>
      </c>
      <c r="XFD71" s="129"/>
    </row>
    <row r="72" spans="1:48 16384:16384" x14ac:dyDescent="0.2">
      <c r="A72" t="s">
        <v>164</v>
      </c>
      <c r="B72" s="129">
        <f>C19/$C$19</f>
        <v>1</v>
      </c>
      <c r="D72" s="129">
        <f>E19/$C$19</f>
        <v>1.003596010086073</v>
      </c>
      <c r="E72" s="129"/>
      <c r="F72" s="129">
        <f>G19/$C$19</f>
        <v>1.0082692677497569</v>
      </c>
      <c r="G72" s="129"/>
      <c r="H72" s="129">
        <f>I19/$C$19</f>
        <v>1.0140900809944946</v>
      </c>
      <c r="I72" s="129"/>
      <c r="J72" s="129">
        <f>K19/$C$19</f>
        <v>1.0211181313979838</v>
      </c>
      <c r="K72" s="129"/>
      <c r="L72" s="129">
        <f>M19/$C$19</f>
        <v>1.0293879631107834</v>
      </c>
      <c r="M72" s="129"/>
      <c r="N72" s="129">
        <f>O19/$C$19</f>
        <v>1.0388893454143135</v>
      </c>
      <c r="O72" s="129"/>
      <c r="P72" s="129">
        <f>Q19/$C$19</f>
        <v>1.0495317669572173</v>
      </c>
      <c r="Q72" s="129"/>
      <c r="R72" s="129">
        <f>S19/$C$19</f>
        <v>1.0610879648277665</v>
      </c>
      <c r="S72" s="129"/>
      <c r="T72" s="129">
        <f>U19/$C$19</f>
        <v>1.073100304367141</v>
      </c>
      <c r="U72" s="129"/>
      <c r="V72" s="129">
        <f>W19/$C$19</f>
        <v>1.084728706306062</v>
      </c>
      <c r="W72" s="129"/>
      <c r="X72" s="129">
        <f>Y19/$C$19</f>
        <v>1.0945020294191581</v>
      </c>
      <c r="Y72" s="129"/>
      <c r="Z72" s="129">
        <f>AA19/$C$19</f>
        <v>1.0999186341244651</v>
      </c>
      <c r="AA72" s="129"/>
      <c r="AB72" s="129">
        <f>AC19/$C$19</f>
        <v>1.0968312817803447</v>
      </c>
      <c r="AC72" s="129"/>
      <c r="AD72" s="129">
        <f>AE19/$C$19</f>
        <v>1.0785767358718445</v>
      </c>
      <c r="AE72" s="129"/>
      <c r="AF72" s="129">
        <f>AG19/$C$19</f>
        <v>1.0350000810914075</v>
      </c>
      <c r="AG72" s="129"/>
      <c r="AH72" s="129">
        <f>AI19/$C$19</f>
        <v>0.9520895427805961</v>
      </c>
      <c r="AI72" s="129"/>
      <c r="AJ72" s="129">
        <f>AK19/$C$19</f>
        <v>0.81388681298507193</v>
      </c>
      <c r="AK72" s="129"/>
      <c r="AL72" s="129">
        <f>AM19/$C$19</f>
        <v>0.60819827582699415</v>
      </c>
      <c r="AM72" s="129"/>
      <c r="AN72" s="129">
        <f>AO19/$C$19</f>
        <v>0.33350471119598041</v>
      </c>
      <c r="AO72" s="129"/>
      <c r="AP72" s="129">
        <f>AQ19/$C$19</f>
        <v>0.27103538309764241</v>
      </c>
      <c r="AQ72" s="129"/>
      <c r="AR72" s="129">
        <f>AS19/$C$19</f>
        <v>0.20632014954235478</v>
      </c>
      <c r="AS72" s="129"/>
      <c r="AT72" s="129">
        <f>AU19/$C$19</f>
        <v>0.13948799717825972</v>
      </c>
      <c r="AU72" s="129"/>
      <c r="AV72" s="129">
        <f>AW19/$C$19</f>
        <v>7.0670625197812503E-2</v>
      </c>
      <c r="XFD72" s="129"/>
    </row>
    <row r="73" spans="1:48 16384:16384" x14ac:dyDescent="0.2">
      <c r="A73" t="s">
        <v>168</v>
      </c>
      <c r="B73" s="183">
        <f t="array" ref="B73">SUM(B9:C9*B22:C22)/B32</f>
        <v>0.47641153352875021</v>
      </c>
      <c r="D73" s="183">
        <f t="array" ref="D73">SUM(D9:E9*D22:E22)/D32</f>
        <v>0.47485761306977414</v>
      </c>
      <c r="E73" s="129"/>
      <c r="F73" s="183">
        <f t="array" ref="F73">SUM(F9:G9*F22:G22)/F32</f>
        <v>0.47328297829936611</v>
      </c>
      <c r="G73" s="129"/>
      <c r="H73" s="183">
        <f t="array" ref="H73">SUM(H9:I9*H22:I22)/H32</f>
        <v>0.47168388074606671</v>
      </c>
      <c r="I73" s="129"/>
      <c r="J73" s="183">
        <f t="array" ref="J73">SUM(J9:K9*J22:K22)/J32</f>
        <v>0.47005587614970318</v>
      </c>
      <c r="K73" s="129"/>
      <c r="L73" s="183">
        <f t="array" ref="L73">SUM(L9:M9*L22:M22)/L32</f>
        <v>0.46839352432067549</v>
      </c>
      <c r="M73" s="129"/>
      <c r="N73" s="183">
        <f t="array" ref="N73">SUM(N9:O9*N22:O22)/N32</f>
        <v>0.46669018770663523</v>
      </c>
      <c r="O73" s="129"/>
      <c r="P73" s="183">
        <f t="array" ref="P73">SUM(P9:Q9*P22:Q22)/P32</f>
        <v>0.4649376143751332</v>
      </c>
      <c r="Q73" s="129"/>
      <c r="R73" s="183">
        <f t="array" ref="R73">SUM(R9:S9*R22:S22)/R32</f>
        <v>0.46312543346440421</v>
      </c>
      <c r="S73" s="129"/>
      <c r="T73" s="183">
        <f t="array" ref="T73">SUM(T9:U9*T22:U22)/T32</f>
        <v>0.4612404217767837</v>
      </c>
      <c r="U73" s="129"/>
      <c r="V73" s="183">
        <f t="array" ref="V73">SUM(V9:W9*V22:W22)/V32</f>
        <v>0.4592654870678104</v>
      </c>
      <c r="W73" s="129"/>
      <c r="X73" s="183">
        <f t="array" ref="X73">SUM(X9:Y9*X22:Y22)/X32</f>
        <v>0.4571782815583651</v>
      </c>
      <c r="Y73" s="129"/>
      <c r="Z73" s="183">
        <f t="array" ref="Z73">SUM(Z9:AA9*Z22:AA22)/Z32</f>
        <v>0.45494941039321513</v>
      </c>
      <c r="AA73" s="129"/>
      <c r="AB73" s="183">
        <f t="array" ref="AB73">SUM(AB9:AC9*AB22:AC22)/AB32</f>
        <v>0.45254043738648553</v>
      </c>
      <c r="AC73" s="129"/>
      <c r="AD73" s="183">
        <f t="array" ref="AD73">SUM(AD9:AE9*AD22:AE22)/AD32</f>
        <v>0.44990272881494237</v>
      </c>
      <c r="AE73" s="129"/>
      <c r="AF73" s="183">
        <f t="array" ref="AF73">SUM(AF9:AG9*AF22:AG22)/AF32</f>
        <v>0.44698047281958259</v>
      </c>
      <c r="AG73" s="129"/>
      <c r="AH73" s="183">
        <f t="array" ref="AH73">SUM(AH9:AI9*AH22:AI22)/AH32</f>
        <v>0.4437244538955416</v>
      </c>
      <c r="AI73" s="129"/>
      <c r="AJ73" s="183">
        <f t="array" ref="AJ73">SUM(AJ9:AK9*AJ22:AK22)/AJ32</f>
        <v>0.44012531738296451</v>
      </c>
      <c r="AK73" s="129"/>
      <c r="AL73" s="183">
        <f t="array" ref="AL73">SUM(AL9:AM9*AL22:AM22)/AL32</f>
        <v>0.43625833270647391</v>
      </c>
      <c r="AM73" s="129"/>
      <c r="AN73" s="183">
        <f t="array" ref="AN73">SUM(AN9:AO9*AN22:AO22)/AN32</f>
        <v>0.43229426456204056</v>
      </c>
      <c r="AO73" s="129"/>
      <c r="AP73" s="183">
        <f t="array" ref="AP73">SUM(AP9:AQ9*AP22:AQ22)/AP32</f>
        <v>0.43150827025155258</v>
      </c>
      <c r="AQ73" s="129"/>
      <c r="AR73" s="183">
        <f t="array" ref="AR73">SUM(AR9:AS9*AR22:AS22)/AR32</f>
        <v>0.43072825897856343</v>
      </c>
      <c r="AS73" s="129"/>
      <c r="AT73" s="183">
        <f t="array" ref="AT73">SUM(AT9:AU9*AT22:AU22)/AT32</f>
        <v>0.42995562406237237</v>
      </c>
      <c r="AU73" s="129"/>
      <c r="AV73" s="183">
        <f t="array" ref="AV73">SUM(AV9:AW9*AV22:AW22)/AV32</f>
        <v>0.42919162698171465</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0.22604620456442487</v>
      </c>
      <c r="U74" s="129"/>
      <c r="V74" s="183">
        <f t="array" ref="V74">SUM(V10:W10*V23:W23)/V32</f>
        <v>0.22604620456442481</v>
      </c>
      <c r="W74" s="129"/>
      <c r="X74" s="183">
        <f t="array" ref="X74">SUM(X10:Y10*X23:Y23)/X32</f>
        <v>0.22604620456442484</v>
      </c>
      <c r="Y74" s="129"/>
      <c r="Z74" s="183">
        <f t="array" ref="Z74">SUM(Z10:AA10*Z23:AA23)/Z32</f>
        <v>0.22604620456442484</v>
      </c>
      <c r="AA74" s="129"/>
      <c r="AB74" s="183">
        <f t="array" ref="AB74">SUM(AB10:AC10*AB23:AC23)/AB32</f>
        <v>0.22604620456442487</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0.22604620456442487</v>
      </c>
      <c r="AM74" s="129"/>
      <c r="AN74" s="183">
        <f t="array" ref="AN74">SUM(AN10:AO10*AN23:AO23)/AN32</f>
        <v>0.22604620456442481</v>
      </c>
      <c r="AO74" s="129"/>
      <c r="AP74" s="183">
        <f t="array" ref="AP74">SUM(AP10:AQ10*AP23:AQ23)/AP32</f>
        <v>0.22604620456442481</v>
      </c>
      <c r="AQ74" s="129"/>
      <c r="AR74" s="183">
        <f t="array" ref="AR74">SUM(AR10:AS10*AR23:AS23)/AR32</f>
        <v>0.22604620456442484</v>
      </c>
      <c r="AS74" s="129"/>
      <c r="AT74" s="183">
        <f t="array" ref="AT74">SUM(AT10:AU10*AT23:AU23)/AT32</f>
        <v>0.22604620456442487</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0.22193831081385457</v>
      </c>
      <c r="E75" s="129"/>
      <c r="F75" s="183">
        <f t="array" ref="F75">SUM(F11:G11*F24:G24)/F32</f>
        <v>0.22351294916375553</v>
      </c>
      <c r="G75" s="129"/>
      <c r="H75" s="183">
        <f t="array" ref="H75">SUM(H11:I11*H24:I24)/H32</f>
        <v>0.2251120411764248</v>
      </c>
      <c r="I75" s="129"/>
      <c r="J75" s="183">
        <f t="array" ref="J75">SUM(J11:K11*J24:K24)/J32</f>
        <v>0.22674004776139731</v>
      </c>
      <c r="K75" s="129"/>
      <c r="L75" s="183">
        <f t="array" ref="L75">SUM(L11:M11*L24:M24)/L32</f>
        <v>0.22840239754591857</v>
      </c>
      <c r="M75" s="129"/>
      <c r="N75" s="183">
        <f t="array" ref="N75">SUM(N11:O11*N24:O24)/N32</f>
        <v>0.23010573407751209</v>
      </c>
      <c r="O75" s="129"/>
      <c r="P75" s="183">
        <f t="array" ref="P75">SUM(P11:Q11*P24:Q24)/P32</f>
        <v>0.23185830730024207</v>
      </c>
      <c r="Q75" s="129"/>
      <c r="R75" s="183">
        <f t="array" ref="R75">SUM(R11:S11*R24:S24)/R32</f>
        <v>0.23367048964711443</v>
      </c>
      <c r="S75" s="129"/>
      <c r="T75" s="183">
        <f t="array" ref="T75">SUM(T11:U11*T24:U24)/T32</f>
        <v>0.23555550106904019</v>
      </c>
      <c r="U75" s="129"/>
      <c r="V75" s="183">
        <f t="array" ref="V75">SUM(V11:W11*V24:W24)/V32</f>
        <v>0.23753043429277146</v>
      </c>
      <c r="W75" s="129"/>
      <c r="X75" s="183">
        <f t="array" ref="X75">SUM(X11:Y11*X24:Y24)/X32</f>
        <v>0.23961764001254907</v>
      </c>
      <c r="Y75" s="129"/>
      <c r="Z75" s="183">
        <f t="array" ref="Z75">SUM(Z11:AA11*Z24:AA24)/Z32</f>
        <v>0.24184651148839456</v>
      </c>
      <c r="AA75" s="129"/>
      <c r="AB75" s="183">
        <f t="array" ref="AB75">SUM(AB11:AC11*AB24:AC24)/AB32</f>
        <v>0.24425548909737868</v>
      </c>
      <c r="AC75" s="129"/>
      <c r="AD75" s="183">
        <f t="array" ref="AD75">SUM(AD11:AE11*AD24:AE24)/AD32</f>
        <v>0.24689319184275585</v>
      </c>
      <c r="AE75" s="129"/>
      <c r="AF75" s="183">
        <f t="array" ref="AF75">SUM(AF11:AG11*AF24:AG24)/AF32</f>
        <v>0.24981544888486493</v>
      </c>
      <c r="AG75" s="129"/>
      <c r="AH75" s="183">
        <f t="array" ref="AH75">SUM(AH11:AI11*AH24:AI24)/AH32</f>
        <v>0.25307146811835246</v>
      </c>
      <c r="AI75" s="129"/>
      <c r="AJ75" s="183">
        <f t="array" ref="AJ75">SUM(AJ11:AK11*AJ24:AK24)/AJ32</f>
        <v>0.25667060342528003</v>
      </c>
      <c r="AK75" s="129"/>
      <c r="AL75" s="183">
        <f t="array" ref="AL75">SUM(AL11:AM11*AL24:AM24)/AL32</f>
        <v>0.26053758917110609</v>
      </c>
      <c r="AM75" s="129"/>
      <c r="AN75" s="183">
        <f t="array" ref="AN75">SUM(AN11:AO11*AN24:AO24)/AN32</f>
        <v>0.26450165702351564</v>
      </c>
      <c r="AO75" s="129"/>
      <c r="AP75" s="183">
        <f t="array" ref="AP75">SUM(AP11:AQ11*AP24:AQ24)/AP32</f>
        <v>0.26528765264542298</v>
      </c>
      <c r="AQ75" s="129"/>
      <c r="AR75" s="183">
        <f t="array" ref="AR75">SUM(AR11:AS11*AR24:AS24)/AR32</f>
        <v>0.26606766219295963</v>
      </c>
      <c r="AS75" s="129"/>
      <c r="AT75" s="183">
        <f t="array" ref="AT75">SUM(AT11:AU11*AT24:AU24)/AT32</f>
        <v>0.26684029593285857</v>
      </c>
      <c r="AU75" s="129"/>
      <c r="AV75" s="183">
        <f t="array" ref="AV75">SUM(AV11:AW11*AV24:AW24)/AV32</f>
        <v>0.26760429757736093</v>
      </c>
      <c r="XFD75" s="183"/>
    </row>
    <row r="76" spans="1:48 16384:16384" x14ac:dyDescent="0.2">
      <c r="A76" t="s">
        <v>171</v>
      </c>
      <c r="B76" s="183">
        <f t="array" ref="B76">SUM(B12:C12*B25:C25)/B32</f>
        <v>0.22301874374724867</v>
      </c>
      <c r="D76" s="183">
        <f t="array" ref="D76">SUM(D12:E12*D25:E25)/D32</f>
        <v>0.2229147425200983</v>
      </c>
      <c r="E76" s="129"/>
      <c r="F76" s="183">
        <f t="array" ref="F76">SUM(F12:G12*F25:G25)/F32</f>
        <v>0.22284181088556004</v>
      </c>
      <c r="G76" s="129"/>
      <c r="H76" s="183">
        <f t="array" ref="H76">SUM(H12:I12*H25:I25)/H32</f>
        <v>0.22280356694061762</v>
      </c>
      <c r="I76" s="129"/>
      <c r="J76" s="183">
        <f t="array" ref="J76">SUM(J12:K12*J25:K25)/J32</f>
        <v>0.22280414404627569</v>
      </c>
      <c r="K76" s="129"/>
      <c r="L76" s="183">
        <f t="array" ref="L76">SUM(L12:M12*L25:M25)/L32</f>
        <v>0.22284823859968236</v>
      </c>
      <c r="M76" s="129"/>
      <c r="N76" s="183">
        <f t="array" ref="N76">SUM(N12:O12*N25:O25)/N32</f>
        <v>0.2229411288827271</v>
      </c>
      <c r="O76" s="129"/>
      <c r="P76" s="183">
        <f t="array" ref="P76">SUM(P12:Q12*P25:Q25)/P32</f>
        <v>0.2230886334844045</v>
      </c>
      <c r="Q76" s="129"/>
      <c r="R76" s="183">
        <f t="array" ref="R76">SUM(R12:S12*R25:S25)/R32</f>
        <v>0.22329695705232017</v>
      </c>
      <c r="S76" s="129"/>
      <c r="T76" s="183">
        <f t="array" ref="T76">SUM(T12:U12*T25:U25)/T32</f>
        <v>0.22357231817465423</v>
      </c>
      <c r="U76" s="129"/>
      <c r="V76" s="183">
        <f t="array" ref="V76">SUM(V12:W12*V25:W25)/V32</f>
        <v>0.22392017921803675</v>
      </c>
      <c r="W76" s="129"/>
      <c r="X76" s="183">
        <f t="array" ref="X76">SUM(X12:Y12*X25:Y25)/X32</f>
        <v>0.22434380914216961</v>
      </c>
      <c r="Y76" s="129"/>
      <c r="Z76" s="183">
        <f t="array" ref="Z76">SUM(Z12:AA12*Z25:AA25)/Z32</f>
        <v>0.22484163563267553</v>
      </c>
      <c r="AA76" s="129"/>
      <c r="AB76" s="183">
        <f t="array" ref="AB76">SUM(AB12:AC12*AB25:AC25)/AB32</f>
        <v>0.22540286037916502</v>
      </c>
      <c r="AC76" s="129"/>
      <c r="AD76" s="183">
        <f t="array" ref="AD76">SUM(AD12:AE12*AD25:AE25)/AD32</f>
        <v>0.22600075393312133</v>
      </c>
      <c r="AE76" s="129"/>
      <c r="AF76" s="183">
        <f t="array" ref="AF76">SUM(AF12:AG12*AF25:AG25)/AF32</f>
        <v>0.22658444828874974</v>
      </c>
      <c r="AG76" s="129"/>
      <c r="AH76" s="183">
        <f t="array" ref="AH76">SUM(AH12:AI12*AH25:AI25)/AH32</f>
        <v>0.22707466015841912</v>
      </c>
      <c r="AI76" s="129"/>
      <c r="AJ76" s="183">
        <f t="array" ref="AJ76">SUM(AJ12:AK12*AJ25:AK25)/AJ32</f>
        <v>0.2273759376886543</v>
      </c>
      <c r="AK76" s="129"/>
      <c r="AL76" s="183">
        <f t="array" ref="AL76">SUM(AL12:AM12*AL25:AM25)/AL32</f>
        <v>0.22741698672579674</v>
      </c>
      <c r="AM76" s="129"/>
      <c r="AN76" s="183">
        <f t="array" ref="AN76">SUM(AN12:AO12*AN25:AO25)/AN32</f>
        <v>0.22719760964480346</v>
      </c>
      <c r="AO76" s="129"/>
      <c r="AP76" s="183">
        <f t="array" ref="AP76">SUM(AP12:AQ12*AP25:AQ25)/AP32</f>
        <v>0.22712802196875573</v>
      </c>
      <c r="AQ76" s="129"/>
      <c r="AR76" s="183">
        <f t="array" ref="AR76">SUM(AR12:AS12*AR25:AS25)/AR32</f>
        <v>0.22705160992401921</v>
      </c>
      <c r="AS76" s="129"/>
      <c r="AT76" s="183">
        <f t="array" ref="AT76">SUM(AT12:AU12*AT25:AU25)/AT32</f>
        <v>0.22696917793925575</v>
      </c>
      <c r="AU76" s="129"/>
      <c r="AV76" s="183">
        <f t="array" ref="AV76">SUM(AV12:AW12*AV25:AW25)/AV32</f>
        <v>0.22688152293125072</v>
      </c>
      <c r="XFD76" s="183"/>
    </row>
    <row r="77" spans="1:48 16384:16384" x14ac:dyDescent="0.2">
      <c r="A77" t="s">
        <v>172</v>
      </c>
      <c r="B77" s="183">
        <f t="array" ref="B77">SUM(B4:C4*B19:C19)/B32</f>
        <v>0.14586087017236485</v>
      </c>
      <c r="D77" s="183">
        <f t="array" ref="D77">SUM(D4:E4*D19:E19)/D32</f>
        <v>0.1457568709681519</v>
      </c>
      <c r="E77" s="129"/>
      <c r="F77" s="183">
        <f t="array" ref="F77">SUM(F4:G4*F19:G19)/F32</f>
        <v>0.1456839429131063</v>
      </c>
      <c r="G77" s="129"/>
      <c r="H77" s="183">
        <f t="array" ref="H77">SUM(H4:I4*H19:I19)/H32</f>
        <v>0.14564569342753425</v>
      </c>
      <c r="I77" s="129"/>
      <c r="J77" s="183">
        <f t="array" ref="J77">SUM(J4:K4*J19:K19)/J32</f>
        <v>0.14564627252180051</v>
      </c>
      <c r="K77" s="129"/>
      <c r="L77" s="183">
        <f t="array" ref="L77">SUM(L4:M4*L19:M19)/L32</f>
        <v>0.14569036503070082</v>
      </c>
      <c r="M77" s="129"/>
      <c r="N77" s="183">
        <f t="array" ref="N77">SUM(N4:O4*N19:O19)/N32</f>
        <v>0.14578325523129959</v>
      </c>
      <c r="O77" s="129"/>
      <c r="P77" s="183">
        <f t="array" ref="P77">SUM(P4:Q4*P19:Q19)/P32</f>
        <v>0.14593075972420488</v>
      </c>
      <c r="Q77" s="129"/>
      <c r="R77" s="183">
        <f t="array" ref="R77">SUM(R4:S4*R19:S19)/R32</f>
        <v>0.14613908472826415</v>
      </c>
      <c r="S77" s="129"/>
      <c r="T77" s="183">
        <f t="array" ref="T77">SUM(T4:U4*T19:U19)/T32</f>
        <v>0.14641444558490327</v>
      </c>
      <c r="U77" s="129"/>
      <c r="V77" s="183">
        <f t="array" ref="V77">SUM(V4:W4*V19:W19)/V32</f>
        <v>0.14676230514304447</v>
      </c>
      <c r="W77" s="129"/>
      <c r="X77" s="183">
        <f t="array" ref="X77">SUM(X4:Y4*X19:Y19)/X32</f>
        <v>0.14718593527750887</v>
      </c>
      <c r="Y77" s="129"/>
      <c r="Z77" s="183">
        <f t="array" ref="Z77">SUM(Z4:AA4*Z19:AA19)/Z32</f>
        <v>0.14768376207871031</v>
      </c>
      <c r="AA77" s="129"/>
      <c r="AB77" s="183">
        <f t="array" ref="AB77">SUM(AB4:AC4*AB19:AC19)/AB32</f>
        <v>0.14824499142745423</v>
      </c>
      <c r="AC77" s="129"/>
      <c r="AD77" s="183">
        <f t="array" ref="AD77">SUM(AD4:AE4*AD19:AE19)/AD32</f>
        <v>0.1488428791552445</v>
      </c>
      <c r="AE77" s="129"/>
      <c r="AF77" s="183">
        <f t="array" ref="AF77">SUM(AF4:AG4*AF19:AG19)/AF32</f>
        <v>0.14942657455762248</v>
      </c>
      <c r="AG77" s="129"/>
      <c r="AH77" s="183">
        <f t="array" ref="AH77">SUM(AH4:AI4*AH19:AI19)/AH32</f>
        <v>0.14991678673673772</v>
      </c>
      <c r="AI77" s="129"/>
      <c r="AJ77" s="183">
        <f t="array" ref="AJ77">SUM(AJ4:AK4*AJ19:AK19)/AJ32</f>
        <v>0.15021806306132363</v>
      </c>
      <c r="AK77" s="129"/>
      <c r="AL77" s="183">
        <f t="array" ref="AL77">SUM(AL4:AM4*AL19:AM19)/AL32</f>
        <v>0.15025911316780247</v>
      </c>
      <c r="AM77" s="129"/>
      <c r="AN77" s="183">
        <f t="array" ref="AN77">SUM(AN4:AO4*AN19:AO19)/AN32</f>
        <v>0.15003973579478541</v>
      </c>
      <c r="AO77" s="129"/>
      <c r="AP77" s="183">
        <f t="array" ref="AP77">SUM(AP4:AQ4*AP19:AQ19)/AP32</f>
        <v>0.14997014943015602</v>
      </c>
      <c r="AQ77" s="129"/>
      <c r="AR77" s="183">
        <f t="array" ref="AR77">SUM(AR4:AS4*AR19:AS19)/AR32</f>
        <v>0.14989373565996689</v>
      </c>
      <c r="AS77" s="129"/>
      <c r="AT77" s="183">
        <f t="array" ref="AT77">SUM(AT4:AU4*AT19:AU19)/AT32</f>
        <v>0.14981130249891125</v>
      </c>
      <c r="AU77" s="129"/>
      <c r="AV77" s="183">
        <f t="array" ref="AV77">SUM(AV4:AW4*AV19:AW19)/AV32</f>
        <v>0.14972365205475105</v>
      </c>
      <c r="XFD77" s="183"/>
    </row>
    <row r="78" spans="1:48 16384:16384" x14ac:dyDescent="0.2">
      <c r="A78" t="s">
        <v>173</v>
      </c>
      <c r="B78" s="183">
        <f t="array" ref="B78">SUM(B13:C13*B26:C26)/B32</f>
        <v>0.346887593115773</v>
      </c>
      <c r="D78" s="183">
        <f t="array" ref="D78">SUM(D13:E13*D26:E26)/D32</f>
        <v>0.34602202267068588</v>
      </c>
      <c r="E78" s="129"/>
      <c r="F78" s="183">
        <f t="array" ref="F78">SUM(F13:G13*F26:G26)/F32</f>
        <v>0.34512730225774918</v>
      </c>
      <c r="G78" s="129"/>
      <c r="H78" s="183">
        <f t="array" ref="H78">SUM(H13:I13*H26:I26)/H32</f>
        <v>0.34420019704664645</v>
      </c>
      <c r="I78" s="129"/>
      <c r="J78" s="183">
        <f t="array" ref="J78">SUM(J13:K13*J26:K26)/J32</f>
        <v>0.34323705915407038</v>
      </c>
      <c r="K78" s="129"/>
      <c r="L78" s="183">
        <f t="array" ref="L78">SUM(L13:M13*L26:M26)/L32</f>
        <v>0.34223374405380969</v>
      </c>
      <c r="M78" s="129"/>
      <c r="N78" s="183">
        <f t="array" ref="N78">SUM(N13:O13*N26:O26)/N32</f>
        <v>0.34118557669604205</v>
      </c>
      <c r="O78" s="129"/>
      <c r="P78" s="183">
        <f t="array" ref="P78">SUM(P13:Q13*P26:Q26)/P32</f>
        <v>0.34008728067110333</v>
      </c>
      <c r="Q78" s="129"/>
      <c r="R78" s="183">
        <f t="array" ref="R78">SUM(R13:S13*R26:S26)/R32</f>
        <v>0.33893294833673693</v>
      </c>
      <c r="S78" s="129"/>
      <c r="T78" s="183">
        <f t="array" ref="T78">SUM(T13:U13*T26:U26)/T32</f>
        <v>0.33771604921944437</v>
      </c>
      <c r="U78" s="129"/>
      <c r="V78" s="183">
        <f t="array" ref="V78">SUM(V13:W13*V26:W26)/V32</f>
        <v>0.33642951473229482</v>
      </c>
      <c r="W78" s="129"/>
      <c r="X78" s="183">
        <f t="array" ref="X78">SUM(X13:Y13*X26:Y26)/X32</f>
        <v>0.33506607341301353</v>
      </c>
      <c r="Y78" s="129"/>
      <c r="Z78" s="183">
        <f t="array" ref="Z78">SUM(Z13:AA13*Z26:AA26)/Z32</f>
        <v>0.33361890162628083</v>
      </c>
      <c r="AA78" s="129"/>
      <c r="AB78" s="183">
        <f t="array" ref="AB78">SUM(AB13:AC13*AB26:AC26)/AB32</f>
        <v>0.3320831336089658</v>
      </c>
      <c r="AC78" s="129"/>
      <c r="AD78" s="183">
        <f t="array" ref="AD78">SUM(AD13:AE13*AD26:AE26)/AD32</f>
        <v>0.33045878485096736</v>
      </c>
      <c r="AE78" s="129"/>
      <c r="AF78" s="183">
        <f t="array" ref="AF78">SUM(AF13:AG13*AF26:AG26)/AF32</f>
        <v>0.32875612585139663</v>
      </c>
      <c r="AG78" s="129"/>
      <c r="AH78" s="183">
        <f t="array" ref="AH78">SUM(AH13:AI13*AH26:AI26)/AH32</f>
        <v>0.32700396377863256</v>
      </c>
      <c r="AI78" s="129"/>
      <c r="AJ78" s="183">
        <f t="array" ref="AJ78">SUM(AJ13:AK13*AJ26:AK26)/AJ32</f>
        <v>0.32525763138141756</v>
      </c>
      <c r="AK78" s="129"/>
      <c r="AL78" s="183">
        <f t="array" ref="AL78">SUM(AL13:AM13*AL26:AM26)/AL32</f>
        <v>0.32359605627244403</v>
      </c>
      <c r="AM78" s="129"/>
      <c r="AN78" s="183">
        <f t="array" ref="AN78">SUM(AN13:AO13*AN26:AO26)/AN32</f>
        <v>0.32209715470635386</v>
      </c>
      <c r="AO78" s="129"/>
      <c r="AP78" s="183">
        <f t="array" ref="AP78">SUM(AP13:AQ13*AP26:AQ26)/AP32</f>
        <v>0.32182160039783053</v>
      </c>
      <c r="AQ78" s="129"/>
      <c r="AR78" s="183">
        <f t="array" ref="AR78">SUM(AR13:AS13*AR26:AS26)/AR32</f>
        <v>0.32155459858691526</v>
      </c>
      <c r="AS78" s="129"/>
      <c r="AT78" s="183">
        <f t="array" ref="AT78">SUM(AT13:AU13*AT26:AU26)/AT32</f>
        <v>0.32129619936787307</v>
      </c>
      <c r="AU78" s="129"/>
      <c r="AV78" s="183">
        <f t="array" ref="AV78">SUM(AV13:AW13*AV26:AW26)/AV32</f>
        <v>0.32104638527686835</v>
      </c>
      <c r="XFD78" s="183"/>
    </row>
    <row r="79" spans="1:48 16384:16384" x14ac:dyDescent="0.2">
      <c r="A79" t="s">
        <v>174</v>
      </c>
      <c r="B79" s="183">
        <f t="array" ref="B79">SUM(B15:C15*B27:C27)/B32</f>
        <v>0.45460968782440875</v>
      </c>
      <c r="D79" s="183">
        <f t="array" ref="D79">SUM(D15:E15*D27:E27)/D32</f>
        <v>0.4528609956118998</v>
      </c>
      <c r="F79" s="183">
        <f t="array" ref="F79">SUM(F15:G15*F27:G27)/F32</f>
        <v>0.4511066024384896</v>
      </c>
      <c r="H79" s="183">
        <f t="array" ref="H79">SUM(H15:I15*H27:I27)/H32</f>
        <v>0.44934345106684853</v>
      </c>
      <c r="J79" s="183">
        <f t="array" ref="J79">SUM(J15:K15*J27:K27)/J32</f>
        <v>0.44756769423870452</v>
      </c>
      <c r="L79" s="183">
        <f t="array" ref="L79">SUM(L15:M15*L27:M27)/L32</f>
        <v>0.44577432715241205</v>
      </c>
      <c r="N79" s="183">
        <f t="array" ref="N79">SUM(N15:O15*N27:O27)/N32</f>
        <v>0.44395686035053417</v>
      </c>
      <c r="P79" s="183">
        <f t="array" ref="P79">SUM(P15:Q15*P27:Q27)/P32</f>
        <v>0.44210669039910211</v>
      </c>
      <c r="R79" s="183">
        <f t="array" ref="R79">SUM(R15:S15*R27:S27)/R32</f>
        <v>0.44021227886667547</v>
      </c>
      <c r="T79" s="183">
        <f t="array" ref="T79">SUM(T15:U15*T27:U27)/T32</f>
        <v>0.43825791232732414</v>
      </c>
      <c r="V79" s="183">
        <f t="array" ref="V79">SUM(V15:W15*V27:W27)/V32</f>
        <v>0.43622187652465266</v>
      </c>
      <c r="X79" s="183">
        <f t="array" ref="X79">SUM(X15:Y15*X27:Y27)/X32</f>
        <v>0.43407389505712168</v>
      </c>
      <c r="Z79" s="183">
        <f t="array" ref="Z79">SUM(Z15:AA15*Z27:AA27)/Z32</f>
        <v>0.43177128760248357</v>
      </c>
      <c r="AB79" s="183">
        <f t="array" ref="AB79">SUM(AB15:AC15*AB27:AC27)/AB32</f>
        <v>0.42925426550138218</v>
      </c>
      <c r="AD79" s="183">
        <f t="array" ref="AD79">SUM(AD15:AE15*AD27:AE27)/AD32</f>
        <v>0.42644106138603488</v>
      </c>
      <c r="AF79" s="183">
        <f t="array" ref="AF79">SUM(AF15:AG15*AF27:AG27)/AF32</f>
        <v>0.42322741571682809</v>
      </c>
      <c r="AH79" s="183">
        <f t="array" ref="AH79">SUM(AH15:AI15*AH27:AI27)/AH32</f>
        <v>0.41950177061231625</v>
      </c>
      <c r="AJ79" s="183">
        <f t="array" ref="AJ79">SUM(AJ15:AK15*AJ27:AK27)/AJ32</f>
        <v>0.41519305262445028</v>
      </c>
      <c r="AL79" s="183">
        <f t="array" ref="AL79">SUM(AL15:AM15*AL27:AM27)/AL32</f>
        <v>0.41034895464993631</v>
      </c>
      <c r="AN79" s="183">
        <f t="array" ref="AN79">SUM(AN15:AO15*AN27:AO27)/AN32</f>
        <v>0.40517885252162888</v>
      </c>
      <c r="AP79" s="183">
        <f t="array" ref="AP79">SUM(AP15:AQ15*AP27:AQ27)/AP32</f>
        <v>0.40413207499651832</v>
      </c>
      <c r="AR79" s="183">
        <f t="array" ref="AR79">SUM(AR15:AS15*AR27:AS27)/AR32</f>
        <v>0.40308681978706673</v>
      </c>
      <c r="AT79" s="183">
        <f t="array" ref="AT79">SUM(AT15:AU15*AT27:AU27)/AT32</f>
        <v>0.40204536954350489</v>
      </c>
      <c r="AV79" s="183">
        <f t="array" ref="AV79">SUM(AV15:AW15*AV27:AW27)/AV32</f>
        <v>0.40100984753275631</v>
      </c>
      <c r="XFD79" s="183"/>
    </row>
    <row r="80" spans="1:48 16384:16384" x14ac:dyDescent="0.2">
      <c r="A80" t="s">
        <v>153</v>
      </c>
      <c r="B80" s="195">
        <f>B55</f>
        <v>0.19850271905982084</v>
      </c>
      <c r="D80" s="195">
        <f>D55</f>
        <v>0.20111698705624723</v>
      </c>
      <c r="F80" s="195">
        <f>F55</f>
        <v>0.20376611170724832</v>
      </c>
      <c r="H80" s="195">
        <f>H55</f>
        <v>0.20645635037902804</v>
      </c>
      <c r="J80" s="195">
        <f>J55</f>
        <v>0.20919525404029107</v>
      </c>
      <c r="L80" s="195">
        <f>L55</f>
        <v>0.211991926027504</v>
      </c>
      <c r="N80" s="195">
        <f>N55</f>
        <v>0.21485755819291366</v>
      </c>
      <c r="P80" s="195">
        <f>P55</f>
        <v>0.21780602319213055</v>
      </c>
      <c r="R80" s="195">
        <f>R55</f>
        <v>0.22085477278927071</v>
      </c>
      <c r="T80" s="195">
        <f>T55</f>
        <v>0.22402604979051222</v>
      </c>
      <c r="V80" s="195">
        <f>V55</f>
        <v>0.2273486003254436</v>
      </c>
      <c r="X80" s="195">
        <f>X55</f>
        <v>0.23086003531464402</v>
      </c>
      <c r="Z80" s="195">
        <f>Z55</f>
        <v>0.23460980732511977</v>
      </c>
      <c r="AB80" s="195">
        <f>AB55</f>
        <v>0.2386625970009974</v>
      </c>
      <c r="AD80" s="195">
        <f>AD55</f>
        <v>0.24310015903203405</v>
      </c>
      <c r="AF80" s="195">
        <f>AF55</f>
        <v>0.24801645407762618</v>
      </c>
      <c r="AH80" s="195">
        <f>AH55</f>
        <v>0.2534942616945679</v>
      </c>
      <c r="AJ80" s="195">
        <f>AJ55</f>
        <v>0.25954931134245146</v>
      </c>
      <c r="AL80" s="195">
        <f>AL55</f>
        <v>0.2660549913046959</v>
      </c>
      <c r="AN80" s="195">
        <f>AN55</f>
        <v>0.27272399124423763</v>
      </c>
      <c r="AP80" s="195">
        <f>AP55</f>
        <v>0.27404632939836854</v>
      </c>
      <c r="AR80" s="195">
        <f>AR55</f>
        <v>0.27535857825873322</v>
      </c>
      <c r="AT80" s="195">
        <f>AT55</f>
        <v>0.27665842133221297</v>
      </c>
      <c r="AV80" s="195">
        <f>AV55</f>
        <v>0.27794377945949517</v>
      </c>
      <c r="XFD80" s="195"/>
    </row>
    <row r="81" spans="1:48 16384:16384" x14ac:dyDescent="0.2">
      <c r="A81" t="s">
        <v>175</v>
      </c>
      <c r="B81" s="195">
        <f>B51/B$32</f>
        <v>-2.7543485504603994E-2</v>
      </c>
      <c r="D81" s="195">
        <f>D51/D$32</f>
        <v>-2.4929217508177601E-2</v>
      </c>
      <c r="F81" s="195">
        <f>F51/F$32</f>
        <v>-2.2280092857176522E-2</v>
      </c>
      <c r="H81" s="195">
        <f>H51/H$32</f>
        <v>-1.9589854185396795E-2</v>
      </c>
      <c r="J81" s="195">
        <f>J51/J$32</f>
        <v>-1.6850950524133768E-2</v>
      </c>
      <c r="L81" s="195">
        <f>L51/L$32</f>
        <v>-1.405427853692086E-2</v>
      </c>
      <c r="N81" s="195">
        <f>N51/N$32</f>
        <v>-1.1188646371511176E-2</v>
      </c>
      <c r="P81" s="195">
        <f>P51/P$32</f>
        <v>-8.2401813722942936E-3</v>
      </c>
      <c r="R81" s="195">
        <f>R51/R$32</f>
        <v>-5.1914317751541386E-3</v>
      </c>
      <c r="T81" s="195">
        <f>T51/T$32</f>
        <v>-2.0201547739126433E-3</v>
      </c>
      <c r="V81" s="195">
        <f>V51/V$32</f>
        <v>1.3023957610187806E-3</v>
      </c>
      <c r="X81" s="195">
        <f>X51/X$32</f>
        <v>4.8138307502191618E-3</v>
      </c>
      <c r="Z81" s="195">
        <f>Z51/Z$32</f>
        <v>8.5636027606949081E-3</v>
      </c>
      <c r="AB81" s="195">
        <f>AB51/AB$32</f>
        <v>1.2616392436572539E-2</v>
      </c>
      <c r="AD81" s="195">
        <f>AD51/AD$32</f>
        <v>1.7053954467609211E-2</v>
      </c>
      <c r="AF81" s="195">
        <f>AF51/AF$32</f>
        <v>2.1970249513201357E-2</v>
      </c>
      <c r="AH81" s="195">
        <f>AH51/AH$32</f>
        <v>2.7448057130143064E-2</v>
      </c>
      <c r="AJ81" s="195">
        <f>AJ51/AJ$32</f>
        <v>3.3503106778026606E-2</v>
      </c>
      <c r="AL81" s="195">
        <f>AL51/AL$32</f>
        <v>4.0008786740271023E-2</v>
      </c>
      <c r="AN81" s="195">
        <f>AN51/AN$32</f>
        <v>4.6677786679812816E-2</v>
      </c>
      <c r="AP81" s="195">
        <f>AP51/AP$32</f>
        <v>4.8000124833943725E-2</v>
      </c>
      <c r="AR81" s="195">
        <f>AR51/AR$32</f>
        <v>4.9312373694308381E-2</v>
      </c>
      <c r="AT81" s="195">
        <f>AT51/AT$32</f>
        <v>5.0612216767788099E-2</v>
      </c>
      <c r="AV81" s="195">
        <f>AV51/AV$32</f>
        <v>5.1897574895070311E-2</v>
      </c>
      <c r="XFD81" s="195"/>
    </row>
    <row r="82" spans="1:48 16384:16384" x14ac:dyDescent="0.2">
      <c r="A82" t="s">
        <v>176</v>
      </c>
      <c r="B82" s="195">
        <f>B52/B$32</f>
        <v>0.14069693704202227</v>
      </c>
      <c r="D82" s="195">
        <f>D52/D$32</f>
        <v>0.14034586334312171</v>
      </c>
      <c r="F82" s="195">
        <f>F52/F$32</f>
        <v>0.13998296647362443</v>
      </c>
      <c r="H82" s="195">
        <f>H52/H$32</f>
        <v>0.13960693439260874</v>
      </c>
      <c r="J82" s="195">
        <f>J52/J$32</f>
        <v>0.13921628752565857</v>
      </c>
      <c r="L82" s="195">
        <f>L52/L$32</f>
        <v>0.13880934486095628</v>
      </c>
      <c r="N82" s="195">
        <f>N52/N$32</f>
        <v>0.13838421020733344</v>
      </c>
      <c r="P82" s="195">
        <f>P52/P$32</f>
        <v>0.13793874346323248</v>
      </c>
      <c r="R82" s="195">
        <f>R52/R$32</f>
        <v>0.13747054850037685</v>
      </c>
      <c r="T82" s="195">
        <f>T52/T$32</f>
        <v>0.13697697657134258</v>
      </c>
      <c r="V82" s="195">
        <f>V52/V$32</f>
        <v>0.13645516067093805</v>
      </c>
      <c r="X82" s="195">
        <f>X52/X$32</f>
        <v>0.13590215150812435</v>
      </c>
      <c r="Z82" s="195">
        <f>Z52/Z$32</f>
        <v>0.13531518142960972</v>
      </c>
      <c r="AB82" s="195">
        <f>AB52/AB$32</f>
        <v>0.13469227689127641</v>
      </c>
      <c r="AD82" s="195">
        <f>AD52/AD$32</f>
        <v>0.13403344417579754</v>
      </c>
      <c r="AF82" s="195">
        <f>AF52/AF$32</f>
        <v>0.133342848977754</v>
      </c>
      <c r="AH82" s="195">
        <f>AH52/AH$32</f>
        <v>0.13263217542894007</v>
      </c>
      <c r="AJ82" s="195">
        <f>AJ52/AJ$32</f>
        <v>0.13192386638525688</v>
      </c>
      <c r="AL82" s="195">
        <f>AL52/AL$32</f>
        <v>0.13124993473380167</v>
      </c>
      <c r="AN82" s="195">
        <f>AN52/AN$32</f>
        <v>0.13064198315680192</v>
      </c>
      <c r="AP82" s="195">
        <f>AP52/AP$32</f>
        <v>0.13053021886206384</v>
      </c>
      <c r="AR82" s="195">
        <f>AR52/AR$32</f>
        <v>0.13042192344381892</v>
      </c>
      <c r="AT82" s="195">
        <f>AT52/AT$32</f>
        <v>0.13031711722020414</v>
      </c>
      <c r="AV82" s="195">
        <f>AV52/AV$32</f>
        <v>0.13021579310792156</v>
      </c>
    </row>
    <row r="83" spans="1:48 16384:16384" x14ac:dyDescent="0.2">
      <c r="A83" t="s">
        <v>177</v>
      </c>
      <c r="B83" s="195">
        <f>B53/B$32</f>
        <v>0.18438881036940691</v>
      </c>
      <c r="D83" s="195">
        <f>D53/D$32</f>
        <v>0.18367954418920329</v>
      </c>
      <c r="F83" s="195">
        <f>F53/F$32</f>
        <v>0.18296796571028126</v>
      </c>
      <c r="H83" s="195">
        <f>H53/H$32</f>
        <v>0.18225283492309122</v>
      </c>
      <c r="J83" s="195">
        <f>J53/J$32</f>
        <v>0.18153259138711689</v>
      </c>
      <c r="L83" s="195">
        <f>L53/L$32</f>
        <v>0.18080520516448798</v>
      </c>
      <c r="N83" s="195">
        <f>N53/N$32</f>
        <v>0.18006804414381569</v>
      </c>
      <c r="P83" s="195">
        <f>P53/P$32</f>
        <v>0.1793176187889175</v>
      </c>
      <c r="R83" s="195">
        <f>R53/R$32</f>
        <v>0.17854924913431139</v>
      </c>
      <c r="T83" s="195">
        <f>T53/T$32</f>
        <v>0.17775656184482283</v>
      </c>
      <c r="V83" s="195">
        <f>V53/V$32</f>
        <v>0.17693074966004355</v>
      </c>
      <c r="X83" s="195">
        <f>X53/X$32</f>
        <v>0.17605953253005016</v>
      </c>
      <c r="Z83" s="195">
        <f>Z53/Z$32</f>
        <v>0.17512559939866376</v>
      </c>
      <c r="AB83" s="195">
        <f>AB53/AB$32</f>
        <v>0.17410470010125401</v>
      </c>
      <c r="AD83" s="195">
        <f>AD53/AD$32</f>
        <v>0.17296366995154996</v>
      </c>
      <c r="AF83" s="195">
        <f>AF53/AF$32</f>
        <v>0.17166022148187565</v>
      </c>
      <c r="AH83" s="195">
        <f>AH53/AH$32</f>
        <v>0.17014910703121996</v>
      </c>
      <c r="AJ83" s="195">
        <f>AJ53/AJ$32</f>
        <v>0.16840149934647844</v>
      </c>
      <c r="AL83" s="195">
        <f>AL53/AL$32</f>
        <v>0.16643674257433841</v>
      </c>
      <c r="AN83" s="195">
        <f>AN53/AN$32</f>
        <v>0.16433975914776619</v>
      </c>
      <c r="AP83" s="195">
        <f>AP53/AP$32</f>
        <v>0.16391518820758175</v>
      </c>
      <c r="AR83" s="195">
        <f>AR53/AR$32</f>
        <v>0.16349123471568508</v>
      </c>
      <c r="AT83" s="195">
        <f>AT53/AT$32</f>
        <v>0.16306882451059621</v>
      </c>
      <c r="AV83" s="195">
        <f>AV53/AV$32</f>
        <v>0.16264881878527385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AO2" activePane="bottomRight" state="frozen"/>
      <selection pane="topRight" activeCell="B1" sqref="B1"/>
      <selection pane="bottomLeft" activeCell="A2" sqref="A2"/>
      <selection pane="bottomRight" activeCell="AY53"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c r="B2" s="188">
        <v>5.7716594496607888E-3</v>
      </c>
      <c r="C2" s="189"/>
      <c r="D2" s="188">
        <v>3.8435328054305065E-2</v>
      </c>
      <c r="E2" s="189"/>
      <c r="F2" s="188">
        <v>7.3748899408382529E-2</v>
      </c>
      <c r="G2" s="189"/>
      <c r="H2" s="188">
        <v>0.1120598390453192</v>
      </c>
      <c r="I2" s="189"/>
      <c r="J2" s="188">
        <v>0.153776671470743</v>
      </c>
      <c r="K2" s="189"/>
      <c r="L2" s="188">
        <v>0.19938220935562889</v>
      </c>
      <c r="M2" s="189"/>
      <c r="N2" s="188">
        <v>0.24944849825071935</v>
      </c>
      <c r="O2" s="189"/>
      <c r="P2" s="188">
        <v>0.30465539205764075</v>
      </c>
      <c r="Q2" s="189"/>
      <c r="R2" s="188">
        <v>0.36581159899488963</v>
      </c>
      <c r="S2" s="189"/>
      <c r="T2" s="188">
        <v>0.43387929034989597</v>
      </c>
      <c r="U2" s="189"/>
      <c r="V2" s="188">
        <v>0.51000678959503221</v>
      </c>
      <c r="W2" s="189"/>
      <c r="X2" s="188">
        <v>0.59558632520820309</v>
      </c>
      <c r="Y2" s="189"/>
      <c r="Z2" s="188">
        <v>0.69241624785819667</v>
      </c>
      <c r="AA2" s="189"/>
      <c r="AB2" s="188">
        <v>0.80325094597796975</v>
      </c>
      <c r="AC2" s="189"/>
      <c r="AD2" s="188">
        <v>0.93372753018750365</v>
      </c>
      <c r="AE2" s="189"/>
      <c r="AF2" s="188">
        <v>1.098916298120477</v>
      </c>
      <c r="AG2" s="189"/>
      <c r="AH2" s="188">
        <v>1.3449877227712368</v>
      </c>
      <c r="AI2" s="189"/>
      <c r="AJ2" s="188">
        <v>1.8258208718609898</v>
      </c>
      <c r="AK2" s="189"/>
      <c r="AL2" s="188">
        <v>3.16681223693665</v>
      </c>
      <c r="AM2" s="189"/>
      <c r="AN2" s="188">
        <v>9.5035508869806389</v>
      </c>
      <c r="AO2" s="189"/>
      <c r="AP2" s="188">
        <v>13.475356377908708</v>
      </c>
      <c r="AQ2" s="189"/>
      <c r="AR2" s="188">
        <v>20.838181447802533</v>
      </c>
      <c r="AS2" s="189"/>
      <c r="AT2" s="188">
        <v>37.430528592974014</v>
      </c>
      <c r="AU2" s="189"/>
      <c r="AV2" s="188">
        <v>94.795345351745638</v>
      </c>
      <c r="AW2" s="189"/>
    </row>
    <row r="3" spans="1:49" x14ac:dyDescent="0.2">
      <c r="B3" s="81">
        <v>1000</v>
      </c>
      <c r="C3" s="82">
        <v>1000</v>
      </c>
      <c r="D3" s="81">
        <v>998.61111999362117</v>
      </c>
      <c r="E3" s="82">
        <v>1015.166366445087</v>
      </c>
      <c r="F3" s="81">
        <v>997.39682795631916</v>
      </c>
      <c r="G3" s="82">
        <v>1031.9995422285008</v>
      </c>
      <c r="H3" s="81">
        <v>996.39674511164992</v>
      </c>
      <c r="I3" s="82">
        <v>1050.7572547574412</v>
      </c>
      <c r="J3" s="81">
        <v>995.66431216302203</v>
      </c>
      <c r="K3" s="82">
        <v>1071.7517196043621</v>
      </c>
      <c r="L3" s="81">
        <v>995.27237308208942</v>
      </c>
      <c r="M3" s="82">
        <v>1095.3638197507539</v>
      </c>
      <c r="N3" s="81">
        <v>995.32294232778622</v>
      </c>
      <c r="O3" s="82">
        <v>1122.0627521607237</v>
      </c>
      <c r="P3" s="81">
        <v>995.96168862673619</v>
      </c>
      <c r="Q3" s="82">
        <v>1152.4319423232937</v>
      </c>
      <c r="R3" s="81">
        <v>997.40215073664763</v>
      </c>
      <c r="S3" s="82">
        <v>1187.205414677637</v>
      </c>
      <c r="T3" s="81">
        <v>999.96614515532031</v>
      </c>
      <c r="U3" s="82">
        <v>1227.3202749624509</v>
      </c>
      <c r="V3" s="81">
        <v>1004.1532594664556</v>
      </c>
      <c r="W3" s="82">
        <v>1273.9989794908124</v>
      </c>
      <c r="X3" s="81">
        <v>1010.7653850338022</v>
      </c>
      <c r="Y3" s="82">
        <v>1328.8915845753252</v>
      </c>
      <c r="Z3" s="81">
        <v>1021.1349347398701</v>
      </c>
      <c r="AA3" s="82">
        <v>1394.3632418823661</v>
      </c>
      <c r="AB3" s="81">
        <v>1037.5578625022883</v>
      </c>
      <c r="AC3" s="82">
        <v>1474.1649194993781</v>
      </c>
      <c r="AD3" s="81">
        <v>1064.1319842613671</v>
      </c>
      <c r="AE3" s="82">
        <v>1575.1816164611819</v>
      </c>
      <c r="AF3" s="81">
        <v>1108.4242940452405</v>
      </c>
      <c r="AG3" s="82">
        <v>1712.2828609220448</v>
      </c>
      <c r="AH3" s="81">
        <v>1184.9600112428841</v>
      </c>
      <c r="AI3" s="82">
        <v>1922.2946455230153</v>
      </c>
      <c r="AJ3" s="81">
        <v>1324.4134373113093</v>
      </c>
      <c r="AK3" s="82">
        <v>2309.1541294741178</v>
      </c>
      <c r="AL3" s="81">
        <v>1609.6629411532463</v>
      </c>
      <c r="AM3" s="82">
        <v>3244.38373940463</v>
      </c>
      <c r="AN3" s="81">
        <v>2378.6366032062565</v>
      </c>
      <c r="AO3" s="82">
        <v>6912.3376172827539</v>
      </c>
      <c r="AP3" s="81">
        <v>2710.2523514077207</v>
      </c>
      <c r="AQ3" s="82">
        <v>9019.683326000084</v>
      </c>
      <c r="AR3" s="81">
        <v>3206.2031809745545</v>
      </c>
      <c r="AS3" s="82">
        <v>12772.627668842466</v>
      </c>
      <c r="AT3" s="81">
        <v>4051.2382269637974</v>
      </c>
      <c r="AU3" s="82">
        <v>20865.378835470172</v>
      </c>
      <c r="AV3" s="81">
        <v>5963.3571277345527</v>
      </c>
      <c r="AW3" s="82">
        <v>47406.467470663956</v>
      </c>
    </row>
    <row r="4" spans="1:49" x14ac:dyDescent="0.2">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B5" s="39">
        <v>1000</v>
      </c>
      <c r="C5" s="40">
        <v>1000</v>
      </c>
      <c r="D5" s="39">
        <v>998.54223250435427</v>
      </c>
      <c r="E5" s="40">
        <v>1013.2196317888194</v>
      </c>
      <c r="F5" s="39">
        <v>997.26701348930396</v>
      </c>
      <c r="G5" s="40">
        <v>1027.6657596569819</v>
      </c>
      <c r="H5" s="39">
        <v>996.2162594816499</v>
      </c>
      <c r="I5" s="40">
        <v>1043.4851352450669</v>
      </c>
      <c r="J5" s="39">
        <v>995.44643414513007</v>
      </c>
      <c r="K5" s="40">
        <v>1060.8455660331765</v>
      </c>
      <c r="L5" s="39">
        <v>995.03438711859769</v>
      </c>
      <c r="M5" s="40">
        <v>1079.9385712128098</v>
      </c>
      <c r="N5" s="39">
        <v>995.08755456757808</v>
      </c>
      <c r="O5" s="40">
        <v>1100.9819332339632</v>
      </c>
      <c r="P5" s="39">
        <v>995.75902104906299</v>
      </c>
      <c r="Q5" s="40">
        <v>1124.2216757635945</v>
      </c>
      <c r="R5" s="39">
        <v>997.27260438343183</v>
      </c>
      <c r="S5" s="40">
        <v>1149.9331274962271</v>
      </c>
      <c r="T5" s="39">
        <v>999.96447576719561</v>
      </c>
      <c r="U5" s="40">
        <v>1178.4206395986987</v>
      </c>
      <c r="V5" s="39">
        <v>1004.35420628244</v>
      </c>
      <c r="W5" s="40">
        <v>1210.0182515126676</v>
      </c>
      <c r="X5" s="39">
        <v>1011.2708239680486</v>
      </c>
      <c r="Y5" s="40">
        <v>1245.0954814247009</v>
      </c>
      <c r="Z5" s="39">
        <v>1022.0805912258036</v>
      </c>
      <c r="AA5" s="40">
        <v>1284.0923720448816</v>
      </c>
      <c r="AB5" s="39">
        <v>1039.1106426794368</v>
      </c>
      <c r="AC5" s="40">
        <v>1327.6410821502054</v>
      </c>
      <c r="AD5" s="39">
        <v>1066.44530945512</v>
      </c>
      <c r="AE5" s="40">
        <v>1376.9051256238088</v>
      </c>
      <c r="AF5" s="39">
        <v>1111.4429419232083</v>
      </c>
      <c r="AG5" s="40">
        <v>1434.300438834048</v>
      </c>
      <c r="AH5" s="39">
        <v>1187.7308599583423</v>
      </c>
      <c r="AI5" s="40">
        <v>1504.2955746214784</v>
      </c>
      <c r="AJ5" s="39">
        <v>1322.7382082637871</v>
      </c>
      <c r="AK5" s="40">
        <v>1591.3639677287426</v>
      </c>
      <c r="AL5" s="39">
        <v>1586.370504517429</v>
      </c>
      <c r="AM5" s="40">
        <v>1685.9288082036876</v>
      </c>
      <c r="AN5" s="39">
        <v>2236.5256837847064</v>
      </c>
      <c r="AO5" s="40">
        <v>1742.9910236030573</v>
      </c>
      <c r="AP5" s="39">
        <v>2494.9964097865841</v>
      </c>
      <c r="AQ5" s="40">
        <v>1746.8695771386463</v>
      </c>
      <c r="AR5" s="39">
        <v>2860.555522207218</v>
      </c>
      <c r="AS5" s="40">
        <v>1748.9398673995809</v>
      </c>
      <c r="AT5" s="39">
        <v>3432.2267995162724</v>
      </c>
      <c r="AU5" s="40">
        <v>1749.8099335547179</v>
      </c>
      <c r="AV5" s="39">
        <v>4531.888727588821</v>
      </c>
      <c r="AW5" s="40">
        <v>1750.0471286267646</v>
      </c>
    </row>
    <row r="6" spans="1:49" x14ac:dyDescent="0.2">
      <c r="B6" s="39">
        <v>999.99999999999943</v>
      </c>
      <c r="C6" s="40">
        <v>999.99999999999909</v>
      </c>
      <c r="D6" s="39">
        <v>998.4309026075839</v>
      </c>
      <c r="E6" s="40">
        <v>1016.3518085941031</v>
      </c>
      <c r="F6" s="39">
        <v>997.05858180614746</v>
      </c>
      <c r="G6" s="40">
        <v>1034.457555177853</v>
      </c>
      <c r="H6" s="39">
        <v>995.92801960478641</v>
      </c>
      <c r="I6" s="40">
        <v>1054.5835659745139</v>
      </c>
      <c r="J6" s="39">
        <v>995.09983843106704</v>
      </c>
      <c r="K6" s="40">
        <v>1077.0519805345518</v>
      </c>
      <c r="L6" s="39">
        <v>994.65659684622608</v>
      </c>
      <c r="M6" s="40">
        <v>1102.2552016554762</v>
      </c>
      <c r="N6" s="39">
        <v>994.71378788736229</v>
      </c>
      <c r="O6" s="40">
        <v>1130.6759581758979</v>
      </c>
      <c r="P6" s="39">
        <v>995.43610909792051</v>
      </c>
      <c r="Q6" s="40">
        <v>1162.9137430493529</v>
      </c>
      <c r="R6" s="39">
        <v>997.0645982479823</v>
      </c>
      <c r="S6" s="40">
        <v>1199.7219656014618</v>
      </c>
      <c r="T6" s="39">
        <v>999.96175896841862</v>
      </c>
      <c r="U6" s="40">
        <v>1242.0616300164147</v>
      </c>
      <c r="V6" s="39">
        <v>1004.6888213235188</v>
      </c>
      <c r="W6" s="40">
        <v>1291.1856862252298</v>
      </c>
      <c r="X6" s="39">
        <v>1012.1433987793738</v>
      </c>
      <c r="Y6" s="40">
        <v>1348.7852528383482</v>
      </c>
      <c r="Z6" s="39">
        <v>1023.8097493124483</v>
      </c>
      <c r="AA6" s="40">
        <v>1417.2858698072089</v>
      </c>
      <c r="AB6" s="39">
        <v>1042.2285568321938</v>
      </c>
      <c r="AC6" s="40">
        <v>1500.5393271918583</v>
      </c>
      <c r="AD6" s="39">
        <v>1071.8931045876229</v>
      </c>
      <c r="AE6" s="40">
        <v>1605.6258872137919</v>
      </c>
      <c r="AF6" s="39">
        <v>1120.9986412501019</v>
      </c>
      <c r="AG6" s="40">
        <v>1747.8462913096162</v>
      </c>
      <c r="AH6" s="39">
        <v>1205.0345974292318</v>
      </c>
      <c r="AI6" s="40">
        <v>1965.0691995723191</v>
      </c>
      <c r="AJ6" s="39">
        <v>1356.2181470635724</v>
      </c>
      <c r="AK6" s="40">
        <v>2364.0169247115728</v>
      </c>
      <c r="AL6" s="39">
        <v>1660.8626618652809</v>
      </c>
      <c r="AM6" s="40">
        <v>3325.7177757656445</v>
      </c>
      <c r="AN6" s="39">
        <v>2470.1578065796007</v>
      </c>
      <c r="AO6" s="40">
        <v>7090.1943852323202</v>
      </c>
      <c r="AP6" s="39">
        <v>2817.1431812608621</v>
      </c>
      <c r="AQ6" s="40">
        <v>9252.1407369074077</v>
      </c>
      <c r="AR6" s="39">
        <v>3335.2010159212437</v>
      </c>
      <c r="AS6" s="40">
        <v>13102.090611456129</v>
      </c>
      <c r="AT6" s="39">
        <v>4216.7074905413801</v>
      </c>
      <c r="AU6" s="40">
        <v>21403.784039508781</v>
      </c>
      <c r="AV6" s="39">
        <v>6209.3783847712393</v>
      </c>
      <c r="AW6" s="40">
        <v>48629.852645389372</v>
      </c>
    </row>
    <row r="7" spans="1:49" x14ac:dyDescent="0.2">
      <c r="B7" s="31">
        <v>1015.9116825427475</v>
      </c>
      <c r="C7" s="32">
        <v>1015.9116825427475</v>
      </c>
      <c r="D7" s="31">
        <v>1014.4307195134899</v>
      </c>
      <c r="E7" s="32">
        <v>1014.4307195134899</v>
      </c>
      <c r="F7" s="31">
        <v>1013.1352096182995</v>
      </c>
      <c r="G7" s="32">
        <v>1013.1352096182995</v>
      </c>
      <c r="H7" s="31">
        <v>1012.0677363464453</v>
      </c>
      <c r="I7" s="32">
        <v>1012.0677363464453</v>
      </c>
      <c r="J7" s="31">
        <v>1011.2856617935573</v>
      </c>
      <c r="K7" s="32">
        <v>1011.2856617935573</v>
      </c>
      <c r="L7" s="31">
        <v>1010.8670584055461</v>
      </c>
      <c r="M7" s="32">
        <v>1010.8670584055461</v>
      </c>
      <c r="N7" s="31">
        <v>1010.9210718380963</v>
      </c>
      <c r="O7" s="32">
        <v>1010.9210718380963</v>
      </c>
      <c r="P7" s="31">
        <v>1011.6032224810726</v>
      </c>
      <c r="Q7" s="32">
        <v>1011.6032224810726</v>
      </c>
      <c r="R7" s="31">
        <v>1013.14088947296</v>
      </c>
      <c r="S7" s="32">
        <v>1013.14088947296</v>
      </c>
      <c r="T7" s="31">
        <v>1015.875593059628</v>
      </c>
      <c r="U7" s="32">
        <v>1015.875593059628</v>
      </c>
      <c r="V7" s="31">
        <v>1020.3351715732792</v>
      </c>
      <c r="W7" s="32">
        <v>1020.3351715732792</v>
      </c>
      <c r="X7" s="31">
        <v>1027.3618442837708</v>
      </c>
      <c r="Y7" s="32">
        <v>1027.3618442837708</v>
      </c>
      <c r="Z7" s="31">
        <v>1038.3436131264921</v>
      </c>
      <c r="AA7" s="32">
        <v>1038.3436131264921</v>
      </c>
      <c r="AB7" s="31">
        <v>1055.6446413525423</v>
      </c>
      <c r="AC7" s="32">
        <v>1055.6446413525423</v>
      </c>
      <c r="AD7" s="31">
        <v>1083.4142486683718</v>
      </c>
      <c r="AE7" s="32">
        <v>1083.4142486683718</v>
      </c>
      <c r="AF7" s="31">
        <v>1129.1278691794678</v>
      </c>
      <c r="AG7" s="32">
        <v>1129.1278691794678</v>
      </c>
      <c r="AH7" s="31">
        <v>1206.6296563482238</v>
      </c>
      <c r="AI7" s="32">
        <v>1206.6296563482238</v>
      </c>
      <c r="AJ7" s="31">
        <v>1343.785198720843</v>
      </c>
      <c r="AK7" s="32">
        <v>1343.785198720843</v>
      </c>
      <c r="AL7" s="31">
        <v>1611.6123283804884</v>
      </c>
      <c r="AM7" s="32">
        <v>1611.6123283804884</v>
      </c>
      <c r="AN7" s="31">
        <v>2272.1125704637898</v>
      </c>
      <c r="AO7" s="32">
        <v>2272.1125704637898</v>
      </c>
      <c r="AP7" s="31">
        <v>2534.6960006044028</v>
      </c>
      <c r="AQ7" s="32">
        <v>2534.6960006044028</v>
      </c>
      <c r="AR7" s="31">
        <v>2906.0717735724825</v>
      </c>
      <c r="AS7" s="32">
        <v>2906.0717735724825</v>
      </c>
      <c r="AT7" s="31">
        <v>3486.8393027648854</v>
      </c>
      <c r="AU7" s="32">
        <v>3486.8393027648854</v>
      </c>
      <c r="AV7" s="31">
        <v>4603.9987023412696</v>
      </c>
      <c r="AW7" s="32">
        <v>4603.9987023412696</v>
      </c>
    </row>
    <row r="8" spans="1:49" x14ac:dyDescent="0.2">
      <c r="B8" s="33">
        <v>1005.7716594496609</v>
      </c>
      <c r="C8" s="34">
        <v>1005.7716594496609</v>
      </c>
      <c r="D8" s="33">
        <v>1052.1630607276848</v>
      </c>
      <c r="E8" s="34">
        <v>1052.1630607276848</v>
      </c>
      <c r="F8" s="33">
        <v>1103.4549783913637</v>
      </c>
      <c r="G8" s="34">
        <v>1103.4549783913637</v>
      </c>
      <c r="H8" s="33">
        <v>1160.4179115468121</v>
      </c>
      <c r="I8" s="34">
        <v>1160.4179115468121</v>
      </c>
      <c r="J8" s="33">
        <v>1223.9788661222547</v>
      </c>
      <c r="K8" s="34">
        <v>1223.9788661222547</v>
      </c>
      <c r="L8" s="33">
        <v>1295.2591095095809</v>
      </c>
      <c r="M8" s="34">
        <v>1295.2591095095809</v>
      </c>
      <c r="N8" s="33">
        <v>1375.6202230803492</v>
      </c>
      <c r="O8" s="34">
        <v>1375.6202230803492</v>
      </c>
      <c r="P8" s="33">
        <v>1466.7218711530502</v>
      </c>
      <c r="Q8" s="34">
        <v>1466.7218711530502</v>
      </c>
      <c r="R8" s="33">
        <v>1570.5920036028162</v>
      </c>
      <c r="S8" s="34">
        <v>1570.5920036028162</v>
      </c>
      <c r="T8" s="33">
        <v>1689.7129504414527</v>
      </c>
      <c r="U8" s="34">
        <v>1689.7129504414527</v>
      </c>
      <c r="V8" s="33">
        <v>1827.1357753180373</v>
      </c>
      <c r="W8" s="34">
        <v>1827.1357753180373</v>
      </c>
      <c r="X8" s="33">
        <v>1986.6573237397768</v>
      </c>
      <c r="Y8" s="34">
        <v>1986.6573237397768</v>
      </c>
      <c r="Z8" s="33">
        <v>2173.2187941995303</v>
      </c>
      <c r="AA8" s="34">
        <v>2173.2187941995303</v>
      </c>
      <c r="AB8" s="33">
        <v>2394.0700373065733</v>
      </c>
      <c r="AC8" s="34">
        <v>2394.0700373065733</v>
      </c>
      <c r="AD8" s="33">
        <v>2662.559347875042</v>
      </c>
      <c r="AE8" s="34">
        <v>2662.559347875042</v>
      </c>
      <c r="AF8" s="33">
        <v>3010.4765674701353</v>
      </c>
      <c r="AG8" s="34">
        <v>3010.4765674701353</v>
      </c>
      <c r="AH8" s="33">
        <v>3527.5546539064699</v>
      </c>
      <c r="AI8" s="34">
        <v>3527.5546539064699</v>
      </c>
      <c r="AJ8" s="33">
        <v>4496.9095147354001</v>
      </c>
      <c r="AK8" s="34">
        <v>4496.9095147354001</v>
      </c>
      <c r="AL8" s="33">
        <v>7024.9487886271481</v>
      </c>
      <c r="AM8" s="34">
        <v>7024.9487886271481</v>
      </c>
      <c r="AN8" s="33">
        <v>18307.594911965185</v>
      </c>
      <c r="AO8" s="34">
        <v>18307.594911965185</v>
      </c>
      <c r="AP8" s="33">
        <v>25286.559674808592</v>
      </c>
      <c r="AQ8" s="34">
        <v>25286.559674808592</v>
      </c>
      <c r="AR8" s="33">
        <v>38193.666165567753</v>
      </c>
      <c r="AS8" s="34">
        <v>38193.666165567753</v>
      </c>
      <c r="AT8" s="33">
        <v>67246.12068374455</v>
      </c>
      <c r="AU8" s="34">
        <v>67246.12068374455</v>
      </c>
      <c r="AV8" s="33">
        <v>167646.36906863173</v>
      </c>
      <c r="AW8" s="34">
        <v>167646.36906863173</v>
      </c>
    </row>
    <row r="9" spans="1:49" x14ac:dyDescent="0.2">
      <c r="B9" s="39">
        <v>1015.9116825427475</v>
      </c>
      <c r="C9" s="40">
        <v>1005.7716594496609</v>
      </c>
      <c r="D9" s="39">
        <v>1014.4307195134899</v>
      </c>
      <c r="E9" s="40">
        <v>1052.1630607276848</v>
      </c>
      <c r="F9" s="39">
        <v>1013.1352096182995</v>
      </c>
      <c r="G9" s="40">
        <v>1103.4549783913637</v>
      </c>
      <c r="H9" s="39">
        <v>1012.0677363464453</v>
      </c>
      <c r="I9" s="40">
        <v>1160.4179115468121</v>
      </c>
      <c r="J9" s="39">
        <v>1011.2856617935573</v>
      </c>
      <c r="K9" s="40">
        <v>1223.9788661222547</v>
      </c>
      <c r="L9" s="39">
        <v>1010.8670584055461</v>
      </c>
      <c r="M9" s="40">
        <v>1295.2591095095809</v>
      </c>
      <c r="N9" s="39">
        <v>1010.9210718380963</v>
      </c>
      <c r="O9" s="40">
        <v>1375.6202230803492</v>
      </c>
      <c r="P9" s="39">
        <v>1011.6032224810726</v>
      </c>
      <c r="Q9" s="40">
        <v>1466.7218711530502</v>
      </c>
      <c r="R9" s="39">
        <v>1013.14088947296</v>
      </c>
      <c r="S9" s="40">
        <v>1570.5920036028162</v>
      </c>
      <c r="T9" s="39">
        <v>1015.875593059628</v>
      </c>
      <c r="U9" s="40">
        <v>1689.7129504414527</v>
      </c>
      <c r="V9" s="39">
        <v>1020.3351715732792</v>
      </c>
      <c r="W9" s="40">
        <v>1827.1357753180373</v>
      </c>
      <c r="X9" s="39">
        <v>1027.3618442837708</v>
      </c>
      <c r="Y9" s="40">
        <v>1986.6573237397768</v>
      </c>
      <c r="Z9" s="39">
        <v>1038.3436131264921</v>
      </c>
      <c r="AA9" s="40">
        <v>2173.2187941995303</v>
      </c>
      <c r="AB9" s="39">
        <v>1055.6446413525423</v>
      </c>
      <c r="AC9" s="40">
        <v>2394.0700373065733</v>
      </c>
      <c r="AD9" s="39">
        <v>1083.4142486683718</v>
      </c>
      <c r="AE9" s="40">
        <v>2662.559347875042</v>
      </c>
      <c r="AF9" s="39">
        <v>1129.1278691794678</v>
      </c>
      <c r="AG9" s="40">
        <v>3010.4765674701353</v>
      </c>
      <c r="AH9" s="39">
        <v>1206.6296563482238</v>
      </c>
      <c r="AI9" s="40">
        <v>3527.5546539064699</v>
      </c>
      <c r="AJ9" s="39">
        <v>1343.785198720843</v>
      </c>
      <c r="AK9" s="40">
        <v>4496.9095147354001</v>
      </c>
      <c r="AL9" s="39">
        <v>1611.6123283804884</v>
      </c>
      <c r="AM9" s="40">
        <v>7024.9487886271481</v>
      </c>
      <c r="AN9" s="39">
        <v>2272.1125704637898</v>
      </c>
      <c r="AO9" s="40">
        <v>18307.594911965185</v>
      </c>
      <c r="AP9" s="39">
        <v>2534.6960006044028</v>
      </c>
      <c r="AQ9" s="40">
        <v>25286.559674808592</v>
      </c>
      <c r="AR9" s="39">
        <v>2906.0717735724825</v>
      </c>
      <c r="AS9" s="40">
        <v>38193.666165567753</v>
      </c>
      <c r="AT9" s="39">
        <v>3486.8393027648854</v>
      </c>
      <c r="AU9" s="40">
        <v>67246.12068374455</v>
      </c>
      <c r="AV9" s="39">
        <v>4603.9987023412696</v>
      </c>
      <c r="AW9" s="40">
        <v>167646.36906863173</v>
      </c>
    </row>
    <row r="10" spans="1:49" x14ac:dyDescent="0.2">
      <c r="B10" s="39">
        <v>1015.9116825427475</v>
      </c>
      <c r="C10" s="40">
        <v>1005.7716594496609</v>
      </c>
      <c r="D10" s="39">
        <v>1014.4307195134899</v>
      </c>
      <c r="E10" s="40">
        <v>1052.1630607276848</v>
      </c>
      <c r="F10" s="39">
        <v>1013.1352096182995</v>
      </c>
      <c r="G10" s="40">
        <v>1103.4549783913637</v>
      </c>
      <c r="H10" s="39">
        <v>1012.0677363464453</v>
      </c>
      <c r="I10" s="40">
        <v>1160.4179115468121</v>
      </c>
      <c r="J10" s="39">
        <v>1011.2856617935573</v>
      </c>
      <c r="K10" s="40">
        <v>1223.9788661222547</v>
      </c>
      <c r="L10" s="39">
        <v>1010.8670584055461</v>
      </c>
      <c r="M10" s="40">
        <v>1295.2591095095809</v>
      </c>
      <c r="N10" s="39">
        <v>1010.9210718380963</v>
      </c>
      <c r="O10" s="40">
        <v>1375.6202230803492</v>
      </c>
      <c r="P10" s="39">
        <v>1011.6032224810726</v>
      </c>
      <c r="Q10" s="40">
        <v>1466.7218711530502</v>
      </c>
      <c r="R10" s="39">
        <v>1013.14088947296</v>
      </c>
      <c r="S10" s="40">
        <v>1570.5920036028162</v>
      </c>
      <c r="T10" s="39">
        <v>1015.875593059628</v>
      </c>
      <c r="U10" s="40">
        <v>1689.7129504414527</v>
      </c>
      <c r="V10" s="39">
        <v>1020.3351715732792</v>
      </c>
      <c r="W10" s="40">
        <v>1827.1357753180373</v>
      </c>
      <c r="X10" s="39">
        <v>1027.3618442837708</v>
      </c>
      <c r="Y10" s="40">
        <v>1986.6573237397768</v>
      </c>
      <c r="Z10" s="39">
        <v>1038.3436131264921</v>
      </c>
      <c r="AA10" s="40">
        <v>2173.2187941995303</v>
      </c>
      <c r="AB10" s="39">
        <v>1055.6446413525423</v>
      </c>
      <c r="AC10" s="40">
        <v>2394.0700373065733</v>
      </c>
      <c r="AD10" s="39">
        <v>1083.4142486683718</v>
      </c>
      <c r="AE10" s="40">
        <v>2662.559347875042</v>
      </c>
      <c r="AF10" s="39">
        <v>1129.1278691794678</v>
      </c>
      <c r="AG10" s="40">
        <v>3010.4765674701353</v>
      </c>
      <c r="AH10" s="39">
        <v>1206.6296563482238</v>
      </c>
      <c r="AI10" s="40">
        <v>3527.5546539064699</v>
      </c>
      <c r="AJ10" s="39">
        <v>1343.785198720843</v>
      </c>
      <c r="AK10" s="40">
        <v>4496.9095147354001</v>
      </c>
      <c r="AL10" s="39">
        <v>1611.6123283804884</v>
      </c>
      <c r="AM10" s="40">
        <v>7024.9487886271481</v>
      </c>
      <c r="AN10" s="39">
        <v>2272.1125704637898</v>
      </c>
      <c r="AO10" s="40">
        <v>18307.594911965185</v>
      </c>
      <c r="AP10" s="39">
        <v>2534.6960006044028</v>
      </c>
      <c r="AQ10" s="40">
        <v>25286.559674808592</v>
      </c>
      <c r="AR10" s="39">
        <v>2906.0717735724825</v>
      </c>
      <c r="AS10" s="40">
        <v>38193.666165567753</v>
      </c>
      <c r="AT10" s="39">
        <v>3486.8393027648854</v>
      </c>
      <c r="AU10" s="40">
        <v>67246.12068374455</v>
      </c>
      <c r="AV10" s="39">
        <v>4603.9987023412696</v>
      </c>
      <c r="AW10" s="40">
        <v>167646.36906863173</v>
      </c>
    </row>
    <row r="11" spans="1:49" x14ac:dyDescent="0.2">
      <c r="B11" s="39">
        <v>1015.9116825427475</v>
      </c>
      <c r="C11" s="40">
        <v>1005.7716594496609</v>
      </c>
      <c r="D11" s="39">
        <v>1014.4307195134899</v>
      </c>
      <c r="E11" s="40">
        <v>1052.1630607276848</v>
      </c>
      <c r="F11" s="39">
        <v>1013.1352096182995</v>
      </c>
      <c r="G11" s="40">
        <v>1103.4549783913637</v>
      </c>
      <c r="H11" s="39">
        <v>1012.0677363464453</v>
      </c>
      <c r="I11" s="40">
        <v>1160.4179115468121</v>
      </c>
      <c r="J11" s="39">
        <v>1011.2856617935573</v>
      </c>
      <c r="K11" s="40">
        <v>1223.9788661222547</v>
      </c>
      <c r="L11" s="39">
        <v>1010.8670584055461</v>
      </c>
      <c r="M11" s="40">
        <v>1295.2591095095809</v>
      </c>
      <c r="N11" s="39">
        <v>1010.9210718380963</v>
      </c>
      <c r="O11" s="40">
        <v>1375.6202230803492</v>
      </c>
      <c r="P11" s="39">
        <v>1011.6032224810726</v>
      </c>
      <c r="Q11" s="40">
        <v>1466.7218711530502</v>
      </c>
      <c r="R11" s="39">
        <v>1013.14088947296</v>
      </c>
      <c r="S11" s="40">
        <v>1570.5920036028162</v>
      </c>
      <c r="T11" s="39">
        <v>1015.875593059628</v>
      </c>
      <c r="U11" s="40">
        <v>1689.7129504414527</v>
      </c>
      <c r="V11" s="39">
        <v>1020.3351715732792</v>
      </c>
      <c r="W11" s="40">
        <v>1827.1357753180373</v>
      </c>
      <c r="X11" s="39">
        <v>1027.3618442837708</v>
      </c>
      <c r="Y11" s="40">
        <v>1986.6573237397768</v>
      </c>
      <c r="Z11" s="39">
        <v>1038.3436131264921</v>
      </c>
      <c r="AA11" s="40">
        <v>2173.2187941995303</v>
      </c>
      <c r="AB11" s="39">
        <v>1055.6446413525423</v>
      </c>
      <c r="AC11" s="40">
        <v>2394.0700373065733</v>
      </c>
      <c r="AD11" s="39">
        <v>1083.4142486683718</v>
      </c>
      <c r="AE11" s="40">
        <v>2662.559347875042</v>
      </c>
      <c r="AF11" s="39">
        <v>1129.1278691794678</v>
      </c>
      <c r="AG11" s="40">
        <v>3010.4765674701353</v>
      </c>
      <c r="AH11" s="39">
        <v>1206.6296563482238</v>
      </c>
      <c r="AI11" s="40">
        <v>3527.5546539064699</v>
      </c>
      <c r="AJ11" s="39">
        <v>1343.785198720843</v>
      </c>
      <c r="AK11" s="40">
        <v>4496.9095147354001</v>
      </c>
      <c r="AL11" s="39">
        <v>1611.6123283804884</v>
      </c>
      <c r="AM11" s="40">
        <v>7024.9487886271481</v>
      </c>
      <c r="AN11" s="39">
        <v>2272.1125704637898</v>
      </c>
      <c r="AO11" s="40">
        <v>18307.594911965185</v>
      </c>
      <c r="AP11" s="39">
        <v>2534.6960006044028</v>
      </c>
      <c r="AQ11" s="40">
        <v>25286.559674808592</v>
      </c>
      <c r="AR11" s="39">
        <v>2906.0717735724825</v>
      </c>
      <c r="AS11" s="40">
        <v>38193.666165567753</v>
      </c>
      <c r="AT11" s="39">
        <v>3486.8393027648854</v>
      </c>
      <c r="AU11" s="40">
        <v>67246.12068374455</v>
      </c>
      <c r="AV11" s="39">
        <v>4603.9987023412696</v>
      </c>
      <c r="AW11" s="40">
        <v>167646.36906863173</v>
      </c>
    </row>
    <row r="12" spans="1:49" x14ac:dyDescent="0.2">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B13" s="93">
        <v>1000</v>
      </c>
      <c r="C13" s="94">
        <v>1000</v>
      </c>
      <c r="D13" s="93">
        <v>994.96173008283074</v>
      </c>
      <c r="E13" s="94">
        <v>994.96173008283074</v>
      </c>
      <c r="F13" s="93">
        <v>989.80297419287217</v>
      </c>
      <c r="G13" s="94">
        <v>989.80297419287217</v>
      </c>
      <c r="H13" s="93">
        <v>984.52366641413141</v>
      </c>
      <c r="I13" s="94">
        <v>984.52366641413141</v>
      </c>
      <c r="J13" s="93">
        <v>979.13049460151876</v>
      </c>
      <c r="K13" s="94">
        <v>979.13049460151876</v>
      </c>
      <c r="L13" s="93">
        <v>973.64091768903518</v>
      </c>
      <c r="M13" s="94">
        <v>973.64091768903518</v>
      </c>
      <c r="N13" s="93">
        <v>968.09098086221638</v>
      </c>
      <c r="O13" s="94">
        <v>968.09098086221638</v>
      </c>
      <c r="P13" s="93">
        <v>962.54734396003619</v>
      </c>
      <c r="Q13" s="94">
        <v>962.54734396003619</v>
      </c>
      <c r="R13" s="93">
        <v>957.12842211434793</v>
      </c>
      <c r="S13" s="94">
        <v>957.12842211434793</v>
      </c>
      <c r="T13" s="93">
        <v>952.04091328843674</v>
      </c>
      <c r="U13" s="94">
        <v>952.04091328843674</v>
      </c>
      <c r="V13" s="93">
        <v>947.64412701286165</v>
      </c>
      <c r="W13" s="94">
        <v>947.64412701286165</v>
      </c>
      <c r="X13" s="93">
        <v>944.56736739064331</v>
      </c>
      <c r="Y13" s="94">
        <v>944.56736739064331</v>
      </c>
      <c r="Z13" s="93">
        <v>943.92599534740202</v>
      </c>
      <c r="AA13" s="94">
        <v>943.92599534740202</v>
      </c>
      <c r="AB13" s="93">
        <v>947.72944842555819</v>
      </c>
      <c r="AC13" s="94">
        <v>947.72944842555819</v>
      </c>
      <c r="AD13" s="93">
        <v>959.65910581804496</v>
      </c>
      <c r="AE13" s="94">
        <v>959.65910581804496</v>
      </c>
      <c r="AF13" s="93">
        <v>986.58306579886175</v>
      </c>
      <c r="AG13" s="94">
        <v>986.58306579886175</v>
      </c>
      <c r="AH13" s="93">
        <v>1041.6604126892194</v>
      </c>
      <c r="AI13" s="94">
        <v>1041.6604126892194</v>
      </c>
      <c r="AJ13" s="93">
        <v>1152.5066883011948</v>
      </c>
      <c r="AK13" s="94">
        <v>1152.5066883011948</v>
      </c>
      <c r="AL13" s="93">
        <v>1394.3777854097259</v>
      </c>
      <c r="AM13" s="94">
        <v>1394.3777854097259</v>
      </c>
      <c r="AN13" s="93">
        <v>2092.7370532854015</v>
      </c>
      <c r="AO13" s="94">
        <v>2092.7370532854015</v>
      </c>
      <c r="AP13" s="93">
        <v>2411.2964893999742</v>
      </c>
      <c r="AQ13" s="94">
        <v>2411.2964893999742</v>
      </c>
      <c r="AR13" s="93">
        <v>2906.6063969536763</v>
      </c>
      <c r="AS13" s="94">
        <v>2906.6063969536763</v>
      </c>
      <c r="AT13" s="93">
        <v>3800.6948831979557</v>
      </c>
      <c r="AU13" s="94">
        <v>3800.6948831979557</v>
      </c>
      <c r="AV13" s="93">
        <v>6032.8976488304888</v>
      </c>
      <c r="AW13" s="94">
        <v>6032.8976488304888</v>
      </c>
    </row>
    <row r="14" spans="1:49" x14ac:dyDescent="0.2">
      <c r="B14" s="39">
        <v>1457.0034251455234</v>
      </c>
      <c r="C14" s="40">
        <v>1457.0034251455236</v>
      </c>
      <c r="D14" s="39">
        <v>1449.6626486194</v>
      </c>
      <c r="E14" s="40">
        <v>1449.6626486194002</v>
      </c>
      <c r="F14" s="39">
        <v>1442.1463236182408</v>
      </c>
      <c r="G14" s="40">
        <v>1442.146323618241</v>
      </c>
      <c r="H14" s="39">
        <v>1434.4543541022181</v>
      </c>
      <c r="I14" s="40">
        <v>1434.4543541022183</v>
      </c>
      <c r="J14" s="39">
        <v>1426.5964842988431</v>
      </c>
      <c r="K14" s="40">
        <v>1426.5964842988433</v>
      </c>
      <c r="L14" s="39">
        <v>1418.5981519347547</v>
      </c>
      <c r="M14" s="40">
        <v>1418.5981519347549</v>
      </c>
      <c r="N14" s="39">
        <v>1410.5118749687385</v>
      </c>
      <c r="O14" s="40">
        <v>1410.5118749687388</v>
      </c>
      <c r="P14" s="39">
        <v>1402.4347770144989</v>
      </c>
      <c r="Q14" s="40">
        <v>1402.4347770144991</v>
      </c>
      <c r="R14" s="39">
        <v>1394.5393893247351</v>
      </c>
      <c r="S14" s="40">
        <v>1394.5393893247353</v>
      </c>
      <c r="T14" s="39">
        <v>1387.1268715399244</v>
      </c>
      <c r="U14" s="40">
        <v>1387.1268715399247</v>
      </c>
      <c r="V14" s="39">
        <v>1380.7207388767788</v>
      </c>
      <c r="W14" s="40">
        <v>1380.720738876779</v>
      </c>
      <c r="X14" s="39">
        <v>1376.2378895688571</v>
      </c>
      <c r="Y14" s="40">
        <v>1376.2378895688573</v>
      </c>
      <c r="Z14" s="39">
        <v>1375.303408305062</v>
      </c>
      <c r="AA14" s="40">
        <v>1375.3034083050622</v>
      </c>
      <c r="AB14" s="39">
        <v>1380.8450524673158</v>
      </c>
      <c r="AC14" s="40">
        <v>1380.845052467316</v>
      </c>
      <c r="AD14" s="39">
        <v>1398.2266041489818</v>
      </c>
      <c r="AE14" s="40">
        <v>1398.2266041489818</v>
      </c>
      <c r="AF14" s="39">
        <v>1437.4549060595127</v>
      </c>
      <c r="AG14" s="40">
        <v>1437.454906059513</v>
      </c>
      <c r="AH14" s="39">
        <v>1517.7027891266919</v>
      </c>
      <c r="AI14" s="40">
        <v>1517.7027891266921</v>
      </c>
      <c r="AJ14" s="39">
        <v>1679.2061923579647</v>
      </c>
      <c r="AK14" s="40">
        <v>1679.2061923579652</v>
      </c>
      <c r="AL14" s="39">
        <v>2031.6132092888001</v>
      </c>
      <c r="AM14" s="40">
        <v>2031.6132092888004</v>
      </c>
      <c r="AN14" s="39">
        <v>3049.1250545657795</v>
      </c>
      <c r="AO14" s="40">
        <v>3049.1250545657799</v>
      </c>
      <c r="AP14" s="39">
        <v>3513.2672440971382</v>
      </c>
      <c r="AQ14" s="40">
        <v>3513.2672440971392</v>
      </c>
      <c r="AR14" s="39">
        <v>4234.9354759113949</v>
      </c>
      <c r="AS14" s="40">
        <v>4234.9354759113958</v>
      </c>
      <c r="AT14" s="39">
        <v>5537.6254627524859</v>
      </c>
      <c r="AU14" s="40">
        <v>5537.6254627524868</v>
      </c>
      <c r="AV14" s="39">
        <v>8789.9525378983963</v>
      </c>
      <c r="AW14" s="40">
        <v>8789.9525378983981</v>
      </c>
    </row>
    <row r="15" spans="1:49" x14ac:dyDescent="0.2">
      <c r="B15" s="144">
        <v>1000</v>
      </c>
      <c r="C15" s="145">
        <v>1000</v>
      </c>
      <c r="D15" s="144">
        <v>998.54223250435427</v>
      </c>
      <c r="E15" s="145">
        <v>998.54223250435427</v>
      </c>
      <c r="F15" s="144">
        <v>997.26701348930396</v>
      </c>
      <c r="G15" s="145">
        <v>997.26701348930396</v>
      </c>
      <c r="H15" s="144">
        <v>996.2162594816499</v>
      </c>
      <c r="I15" s="145">
        <v>996.2162594816499</v>
      </c>
      <c r="J15" s="144">
        <v>995.44643414513007</v>
      </c>
      <c r="K15" s="145">
        <v>995.44643414513007</v>
      </c>
      <c r="L15" s="144">
        <v>995.03438711859769</v>
      </c>
      <c r="M15" s="145">
        <v>995.03438711859769</v>
      </c>
      <c r="N15" s="144">
        <v>995.08755456757808</v>
      </c>
      <c r="O15" s="145">
        <v>995.08755456757808</v>
      </c>
      <c r="P15" s="144">
        <v>995.75902104906299</v>
      </c>
      <c r="Q15" s="145">
        <v>995.75902104906299</v>
      </c>
      <c r="R15" s="144">
        <v>997.27260438343183</v>
      </c>
      <c r="S15" s="145">
        <v>997.27260438343183</v>
      </c>
      <c r="T15" s="144">
        <v>999.96447576719561</v>
      </c>
      <c r="U15" s="145">
        <v>999.96447576719561</v>
      </c>
      <c r="V15" s="144">
        <v>1004.35420628244</v>
      </c>
      <c r="W15" s="145">
        <v>1004.35420628244</v>
      </c>
      <c r="X15" s="144">
        <v>1011.2708239680486</v>
      </c>
      <c r="Y15" s="145">
        <v>1011.2708239680486</v>
      </c>
      <c r="Z15" s="144">
        <v>1022.0805912258036</v>
      </c>
      <c r="AA15" s="145">
        <v>1022.0805912258036</v>
      </c>
      <c r="AB15" s="144">
        <v>1039.1106426794368</v>
      </c>
      <c r="AC15" s="145">
        <v>1039.1106426794368</v>
      </c>
      <c r="AD15" s="144">
        <v>1066.44530945512</v>
      </c>
      <c r="AE15" s="145">
        <v>1066.44530945512</v>
      </c>
      <c r="AF15" s="144">
        <v>1111.4429419232083</v>
      </c>
      <c r="AG15" s="145">
        <v>1111.4429419232083</v>
      </c>
      <c r="AH15" s="144">
        <v>1187.7308599583423</v>
      </c>
      <c r="AI15" s="145">
        <v>1187.7308599583423</v>
      </c>
      <c r="AJ15" s="144">
        <v>1322.7382082637871</v>
      </c>
      <c r="AK15" s="145">
        <v>1322.7382082637871</v>
      </c>
      <c r="AL15" s="144">
        <v>1586.370504517429</v>
      </c>
      <c r="AM15" s="145">
        <v>1586.370504517429</v>
      </c>
      <c r="AN15" s="144">
        <v>2236.5256837847064</v>
      </c>
      <c r="AO15" s="145">
        <v>2236.5256837847064</v>
      </c>
      <c r="AP15" s="144">
        <v>2494.9964097865841</v>
      </c>
      <c r="AQ15" s="145">
        <v>2494.9964097865841</v>
      </c>
      <c r="AR15" s="144">
        <v>2860.555522207218</v>
      </c>
      <c r="AS15" s="145">
        <v>2860.555522207218</v>
      </c>
      <c r="AT15" s="144">
        <v>3432.2267995162724</v>
      </c>
      <c r="AU15" s="145">
        <v>3432.2267995162724</v>
      </c>
      <c r="AV15" s="144">
        <v>4531.888727588821</v>
      </c>
      <c r="AW15" s="145">
        <v>4531.888727588821</v>
      </c>
    </row>
    <row r="16" spans="1:49" s="27" customFormat="1" x14ac:dyDescent="0.2">
      <c r="A16"/>
      <c r="B16" s="39">
        <v>1000</v>
      </c>
      <c r="C16" s="40">
        <v>1000</v>
      </c>
      <c r="D16" s="39">
        <v>996.63278036514782</v>
      </c>
      <c r="E16" s="40">
        <v>997.52006739321882</v>
      </c>
      <c r="F16" s="39">
        <v>993.28541089319708</v>
      </c>
      <c r="G16" s="40">
        <v>995.13572534037746</v>
      </c>
      <c r="H16" s="39">
        <v>989.97711086699155</v>
      </c>
      <c r="I16" s="40">
        <v>992.87677926883771</v>
      </c>
      <c r="J16" s="39">
        <v>986.73739986088583</v>
      </c>
      <c r="K16" s="40">
        <v>990.78531993996944</v>
      </c>
      <c r="L16" s="39">
        <v>983.61093568473859</v>
      </c>
      <c r="M16" s="40">
        <v>988.92103034262936</v>
      </c>
      <c r="N16" s="39">
        <v>980.66640203212194</v>
      </c>
      <c r="O16" s="40">
        <v>987.37068870240319</v>
      </c>
      <c r="P16" s="39">
        <v>978.0098974718187</v>
      </c>
      <c r="Q16" s="40">
        <v>986.26234204433581</v>
      </c>
      <c r="R16" s="39">
        <v>975.8078418526818</v>
      </c>
      <c r="S16" s="40">
        <v>985.78923473284362</v>
      </c>
      <c r="T16" s="39">
        <v>974.32578068969406</v>
      </c>
      <c r="U16" s="40">
        <v>986.24993446220071</v>
      </c>
      <c r="V16" s="39">
        <v>973.99572032671244</v>
      </c>
      <c r="W16" s="40">
        <v>988.11740914749407</v>
      </c>
      <c r="X16" s="39">
        <v>975.53740829898243</v>
      </c>
      <c r="Y16" s="40">
        <v>992.16254724906651</v>
      </c>
      <c r="Z16" s="39">
        <v>980.17972203283148</v>
      </c>
      <c r="AA16" s="40">
        <v>999.67853463705183</v>
      </c>
      <c r="AB16" s="39">
        <v>990.07595737320355</v>
      </c>
      <c r="AC16" s="40">
        <v>1012.9000275264838</v>
      </c>
      <c r="AD16" s="39">
        <v>1009.090719276292</v>
      </c>
      <c r="AE16" s="40">
        <v>1035.7943720180647</v>
      </c>
      <c r="AF16" s="39">
        <v>1044.3173583011951</v>
      </c>
      <c r="AG16" s="40">
        <v>1075.578536490025</v>
      </c>
      <c r="AH16" s="39">
        <v>1109.1365480684681</v>
      </c>
      <c r="AI16" s="40">
        <v>1145.7474117436086</v>
      </c>
      <c r="AJ16" s="39">
        <v>1231.102318193344</v>
      </c>
      <c r="AK16" s="40">
        <v>1273.7936400161875</v>
      </c>
      <c r="AL16" s="39">
        <v>1483.0833349032857</v>
      </c>
      <c r="AM16" s="40">
        <v>1531.194563902051</v>
      </c>
      <c r="AN16" s="39">
        <v>2159.5068941297632</v>
      </c>
      <c r="AO16" s="40">
        <v>2195.3390192960237</v>
      </c>
      <c r="AP16" s="39">
        <v>2450.2645204373775</v>
      </c>
      <c r="AQ16" s="40">
        <v>2471.0626656701857</v>
      </c>
      <c r="AR16" s="39">
        <v>2885.0804380835275</v>
      </c>
      <c r="AS16" s="40">
        <v>2873.6883790506522</v>
      </c>
      <c r="AT16" s="39">
        <v>3627.2765191058265</v>
      </c>
      <c r="AU16" s="40">
        <v>3536.8196326115672</v>
      </c>
      <c r="AV16" s="39">
        <v>5316.1855281651615</v>
      </c>
      <c r="AW16" s="40">
        <v>4953.6688324578208</v>
      </c>
    </row>
    <row r="17" spans="2:49" x14ac:dyDescent="0.2">
      <c r="B17" s="33">
        <v>1000.0000000000002</v>
      </c>
      <c r="C17" s="34">
        <v>999.99999999999977</v>
      </c>
      <c r="D17" s="33">
        <v>998.67518440337551</v>
      </c>
      <c r="E17" s="34">
        <v>1023.3128410723698</v>
      </c>
      <c r="F17" s="33">
        <v>997.51755853321572</v>
      </c>
      <c r="G17" s="34">
        <v>1049.0976593545163</v>
      </c>
      <c r="H17" s="33">
        <v>996.56460649720952</v>
      </c>
      <c r="I17" s="34">
        <v>1077.7377085296089</v>
      </c>
      <c r="J17" s="33">
        <v>995.86695580626599</v>
      </c>
      <c r="K17" s="34">
        <v>1109.6953509120756</v>
      </c>
      <c r="L17" s="33">
        <v>995.49372141716367</v>
      </c>
      <c r="M17" s="34">
        <v>1145.532046734626</v>
      </c>
      <c r="N17" s="33">
        <v>995.54187346501669</v>
      </c>
      <c r="O17" s="34">
        <v>1185.9341435873046</v>
      </c>
      <c r="P17" s="33">
        <v>996.15018279574463</v>
      </c>
      <c r="Q17" s="34">
        <v>1231.7464558688387</v>
      </c>
      <c r="R17" s="33">
        <v>997.52263175921382</v>
      </c>
      <c r="S17" s="34">
        <v>1284.0165734918226</v>
      </c>
      <c r="T17" s="33">
        <v>999.96769675076314</v>
      </c>
      <c r="U17" s="34">
        <v>1344.0552178855869</v>
      </c>
      <c r="V17" s="33">
        <v>1003.9664160137095</v>
      </c>
      <c r="W17" s="34">
        <v>1413.5260520236295</v>
      </c>
      <c r="X17" s="33">
        <v>1010.295515454097</v>
      </c>
      <c r="Y17" s="34">
        <v>1494.5965122146549</v>
      </c>
      <c r="Z17" s="33">
        <v>1020.2560795713991</v>
      </c>
      <c r="AA17" s="34">
        <v>1590.2541873251332</v>
      </c>
      <c r="AB17" s="33">
        <v>1036.1153236210303</v>
      </c>
      <c r="AC17" s="34">
        <v>1705.1054438952624</v>
      </c>
      <c r="AD17" s="33">
        <v>1061.9838827077826</v>
      </c>
      <c r="AE17" s="34">
        <v>1847.6474631207291</v>
      </c>
      <c r="AF17" s="33">
        <v>1105.6222834179237</v>
      </c>
      <c r="AG17" s="34">
        <v>2037.0273528274888</v>
      </c>
      <c r="AH17" s="33">
        <v>1182.3873478902444</v>
      </c>
      <c r="AI17" s="34">
        <v>2323.4930896268838</v>
      </c>
      <c r="AJ17" s="33">
        <v>1325.9726332471548</v>
      </c>
      <c r="AK17" s="34">
        <v>2856.3991190449915</v>
      </c>
      <c r="AL17" s="33">
        <v>1631.5373890543112</v>
      </c>
      <c r="AM17" s="34">
        <v>4193.2493990384537</v>
      </c>
      <c r="AN17" s="33">
        <v>2516.3549434450542</v>
      </c>
      <c r="AO17" s="34">
        <v>9786.8755493049357</v>
      </c>
      <c r="AP17" s="33">
        <v>2921.7928701990354</v>
      </c>
      <c r="AQ17" s="34">
        <v>13128.036408410071</v>
      </c>
      <c r="AR17" s="33">
        <v>3552.9371098783495</v>
      </c>
      <c r="AS17" s="34">
        <v>19202.127614073652</v>
      </c>
      <c r="AT17" s="33">
        <v>4693.3726404160852</v>
      </c>
      <c r="AU17" s="34">
        <v>32618.663240063986</v>
      </c>
      <c r="AV17" s="33">
        <v>7554.0352288831727</v>
      </c>
      <c r="AW17" s="34">
        <v>77971.489154998169</v>
      </c>
    </row>
    <row r="18" spans="2:49" x14ac:dyDescent="0.2">
      <c r="B18" s="31">
        <v>27857.010133999996</v>
      </c>
      <c r="C18" s="32">
        <v>1236.7674480000003</v>
      </c>
      <c r="D18" s="31">
        <v>27724.963722948618</v>
      </c>
      <c r="E18" s="32">
        <v>1157.8069960322678</v>
      </c>
      <c r="F18" s="31">
        <v>27573.336115135855</v>
      </c>
      <c r="G18" s="32">
        <v>1078.9994754395725</v>
      </c>
      <c r="H18" s="31">
        <v>27398.150628078911</v>
      </c>
      <c r="I18" s="32">
        <v>1000.3934324339476</v>
      </c>
      <c r="J18" s="31">
        <v>27194.307829434296</v>
      </c>
      <c r="K18" s="32">
        <v>922.05155257830972</v>
      </c>
      <c r="L18" s="31">
        <v>26955.23110587856</v>
      </c>
      <c r="M18" s="32">
        <v>844.05228135553523</v>
      </c>
      <c r="N18" s="31">
        <v>26672.290393666492</v>
      </c>
      <c r="O18" s="32">
        <v>766.50002662947259</v>
      </c>
      <c r="P18" s="31">
        <v>26334.055529538793</v>
      </c>
      <c r="Q18" s="32">
        <v>689.5325105928307</v>
      </c>
      <c r="R18" s="31">
        <v>25925.20854541158</v>
      </c>
      <c r="S18" s="32">
        <v>613.33495052398325</v>
      </c>
      <c r="T18" s="31">
        <v>25425.059583741015</v>
      </c>
      <c r="U18" s="32">
        <v>538.15700479261955</v>
      </c>
      <c r="V18" s="31">
        <v>24805.623046731322</v>
      </c>
      <c r="W18" s="32">
        <v>464.33529308347534</v>
      </c>
      <c r="X18" s="31">
        <v>24029.396118086002</v>
      </c>
      <c r="Y18" s="32">
        <v>392.31372179438398</v>
      </c>
      <c r="Z18" s="31">
        <v>23047.745422769673</v>
      </c>
      <c r="AA18" s="32">
        <v>322.65632422167323</v>
      </c>
      <c r="AB18" s="31">
        <v>21802.420866787634</v>
      </c>
      <c r="AC18" s="32">
        <v>256.02773089444707</v>
      </c>
      <c r="AD18" s="31">
        <v>20235.977827983428</v>
      </c>
      <c r="AE18" s="32">
        <v>193.11703086430285</v>
      </c>
      <c r="AF18" s="31">
        <v>18319.366045768922</v>
      </c>
      <c r="AG18" s="32">
        <v>134.56130917881325</v>
      </c>
      <c r="AH18" s="31">
        <v>16094.127652245084</v>
      </c>
      <c r="AI18" s="32">
        <v>81.287443528038992</v>
      </c>
      <c r="AJ18" s="31">
        <v>13676.956353872354</v>
      </c>
      <c r="AK18" s="32">
        <v>36.346257805258212</v>
      </c>
      <c r="AL18" s="31">
        <v>11121.266190530465</v>
      </c>
      <c r="AM18" s="32">
        <v>7.7731477431199654</v>
      </c>
      <c r="AN18" s="31">
        <v>8045.0312369172143</v>
      </c>
      <c r="AO18" s="32">
        <v>0.21465450977789263</v>
      </c>
      <c r="AP18" s="31">
        <v>7236.4766205337501</v>
      </c>
      <c r="AQ18" s="32">
        <v>5.9747427275053742E-2</v>
      </c>
      <c r="AR18" s="31">
        <v>6282.9324291972034</v>
      </c>
      <c r="AS18" s="32">
        <v>1.1195043086596601E-2</v>
      </c>
      <c r="AT18" s="31">
        <v>5094.1207461097074</v>
      </c>
      <c r="AU18" s="32">
        <v>1.050004281282663E-3</v>
      </c>
      <c r="AV18" s="31">
        <v>3460.1782132238263</v>
      </c>
      <c r="AW18" s="32">
        <v>1.971262164932927E-5</v>
      </c>
    </row>
    <row r="19" spans="2:49" x14ac:dyDescent="0.2">
      <c r="B19" s="39">
        <v>1886.3937399999918</v>
      </c>
      <c r="C19" s="40">
        <v>262.78711299999759</v>
      </c>
      <c r="D19" s="39">
        <v>1870.8893091102084</v>
      </c>
      <c r="E19" s="40">
        <v>263.11286328102534</v>
      </c>
      <c r="F19" s="39">
        <v>1854.9572167348251</v>
      </c>
      <c r="G19" s="40">
        <v>263.78747936351522</v>
      </c>
      <c r="H19" s="39">
        <v>1838.5112733310095</v>
      </c>
      <c r="I19" s="40">
        <v>264.83054052393959</v>
      </c>
      <c r="J19" s="39">
        <v>1821.4472336582401</v>
      </c>
      <c r="K19" s="40">
        <v>266.25804819859457</v>
      </c>
      <c r="L19" s="39">
        <v>1803.6392397890538</v>
      </c>
      <c r="M19" s="40">
        <v>268.07823791681272</v>
      </c>
      <c r="N19" s="39">
        <v>1784.9361141328136</v>
      </c>
      <c r="O19" s="40">
        <v>270.28560148260419</v>
      </c>
      <c r="P19" s="39">
        <v>1765.1592274591571</v>
      </c>
      <c r="Q19" s="40">
        <v>272.85082972672689</v>
      </c>
      <c r="R19" s="39">
        <v>1744.105244993598</v>
      </c>
      <c r="S19" s="40">
        <v>275.70564371280335</v>
      </c>
      <c r="T19" s="39">
        <v>1721.5625083951638</v>
      </c>
      <c r="U19" s="40">
        <v>278.72002554952081</v>
      </c>
      <c r="V19" s="39">
        <v>1697.3611576568155</v>
      </c>
      <c r="W19" s="40">
        <v>281.6707294377166</v>
      </c>
      <c r="X19" s="39">
        <v>1671.5068742950682</v>
      </c>
      <c r="Y19" s="40">
        <v>284.20198252436302</v>
      </c>
      <c r="Z19" s="39">
        <v>1644.5120759181834</v>
      </c>
      <c r="AA19" s="40">
        <v>285.79140844956061</v>
      </c>
      <c r="AB19" s="39">
        <v>1618.1909337731004</v>
      </c>
      <c r="AC19" s="40">
        <v>285.75603067345878</v>
      </c>
      <c r="AD19" s="39">
        <v>1597.4855983465338</v>
      </c>
      <c r="AE19" s="40">
        <v>283.3618457145181</v>
      </c>
      <c r="AF19" s="39">
        <v>1594.4707452863861</v>
      </c>
      <c r="AG19" s="40">
        <v>278.03840709631896</v>
      </c>
      <c r="AH19" s="39">
        <v>1636.6505437592768</v>
      </c>
      <c r="AI19" s="40">
        <v>269.13299997645345</v>
      </c>
      <c r="AJ19" s="39">
        <v>1786.3162659172438</v>
      </c>
      <c r="AK19" s="40">
        <v>252.79791028866973</v>
      </c>
      <c r="AL19" s="39">
        <v>2211.653444343402</v>
      </c>
      <c r="AM19" s="40">
        <v>212.30539674692554</v>
      </c>
      <c r="AN19" s="39">
        <v>3584.8268214209356</v>
      </c>
      <c r="AO19" s="40">
        <v>121.27035861738268</v>
      </c>
      <c r="AP19" s="39">
        <v>4201.8566322929364</v>
      </c>
      <c r="AQ19" s="40">
        <v>97.882708897742887</v>
      </c>
      <c r="AR19" s="39">
        <v>5121.1348249852517</v>
      </c>
      <c r="AS19" s="40">
        <v>73.760665931378213</v>
      </c>
      <c r="AT19" s="39">
        <v>6644.8535989554621</v>
      </c>
      <c r="AU19" s="40">
        <v>49.271702602342387</v>
      </c>
      <c r="AV19" s="39">
        <v>9795.0617069390992</v>
      </c>
      <c r="AW19" s="40">
        <v>24.649212063738904</v>
      </c>
    </row>
    <row r="20" spans="2:49" x14ac:dyDescent="0.2">
      <c r="B20" s="79">
        <v>26548.356269999993</v>
      </c>
      <c r="C20" s="80">
        <v>1408.5418709999938</v>
      </c>
      <c r="D20" s="79">
        <v>26407.087748887021</v>
      </c>
      <c r="E20" s="80">
        <v>1338.1147774499941</v>
      </c>
      <c r="F20" s="79">
        <v>26249.212574128906</v>
      </c>
      <c r="G20" s="80">
        <v>1267.6876838999945</v>
      </c>
      <c r="H20" s="79">
        <v>26071.399014951243</v>
      </c>
      <c r="I20" s="80">
        <v>1197.2605903499946</v>
      </c>
      <c r="J20" s="79">
        <v>25869.384432937368</v>
      </c>
      <c r="K20" s="80">
        <v>1126.8334967999949</v>
      </c>
      <c r="L20" s="79">
        <v>25637.683772522261</v>
      </c>
      <c r="M20" s="80">
        <v>1056.4064032499953</v>
      </c>
      <c r="N20" s="79">
        <v>25369.118550086361</v>
      </c>
      <c r="O20" s="80">
        <v>985.97930969999561</v>
      </c>
      <c r="P20" s="79">
        <v>25054.208003210315</v>
      </c>
      <c r="Q20" s="80">
        <v>915.55221614999596</v>
      </c>
      <c r="R20" s="79">
        <v>24680.286727283019</v>
      </c>
      <c r="S20" s="80">
        <v>845.12512259999642</v>
      </c>
      <c r="T20" s="79">
        <v>24230.308463166639</v>
      </c>
      <c r="U20" s="80">
        <v>774.69802904999653</v>
      </c>
      <c r="V20" s="79">
        <v>23681.311174548842</v>
      </c>
      <c r="W20" s="80">
        <v>704.27093549999688</v>
      </c>
      <c r="X20" s="79">
        <v>23002.683392913754</v>
      </c>
      <c r="Y20" s="80">
        <v>633.84384194999734</v>
      </c>
      <c r="Z20" s="79">
        <v>22155.016341418752</v>
      </c>
      <c r="AA20" s="80">
        <v>563.41674839999746</v>
      </c>
      <c r="AB20" s="79">
        <v>21091.693899670834</v>
      </c>
      <c r="AC20" s="80">
        <v>492.98965484999781</v>
      </c>
      <c r="AD20" s="79">
        <v>19768.106081566428</v>
      </c>
      <c r="AE20" s="80">
        <v>422.56256129999809</v>
      </c>
      <c r="AF20" s="79">
        <v>18165.506002697384</v>
      </c>
      <c r="AG20" s="80">
        <v>352.13546774999827</v>
      </c>
      <c r="AH20" s="79">
        <v>16327.705857878107</v>
      </c>
      <c r="AI20" s="80">
        <v>281.70837419999856</v>
      </c>
      <c r="AJ20" s="79">
        <v>14368.646018781339</v>
      </c>
      <c r="AK20" s="80">
        <v>211.28128064999879</v>
      </c>
      <c r="AL20" s="79">
        <v>12368.388370112574</v>
      </c>
      <c r="AM20" s="80">
        <v>140.85418709999902</v>
      </c>
      <c r="AN20" s="79">
        <v>10086.156227945905</v>
      </c>
      <c r="AO20" s="80">
        <v>70.42709354999927</v>
      </c>
      <c r="AP20" s="79">
        <v>9499.6295695759836</v>
      </c>
      <c r="AQ20" s="80">
        <v>56.341674839999328</v>
      </c>
      <c r="AR20" s="79">
        <v>8807.8667738168515</v>
      </c>
      <c r="AS20" s="80">
        <v>42.256256129999379</v>
      </c>
      <c r="AT20" s="79">
        <v>7938.5055206290517</v>
      </c>
      <c r="AU20" s="80">
        <v>28.170837419999433</v>
      </c>
      <c r="AV20" s="79">
        <v>6712.0315751151256</v>
      </c>
      <c r="AW20" s="80">
        <v>14.08541870999948</v>
      </c>
    </row>
    <row r="21" spans="2:49" x14ac:dyDescent="0.2">
      <c r="B21" s="79">
        <v>24661.962529999968</v>
      </c>
      <c r="C21" s="80">
        <v>1145.7547579999991</v>
      </c>
      <c r="D21" s="79">
        <v>24536.202732193356</v>
      </c>
      <c r="E21" s="80">
        <v>1075.1113063522096</v>
      </c>
      <c r="F21" s="79">
        <v>24394.270354107426</v>
      </c>
      <c r="G21" s="80">
        <v>1004.3638674220971</v>
      </c>
      <c r="H21" s="79">
        <v>24232.916291990718</v>
      </c>
      <c r="I21" s="80">
        <v>933.5373010719386</v>
      </c>
      <c r="J21" s="79">
        <v>24047.978228576449</v>
      </c>
      <c r="K21" s="80">
        <v>862.66801310597486</v>
      </c>
      <c r="L21" s="79">
        <v>23834.092886378658</v>
      </c>
      <c r="M21" s="80">
        <v>791.80918990817997</v>
      </c>
      <c r="N21" s="79">
        <v>23584.229263949073</v>
      </c>
      <c r="O21" s="80">
        <v>721.03755506263826</v>
      </c>
      <c r="P21" s="79">
        <v>23289.083243872323</v>
      </c>
      <c r="Q21" s="80">
        <v>650.46341170841549</v>
      </c>
      <c r="R21" s="79">
        <v>22936.195525007897</v>
      </c>
      <c r="S21" s="80">
        <v>580.24421649563817</v>
      </c>
      <c r="T21" s="79">
        <v>22508.745957110332</v>
      </c>
      <c r="U21" s="80">
        <v>510.60280475379557</v>
      </c>
      <c r="V21" s="79">
        <v>21983.98435912123</v>
      </c>
      <c r="W21" s="80">
        <v>441.84964710441187</v>
      </c>
      <c r="X21" s="79">
        <v>21331.400027396525</v>
      </c>
      <c r="Y21" s="80">
        <v>374.40658058328199</v>
      </c>
      <c r="Z21" s="79">
        <v>20511.330490225926</v>
      </c>
      <c r="AA21" s="80">
        <v>308.82108561760862</v>
      </c>
      <c r="AB21" s="79">
        <v>19475.970745113398</v>
      </c>
      <c r="AC21" s="80">
        <v>245.74997453059817</v>
      </c>
      <c r="AD21" s="79">
        <v>18177.296208717817</v>
      </c>
      <c r="AE21" s="80">
        <v>185.88807585846197</v>
      </c>
      <c r="AF21" s="79">
        <v>16588.291942201708</v>
      </c>
      <c r="AG21" s="80">
        <v>129.89111594423278</v>
      </c>
      <c r="AH21" s="79">
        <v>14735.070366528058</v>
      </c>
      <c r="AI21" s="80">
        <v>78.694279553964122</v>
      </c>
      <c r="AJ21" s="79">
        <v>12696.807566760579</v>
      </c>
      <c r="AK21" s="80">
        <v>35.290577024558239</v>
      </c>
      <c r="AL21" s="79">
        <v>10482.018444806179</v>
      </c>
      <c r="AM21" s="80">
        <v>7.5667097064726851</v>
      </c>
      <c r="AN21" s="79">
        <v>7680.9346305590907</v>
      </c>
      <c r="AO21" s="80">
        <v>0.20922313225044606</v>
      </c>
      <c r="AP21" s="79">
        <v>6921.7940954666528</v>
      </c>
      <c r="AQ21" s="80">
        <v>5.8240442272037667E-2</v>
      </c>
      <c r="AR21" s="79">
        <v>6018.9047130687586</v>
      </c>
      <c r="AS21" s="80">
        <v>1.0913147881693883E-2</v>
      </c>
      <c r="AT21" s="79">
        <v>4885.7782642202101</v>
      </c>
      <c r="AU21" s="80">
        <v>1.0235826926287439E-3</v>
      </c>
      <c r="AV21" s="79">
        <v>3321.2855216127095</v>
      </c>
      <c r="AW21" s="80">
        <v>1.9216700983093715E-5</v>
      </c>
    </row>
    <row r="22" spans="2:49" x14ac:dyDescent="0.2">
      <c r="B22" s="39">
        <v>6533.604468832059</v>
      </c>
      <c r="C22" s="40">
        <v>379.90788307663331</v>
      </c>
      <c r="D22" s="39">
        <v>6490.6118007244131</v>
      </c>
      <c r="E22" s="40">
        <v>356.90319681506969</v>
      </c>
      <c r="F22" s="39">
        <v>6442.866627915404</v>
      </c>
      <c r="G22" s="40">
        <v>334.09662040003815</v>
      </c>
      <c r="H22" s="39">
        <v>6389.4254962140458</v>
      </c>
      <c r="I22" s="40">
        <v>311.51114644948842</v>
      </c>
      <c r="J22" s="39">
        <v>6329.0849236958666</v>
      </c>
      <c r="K22" s="40">
        <v>289.17346089553826</v>
      </c>
      <c r="L22" s="39">
        <v>6260.3004289887094</v>
      </c>
      <c r="M22" s="40">
        <v>267.11460517984204</v>
      </c>
      <c r="N22" s="39">
        <v>6181.0571345784556</v>
      </c>
      <c r="O22" s="40">
        <v>245.37074851217398</v>
      </c>
      <c r="P22" s="39">
        <v>6088.7024848757619</v>
      </c>
      <c r="Q22" s="40">
        <v>223.98414101701897</v>
      </c>
      <c r="R22" s="39">
        <v>5979.7051965542496</v>
      </c>
      <c r="S22" s="40">
        <v>203.00424530917934</v>
      </c>
      <c r="T22" s="39">
        <v>5849.3302888274866</v>
      </c>
      <c r="U22" s="40">
        <v>182.48906676566099</v>
      </c>
      <c r="V22" s="39">
        <v>5691.2244055911433</v>
      </c>
      <c r="W22" s="40">
        <v>162.50612945153304</v>
      </c>
      <c r="X22" s="39">
        <v>5496.9553368117267</v>
      </c>
      <c r="Y22" s="40">
        <v>143.13319468869932</v>
      </c>
      <c r="Z22" s="39">
        <v>5255.7222902122012</v>
      </c>
      <c r="AA22" s="40">
        <v>124.45580967997905</v>
      </c>
      <c r="AB22" s="39">
        <v>4954.8337537437992</v>
      </c>
      <c r="AC22" s="40">
        <v>106.5574344931138</v>
      </c>
      <c r="AD22" s="39">
        <v>4582.2772292762011</v>
      </c>
      <c r="AE22" s="40">
        <v>89.489740514559827</v>
      </c>
      <c r="AF22" s="39">
        <v>4133.2795774446613</v>
      </c>
      <c r="AG22" s="40">
        <v>73.20181105400566</v>
      </c>
      <c r="AH22" s="39">
        <v>3620.2247678414833</v>
      </c>
      <c r="AI22" s="40">
        <v>57.405489018194011</v>
      </c>
      <c r="AJ22" s="39">
        <v>3074.3104710920916</v>
      </c>
      <c r="AK22" s="40">
        <v>41.451873323238104</v>
      </c>
      <c r="AL22" s="39">
        <v>2516.3448714246665</v>
      </c>
      <c r="AM22" s="40">
        <v>24.706353834123316</v>
      </c>
      <c r="AN22" s="39">
        <v>1878.0424301601438</v>
      </c>
      <c r="AO22" s="40">
        <v>8.821882173435025</v>
      </c>
      <c r="AP22" s="39">
        <v>1714.2552723609663</v>
      </c>
      <c r="AQ22" s="40">
        <v>6.2318421879015391</v>
      </c>
      <c r="AR22" s="39">
        <v>1521.5572328239389</v>
      </c>
      <c r="AS22" s="40">
        <v>3.973414495614775</v>
      </c>
      <c r="AT22" s="39">
        <v>1280.3571154596693</v>
      </c>
      <c r="AU22" s="40">
        <v>2.1103104453711627</v>
      </c>
      <c r="AV22" s="39">
        <v>942.36488853122614</v>
      </c>
      <c r="AW22" s="40">
        <v>0.72444586551945833</v>
      </c>
    </row>
    <row r="23" spans="2:49" x14ac:dyDescent="0.2">
      <c r="B23" s="110">
        <v>3278.5018080150408</v>
      </c>
      <c r="C23" s="8">
        <v>0</v>
      </c>
      <c r="D23" s="110">
        <v>3264.8457707920934</v>
      </c>
      <c r="E23" s="8">
        <v>0</v>
      </c>
      <c r="F23" s="110">
        <v>3248.7379686575596</v>
      </c>
      <c r="G23" s="8">
        <v>0</v>
      </c>
      <c r="H23" s="110">
        <v>3229.6892819756204</v>
      </c>
      <c r="I23" s="8">
        <v>0</v>
      </c>
      <c r="J23" s="110">
        <v>3207.0740733340858</v>
      </c>
      <c r="K23" s="8">
        <v>0</v>
      </c>
      <c r="L23" s="110">
        <v>3180.0879088032698</v>
      </c>
      <c r="M23" s="8">
        <v>0</v>
      </c>
      <c r="N23" s="110">
        <v>3147.6784676770631</v>
      </c>
      <c r="O23" s="8">
        <v>0</v>
      </c>
      <c r="P23" s="110">
        <v>3108.4570497786999</v>
      </c>
      <c r="Q23" s="8">
        <v>0</v>
      </c>
      <c r="R23" s="110">
        <v>3060.5700841033417</v>
      </c>
      <c r="S23" s="8">
        <v>0</v>
      </c>
      <c r="T23" s="110">
        <v>3001.5255184085959</v>
      </c>
      <c r="U23" s="8">
        <v>0</v>
      </c>
      <c r="V23" s="110">
        <v>2927.9711792524122</v>
      </c>
      <c r="W23" s="8">
        <v>0</v>
      </c>
      <c r="X23" s="110">
        <v>2835.4466902864324</v>
      </c>
      <c r="Y23" s="8">
        <v>0</v>
      </c>
      <c r="Z23" s="110">
        <v>2718.2273431665285</v>
      </c>
      <c r="AA23" s="8">
        <v>0</v>
      </c>
      <c r="AB23" s="110">
        <v>2569.580565859188</v>
      </c>
      <c r="AC23" s="8">
        <v>0</v>
      </c>
      <c r="AD23" s="110">
        <v>2383.1672976866894</v>
      </c>
      <c r="AE23" s="8">
        <v>0</v>
      </c>
      <c r="AF23" s="110">
        <v>2156.6383086277624</v>
      </c>
      <c r="AG23" s="8">
        <v>0</v>
      </c>
      <c r="AH23" s="110">
        <v>1897.2225991349762</v>
      </c>
      <c r="AI23" s="8">
        <v>0</v>
      </c>
      <c r="AJ23" s="110">
        <v>1623.2650424395324</v>
      </c>
      <c r="AK23" s="8">
        <v>0</v>
      </c>
      <c r="AL23" s="110">
        <v>1349.8940314801252</v>
      </c>
      <c r="AM23" s="8">
        <v>0</v>
      </c>
      <c r="AN23" s="110">
        <v>1047.3990342691843</v>
      </c>
      <c r="AO23" s="8">
        <v>0</v>
      </c>
      <c r="AP23" s="110">
        <v>969.96410729929494</v>
      </c>
      <c r="AQ23" s="8">
        <v>0</v>
      </c>
      <c r="AR23" s="110">
        <v>878.1528412065835</v>
      </c>
      <c r="AS23" s="8">
        <v>0</v>
      </c>
      <c r="AT23" s="110">
        <v>761.65876908863459</v>
      </c>
      <c r="AU23" s="8">
        <v>0</v>
      </c>
      <c r="AV23" s="110">
        <v>594.26456322425111</v>
      </c>
      <c r="AW23" s="8">
        <v>0</v>
      </c>
    </row>
    <row r="24" spans="2:49" x14ac:dyDescent="0.2">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2:49" x14ac:dyDescent="0.2">
      <c r="B25" s="39">
        <v>3195.0476040000012</v>
      </c>
      <c r="C25" s="40">
        <v>91.012690000004397</v>
      </c>
      <c r="D25" s="39">
        <v>3188.7540409861576</v>
      </c>
      <c r="E25" s="40">
        <v>82.675272074989621</v>
      </c>
      <c r="F25" s="39">
        <v>3179.0413768570238</v>
      </c>
      <c r="G25" s="40">
        <v>74.554889173175567</v>
      </c>
      <c r="H25" s="39">
        <v>3165.1877750891608</v>
      </c>
      <c r="I25" s="40">
        <v>66.677597367515901</v>
      </c>
      <c r="J25" s="39">
        <v>3146.2625331299814</v>
      </c>
      <c r="K25" s="40">
        <v>59.071871483637551</v>
      </c>
      <c r="L25" s="39">
        <v>3121.0591013859857</v>
      </c>
      <c r="M25" s="40">
        <v>51.768605788544185</v>
      </c>
      <c r="N25" s="39">
        <v>3087.9845050841905</v>
      </c>
      <c r="O25" s="40">
        <v>44.801420821691373</v>
      </c>
      <c r="P25" s="39">
        <v>3044.9159724017613</v>
      </c>
      <c r="Q25" s="40">
        <v>38.20657237901392</v>
      </c>
      <c r="R25" s="39">
        <v>2988.9901847206452</v>
      </c>
      <c r="S25" s="40">
        <v>32.022842601626351</v>
      </c>
      <c r="T25" s="39">
        <v>2916.3135577260091</v>
      </c>
      <c r="U25" s="40">
        <v>26.290998770596754</v>
      </c>
      <c r="V25" s="39">
        <v>2821.5838844115897</v>
      </c>
      <c r="W25" s="40">
        <v>21.052682418506134</v>
      </c>
      <c r="X25" s="39">
        <v>2697.6460505640721</v>
      </c>
      <c r="Y25" s="40">
        <v>16.348138217700711</v>
      </c>
      <c r="Z25" s="39">
        <v>2535.1578787362532</v>
      </c>
      <c r="AA25" s="40">
        <v>12.212434172598172</v>
      </c>
      <c r="AB25" s="39">
        <v>2322.8592667965886</v>
      </c>
      <c r="AC25" s="40">
        <v>8.6697937833124694</v>
      </c>
      <c r="AD25" s="39">
        <v>2049.6326577657555</v>
      </c>
      <c r="AE25" s="40">
        <v>5.7276069985834512</v>
      </c>
      <c r="AF25" s="39">
        <v>1710.1775449076501</v>
      </c>
      <c r="AG25" s="40">
        <v>3.377404590018577</v>
      </c>
      <c r="AH25" s="39">
        <v>1314.6280173458276</v>
      </c>
      <c r="AI25" s="40">
        <v>1.6188158857009987</v>
      </c>
      <c r="AJ25" s="39">
        <v>894.30392177230476</v>
      </c>
      <c r="AK25" s="40">
        <v>0.50161182247949709</v>
      </c>
      <c r="AL25" s="39">
        <v>492.29698480447479</v>
      </c>
      <c r="AM25" s="40">
        <v>5.4343348482436771E-2</v>
      </c>
      <c r="AN25" s="39">
        <v>163.08513235972194</v>
      </c>
      <c r="AO25" s="40">
        <v>3.3060090470340389E-4</v>
      </c>
      <c r="AP25" s="39">
        <v>112.99273856502631</v>
      </c>
      <c r="AQ25" s="40">
        <v>5.404437936591722E-5</v>
      </c>
      <c r="AR25" s="39">
        <v>70.100826562532092</v>
      </c>
      <c r="AS25" s="40">
        <v>5.0498580379771777E-6</v>
      </c>
      <c r="AT25" s="39">
        <v>35.598893721546894</v>
      </c>
      <c r="AU25" s="40">
        <v>1.7748122845896285E-7</v>
      </c>
      <c r="AV25" s="39">
        <v>11.159883498381978</v>
      </c>
      <c r="AW25" s="40">
        <v>6.4548046273554192E-10</v>
      </c>
    </row>
    <row r="26" spans="2:49" x14ac:dyDescent="0.2">
      <c r="B26" s="31">
        <v>5036.2953101960647</v>
      </c>
      <c r="C26" s="32">
        <v>74.905331803938267</v>
      </c>
      <c r="D26" s="31">
        <v>5019.8570700149494</v>
      </c>
      <c r="E26" s="32">
        <v>70.401984575585104</v>
      </c>
      <c r="F26" s="31">
        <v>5000.4609381003465</v>
      </c>
      <c r="G26" s="32">
        <v>65.891829927194124</v>
      </c>
      <c r="H26" s="31">
        <v>4977.4461912538236</v>
      </c>
      <c r="I26" s="32">
        <v>61.37571943456134</v>
      </c>
      <c r="J26" s="31">
        <v>4949.9521059635072</v>
      </c>
      <c r="K26" s="32">
        <v>56.854966733038616</v>
      </c>
      <c r="L26" s="31">
        <v>4916.8514697416094</v>
      </c>
      <c r="M26" s="32">
        <v>52.331450995894471</v>
      </c>
      <c r="N26" s="31">
        <v>4876.6410268592572</v>
      </c>
      <c r="O26" s="32">
        <v>47.808088314301088</v>
      </c>
      <c r="P26" s="31">
        <v>4827.2971248904587</v>
      </c>
      <c r="Q26" s="32">
        <v>43.289255493275363</v>
      </c>
      <c r="R26" s="31">
        <v>4766.0618956016397</v>
      </c>
      <c r="S26" s="32">
        <v>38.781575798194794</v>
      </c>
      <c r="T26" s="31">
        <v>4689.1449198685459</v>
      </c>
      <c r="U26" s="32">
        <v>34.294954786085626</v>
      </c>
      <c r="V26" s="31">
        <v>4591.3245945177541</v>
      </c>
      <c r="W26" s="32">
        <v>29.844033108787563</v>
      </c>
      <c r="X26" s="31">
        <v>4465.4624595241376</v>
      </c>
      <c r="Y26" s="32">
        <v>25.449769496239139</v>
      </c>
      <c r="Z26" s="31">
        <v>4302.0847598537175</v>
      </c>
      <c r="AA26" s="32">
        <v>21.140881196819784</v>
      </c>
      <c r="AB26" s="31">
        <v>4089.4922701872151</v>
      </c>
      <c r="AC26" s="32">
        <v>16.953853865502722</v>
      </c>
      <c r="AD26" s="31">
        <v>3815.5135891731184</v>
      </c>
      <c r="AE26" s="32">
        <v>12.93016745294301</v>
      </c>
      <c r="AF26" s="31">
        <v>3472.5890978966663</v>
      </c>
      <c r="AG26" s="32">
        <v>9.1140708479638555</v>
      </c>
      <c r="AH26" s="31">
        <v>3065.9841597547897</v>
      </c>
      <c r="AI26" s="32">
        <v>5.5770333984058524</v>
      </c>
      <c r="AJ26" s="31">
        <v>2615.3142069363403</v>
      </c>
      <c r="AK26" s="32">
        <v>2.5383681584785505</v>
      </c>
      <c r="AL26" s="31">
        <v>2128.0348181487375</v>
      </c>
      <c r="AM26" s="32">
        <v>0.56143920978356376</v>
      </c>
      <c r="AN26" s="31">
        <v>1523.6821873624715</v>
      </c>
      <c r="AO26" s="32">
        <v>1.6846575514606166E-2</v>
      </c>
      <c r="AP26" s="31">
        <v>1361.9557459281721</v>
      </c>
      <c r="AQ26" s="32">
        <v>4.8352050309874561E-3</v>
      </c>
      <c r="AR26" s="31">
        <v>1170.4903733643375</v>
      </c>
      <c r="AS26" s="32">
        <v>9.4354300868021489E-4</v>
      </c>
      <c r="AT26" s="31">
        <v>931.93436277328146</v>
      </c>
      <c r="AU26" s="32">
        <v>9.376215054100646E-5</v>
      </c>
      <c r="AV26" s="31">
        <v>608.42228348371134</v>
      </c>
      <c r="AW26" s="32">
        <v>1.9397558726720161E-6</v>
      </c>
    </row>
    <row r="27" spans="2:49" x14ac:dyDescent="0.2">
      <c r="B27" s="33">
        <v>6425.1981590000414</v>
      </c>
      <c r="C27" s="34">
        <v>273.22915400000028</v>
      </c>
      <c r="D27" s="33">
        <v>6397.3288136832361</v>
      </c>
      <c r="E27" s="34">
        <v>256.66415535688662</v>
      </c>
      <c r="F27" s="33">
        <v>6365.1196429315351</v>
      </c>
      <c r="G27" s="34">
        <v>240.08029830942061</v>
      </c>
      <c r="H27" s="33">
        <v>6327.6678348165988</v>
      </c>
      <c r="I27" s="34">
        <v>223.48160039981755</v>
      </c>
      <c r="J27" s="33">
        <v>6283.8114094525245</v>
      </c>
      <c r="K27" s="34">
        <v>206.87411450618333</v>
      </c>
      <c r="L27" s="33">
        <v>6232.0459502610265</v>
      </c>
      <c r="M27" s="34">
        <v>190.26599309696624</v>
      </c>
      <c r="N27" s="33">
        <v>6170.3896793714557</v>
      </c>
      <c r="O27" s="34">
        <v>173.66963166112541</v>
      </c>
      <c r="P27" s="33">
        <v>6096.2072927815743</v>
      </c>
      <c r="Q27" s="34">
        <v>157.10303141447773</v>
      </c>
      <c r="R27" s="33">
        <v>6005.952787790764</v>
      </c>
      <c r="S27" s="34">
        <v>140.59284051517901</v>
      </c>
      <c r="T27" s="33">
        <v>5894.8167305311908</v>
      </c>
      <c r="U27" s="34">
        <v>124.17813934438549</v>
      </c>
      <c r="V27" s="33">
        <v>5756.2659098898139</v>
      </c>
      <c r="W27" s="34">
        <v>107.91594031929105</v>
      </c>
      <c r="X27" s="33">
        <v>5581.5062998746025</v>
      </c>
      <c r="Y27" s="34">
        <v>91.886784510931847</v>
      </c>
      <c r="Z27" s="33">
        <v>5359.0788017481427</v>
      </c>
      <c r="AA27" s="34">
        <v>76.200053072167321</v>
      </c>
      <c r="AB27" s="33">
        <v>5075.1807746566938</v>
      </c>
      <c r="AC27" s="34">
        <v>60.993849241811752</v>
      </c>
      <c r="AD27" s="33">
        <v>4716.0875851357014</v>
      </c>
      <c r="AE27" s="34">
        <v>46.424287023048727</v>
      </c>
      <c r="AF27" s="33">
        <v>4274.6708787234529</v>
      </c>
      <c r="AG27" s="34">
        <v>32.656048798060326</v>
      </c>
      <c r="AH27" s="33">
        <v>3760.5180877662815</v>
      </c>
      <c r="AI27" s="34">
        <v>19.946591109581529</v>
      </c>
      <c r="AJ27" s="33">
        <v>3201.4747313350867</v>
      </c>
      <c r="AK27" s="34">
        <v>9.0697293949594116</v>
      </c>
      <c r="AL27" s="33">
        <v>2611.8414906310218</v>
      </c>
      <c r="AM27" s="34">
        <v>2.0086921229669739</v>
      </c>
      <c r="AN27" s="33">
        <v>1905.5131983081733</v>
      </c>
      <c r="AO27" s="34">
        <v>6.0841106241665485E-2</v>
      </c>
      <c r="AP27" s="33">
        <v>1719.857804508091</v>
      </c>
      <c r="AQ27" s="34">
        <v>1.7547138868803661E-2</v>
      </c>
      <c r="AR27" s="33">
        <v>1500.4583262595017</v>
      </c>
      <c r="AS27" s="34">
        <v>3.4499785294980559E-3</v>
      </c>
      <c r="AT27" s="33">
        <v>1225.8766490586124</v>
      </c>
      <c r="AU27" s="34">
        <v>3.4728415454670557E-4</v>
      </c>
      <c r="AV27" s="33">
        <v>845.77426445282481</v>
      </c>
      <c r="AW27" s="34">
        <v>7.3858139127045732E-6</v>
      </c>
    </row>
    <row r="28" spans="2:49" x14ac:dyDescent="0.2">
      <c r="B28" s="39">
        <v>13763.097676000029</v>
      </c>
      <c r="C28" s="40">
        <v>382.36647899999997</v>
      </c>
      <c r="D28" s="39">
        <v>13711.271152709403</v>
      </c>
      <c r="E28" s="40">
        <v>359.24001715119101</v>
      </c>
      <c r="F28" s="39">
        <v>13650.779590621452</v>
      </c>
      <c r="G28" s="40">
        <v>336.08463032433548</v>
      </c>
      <c r="H28" s="39">
        <v>13579.753304820546</v>
      </c>
      <c r="I28" s="40">
        <v>312.9055674170196</v>
      </c>
      <c r="J28" s="39">
        <v>13495.770945679975</v>
      </c>
      <c r="K28" s="40">
        <v>289.71078747333297</v>
      </c>
      <c r="L28" s="39">
        <v>13395.679076889221</v>
      </c>
      <c r="M28" s="40">
        <v>266.51117471988238</v>
      </c>
      <c r="N28" s="39">
        <v>13275.297316413851</v>
      </c>
      <c r="O28" s="40">
        <v>243.32337197041736</v>
      </c>
      <c r="P28" s="39">
        <v>13129.031522281848</v>
      </c>
      <c r="Q28" s="40">
        <v>220.17176250557441</v>
      </c>
      <c r="R28" s="39">
        <v>12949.304854799459</v>
      </c>
      <c r="S28" s="40">
        <v>197.09266078725742</v>
      </c>
      <c r="T28" s="39">
        <v>12725.770466630094</v>
      </c>
      <c r="U28" s="40">
        <v>174.13961243817511</v>
      </c>
      <c r="V28" s="39">
        <v>12444.271276422942</v>
      </c>
      <c r="W28" s="40">
        <v>151.39102159892226</v>
      </c>
      <c r="X28" s="39">
        <v>12085.598159798355</v>
      </c>
      <c r="Y28" s="40">
        <v>128.95806408181107</v>
      </c>
      <c r="Z28" s="39">
        <v>11624.4827422611</v>
      </c>
      <c r="AA28" s="40">
        <v>106.99211551897302</v>
      </c>
      <c r="AB28" s="39">
        <v>11030.092632583192</v>
      </c>
      <c r="AC28" s="40">
        <v>85.684668569159768</v>
      </c>
      <c r="AD28" s="39">
        <v>10271.031033623316</v>
      </c>
      <c r="AE28" s="40">
        <v>65.252591727039245</v>
      </c>
      <c r="AF28" s="39">
        <v>9329.2933755300619</v>
      </c>
      <c r="AG28" s="40">
        <v>45.925424435870532</v>
      </c>
      <c r="AH28" s="39">
        <v>8222.3745207910979</v>
      </c>
      <c r="AI28" s="40">
        <v>28.065052232293063</v>
      </c>
      <c r="AJ28" s="39">
        <v>7007.0250325240895</v>
      </c>
      <c r="AK28" s="40">
        <v>12.76448604290783</v>
      </c>
      <c r="AL28" s="39">
        <v>5708.8443719450352</v>
      </c>
      <c r="AM28" s="40">
        <v>2.8260009233011911</v>
      </c>
      <c r="AN28" s="39">
        <v>4124.842928548198</v>
      </c>
      <c r="AO28" s="40">
        <v>8.5380895881871366E-2</v>
      </c>
      <c r="AP28" s="39">
        <v>3704.0709204937698</v>
      </c>
      <c r="AQ28" s="40">
        <v>2.4591612660326962E-2</v>
      </c>
      <c r="AR28" s="39">
        <v>3205.8362863323673</v>
      </c>
      <c r="AS28" s="40">
        <v>4.824705070889182E-3</v>
      </c>
      <c r="AT28" s="39">
        <v>2582.7063625237611</v>
      </c>
      <c r="AU28" s="40">
        <v>4.8381818480171826E-4</v>
      </c>
      <c r="AV28" s="39">
        <v>1726.9822133443156</v>
      </c>
      <c r="AW28" s="40">
        <v>1.0198915304939863E-5</v>
      </c>
    </row>
    <row r="29" spans="2:49" x14ac:dyDescent="0.2">
      <c r="B29" s="33">
        <v>14362.768558000025</v>
      </c>
      <c r="C29" s="34">
        <v>817.26650999999993</v>
      </c>
      <c r="D29" s="33">
        <v>14294.044975950859</v>
      </c>
      <c r="E29" s="34">
        <v>762.95145157140269</v>
      </c>
      <c r="F29" s="33">
        <v>14215.304880518272</v>
      </c>
      <c r="G29" s="34">
        <v>708.92312415075492</v>
      </c>
      <c r="H29" s="33">
        <v>14124.520001536741</v>
      </c>
      <c r="I29" s="34">
        <v>655.22845592923113</v>
      </c>
      <c r="J29" s="33">
        <v>14019.089312093021</v>
      </c>
      <c r="K29" s="34">
        <v>601.92517348791023</v>
      </c>
      <c r="L29" s="33">
        <v>13895.657989508418</v>
      </c>
      <c r="M29" s="34">
        <v>549.08288482896046</v>
      </c>
      <c r="N29" s="33">
        <v>13749.82304829766</v>
      </c>
      <c r="O29" s="34">
        <v>496.78975556401895</v>
      </c>
      <c r="P29" s="33">
        <v>13575.751405860736</v>
      </c>
      <c r="Q29" s="34">
        <v>445.15708745850765</v>
      </c>
      <c r="R29" s="33">
        <v>13365.622741699166</v>
      </c>
      <c r="S29" s="34">
        <v>394.32807972514712</v>
      </c>
      <c r="T29" s="33">
        <v>13108.86731462474</v>
      </c>
      <c r="U29" s="34">
        <v>344.48786934617863</v>
      </c>
      <c r="V29" s="33">
        <v>12791.17296934526</v>
      </c>
      <c r="W29" s="34">
        <v>295.87631010256484</v>
      </c>
      <c r="X29" s="33">
        <v>12393.325937210211</v>
      </c>
      <c r="Y29" s="34">
        <v>248.79813002800563</v>
      </c>
      <c r="Z29" s="33">
        <v>11890.328915592532</v>
      </c>
      <c r="AA29" s="34">
        <v>203.62641741445196</v>
      </c>
      <c r="AB29" s="33">
        <v>11252.041850745614</v>
      </c>
      <c r="AC29" s="34">
        <v>160.783266472733</v>
      </c>
      <c r="AD29" s="33">
        <v>10448.216299279396</v>
      </c>
      <c r="AE29" s="34">
        <v>120.68276889713336</v>
      </c>
      <c r="AF29" s="33">
        <v>9462.0138076504099</v>
      </c>
      <c r="AG29" s="34">
        <v>83.675513486871353</v>
      </c>
      <c r="AH29" s="33">
        <v>8310.5897883791313</v>
      </c>
      <c r="AI29" s="34">
        <v>50.267422913322271</v>
      </c>
      <c r="AJ29" s="33">
        <v>7045.8831001506605</v>
      </c>
      <c r="AK29" s="34">
        <v>22.294989392663268</v>
      </c>
      <c r="AL29" s="33">
        <v>5680.0797873535021</v>
      </c>
      <c r="AM29" s="34">
        <v>4.6954380127680722</v>
      </c>
      <c r="AN29" s="33">
        <v>3987.6839749407823</v>
      </c>
      <c r="AO29" s="34">
        <v>0.12559113374600028</v>
      </c>
      <c r="AP29" s="33">
        <v>3539.8351457377285</v>
      </c>
      <c r="AQ29" s="34">
        <v>3.4621182492955066E-2</v>
      </c>
      <c r="AR29" s="33">
        <v>3014.7306304822787</v>
      </c>
      <c r="AS29" s="34">
        <v>6.4139746835978843E-3</v>
      </c>
      <c r="AT29" s="33">
        <v>2369.4350924555724</v>
      </c>
      <c r="AU29" s="34">
        <v>5.9340713923827131E-4</v>
      </c>
      <c r="AV29" s="33">
        <v>1511.8907028772799</v>
      </c>
      <c r="AW29" s="34">
        <v>1.0944241335465789E-5</v>
      </c>
    </row>
    <row r="30" spans="2:49" x14ac:dyDescent="0.2">
      <c r="B30" s="112">
        <v>2924829.9599999995</v>
      </c>
      <c r="D30" s="112">
        <v>2942788.2369945315</v>
      </c>
      <c r="F30" s="112">
        <v>2958948.938753888</v>
      </c>
      <c r="H30" s="112">
        <v>2972959.1243137699</v>
      </c>
      <c r="J30" s="112">
        <v>2984363.0160681987</v>
      </c>
      <c r="L30" s="112">
        <v>2992569.2914751531</v>
      </c>
      <c r="N30" s="112">
        <v>2996799.8517731386</v>
      </c>
      <c r="P30" s="112">
        <v>2996023.9458339131</v>
      </c>
      <c r="R30" s="112">
        <v>2988865.6797525524</v>
      </c>
      <c r="T30" s="112">
        <v>2973484.5984487254</v>
      </c>
      <c r="V30" s="112">
        <v>2947438.5452775429</v>
      </c>
      <c r="X30" s="112">
        <v>2907571.5647115987</v>
      </c>
      <c r="Z30" s="112">
        <v>2850083.6601228612</v>
      </c>
      <c r="AB30" s="112">
        <v>2771189.3191898372</v>
      </c>
      <c r="AD30" s="112">
        <v>2669295.873713444</v>
      </c>
      <c r="AF30" s="112">
        <v>2550329.2579543772</v>
      </c>
      <c r="AH30" s="112">
        <v>2437634.1693823189</v>
      </c>
      <c r="AJ30" s="112">
        <v>2386081.0789702749</v>
      </c>
      <c r="AL30" s="112">
        <v>2509562.3555327747</v>
      </c>
      <c r="AN30" s="112">
        <v>3077407.0793232895</v>
      </c>
      <c r="AP30" s="112">
        <v>3301205.1884959256</v>
      </c>
      <c r="AR30" s="112">
        <v>3595305.7214808534</v>
      </c>
      <c r="AT30" s="112">
        <v>3999358.2205380904</v>
      </c>
      <c r="AV30" s="112">
        <v>4600186.1440801453</v>
      </c>
    </row>
    <row r="31" spans="2:49" x14ac:dyDescent="0.2">
      <c r="B31" s="77">
        <v>0.999999999999998</v>
      </c>
      <c r="D31" s="77">
        <v>0.99041683689647653</v>
      </c>
      <c r="F31" s="77">
        <v>0.98003933355201367</v>
      </c>
      <c r="H31" s="77">
        <v>0.96872705258166925</v>
      </c>
      <c r="J31" s="77">
        <v>0.95630301674708107</v>
      </c>
      <c r="L31" s="77">
        <v>0.94254274599272103</v>
      </c>
      <c r="N31" s="77">
        <v>0.92715670383282989</v>
      </c>
      <c r="P31" s="77">
        <v>0.90976786863890913</v>
      </c>
      <c r="R31" s="77">
        <v>0.88987956996681827</v>
      </c>
      <c r="T31" s="77">
        <v>0.86683254052946146</v>
      </c>
      <c r="V31" s="77">
        <v>0.83975070474116031</v>
      </c>
      <c r="X31" s="77">
        <v>0.80748234120879492</v>
      </c>
      <c r="Z31" s="77">
        <v>0.76856623237725619</v>
      </c>
      <c r="AB31" s="77">
        <v>0.7213031606995971</v>
      </c>
      <c r="AD31" s="77">
        <v>0.66410714125562453</v>
      </c>
      <c r="AF31" s="77">
        <v>0.59637832936067359</v>
      </c>
      <c r="AH31" s="77">
        <v>0.51977669614987954</v>
      </c>
      <c r="AJ31" s="77">
        <v>0.43827736395726002</v>
      </c>
      <c r="AL31" s="77">
        <v>0.35397456545479883</v>
      </c>
      <c r="AN31" s="77">
        <v>0.25675115660235215</v>
      </c>
      <c r="AP31" s="77">
        <v>0.23222310151628486</v>
      </c>
      <c r="AR31" s="77">
        <v>0.20380828104289822</v>
      </c>
      <c r="AT31" s="77">
        <v>0.16899465190055271</v>
      </c>
      <c r="AV31" s="77">
        <v>0.12166363668124569</v>
      </c>
    </row>
    <row r="32" spans="2:49" x14ac:dyDescent="0.2">
      <c r="B32" s="83">
        <v>14734457.915000005</v>
      </c>
      <c r="D32" s="83">
        <v>14651694.111595953</v>
      </c>
      <c r="F32" s="83">
        <v>14560787.823060878</v>
      </c>
      <c r="H32" s="83">
        <v>14460160.156238539</v>
      </c>
      <c r="J32" s="83">
        <v>14347810.14316153</v>
      </c>
      <c r="L32" s="83">
        <v>14221190.380247274</v>
      </c>
      <c r="N32" s="83">
        <v>14077009.151635122</v>
      </c>
      <c r="P32" s="83">
        <v>13910984.148393113</v>
      </c>
      <c r="R32" s="83">
        <v>13717499.496520163</v>
      </c>
      <c r="T32" s="83">
        <v>13489173.693371622</v>
      </c>
      <c r="V32" s="83">
        <v>13216377.515830679</v>
      </c>
      <c r="X32" s="83">
        <v>12886877.471418671</v>
      </c>
      <c r="Z32" s="83">
        <v>12486181.779700432</v>
      </c>
      <c r="AB32" s="83">
        <v>12000042.027247507</v>
      </c>
      <c r="AD32" s="83">
        <v>11422255.075016672</v>
      </c>
      <c r="AF32" s="83">
        <v>10772666.688670943</v>
      </c>
      <c r="AH32" s="83">
        <v>10127332.40631726</v>
      </c>
      <c r="AJ32" s="83">
        <v>9649883.4910077527</v>
      </c>
      <c r="AL32" s="83">
        <v>9624164.5257112645</v>
      </c>
      <c r="AN32" s="83">
        <v>10527973.768196512</v>
      </c>
      <c r="AP32" s="83">
        <v>10876378.783881035</v>
      </c>
      <c r="AR32" s="83">
        <v>11289617.490505569</v>
      </c>
      <c r="AT32" s="83">
        <v>11748844.606664732</v>
      </c>
      <c r="AV32" s="83">
        <v>12103690.407914259</v>
      </c>
    </row>
    <row r="33" spans="1:49 16319:16384" x14ac:dyDescent="0.2">
      <c r="B33" s="111">
        <v>7019665.6909999885</v>
      </c>
      <c r="D33" s="111">
        <v>6959796.3590360675</v>
      </c>
      <c r="F33" s="111">
        <v>6896155.6106599802</v>
      </c>
      <c r="H33" s="111">
        <v>6828014.51249409</v>
      </c>
      <c r="J33" s="111">
        <v>6754455.040386972</v>
      </c>
      <c r="L33" s="111">
        <v>6674314.1050290391</v>
      </c>
      <c r="N33" s="111">
        <v>6586097.8673862852</v>
      </c>
      <c r="P33" s="111">
        <v>6487873.4928499218</v>
      </c>
      <c r="R33" s="111">
        <v>6377120.6860030899</v>
      </c>
      <c r="T33" s="111">
        <v>6250546.0155921737</v>
      </c>
      <c r="V33" s="111">
        <v>6103877.1931702411</v>
      </c>
      <c r="X33" s="111">
        <v>5931718.7822709875</v>
      </c>
      <c r="Z33" s="111">
        <v>5727715.3770522308</v>
      </c>
      <c r="AB33" s="111">
        <v>5485649.6621045666</v>
      </c>
      <c r="AD33" s="111">
        <v>5202776.1866924176</v>
      </c>
      <c r="AF33" s="111">
        <v>4887373.4988775589</v>
      </c>
      <c r="AH33" s="111">
        <v>4570771.5674697999</v>
      </c>
      <c r="AJ33" s="111">
        <v>4317618.2308769319</v>
      </c>
      <c r="AL33" s="111">
        <v>4228933.287683432</v>
      </c>
      <c r="AN33" s="111">
        <v>4428631.2586235572</v>
      </c>
      <c r="AP33" s="111">
        <v>4502697.8322367165</v>
      </c>
      <c r="AR33" s="111">
        <v>4573513.7929676408</v>
      </c>
      <c r="AT33" s="111">
        <v>4606309.7026490476</v>
      </c>
      <c r="AV33" s="111">
        <v>4460097.4428708646</v>
      </c>
    </row>
    <row r="34" spans="1:49 16319:16384" x14ac:dyDescent="0.2">
      <c r="B34" s="111">
        <v>1136879.4410000162</v>
      </c>
      <c r="D34" s="111">
        <v>1137427.1406699135</v>
      </c>
      <c r="F34" s="111">
        <v>1134851.5699318589</v>
      </c>
      <c r="H34" s="111">
        <v>1128523.5586017277</v>
      </c>
      <c r="J34" s="111">
        <v>1117629.1227567841</v>
      </c>
      <c r="L34" s="111">
        <v>1101110.2294686637</v>
      </c>
      <c r="N34" s="111">
        <v>1077564.2102904641</v>
      </c>
      <c r="P34" s="111">
        <v>1045112.4875948913</v>
      </c>
      <c r="R34" s="111">
        <v>1001202.1386158701</v>
      </c>
      <c r="T34" s="111">
        <v>942322.02255192143</v>
      </c>
      <c r="V34" s="111">
        <v>863604.6797355637</v>
      </c>
      <c r="X34" s="111">
        <v>758285.33196234156</v>
      </c>
      <c r="Z34" s="111">
        <v>617066.82854110748</v>
      </c>
      <c r="AB34" s="111">
        <v>427582.09613334178</v>
      </c>
      <c r="AD34" s="111">
        <v>174512.82070328709</v>
      </c>
      <c r="AF34" s="111">
        <v>-158954.20288503618</v>
      </c>
      <c r="AH34" s="111">
        <v>-589536.71050420171</v>
      </c>
      <c r="AJ34" s="111">
        <v>-1144308.6426111292</v>
      </c>
      <c r="AL34" s="111">
        <v>-1931607.5129373705</v>
      </c>
      <c r="AN34" s="111">
        <v>-3543011.7170776911</v>
      </c>
      <c r="AP34" s="111">
        <v>-4186746.5485812738</v>
      </c>
      <c r="AR34" s="111">
        <v>-5124794.6593042398</v>
      </c>
      <c r="AT34" s="111">
        <v>-6658526.4076587763</v>
      </c>
      <c r="AV34" s="111">
        <v>-9808551.0355038103</v>
      </c>
    </row>
    <row r="35" spans="1:49 16319:16384" x14ac:dyDescent="0.2">
      <c r="B35" s="192">
        <v>1</v>
      </c>
      <c r="D35" s="192">
        <v>1.001065579386079</v>
      </c>
      <c r="F35" s="192">
        <v>1.0024227118043427</v>
      </c>
      <c r="H35" s="192">
        <v>1.0041308173805614</v>
      </c>
      <c r="J35" s="192">
        <v>1.0062673579319572</v>
      </c>
      <c r="L35" s="192">
        <v>1.0089345201422741</v>
      </c>
      <c r="N35" s="192">
        <v>1.0122703474892676</v>
      </c>
      <c r="P35" s="192">
        <v>1.0164649886511297</v>
      </c>
      <c r="R35" s="192">
        <v>1.0217871171661068</v>
      </c>
      <c r="T35" s="192">
        <v>1.0286270923033058</v>
      </c>
      <c r="V35" s="192">
        <v>1.0375700121342375</v>
      </c>
      <c r="X35" s="192">
        <v>1.0495249781853815</v>
      </c>
      <c r="Z35" s="192">
        <v>1.0659614940377073</v>
      </c>
      <c r="AB35" s="192">
        <v>1.0893614663833988</v>
      </c>
      <c r="AD35" s="192">
        <v>1.1241130698618147</v>
      </c>
      <c r="AF35" s="192">
        <v>1.1783506523265717</v>
      </c>
      <c r="AH35" s="192">
        <v>1.2679817284205546</v>
      </c>
      <c r="AJ35" s="192">
        <v>1.4276853718468863</v>
      </c>
      <c r="AL35" s="192">
        <v>1.7551142788160663</v>
      </c>
      <c r="AN35" s="192">
        <v>2.6786714407389351</v>
      </c>
      <c r="AP35" s="192">
        <v>3.0989281715487347</v>
      </c>
      <c r="AR35" s="192">
        <v>3.7526514111890483</v>
      </c>
      <c r="AT35" s="192">
        <v>4.933719966901716</v>
      </c>
      <c r="AV35" s="192">
        <v>7.8857904828642464</v>
      </c>
    </row>
    <row r="36" spans="1:49 16319:16384" x14ac:dyDescent="0.2">
      <c r="B36" s="35">
        <v>0.47195767671988198</v>
      </c>
      <c r="C36" s="36">
        <v>0.31738834428178964</v>
      </c>
      <c r="D36" s="35">
        <v>0.47198046811689737</v>
      </c>
      <c r="E36" s="36">
        <v>0.31922783045770814</v>
      </c>
      <c r="F36" s="35">
        <v>0.4720006802955995</v>
      </c>
      <c r="G36" s="36">
        <v>0.32121423885705602</v>
      </c>
      <c r="H36" s="35">
        <v>0.47201752864784202</v>
      </c>
      <c r="I36" s="36">
        <v>0.32336502400855949</v>
      </c>
      <c r="J36" s="35">
        <v>0.47202998405697782</v>
      </c>
      <c r="K36" s="36">
        <v>0.32569993742553338</v>
      </c>
      <c r="L36" s="35">
        <v>0.47203668970808138</v>
      </c>
      <c r="M36" s="36">
        <v>0.32824119078052061</v>
      </c>
      <c r="N36" s="35">
        <v>0.47203582289923335</v>
      </c>
      <c r="O36" s="36">
        <v>0.33101335923768532</v>
      </c>
      <c r="P36" s="35">
        <v>0.47202491509146327</v>
      </c>
      <c r="Q36" s="36">
        <v>0.33404297046206993</v>
      </c>
      <c r="R36" s="35">
        <v>0.47200059120790527</v>
      </c>
      <c r="S36" s="36">
        <v>0.33735734231237635</v>
      </c>
      <c r="T36" s="35">
        <v>0.47195822811215676</v>
      </c>
      <c r="U36" s="36">
        <v>0.3409821475928293</v>
      </c>
      <c r="V36" s="35">
        <v>0.47189157566240342</v>
      </c>
      <c r="W36" s="36">
        <v>0.34493696381988331</v>
      </c>
      <c r="X36" s="35">
        <v>0.47179254334614612</v>
      </c>
      <c r="Y36" s="36">
        <v>0.34922771367491612</v>
      </c>
      <c r="Z36" s="35">
        <v>0.47165196666722126</v>
      </c>
      <c r="AA36" s="36">
        <v>0.35383659550546243</v>
      </c>
      <c r="AB36" s="35">
        <v>0.47146388118269567</v>
      </c>
      <c r="AC36" s="36">
        <v>0.35871576542051603</v>
      </c>
      <c r="AD36" s="35">
        <v>0.47124080636487153</v>
      </c>
      <c r="AE36" s="36">
        <v>0.36381298020433034</v>
      </c>
      <c r="AF36" s="35">
        <v>0.47106003394209761</v>
      </c>
      <c r="AG36" s="36">
        <v>0.36921717094213963</v>
      </c>
      <c r="AH36" s="35">
        <v>0.47118668792311791</v>
      </c>
      <c r="AI36" s="36">
        <v>0.3756441612909327</v>
      </c>
      <c r="AJ36" s="35">
        <v>0.47237600660035728</v>
      </c>
      <c r="AK36" s="36">
        <v>0.3857301902620775</v>
      </c>
      <c r="AL36" s="35">
        <v>0.4767978384707281</v>
      </c>
      <c r="AM36" s="36">
        <v>0.4077046170507384</v>
      </c>
      <c r="AN36" s="35">
        <v>0.49275495501596606</v>
      </c>
      <c r="AO36" s="36">
        <v>0.47109537693380066</v>
      </c>
      <c r="AP36" s="35">
        <v>0.50010467916825052</v>
      </c>
      <c r="AQ36" s="36">
        <v>0.49766082081687879</v>
      </c>
      <c r="AR36" s="35">
        <v>0.51118901881037626</v>
      </c>
      <c r="AS36" s="36">
        <v>0.53583543280696178</v>
      </c>
      <c r="AT36" s="35">
        <v>0.53004326118879874</v>
      </c>
      <c r="AU36" s="36">
        <v>0.59695085350399413</v>
      </c>
      <c r="AV36" s="35">
        <v>0.57194090876694847</v>
      </c>
      <c r="AW36" s="36">
        <v>0.72183244455793572</v>
      </c>
    </row>
    <row r="37" spans="1:49 16319:16384" x14ac:dyDescent="0.2">
      <c r="B37" s="37">
        <v>2.1403217525954466E-2</v>
      </c>
      <c r="C37" s="38">
        <v>0.3496246130199252</v>
      </c>
      <c r="D37" s="37">
        <v>2.0911243725005541E-2</v>
      </c>
      <c r="E37" s="38">
        <v>0.34673147568581408</v>
      </c>
      <c r="F37" s="37">
        <v>2.0406801085718629E-2</v>
      </c>
      <c r="G37" s="38">
        <v>0.34375135955950581</v>
      </c>
      <c r="H37" s="37">
        <v>1.9889463509046332E-2</v>
      </c>
      <c r="I37" s="38">
        <v>0.3406808893747697</v>
      </c>
      <c r="J37" s="37">
        <v>1.9358896456523191E-2</v>
      </c>
      <c r="K37" s="38">
        <v>0.33751723567333242</v>
      </c>
      <c r="L37" s="37">
        <v>1.8814907774122026E-2</v>
      </c>
      <c r="M37" s="38">
        <v>0.3342584508844692</v>
      </c>
      <c r="N37" s="37">
        <v>1.8257545445398007E-2</v>
      </c>
      <c r="O37" s="38">
        <v>0.33090410359954026</v>
      </c>
      <c r="P37" s="37">
        <v>1.768722731600832E-2</v>
      </c>
      <c r="Q37" s="38">
        <v>0.32745612904577032</v>
      </c>
      <c r="R37" s="37">
        <v>1.7104946889068329E-2</v>
      </c>
      <c r="S37" s="38">
        <v>0.32392017079867319</v>
      </c>
      <c r="T37" s="37">
        <v>1.6512575239111347E-2</v>
      </c>
      <c r="U37" s="38">
        <v>0.3203075466067915</v>
      </c>
      <c r="V37" s="37">
        <v>1.5913273106097064E-2</v>
      </c>
      <c r="W37" s="38">
        <v>0.31663793072920748</v>
      </c>
      <c r="X37" s="37">
        <v>1.5312032715575115E-2</v>
      </c>
      <c r="Y37" s="38">
        <v>0.31294286499850299</v>
      </c>
      <c r="Z37" s="37">
        <v>1.4716122420252916E-2</v>
      </c>
      <c r="AA37" s="38">
        <v>0.30926865300070994</v>
      </c>
      <c r="AB37" s="37">
        <v>1.4134724395225833E-2</v>
      </c>
      <c r="AC37" s="38">
        <v>0.30567409015111974</v>
      </c>
      <c r="AD37" s="37">
        <v>1.3575391921128886E-2</v>
      </c>
      <c r="AE37" s="38">
        <v>0.30220791460107349</v>
      </c>
      <c r="AF37" s="37">
        <v>1.3031187843176818E-2</v>
      </c>
      <c r="AG37" s="38">
        <v>0.29882695890756239</v>
      </c>
      <c r="AH37" s="37">
        <v>1.2446077986493755E-2</v>
      </c>
      <c r="AI37" s="38">
        <v>0.29517614340454756</v>
      </c>
      <c r="AJ37" s="37">
        <v>1.1646120531957837E-2</v>
      </c>
      <c r="AK37" s="38">
        <v>0.29015158221565202</v>
      </c>
      <c r="AL37" s="37">
        <v>1.0247129781762315E-2</v>
      </c>
      <c r="AM37" s="38">
        <v>0.28132430997307478</v>
      </c>
      <c r="AN37" s="37">
        <v>7.6504750569754681E-3</v>
      </c>
      <c r="AO37" s="38">
        <v>0.26507779360349337</v>
      </c>
      <c r="AP37" s="37">
        <v>6.9224657424441349E-3</v>
      </c>
      <c r="AQ37" s="38">
        <v>0.26061618608670639</v>
      </c>
      <c r="AR37" s="37">
        <v>6.0926932455276873E-3</v>
      </c>
      <c r="AS37" s="38">
        <v>0.25561843017372821</v>
      </c>
      <c r="AT37" s="37">
        <v>5.1157531984915789E-3</v>
      </c>
      <c r="AU37" s="38">
        <v>0.24989790679531693</v>
      </c>
      <c r="AV37" s="37">
        <v>3.8613525756029357E-3</v>
      </c>
      <c r="AW37" s="38">
        <v>0.24292817330024419</v>
      </c>
    </row>
    <row r="38" spans="1:49 16319:16384" x14ac:dyDescent="0.2">
      <c r="B38" s="35">
        <v>0.18079094942242827</v>
      </c>
      <c r="C38" s="36">
        <v>6.0565413429233668E-2</v>
      </c>
      <c r="D38" s="35">
        <v>0.18105910327521521</v>
      </c>
      <c r="E38" s="36">
        <v>6.0806321620829988E-2</v>
      </c>
      <c r="F38" s="35">
        <v>0.18135132133523152</v>
      </c>
      <c r="G38" s="36">
        <v>6.1067527303801994E-2</v>
      </c>
      <c r="H38" s="35">
        <v>0.18167088205408663</v>
      </c>
      <c r="I38" s="36">
        <v>6.135158173243381E-2</v>
      </c>
      <c r="J38" s="35">
        <v>0.18202162515075412</v>
      </c>
      <c r="K38" s="36">
        <v>6.166137519540691E-2</v>
      </c>
      <c r="L38" s="35">
        <v>0.18240806210967017</v>
      </c>
      <c r="M38" s="36">
        <v>6.2000248268805042E-2</v>
      </c>
      <c r="N38" s="35">
        <v>0.18283548037619024</v>
      </c>
      <c r="O38" s="36">
        <v>6.2371933011571311E-2</v>
      </c>
      <c r="P38" s="35">
        <v>0.18331005338223355</v>
      </c>
      <c r="Q38" s="36">
        <v>6.2780586597805374E-2</v>
      </c>
      <c r="R38" s="35">
        <v>0.18383890286757865</v>
      </c>
      <c r="S38" s="36">
        <v>6.3230663383951932E-2</v>
      </c>
      <c r="T38" s="35">
        <v>0.18443004644391045</v>
      </c>
      <c r="U38" s="36">
        <v>6.3726671734582907E-2</v>
      </c>
      <c r="V38" s="35">
        <v>0.18509208923590253</v>
      </c>
      <c r="W38" s="36">
        <v>6.427259257120993E-2</v>
      </c>
      <c r="X38" s="35">
        <v>0.1858333200543128</v>
      </c>
      <c r="Y38" s="36">
        <v>6.4870964440998186E-2</v>
      </c>
      <c r="Z38" s="35">
        <v>0.18665967889438495</v>
      </c>
      <c r="AA38" s="36">
        <v>6.5521360065750489E-2</v>
      </c>
      <c r="AB38" s="35">
        <v>0.18757055902984046</v>
      </c>
      <c r="AC38" s="36">
        <v>6.6218818587633038E-2</v>
      </c>
      <c r="AD38" s="35">
        <v>0.18855098684170404</v>
      </c>
      <c r="AE38" s="36">
        <v>6.6955086224521676E-2</v>
      </c>
      <c r="AF38" s="35">
        <v>0.18955836622407043</v>
      </c>
      <c r="AG38" s="36">
        <v>6.7731734356511974E-2</v>
      </c>
      <c r="AH38" s="35">
        <v>0.19050328330949293</v>
      </c>
      <c r="AI38" s="36">
        <v>6.8608793146288719E-2</v>
      </c>
      <c r="AJ38" s="35">
        <v>0.19122048351027068</v>
      </c>
      <c r="AK38" s="36">
        <v>6.983850090094626E-2</v>
      </c>
      <c r="AL38" s="35">
        <v>0.19134824953301779</v>
      </c>
      <c r="AM38" s="36">
        <v>7.2228037898867309E-2</v>
      </c>
      <c r="AN38" s="35">
        <v>0.18939419158132856</v>
      </c>
      <c r="AO38" s="36">
        <v>7.8482280815053262E-2</v>
      </c>
      <c r="AP38" s="35">
        <v>0.1882070263398041</v>
      </c>
      <c r="AQ38" s="36">
        <v>8.0927418158577222E-2</v>
      </c>
      <c r="AR38" s="35">
        <v>0.18629682660997454</v>
      </c>
      <c r="AS38" s="36">
        <v>8.4282213242205653E-2</v>
      </c>
      <c r="AT38" s="35">
        <v>0.18294312389139653</v>
      </c>
      <c r="AU38" s="36">
        <v>8.9296922129182749E-2</v>
      </c>
      <c r="AV38" s="35">
        <v>0.17583553389200959</v>
      </c>
      <c r="AW38" s="36">
        <v>9.8401719831010759E-2</v>
      </c>
    </row>
    <row r="39" spans="1:49 16319:16384" x14ac:dyDescent="0.2">
      <c r="B39" s="37">
        <v>0.23064923795098771</v>
      </c>
      <c r="C39" s="38">
        <v>0.22092201281804777</v>
      </c>
      <c r="D39" s="37">
        <v>0.23074254948034481</v>
      </c>
      <c r="E39" s="38">
        <v>0.22168129596423122</v>
      </c>
      <c r="F39" s="37">
        <v>0.23084329064692047</v>
      </c>
      <c r="G39" s="38">
        <v>0.22250270159919636</v>
      </c>
      <c r="H39" s="37">
        <v>0.23095237049801851</v>
      </c>
      <c r="I39" s="38">
        <v>0.22339371006873662</v>
      </c>
      <c r="J39" s="37">
        <v>0.23107083470795742</v>
      </c>
      <c r="K39" s="38">
        <v>0.22436285035007686</v>
      </c>
      <c r="L39" s="37">
        <v>0.23119987084443525</v>
      </c>
      <c r="M39" s="38">
        <v>0.22541967754817502</v>
      </c>
      <c r="N39" s="37">
        <v>0.23134082556467123</v>
      </c>
      <c r="O39" s="38">
        <v>0.22657485404769281</v>
      </c>
      <c r="P39" s="37">
        <v>0.23149519396826235</v>
      </c>
      <c r="Q39" s="38">
        <v>0.22783991907706749</v>
      </c>
      <c r="R39" s="37">
        <v>0.23166458920746996</v>
      </c>
      <c r="S39" s="38">
        <v>0.22922685295378648</v>
      </c>
      <c r="T39" s="37">
        <v>0.2318506554966285</v>
      </c>
      <c r="U39" s="38">
        <v>0.23074704637959309</v>
      </c>
      <c r="V39" s="37">
        <v>0.23205488122775964</v>
      </c>
      <c r="W39" s="38">
        <v>0.23240951512141592</v>
      </c>
      <c r="X39" s="37">
        <v>0.23227825919743431</v>
      </c>
      <c r="Y39" s="38">
        <v>0.23421761566395258</v>
      </c>
      <c r="Z39" s="37">
        <v>0.23252073916322077</v>
      </c>
      <c r="AA39" s="38">
        <v>0.23616475906982662</v>
      </c>
      <c r="AB39" s="37">
        <v>0.23278060751445673</v>
      </c>
      <c r="AC39" s="38">
        <v>0.23823141746687501</v>
      </c>
      <c r="AD39" s="37">
        <v>0.23305459341895676</v>
      </c>
      <c r="AE39" s="38">
        <v>0.24039457739835274</v>
      </c>
      <c r="AF39" s="37">
        <v>0.23334163791714504</v>
      </c>
      <c r="AG39" s="38">
        <v>0.2426852785347457</v>
      </c>
      <c r="AH39" s="37">
        <v>0.23365777686258751</v>
      </c>
      <c r="AI39" s="38">
        <v>0.24538342262788995</v>
      </c>
      <c r="AJ39" s="37">
        <v>0.23407801037755405</v>
      </c>
      <c r="AK39" s="38">
        <v>0.2495368145891293</v>
      </c>
      <c r="AL39" s="37">
        <v>0.23485109032413526</v>
      </c>
      <c r="AM39" s="38">
        <v>0.25841424727130302</v>
      </c>
      <c r="AN39" s="37">
        <v>0.23685591046111951</v>
      </c>
      <c r="AO39" s="38">
        <v>0.28343735384185037</v>
      </c>
      <c r="AP39" s="37">
        <v>0.23766508132257841</v>
      </c>
      <c r="AQ39" s="38">
        <v>0.29368861002204344</v>
      </c>
      <c r="AR39" s="37">
        <v>0.23881497106140637</v>
      </c>
      <c r="AS39" s="38">
        <v>0.30817018771714988</v>
      </c>
      <c r="AT39" s="37">
        <v>0.24064538517167922</v>
      </c>
      <c r="AU39" s="38">
        <v>0.33074546526845644</v>
      </c>
      <c r="AV39" s="37">
        <v>0.24443083920374789</v>
      </c>
      <c r="AW39" s="38">
        <v>0.3746743606249795</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6.4847266416408381E-2</v>
      </c>
      <c r="E42" s="126"/>
      <c r="F42" s="167">
        <f>6.1%+(1-6.1%)*(1-SUM(F26:G26)/SUM($B$26:$C$26))</f>
        <v>6.9239190086590602E-2</v>
      </c>
      <c r="G42" s="126"/>
      <c r="H42" s="167">
        <f>6.1%+(1-6.1%)*(1-SUM(H26:I26)/SUM($B$26:$C$26))</f>
        <v>7.4296998780117404E-2</v>
      </c>
      <c r="I42" s="126"/>
      <c r="J42" s="167">
        <f>6.1%+(1-6.1%)*(1-SUM(J26:K26)/SUM($B$26:$C$26))</f>
        <v>8.0178578271892939E-2</v>
      </c>
      <c r="K42" s="126"/>
      <c r="L42" s="167">
        <f>6.1%+(1-6.1%)*(1-SUM(L26:M26)/SUM($B$26:$C$26))</f>
        <v>8.7090668241367603E-2</v>
      </c>
      <c r="M42" s="126"/>
      <c r="N42" s="167">
        <f>6.1%+(1-6.1%)*(1-SUM(N26:O26)/SUM($B$26:$C$26))</f>
        <v>9.5308902344599378E-2</v>
      </c>
      <c r="O42" s="126"/>
      <c r="P42" s="167">
        <f>6.1%+(1-6.1%)*(1-SUM(P26:Q26)/SUM($B$26:$C$26))</f>
        <v>0.10520425013275722</v>
      </c>
      <c r="Q42" s="126"/>
      <c r="R42" s="167">
        <f>6.1%+(1-6.1%)*(1-SUM(R26:S26)/SUM($B$26:$C$26))</f>
        <v>0.11728215430044134</v>
      </c>
      <c r="S42" s="126"/>
      <c r="T42" s="167">
        <f>6.1%+(1-6.1%)*(1-SUM(T26:U26)/SUM($B$26:$C$26))</f>
        <v>0.13223714877192339</v>
      </c>
      <c r="U42" s="126"/>
      <c r="V42" s="167">
        <f>6.1%+(1-6.1%)*(1-SUM(V26:W26)/SUM($B$26:$C$26))</f>
        <v>0.15102582636173495</v>
      </c>
      <c r="W42" s="126"/>
      <c r="X42" s="167">
        <f>6.1%+(1-6.1%)*(1-SUM(X26:Y26)/SUM($B$26:$C$26))</f>
        <v>0.17495577293556558</v>
      </c>
      <c r="Y42" s="152"/>
      <c r="Z42" s="167">
        <f>6.1%+(1-6.1%)*(1-SUM(Z26:AA26)/SUM($B$26:$C$26))</f>
        <v>0.20576217580103137</v>
      </c>
      <c r="AA42" s="126"/>
      <c r="AB42" s="167">
        <f>6.1%+(1-6.1%)*(1-SUM(AB26:AC26)/SUM($B$26:$C$26))</f>
        <v>0.24558764553279702</v>
      </c>
      <c r="AC42" s="126"/>
      <c r="AD42" s="167">
        <f>6.1%+(1-6.1%)*(1-SUM(AD26:AE26)/SUM($B$26:$C$26))</f>
        <v>0.29666062061199178</v>
      </c>
      <c r="AE42" s="126"/>
      <c r="AF42" s="167">
        <f>6.1%+(1-6.1%)*(1-SUM(AF26:AG26)/SUM($B$26:$C$26))</f>
        <v>0.3603617810292164</v>
      </c>
      <c r="AG42" s="126"/>
      <c r="AH42" s="167">
        <f>6.1%+(1-6.1%)*(1-SUM(AH26:AI26)/SUM($B$26:$C$26))</f>
        <v>0.43571067496926313</v>
      </c>
      <c r="AI42" s="126"/>
      <c r="AJ42" s="167">
        <f>6.1%+(1-6.1%)*(1-SUM(AJ26:AK26)/SUM($B$26:$C$26))</f>
        <v>0.51906337860918716</v>
      </c>
      <c r="AK42" s="126"/>
      <c r="AL42" s="167">
        <f>6.1%+(1-6.1%)*(1-SUM(AL26:AM26)/SUM($B$26:$C$26))</f>
        <v>0.60894669850457217</v>
      </c>
      <c r="AM42" s="126"/>
      <c r="AN42" s="167">
        <f>6.1%+(1-6.1%)*(1-SUM(AN26:AO26)/SUM($B$26:$C$26))</f>
        <v>0.72007489177573802</v>
      </c>
      <c r="AO42" s="126"/>
      <c r="AP42" s="167">
        <f>6.1%+(1-6.1%)*(1-SUM(AP26:AQ26)/SUM($B$26:$C$26))</f>
        <v>0.7497885379072784</v>
      </c>
      <c r="AQ42" s="126"/>
      <c r="AR42" s="167">
        <f>6.1%+(1-6.1%)*(1-SUM(AR26:AS26)/SUM($B$26:$C$26))</f>
        <v>0.78496415547758169</v>
      </c>
      <c r="AS42" s="126"/>
      <c r="AT42" s="167">
        <f>6.1%+(1-6.1%)*(1-SUM(AT26:AU26)/SUM($B$26:$C$26))</f>
        <v>0.82879043184179313</v>
      </c>
      <c r="AU42" s="126"/>
      <c r="AV42" s="167">
        <f>6.1%+(1-6.1%)*(1-SUM(AV26:AW26)/SUM($B$26:$C$26))</f>
        <v>0.88822420287749004</v>
      </c>
      <c r="XFD42" s="167"/>
    </row>
    <row r="43" spans="1:49 16319:16384" x14ac:dyDescent="0.2">
      <c r="A43" t="s">
        <v>95</v>
      </c>
      <c r="B43" s="152">
        <f>SUM(B15:C15*B27:C27)/SUM(B15:C15*B27:C27,B13:C13*B26:C26)</f>
        <v>0.56058995943839207</v>
      </c>
      <c r="C43" s="126"/>
      <c r="D43" s="152">
        <f t="array" ref="D43">SUM(D15:E15*D27:E27)/SUM(D15:E15*D27:E27,D13:E13*D26:E26)</f>
        <v>0.56745634671623879</v>
      </c>
      <c r="E43" s="126"/>
      <c r="F43" s="152">
        <f t="array" ref="F43">SUM(F15:G15*F27:G27)/SUM(F15:G15*F27:G27,F13:G13*F26:G26)</f>
        <v>0.56776757430744196</v>
      </c>
      <c r="G43" s="126"/>
      <c r="H43" s="152">
        <f t="array" ref="H43">SUM(H15:I15*H27:I27)/SUM(H15:I15*H27:I27,H13:I13*H26:I26)</f>
        <v>0.5681420200928593</v>
      </c>
      <c r="I43" s="126"/>
      <c r="J43" s="152">
        <f t="array" ref="J43">SUM(J15:K15*J27:K27)/SUM(J15:K15*J27:K27,J13:K13*J26:K26)</f>
        <v>0.56858888156246279</v>
      </c>
      <c r="K43" s="126"/>
      <c r="L43" s="152">
        <f t="array" ref="L43">SUM(L15:M15*L27:M27)/SUM(L15:M15*L27:M27,L13:M13*L26:M26)</f>
        <v>0.56911896851617805</v>
      </c>
      <c r="M43" s="126"/>
      <c r="N43" s="152">
        <f t="array" ref="N43">SUM(N15:O15*N27:O27)/SUM(N15:O15*N27:O27,N13:O13*N26:O26)</f>
        <v>0.5697450588820292</v>
      </c>
      <c r="O43" s="126"/>
      <c r="P43" s="152">
        <f t="array" ref="P43">SUM(P15:Q15*P27:Q27)/SUM(P15:Q15*P27:Q27,P13:Q13*P26:Q26)</f>
        <v>0.57048217132849377</v>
      </c>
      <c r="Q43" s="126"/>
      <c r="R43" s="152">
        <f t="array" ref="R43">SUM(R15:S15*R27:S27)/SUM(R15:S15*R27:S27,R13:S13*R26:S26)</f>
        <v>0.57134782221714808</v>
      </c>
      <c r="S43" s="126"/>
      <c r="T43" s="152">
        <f t="array" ref="T43">SUM(T15:U15*T27:U27)/SUM(T15:U15*T27:U27,T13:U13*T26:U26)</f>
        <v>0.57236202157666982</v>
      </c>
      <c r="U43" s="126"/>
      <c r="V43" s="152">
        <f t="array" ref="V43">SUM(V15:W15*V27:W27)/SUM(V15:W15*V27:W27,V13:W13*V26:W26)</f>
        <v>0.57354666315439162</v>
      </c>
      <c r="W43" s="126"/>
      <c r="X43" s="152">
        <f t="array" ref="X43">SUM(X15:Y15*X27:Y27)/SUM(X15:Y15*X27:Y27,X13:Y13*X26:Y26)</f>
        <v>0.57492343414089886</v>
      </c>
      <c r="Y43" s="126"/>
      <c r="Z43" s="152">
        <f t="array" ref="Z43">SUM(Z15:AA15*Z27:AA27)/SUM(Z15:AA15*Z27:AA27,Z13:AA13*Z26:AA26)</f>
        <v>0.57650855901591103</v>
      </c>
      <c r="AA43" s="126"/>
      <c r="AB43" s="152">
        <f t="array" ref="AB43">SUM(AB15:AC15*AB27:AC27)/SUM(AB15:AC15*AB27:AC27,AB13:AC13*AB26:AC26)</f>
        <v>0.57830082973761388</v>
      </c>
      <c r="AC43" s="126"/>
      <c r="AD43" s="152">
        <f t="array" ref="AD43">SUM(AD15:AE15*AD27:AE27)/SUM(AD15:AE15*AD27:AE27,AD13:AE13*AD26:AE26)</f>
        <v>0.58025614408990178</v>
      </c>
      <c r="AE43" s="126"/>
      <c r="AF43" s="152">
        <f t="array" ref="AF43">SUM(AF15:AG15*AF27:AG27)/SUM(AF15:AG15*AF27:AG27,AF13:AG13*AF26:AG26)</f>
        <v>0.58223687764962617</v>
      </c>
      <c r="AG43" s="126"/>
      <c r="AH43" s="152">
        <f t="array" ref="AH43">SUM(AH15:AI15*AH27:AI27)/SUM(AH15:AI15*AH27:AI27,AH13:AI13*AH26:AI26)</f>
        <v>0.58392077424165179</v>
      </c>
      <c r="AI43" s="126"/>
      <c r="AJ43" s="152">
        <f t="array" ref="AJ43">SUM(AJ15:AK15*AJ27:AK27)/SUM(AJ15:AK15*AJ27:AK27,AJ13:AK13*AJ26:AK26)</f>
        <v>0.58464005166155208</v>
      </c>
      <c r="AK43" s="126"/>
      <c r="AL43" s="152">
        <f t="array" ref="AL43">SUM(AL15:AM15*AL27:AM27)/SUM(AL15:AM15*AL27:AM27,AL13:AM13*AL26:AM26)</f>
        <v>0.58282033695408442</v>
      </c>
      <c r="AM43" s="126"/>
      <c r="AN43" s="152">
        <f t="array" ref="AN43">SUM(AN15:AO15*AN27:AO27)/SUM(AN15:AO15*AN27:AO27,AN13:AO13*AN26:AO26)</f>
        <v>0.57201894145792742</v>
      </c>
      <c r="AO43" s="126"/>
      <c r="AP43" s="152">
        <f t="array" ref="AP43">SUM(AP15:AQ15*AP27:AQ27)/SUM(AP15:AQ15*AP27:AQ27,AP13:AQ13*AP26:AQ26)</f>
        <v>0.56646659953992651</v>
      </c>
      <c r="AQ43" s="126"/>
      <c r="AR43" s="152">
        <f t="array" ref="AR43">SUM(AR15:AS15*AR27:AS27)/SUM(AR15:AS15*AR27:AS27,AR13:AS13*AR26:AS26)</f>
        <v>0.55783471590934464</v>
      </c>
      <c r="AS43" s="126"/>
      <c r="AT43" s="152">
        <f t="array" ref="AT43">SUM(AT15:AU15*AT27:AU27)/SUM(AT15:AU15*AT27:AU27,AT13:AU13*AT26:AU26)</f>
        <v>0.54293764289410884</v>
      </c>
      <c r="AU43" s="126"/>
      <c r="AV43" s="152">
        <f t="array" ref="AV43">SUM(AV15:AW15*AV27:AW27)/SUM(AV15:AW15*AV27:AW27,AV13:AW13*AV26:AW26)</f>
        <v>0.51082197781809291</v>
      </c>
    </row>
    <row r="44" spans="1:49 16319:16384" x14ac:dyDescent="0.2">
      <c r="A44" t="s">
        <v>129</v>
      </c>
      <c r="B44" s="183">
        <f>(SUM(B11:C11*B24:C24)+B34)/B32</f>
        <v>0.29754226190682465</v>
      </c>
      <c r="D44" s="183">
        <f>(SUM(D11:E11*D24:E24)+D34)/D32</f>
        <v>0.29893730205084096</v>
      </c>
      <c r="F44" s="183">
        <f>(SUM(F11:G11*F24:G24)+F34)/F32</f>
        <v>0.30034236077555732</v>
      </c>
      <c r="H44" s="183">
        <f>(SUM(H11:I11*H24:I24)+H34)/H32</f>
        <v>0.30175885162312482</v>
      </c>
      <c r="J44" s="183">
        <f>(SUM(J11:K11*J24:K24)+J34)/J32</f>
        <v>0.30318822403537876</v>
      </c>
      <c r="L44" s="183">
        <f>(SUM(L11:M11*L24:M24)+L34)/L32</f>
        <v>0.30463203498017594</v>
      </c>
      <c r="N44" s="183">
        <f>(SUM(N11:O11*N24:O24)+N34)/N32</f>
        <v>0.30609178039800777</v>
      </c>
      <c r="P44" s="183">
        <f>(SUM(P11:Q11*P24:Q24)+P34)/P32</f>
        <v>0.30756885648074572</v>
      </c>
      <c r="R44" s="183">
        <f>(SUM(R11:S11*R24:S24)+R34)/R32</f>
        <v>0.30906435347708783</v>
      </c>
      <c r="T44" s="183">
        <f>(SUM(T11:U11*T24:U24)+T34)/T32</f>
        <v>0.31057878391329052</v>
      </c>
      <c r="V44" s="183">
        <f>(SUM(V11:W11*V24:W24)+V34)/V32</f>
        <v>0.31211187348237956</v>
      </c>
      <c r="X44" s="183">
        <f>(SUM(X11:Y11*X24:Y24)+X34)/X32</f>
        <v>0.3136624024719401</v>
      </c>
      <c r="Z44" s="183">
        <f>(SUM(Z11:AA11*Z24:AA24)+Z34)/Z32</f>
        <v>0.31522946496297732</v>
      </c>
      <c r="AB44" s="183">
        <f>(SUM(AB11:AC11*AB24:AC24)+AB34)/AB32</f>
        <v>0.31681792460706021</v>
      </c>
      <c r="AD44" s="183">
        <f>(SUM(AD11:AE11*AD24:AE24)+AD34)/AD32</f>
        <v>0.31845913588518659</v>
      </c>
      <c r="AF44" s="183">
        <f>(SUM(AF11:AG11*AF24:AG24)+AF34)/AF32</f>
        <v>0.32027100359561622</v>
      </c>
      <c r="AH44" s="183">
        <f>(SUM(AH11:AI11*AH24:AI24)+AH34)/AH32</f>
        <v>0.32262353549282569</v>
      </c>
      <c r="AJ44" s="183">
        <f>(SUM(AJ11:AK11*AJ24:AK24)+AJ34)/AJ32</f>
        <v>0.32652681510982245</v>
      </c>
      <c r="AL44" s="183">
        <f>(SUM(AL11:AM11*AL24:AM24)+AL34)/AL32</f>
        <v>0.33454596149989163</v>
      </c>
      <c r="AN44" s="183">
        <f>(SUM(AN11:AO11*AN24:AO24)+AN34)/AN32</f>
        <v>0.3533000821824312</v>
      </c>
      <c r="AP44" s="183">
        <f>(SUM(AP11:AQ11*AP24:AQ24)+AP34)/AP32</f>
        <v>0.35996510290219391</v>
      </c>
      <c r="AR44" s="183">
        <f>(SUM(AR11:AS11*AR24:AS24)+AR34)/AR32</f>
        <v>0.36884584586917846</v>
      </c>
      <c r="AT44" s="183">
        <f>(SUM(AT11:AU11*AT24:AU24)+AT34)/AT32</f>
        <v>0.38188888549234201</v>
      </c>
      <c r="AV44" s="183">
        <f>(SUM(AV11:AW11*AV24:AW24)+AV34)/AV32</f>
        <v>0.40546308784489415</v>
      </c>
    </row>
    <row r="45" spans="1:49 16319:16384" x14ac:dyDescent="0.2">
      <c r="A45" t="s">
        <v>82</v>
      </c>
      <c r="B45" s="183">
        <f>SUM(B11:C11*B24:C24)/B32</f>
        <v>0.22038438833194082</v>
      </c>
      <c r="D45" s="183">
        <f>SUM(D11:E11*D24:E24)/D32</f>
        <v>0.22130620137356799</v>
      </c>
      <c r="F45" s="183">
        <f>SUM(F11:G11*F24:G24)/F32</f>
        <v>0.22240347561890941</v>
      </c>
      <c r="H45" s="183">
        <f>SUM(H11:I11*H24:I24)/H32</f>
        <v>0.22371520989244528</v>
      </c>
      <c r="J45" s="183">
        <f>SUM(J11:K11*J24:K24)/J32</f>
        <v>0.22529277437406095</v>
      </c>
      <c r="L45" s="183">
        <f>SUM(L11:M11*L24:M24)/L32</f>
        <v>0.22720460450304325</v>
      </c>
      <c r="N45" s="183">
        <f>SUM(N11:O11*N24:O24)/N32</f>
        <v>0.22954397122326567</v>
      </c>
      <c r="P45" s="183">
        <f>SUM(P11:Q11*P24:Q24)/P32</f>
        <v>0.23244027632808884</v>
      </c>
      <c r="R45" s="183">
        <f>SUM(R11:S11*R24:S24)/R32</f>
        <v>0.23607713456960008</v>
      </c>
      <c r="T45" s="183">
        <f>SUM(T11:U11*T24:U24)/T32</f>
        <v>0.24072113036295006</v>
      </c>
      <c r="V45" s="183">
        <f>SUM(V11:W11*V24:W24)/V32</f>
        <v>0.24676834960822183</v>
      </c>
      <c r="X45" s="183">
        <f>SUM(X11:Y11*X24:Y24)/X32</f>
        <v>0.25482073709224556</v>
      </c>
      <c r="Z45" s="183">
        <f>SUM(Z11:AA11*Z24:AA24)/Z32</f>
        <v>0.26580948698826035</v>
      </c>
      <c r="AB45" s="183">
        <f>SUM(AB11:AC11*AB24:AC24)/AB32</f>
        <v>0.28118620805452932</v>
      </c>
      <c r="AD45" s="183">
        <f>SUM(AD11:AE11*AD24:AE24)/AD32</f>
        <v>0.30318082003974639</v>
      </c>
      <c r="AF45" s="183">
        <f>SUM(AF11:AG11*AF24:AG24)/AF32</f>
        <v>0.33502632903905544</v>
      </c>
      <c r="AH45" s="183">
        <f>SUM(AH11:AI11*AH24:AI24)/AH32</f>
        <v>0.38083597356155729</v>
      </c>
      <c r="AJ45" s="183">
        <f>SUM(AJ11:AK11*AJ24:AK24)/AJ32</f>
        <v>0.44510945330203</v>
      </c>
      <c r="AL45" s="183">
        <f>SUM(AL11:AM11*AL24:AM24)/AL32</f>
        <v>0.53524987795695333</v>
      </c>
      <c r="AN45" s="183">
        <f>SUM(AN11:AO11*AN24:AO24)/AN32</f>
        <v>0.68983318865545618</v>
      </c>
      <c r="AP45" s="183">
        <f>SUM(AP11:AQ11*AP24:AQ24)/AP32</f>
        <v>0.74490448684366706</v>
      </c>
      <c r="AR45" s="183">
        <f>SUM(AR11:AS11*AR24:AS24)/AR32</f>
        <v>0.82278457883458933</v>
      </c>
      <c r="AT45" s="183">
        <f>SUM(AT11:AU11*AT24:AU24)/AT32</f>
        <v>0.94862771220910813</v>
      </c>
      <c r="AV45" s="183">
        <f>SUM(AV11:AW11*AV24:AW24)/AV32</f>
        <v>1.2158399815805665</v>
      </c>
      <c r="XCQ45" s="183"/>
    </row>
    <row r="46" spans="1:49 16319:16384" x14ac:dyDescent="0.2">
      <c r="A46" t="s">
        <v>126</v>
      </c>
      <c r="B46" s="183">
        <f>B34/B32</f>
        <v>7.7157873574883795E-2</v>
      </c>
      <c r="D46" s="183">
        <f>D34/D32</f>
        <v>7.763110067727301E-2</v>
      </c>
      <c r="F46" s="183">
        <f>F34/F32</f>
        <v>7.7938885156647902E-2</v>
      </c>
      <c r="H46" s="183">
        <f>H34/H32</f>
        <v>7.8043641730679542E-2</v>
      </c>
      <c r="J46" s="183">
        <f>J34/J32</f>
        <v>7.7895449661317812E-2</v>
      </c>
      <c r="L46" s="183">
        <f>L34/L32</f>
        <v>7.7427430477132658E-2</v>
      </c>
      <c r="N46" s="183">
        <f>N34/N32</f>
        <v>7.6547809174742146E-2</v>
      </c>
      <c r="P46" s="183">
        <f>P34/P32</f>
        <v>7.5128580152656887E-2</v>
      </c>
      <c r="R46" s="183">
        <f>R34/R32</f>
        <v>7.2987218907487744E-2</v>
      </c>
      <c r="T46" s="183">
        <f>T34/T32</f>
        <v>6.9857653550340473E-2</v>
      </c>
      <c r="V46" s="183">
        <f>V34/V32</f>
        <v>6.5343523874157747E-2</v>
      </c>
      <c r="X46" s="183">
        <f>X34/X32</f>
        <v>5.8841665379694541E-2</v>
      </c>
      <c r="Z46" s="183">
        <f>Z34/Z32</f>
        <v>4.941997797471695E-2</v>
      </c>
      <c r="AB46" s="183">
        <f>AB34/AB32</f>
        <v>3.5631716552530925E-2</v>
      </c>
      <c r="AD46" s="183">
        <f>AD34/AD32</f>
        <v>1.5278315845440212E-2</v>
      </c>
      <c r="AF46" s="183">
        <f>AF34/AF32</f>
        <v>-1.4755325443439191E-2</v>
      </c>
      <c r="AH46" s="183">
        <f>AH34/AH32</f>
        <v>-5.821243806873156E-2</v>
      </c>
      <c r="AJ46" s="183">
        <f>AJ34/AJ32</f>
        <v>-0.11858263819220756</v>
      </c>
      <c r="AL46" s="183">
        <f>AL34/AL32</f>
        <v>-0.2007039164570617</v>
      </c>
      <c r="AN46" s="183">
        <f>AN34/AN32</f>
        <v>-0.33653310647302503</v>
      </c>
      <c r="AP46" s="183">
        <f>AP34/AP32</f>
        <v>-0.38493938394147309</v>
      </c>
      <c r="AR46" s="183">
        <f>AR34/AR32</f>
        <v>-0.45393873296541093</v>
      </c>
      <c r="AT46" s="183">
        <f>AT34/AT32</f>
        <v>-0.56673882671676612</v>
      </c>
      <c r="AV46" s="183">
        <f>AV34/AV32</f>
        <v>-0.81037689373567234</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0.99390264790944916</v>
      </c>
      <c r="E49" s="181"/>
      <c r="F49" s="181">
        <f>F13/F35/$B$13*$B$35</f>
        <v>0.98741076248286996</v>
      </c>
      <c r="G49" s="181"/>
      <c r="H49" s="181">
        <f>H13/H35/$B$13*$B$35</f>
        <v>0.98047350940032052</v>
      </c>
      <c r="I49" s="181"/>
      <c r="J49" s="181">
        <f>J13/J35/$B$13*$B$35</f>
        <v>0.97303215381426156</v>
      </c>
      <c r="K49" s="181"/>
      <c r="L49" s="181">
        <f>L13/L35/$B$13*$B$35</f>
        <v>0.96501893656264026</v>
      </c>
      <c r="M49" s="181"/>
      <c r="N49" s="181">
        <f>N13/N35/$B$13*$B$35</f>
        <v>0.95635615847423638</v>
      </c>
      <c r="O49" s="181"/>
      <c r="P49" s="181">
        <f>P13/P35/$B$13*$B$35</f>
        <v>0.9469557286349396</v>
      </c>
      <c r="Q49" s="181"/>
      <c r="R49" s="181">
        <f>R13/R35/$B$13*$B$35</f>
        <v>0.93671999385636451</v>
      </c>
      <c r="S49" s="181"/>
      <c r="T49" s="181">
        <f>T13/T35/$B$13*$B$35</f>
        <v>0.92554524415317796</v>
      </c>
      <c r="U49" s="181"/>
      <c r="V49" s="181">
        <f>V13/V35/$B$13*$B$35</f>
        <v>0.91333029668388144</v>
      </c>
      <c r="W49" s="181"/>
      <c r="X49" s="181">
        <f>X13/X35/$B$13*$B$35</f>
        <v>0.89999512829488937</v>
      </c>
      <c r="Y49" s="181"/>
      <c r="Z49" s="181">
        <f>Z13/Z35/$B$13*$B$35</f>
        <v>0.8855160347039811</v>
      </c>
      <c r="AA49" s="181"/>
      <c r="AB49" s="181">
        <f>AB13/AB35/$B$13*$B$35</f>
        <v>0.86998620537951588</v>
      </c>
      <c r="AC49" s="181"/>
      <c r="AD49" s="181">
        <f>AD13/AD35/$B$13*$B$35</f>
        <v>0.85370336094038501</v>
      </c>
      <c r="AE49" s="181"/>
      <c r="AF49" s="181">
        <f>AF13/AF35/$B$13*$B$35</f>
        <v>0.83725762263628567</v>
      </c>
      <c r="AG49" s="181"/>
      <c r="AH49" s="181">
        <f>AH13/AH35/$B$13*$B$35</f>
        <v>0.82151058595043835</v>
      </c>
      <c r="AI49" s="181"/>
      <c r="AJ49" s="181">
        <f>AJ13/AJ35/$B$13*$B$35</f>
        <v>0.80725537364740663</v>
      </c>
      <c r="AK49" s="181"/>
      <c r="AL49" s="181">
        <f>AL13/AL35/$B$13*$B$35</f>
        <v>0.79446552411978577</v>
      </c>
      <c r="AM49" s="181"/>
      <c r="AN49" s="181">
        <f>AN13/AN35/$B$13*$B$35</f>
        <v>0.78125932932935638</v>
      </c>
      <c r="AO49" s="181"/>
      <c r="AP49" s="181">
        <f>AP13/AP35/$B$13*$B$35</f>
        <v>0.77810660845194535</v>
      </c>
      <c r="AQ49" s="181"/>
      <c r="AR49" s="181">
        <f>AR13/AR35/$B$13*$B$35</f>
        <v>0.77454740088227436</v>
      </c>
      <c r="AS49" s="181"/>
      <c r="AT49" s="181">
        <f>AT13/AT35/$B$13*$B$35</f>
        <v>0.77035075129825847</v>
      </c>
      <c r="AU49" s="181"/>
      <c r="AV49" s="181">
        <f>AV13/AV35/$B$13*$B$35</f>
        <v>0.76503397623103508</v>
      </c>
    </row>
    <row r="51" spans="1:48 16321:16384" x14ac:dyDescent="0.2">
      <c r="A51" t="s">
        <v>150</v>
      </c>
      <c r="B51" s="27">
        <f>B30-B10*B23</f>
        <v>-405838.32800000021</v>
      </c>
      <c r="D51" s="27">
        <f>D30-D10*D23</f>
        <v>-369171.60737066623</v>
      </c>
      <c r="F51" s="27">
        <f>F30-F10*F23</f>
        <v>-332461.88411691738</v>
      </c>
      <c r="H51" s="27">
        <f>H30-H10*H23</f>
        <v>-295705.19639767241</v>
      </c>
      <c r="J51" s="27">
        <f>J30-J10*J23</f>
        <v>-258905.01060442207</v>
      </c>
      <c r="L51" s="27">
        <f>L30-L10*L23</f>
        <v>-222076.81836785283</v>
      </c>
      <c r="N51" s="27">
        <f>N30-N10*N23</f>
        <v>-185254.63857265469</v>
      </c>
      <c r="P51" s="27">
        <f>P30-P10*P23</f>
        <v>-148501.22266622772</v>
      </c>
      <c r="R51" s="27">
        <f>R30-R10*R23</f>
        <v>-111923.01755023934</v>
      </c>
      <c r="T51" s="27">
        <f>T30-T10*T23</f>
        <v>-75691.917648214381</v>
      </c>
      <c r="V51" s="27">
        <f>V30-V10*V23</f>
        <v>-40073.430266583804</v>
      </c>
      <c r="X51" s="27">
        <f>X30-X10*X23</f>
        <v>-5458.1763893840834</v>
      </c>
      <c r="Z51" s="27">
        <f>Z30-Z10*Z23</f>
        <v>27629.659320103005</v>
      </c>
      <c r="AB51" s="27">
        <f>AB30-AB10*AB23</f>
        <v>58625.364316951949</v>
      </c>
      <c r="AD51" s="27">
        <f>AD30-AD10*AD23</f>
        <v>87338.466439185664</v>
      </c>
      <c r="AF51" s="27">
        <f>AF30-AF10*AF23</f>
        <v>115208.83994270023</v>
      </c>
      <c r="AH51" s="27">
        <f>AH30-AH10*AH23</f>
        <v>148389.11657199869</v>
      </c>
      <c r="AJ51" s="27">
        <f>AJ30-AJ10*AJ23</f>
        <v>204761.54133907007</v>
      </c>
      <c r="AL51" s="27">
        <f>AL30-AL10*AL23</f>
        <v>334056.49239216559</v>
      </c>
      <c r="AN51" s="27">
        <f>AN30-AN10*AN23</f>
        <v>697598.56726864213</v>
      </c>
      <c r="AP51" s="27">
        <f>AP30-AP10*AP23</f>
        <v>842641.04499458289</v>
      </c>
      <c r="AQ51" s="27"/>
      <c r="AR51" s="27">
        <f>AR30-AR10*AR23</f>
        <v>1043330.5367679228</v>
      </c>
      <c r="AT51" s="27">
        <f>AT30-AT10*AT23</f>
        <v>1343576.4891843149</v>
      </c>
      <c r="AV51" s="27">
        <f>AV30-AV10*AV23</f>
        <v>1864192.8661482916</v>
      </c>
      <c r="XFD51" s="27"/>
    </row>
    <row r="52" spans="1:48 16321:16384" x14ac:dyDescent="0.2">
      <c r="A52" t="s">
        <v>151</v>
      </c>
      <c r="B52" s="27">
        <f t="array" ref="B52">Calibration!sL*SUM(B13:C13*B26:C26)</f>
        <v>2073093.0976150823</v>
      </c>
      <c r="D52" s="27">
        <f t="array" ref="D52">Calibration!sL*SUM(D13:E13*D26:E26)</f>
        <v>2054197.222060686</v>
      </c>
      <c r="F52" s="27">
        <f t="array" ref="F52">Calibration!sL*SUM(F13:G13*F26:G26)</f>
        <v>2033948.9888813302</v>
      </c>
      <c r="H52" s="27">
        <f t="array" ref="H52">Calibration!sL*SUM(H13:I13*H26:I26)</f>
        <v>2012106.8774816114</v>
      </c>
      <c r="J52" s="27">
        <f t="array" ref="J52">Calibration!sL*SUM(J13:K13*J26:K26)</f>
        <v>1988370.4932107467</v>
      </c>
      <c r="L52" s="27">
        <f t="array" ref="L52">Calibration!sL*SUM(L13:M13*L26:M26)</f>
        <v>1962364.4917132321</v>
      </c>
      <c r="N52" s="27">
        <f t="array" ref="N52">Calibration!sL*SUM(N13:O13*N26:O26)</f>
        <v>1933613.6545224381</v>
      </c>
      <c r="P52" s="27">
        <f t="array" ref="P52">Calibration!sL*SUM(P13:Q13*P26:Q26)</f>
        <v>1901512.6806690369</v>
      </c>
      <c r="R52" s="27">
        <f t="array" ref="R52">Calibration!sL*SUM(R13:S13*R26:S26)</f>
        <v>1865285.5805894793</v>
      </c>
      <c r="T52" s="27">
        <f t="array" ref="T52">Calibration!sL*SUM(T13:U13*T26:U26)</f>
        <v>1823937.1947071827</v>
      </c>
      <c r="V52" s="27">
        <f t="array" ref="V52">Calibration!sL*SUM(V13:W13*V26:W26)</f>
        <v>1776204.5070352734</v>
      </c>
      <c r="X52" s="27">
        <f t="array" ref="X52">Calibration!sL*SUM(X13:Y13*X26:Y26)</f>
        <v>1720534.4816563698</v>
      </c>
      <c r="Z52" s="27">
        <f t="array" ref="Z52">Calibration!sL*SUM(Z13:AA13*Z26:AA26)</f>
        <v>1655166.6444524187</v>
      </c>
      <c r="AB52" s="27">
        <f t="array" ref="AB52">Calibration!sL*SUM(AB13:AC13*AB26:AC26)</f>
        <v>1578506.5226043421</v>
      </c>
      <c r="AD52" s="27">
        <f t="array" ref="AD52">Calibration!sL*SUM(AD13:AE13*AD26:AE26)</f>
        <v>1490167.6660939779</v>
      </c>
      <c r="AF52" s="27">
        <f t="array" ref="AF52">Calibration!sL*SUM(AF13:AG13*AF26:AG26)</f>
        <v>1393225.053396733</v>
      </c>
      <c r="AH52" s="27">
        <f t="array" ref="AH52">Calibration!sL*SUM(AH13:AI13*AH26:AI26)</f>
        <v>1297720.626294005</v>
      </c>
      <c r="AJ52" s="27">
        <f t="array" ref="AJ52">Calibration!sL*SUM(AJ13:AK13*AJ26:AK26)</f>
        <v>1223726.9255732056</v>
      </c>
      <c r="AL52" s="27">
        <f t="array" ref="AL52">Calibration!sL*SUM(AL13:AM13*AL26:AM26)</f>
        <v>1203842.3723077404</v>
      </c>
      <c r="AN52" s="27">
        <f t="array" ref="AN52">Calibration!sL*SUM(AN13:AO13*AN26:AO26)</f>
        <v>1293331.133013644</v>
      </c>
      <c r="AP52" s="27">
        <f t="array" ref="AP52">Calibration!sL*SUM(AP13:AQ13*AP26:AQ26)</f>
        <v>1332020.865530442</v>
      </c>
      <c r="AQ52" s="27"/>
      <c r="AR52" s="27">
        <f t="array" ref="AR52">Calibration!sL*SUM(AR13:AS13*AR26:AS26)</f>
        <v>1379908.5237429503</v>
      </c>
      <c r="AT52" s="27">
        <f t="array" ref="AT52">Calibration!sL*SUM(AT13:AU13*AT26:AU26)</f>
        <v>1436627.7512426479</v>
      </c>
      <c r="AV52" s="27">
        <f t="array" ref="AV52">Calibration!sL*SUM(AV13:AW13*AV26:AW26)</f>
        <v>1488767.7293884407</v>
      </c>
    </row>
    <row r="53" spans="1:48 16321:16384" x14ac:dyDescent="0.2">
      <c r="A53" t="s">
        <v>152</v>
      </c>
      <c r="B53" s="27">
        <f t="array" ref="B53">Calibration!sK*SUM(B15:C15*B27:C27)</f>
        <v>2716869.1663849424</v>
      </c>
      <c r="D53" s="27">
        <f t="array" ref="D53">Calibration!sK*SUM(D15:E15*D27:E27)</f>
        <v>2694912.3914216622</v>
      </c>
      <c r="F53" s="27">
        <f t="array" ref="F53">Calibration!sK*SUM(F15:G15*F27:G27)</f>
        <v>2671734.4998628828</v>
      </c>
      <c r="H53" s="27">
        <f t="array" ref="H53">Calibration!sK*SUM(H15:I15*H27:I27)</f>
        <v>2647079.640072749</v>
      </c>
      <c r="J53" s="27">
        <f t="array" ref="J53">Calibration!sK*SUM(J15:K15*J27:K27)</f>
        <v>2620621.7377083949</v>
      </c>
      <c r="L53" s="27">
        <f t="array" ref="L53">Calibration!sK*SUM(L15:M15*L27:M27)</f>
        <v>2591942.494035135</v>
      </c>
      <c r="N53" s="27">
        <f t="array" ref="N53">Calibration!sK*SUM(N15:O15*N27:O27)</f>
        <v>2560497.7890281067</v>
      </c>
      <c r="P53" s="27">
        <f t="array" ref="P53">Calibration!sK*SUM(P15:Q15*P27:Q27)</f>
        <v>2525574.0517965155</v>
      </c>
      <c r="R53" s="27">
        <f t="array" ref="R53">Calibration!sK*SUM(R15:S15*R27:S27)</f>
        <v>2486227.5511935628</v>
      </c>
      <c r="T53" s="27">
        <f t="array" ref="T53">Calibration!sK*SUM(T15:U15*T27:U27)</f>
        <v>2441205.9561231188</v>
      </c>
      <c r="V53" s="27">
        <f t="array" ref="V53">Calibration!sK*SUM(V15:W15*V27:W27)</f>
        <v>2388857.3029472902</v>
      </c>
      <c r="X53" s="27">
        <f t="array" ref="X53">Calibration!sK*SUM(X15:Y15*X27:Y27)</f>
        <v>2327052.7528435681</v>
      </c>
      <c r="Z53" s="27">
        <f t="array" ref="Z53">Calibration!sK*SUM(Z15:AA15*Z27:AA27)</f>
        <v>2253216.1096505262</v>
      </c>
      <c r="AB53" s="27">
        <f t="array" ref="AB53">Calibration!sK*SUM(AB15:AC15*AB27:AC27)</f>
        <v>2164698.667062446</v>
      </c>
      <c r="AD53" s="27">
        <f t="array" ref="AD53">Calibration!sK*SUM(AD15:AE15*AD27:AE27)</f>
        <v>2060015.7257819129</v>
      </c>
      <c r="AF53" s="27">
        <f t="array" ref="AF53">Calibration!sK*SUM(AF15:AG15*AF27:AG27)</f>
        <v>1941739.1376939518</v>
      </c>
      <c r="AH53" s="27">
        <f t="array" ref="AH53">Calibration!sK*SUM(AH15:AI15*AH27:AI27)</f>
        <v>1821206.1211992698</v>
      </c>
      <c r="AJ53" s="27">
        <f t="array" ref="AJ53">Calibration!sK*SUM(AJ15:AK15*AJ27:AK27)</f>
        <v>1722457.2948082837</v>
      </c>
      <c r="AL53" s="27">
        <f t="array" ref="AL53">Calibration!sK*SUM(AL15:AM15*AL27:AM27)</f>
        <v>1681826.5107778744</v>
      </c>
      <c r="AN53" s="27">
        <f t="array" ref="AN53">Calibration!sK*SUM(AN15:AO15*AN27:AO27)</f>
        <v>1728604.3176331832</v>
      </c>
      <c r="AP53" s="27">
        <f t="array" ref="AP53">Calibration!sK*SUM(AP15:AQ15*AP27:AQ27)</f>
        <v>1740454.8978522115</v>
      </c>
      <c r="AQ53" s="27"/>
      <c r="AR53" s="27">
        <f t="array" ref="AR53">Calibration!sK*SUM(AR15:AS15*AR27:AS27)</f>
        <v>1740889.4524727343</v>
      </c>
      <c r="AT53" s="27">
        <f t="array" ref="AT53">Calibration!sK*SUM(AT15:AU15*AT27:AU27)</f>
        <v>1706548.9486268044</v>
      </c>
      <c r="AV53" s="27">
        <f t="array" ref="AV53">Calibration!sK*SUM(AV15:AW15*AV27:AW27)</f>
        <v>1554639.0916048856</v>
      </c>
      <c r="XFD53" s="27"/>
    </row>
    <row r="55" spans="1:48 16321:16384" x14ac:dyDescent="0.2">
      <c r="A55" t="s">
        <v>153</v>
      </c>
      <c r="B55" s="183">
        <f>B30/B32</f>
        <v>0.19850271905982084</v>
      </c>
      <c r="D55" s="183">
        <f>D30/D32</f>
        <v>0.20084969114018617</v>
      </c>
      <c r="F55" s="183">
        <f>F30/F32</f>
        <v>0.20321351939952081</v>
      </c>
      <c r="H55" s="183">
        <f>H30/H32</f>
        <v>0.20559655579133732</v>
      </c>
      <c r="J55" s="183">
        <f>J30/J32</f>
        <v>0.2080012898338085</v>
      </c>
      <c r="L55" s="183">
        <f>L30/L32</f>
        <v>0.21043029531703092</v>
      </c>
      <c r="N55" s="183">
        <f>N30/N32</f>
        <v>0.2128861194513782</v>
      </c>
      <c r="P55" s="183">
        <f>P30/P32</f>
        <v>0.21537109911666386</v>
      </c>
      <c r="R55" s="183">
        <f>R30/R32</f>
        <v>0.21788706320060472</v>
      </c>
      <c r="T55" s="183">
        <f>T30/T32</f>
        <v>0.2204348958683697</v>
      </c>
      <c r="V55" s="183">
        <f>V30/V32</f>
        <v>0.22301410062984947</v>
      </c>
      <c r="X55" s="183">
        <f>X30/X32</f>
        <v>0.225622659264061</v>
      </c>
      <c r="Z55" s="183">
        <f>Z30/Z32</f>
        <v>0.22825902348758215</v>
      </c>
      <c r="AB55" s="183">
        <f>AB30/AB32</f>
        <v>0.23093163448073981</v>
      </c>
      <c r="AD55" s="183">
        <f>AD30/AD32</f>
        <v>0.23369254636519732</v>
      </c>
      <c r="AF55" s="183">
        <f>AF30/AF32</f>
        <v>0.23674075618030835</v>
      </c>
      <c r="AH55" s="183">
        <f>AH30/AH32</f>
        <v>0.24069854445201813</v>
      </c>
      <c r="AJ55" s="183">
        <f>AJ30/AJ32</f>
        <v>0.24726527332622672</v>
      </c>
      <c r="AL55" s="183">
        <f>AL30/AL32</f>
        <v>0.26075638553646902</v>
      </c>
      <c r="AN55" s="183">
        <f>AN30/AN32</f>
        <v>0.29230763175148589</v>
      </c>
      <c r="AP55" s="183">
        <f>AP30/AP32</f>
        <v>0.30352061601498875</v>
      </c>
      <c r="AR55" s="183">
        <f>AR30/AR32</f>
        <v>0.31846125207558734</v>
      </c>
      <c r="AT55" s="183">
        <f>AT30/AT32</f>
        <v>0.34040438480813562</v>
      </c>
      <c r="AV55" s="183">
        <f>AV30/AV32</f>
        <v>0.38006475620627361</v>
      </c>
      <c r="XCS55" s="183"/>
      <c r="XFD55" s="183"/>
    </row>
    <row r="56" spans="1:48 16321:16384" x14ac:dyDescent="0.2">
      <c r="A56" t="s">
        <v>154</v>
      </c>
      <c r="B56" s="183">
        <f>(Model!$C$52*B5*B20+B2*C5*C20)/B32</f>
        <v>2.9221206744340551E-2</v>
      </c>
      <c r="D56" s="183">
        <f>(Model!$C$52*D5*D20+D2*E5*E20)/D32</f>
        <v>3.2192826631676656E-2</v>
      </c>
      <c r="F56" s="183">
        <f>(Model!$C$52*F5*F20+F2*G5*G20)/F32</f>
        <v>3.5204462749475009E-2</v>
      </c>
      <c r="H56" s="183">
        <f>(Model!$C$52*H5*H20+H2*I5*I20)/H32</f>
        <v>3.8261622079333868E-2</v>
      </c>
      <c r="J56" s="183">
        <f>(Model!$C$52*J5*J20+J2*K5*K20)/J32</f>
        <v>4.1370434248796238E-2</v>
      </c>
      <c r="L56" s="183">
        <f>(Model!$C$52*L5*L20+L2*M5*M20)/L32</f>
        <v>4.4537693273325643E-2</v>
      </c>
      <c r="N56" s="183">
        <f>(Model!$C$52*N5*N20+N2*O5*O20)/N32</f>
        <v>4.7770804216777304E-2</v>
      </c>
      <c r="P56" s="183">
        <f>(Model!$C$52*P5*P20+P2*Q5*Q20)/P32</f>
        <v>5.1077675286189804E-2</v>
      </c>
      <c r="R56" s="183">
        <f>(Model!$C$52*R5*R20+R2*S5*S20)/R32</f>
        <v>5.4466428835059748E-2</v>
      </c>
      <c r="T56" s="183">
        <f>(Model!$C$52*T5*T20+T2*U5*U20)/T32</f>
        <v>5.7944870696686593E-2</v>
      </c>
      <c r="V56" s="183">
        <f>(Model!$C$52*V5*V20+V2*W5*W20)/V32</f>
        <v>6.1519742966783496E-2</v>
      </c>
      <c r="X56" s="183">
        <f>(Model!$C$52*X5*X20+X2*Y5*Y20)/X32</f>
        <v>6.5195859495940187E-2</v>
      </c>
      <c r="Z56" s="183">
        <f>(Model!$C$52*Z5*Z20+Z2*AA5*AA20)/Z32</f>
        <v>6.8976749566284717E-2</v>
      </c>
      <c r="AB56" s="183">
        <f>(Model!$C$52*AB5*AB20+AB2*AC5*AC20)/AB32</f>
        <v>7.287211823839479E-2</v>
      </c>
      <c r="AD56" s="183">
        <f>(Model!$C$52*AD5*AD20+AD2*AE5*AE20)/AD32</f>
        <v>7.6929916709864182E-2</v>
      </c>
      <c r="AF56" s="183">
        <f>(Model!$C$52*AF5*AF20+AF2*AG5*AG20)/AF32</f>
        <v>8.1343199030379301E-2</v>
      </c>
      <c r="AH56" s="183">
        <f>(Model!$C$52*AH5*AH20+AH2*AI5*AI20)/AH32</f>
        <v>8.6749696670828783E-2</v>
      </c>
      <c r="AJ56" s="183">
        <f>(Model!$C$52*AJ5*AJ20+AJ2*AK5*AK20)/AJ32</f>
        <v>9.4954943305837092E-2</v>
      </c>
      <c r="AL56" s="183">
        <f>(Model!$C$52*AL5*AL20+AL2*AM5*AM20)/AL32</f>
        <v>0.11057832574644647</v>
      </c>
      <c r="AN56" s="183">
        <f>(Model!$C$52*AN5*AN20+AN2*AO5*AO20)/AN32</f>
        <v>0.1449026982745926</v>
      </c>
      <c r="AP56" s="183">
        <f>(Model!$C$52*AP5*AP20+AP2*AQ5*AQ20)/AP32</f>
        <v>0.15661434802866125</v>
      </c>
      <c r="AR56" s="183">
        <f>(Model!$C$52*AR5*AR20+AR2*AS5*AS20)/AR32</f>
        <v>0.17192068453552276</v>
      </c>
      <c r="AT56" s="183">
        <f>(Model!$C$52*AT5*AT20+AT2*AU5*AU20)/AT32</f>
        <v>0.19394482236961891</v>
      </c>
      <c r="AV56" s="183">
        <f>(Model!$C$52*AV5*AV20+AV2*AW5*AW20)/AV32</f>
        <v>0.23304657417118391</v>
      </c>
      <c r="XFD56" s="183"/>
    </row>
    <row r="57" spans="1:48 16321:16384" x14ac:dyDescent="0.2">
      <c r="A57" t="s">
        <v>155</v>
      </c>
      <c r="B57" s="183">
        <f t="array" ref="B57">SUM(Model!tauL*B13:C13*B26:C26)/B32</f>
        <v>0.15852881819439493</v>
      </c>
      <c r="D57" s="183">
        <f t="array" ref="D57">SUM(Model!tauL*D13:E13*D26:E26)/D32</f>
        <v>0.15797118408850608</v>
      </c>
      <c r="F57" s="183">
        <f t="array" ref="F57">SUM(Model!tauL*F13:G13*F26:G26)/F32</f>
        <v>0.15739058959642968</v>
      </c>
      <c r="H57" s="183">
        <f t="array" ref="H57">SUM(Model!tauL*H13:I13*H26:I26)/H32</f>
        <v>0.15678392098829705</v>
      </c>
      <c r="J57" s="183">
        <f t="array" ref="J57">SUM(Model!tauL*J13:K13*J26:K26)/J32</f>
        <v>0.15614758347464849</v>
      </c>
      <c r="L57" s="183">
        <f t="array" ref="L57">SUM(Model!tauL*L13:M13*L26:M26)/L32</f>
        <v>0.1554774129135863</v>
      </c>
      <c r="N57" s="183">
        <f t="array" ref="N57">SUM(Model!tauL*N13:O13*N26:O26)/N32</f>
        <v>0.15476861292400965</v>
      </c>
      <c r="P57" s="183">
        <f t="array" ref="P57">SUM(Model!tauL*P13:Q13*P26:Q26)/P32</f>
        <v>0.15401568411567154</v>
      </c>
      <c r="R57" s="183">
        <f t="array" ref="R57">SUM(Model!tauL*R13:S13*R26:S26)/R32</f>
        <v>0.15321241532778407</v>
      </c>
      <c r="T57" s="183">
        <f t="array" ref="T57">SUM(Model!tauL*T13:U13*T26:U26)/T32</f>
        <v>0.15235198321430499</v>
      </c>
      <c r="V57" s="183">
        <f t="array" ref="V57">SUM(Model!tauL*V13:W13*V26:W26)/V32</f>
        <v>0.15142727647626089</v>
      </c>
      <c r="X57" s="183">
        <f t="array" ref="X57">SUM(Model!tauL*X13:Y13*X26:Y26)/X32</f>
        <v>0.15043166440103814</v>
      </c>
      <c r="Y57" s="183"/>
      <c r="Z57" s="183">
        <f t="array" ref="Z57">SUM(Model!tauL*Z13:AA13*Z26:AA26)/Z32</f>
        <v>0.1493604630761147</v>
      </c>
      <c r="AB57" s="183">
        <f t="array" ref="AB57">SUM(Model!tauL*AB13:AC13*AB26:AC26)/AB32</f>
        <v>0.14821330537389657</v>
      </c>
      <c r="AD57" s="183">
        <f t="array" ref="AD57">SUM(Model!tauL*AD13:AE13*AD26:AE26)/AD32</f>
        <v>0.14699645471205122</v>
      </c>
      <c r="AF57" s="183">
        <f t="array" ref="AF57">SUM(Model!tauL*AF13:AG13*AF26:AG26)/AF32</f>
        <v>0.14572082849125101</v>
      </c>
      <c r="AH57" s="183">
        <f t="array" ref="AH57">SUM(Model!tauL*AH13:AI13*AH26:AI26)/AH32</f>
        <v>0.14438089233149634</v>
      </c>
      <c r="AJ57" s="183">
        <f t="array" ref="AJ57">SUM(Model!tauL*AJ13:AK13*AJ26:AK26)/AJ32</f>
        <v>0.14288479796476661</v>
      </c>
      <c r="AL57" s="183">
        <f t="array" ref="AL57">SUM(Model!tauL*AL13:AM13*AL26:AM26)/AL32</f>
        <v>0.14093866898280435</v>
      </c>
      <c r="AN57" s="183">
        <f t="array" ref="AN57">SUM(Model!tauL*AN13:AO13*AN26:AO26)/AN32</f>
        <v>0.13841670825804367</v>
      </c>
      <c r="AP57" s="183">
        <f t="array" ref="AP57">SUM(Model!tauL*AP13:AQ13*AP26:AQ26)/AP32</f>
        <v>0.13799084780712251</v>
      </c>
      <c r="AR57" s="183">
        <f t="array" ref="AR57">SUM(Model!tauL*AR13:AS13*AR26:AS26)/AR32</f>
        <v>0.13771924994120555</v>
      </c>
      <c r="AT57" s="183">
        <f t="array" ref="AT57">SUM(Model!tauL*AT13:AU13*AT26:AU26)/AT32</f>
        <v>0.13777571411393816</v>
      </c>
      <c r="AV57" s="183">
        <f t="array" ref="AV57">SUM(Model!tauL*AV13:AW13*AV26:AW26)/AV32</f>
        <v>0.13859026297862026</v>
      </c>
      <c r="XFD57" s="183"/>
    </row>
    <row r="58" spans="1:48 16321:16384" x14ac:dyDescent="0.2">
      <c r="A58" t="s">
        <v>156</v>
      </c>
      <c r="B58" s="183">
        <f t="array" ref="B58">SUM(Model!tauY/(1+Model!tauY)*B3:C3*B18:C18)/B32</f>
        <v>1.075269412108535E-2</v>
      </c>
      <c r="D58" s="183">
        <f t="array" ref="D58">SUM(Model!tauY/(1+Model!tauY)*D3:E3*D18:E18)/D32</f>
        <v>1.0685680420003427E-2</v>
      </c>
      <c r="F58" s="183">
        <f t="array" ref="F58">SUM(Model!tauY/(1+Model!tauY)*F3:G3*F18:G18)/F32</f>
        <v>1.0618467053616101E-2</v>
      </c>
      <c r="H58" s="183">
        <f t="array" ref="H58">SUM(Model!tauY/(1+Model!tauY)*H3:I3*H18:I18)/H32</f>
        <v>1.0551012723706446E-2</v>
      </c>
      <c r="J58" s="183">
        <f t="array" ref="J58">SUM(Model!tauY/(1+Model!tauY)*J3:K3*J18:K18)/J32</f>
        <v>1.0483272110363772E-2</v>
      </c>
      <c r="L58" s="183">
        <f t="array" ref="L58">SUM(Model!tauY/(1+Model!tauY)*L3:M3*L18:M18)/L32</f>
        <v>1.041518913011895E-2</v>
      </c>
      <c r="N58" s="183">
        <f t="array" ref="N58">SUM(Model!tauY/(1+Model!tauY)*N3:O3*N18:O18)/N32</f>
        <v>1.0346702310591274E-2</v>
      </c>
      <c r="P58" s="183">
        <f t="array" ref="P58">SUM(Model!tauY/(1+Model!tauY)*P3:Q3*P18:Q18)/P32</f>
        <v>1.0277739714802524E-2</v>
      </c>
      <c r="R58" s="183">
        <f t="array" ref="R58">SUM(Model!tauY/(1+Model!tauY)*R3:S3*R18:S18)/R32</f>
        <v>1.0208219037760903E-2</v>
      </c>
      <c r="T58" s="183">
        <f t="array" ref="T58">SUM(Model!tauY/(1+Model!tauY)*T3:U3*T18:U18)/T32</f>
        <v>1.0138041957378106E-2</v>
      </c>
      <c r="V58" s="183">
        <f t="array" ref="V58">SUM(Model!tauY/(1+Model!tauY)*V3:W3*V18:W18)/V32</f>
        <v>1.006708118680506E-2</v>
      </c>
      <c r="X58" s="183">
        <f t="array" ref="X58">SUM(Model!tauY/(1+Model!tauY)*X3:Y3*X18:Y18)/X32</f>
        <v>9.9951353670826477E-3</v>
      </c>
      <c r="Y58" s="183"/>
      <c r="Z58" s="183">
        <f t="array" ref="Z58">SUM(Model!tauY/(1+Model!tauY)*Z3:AA3*Z18:AA18)/Z32</f>
        <v>9.9218108451827446E-3</v>
      </c>
      <c r="AB58" s="183">
        <f t="array" ref="AB58">SUM(Model!tauY/(1+Model!tauY)*AB3:AC3*AB18:AC18)/AB32</f>
        <v>9.8462108684484653E-3</v>
      </c>
      <c r="AD58" s="183">
        <f t="array" ref="AD58">SUM(Model!tauY/(1+Model!tauY)*AD3:AE3*AD18:AE18)/AD32</f>
        <v>9.7661749432819429E-3</v>
      </c>
      <c r="AF58" s="183">
        <f t="array" ref="AF58">SUM(Model!tauY/(1+Model!tauY)*AF3:AG3*AF18:AG18)/AF32</f>
        <v>9.6767286586780209E-3</v>
      </c>
      <c r="AH58" s="183">
        <f t="array" ref="AH58">SUM(Model!tauY/(1+Model!tauY)*AH3:AI3*AH18:AI18)/AH32</f>
        <v>9.5679554496929994E-3</v>
      </c>
      <c r="AJ58" s="183">
        <f t="array" ref="AJ58">SUM(Model!tauY/(1+Model!tauY)*AJ3:AK3*AJ18:AK18)/AJ32</f>
        <v>9.42553205562301E-3</v>
      </c>
      <c r="AL58" s="183">
        <f t="array" ref="AL58">SUM(Model!tauY/(1+Model!tauY)*AL3:AM3*AL18:AM18)/AL32</f>
        <v>9.2393908072181397E-3</v>
      </c>
      <c r="AN58" s="183">
        <f t="array" ref="AN58">SUM(Model!tauY/(1+Model!tauY)*AN3:AO3*AN18:AO18)/AN32</f>
        <v>8.9882252188496492E-3</v>
      </c>
      <c r="AP58" s="183">
        <f t="array" ref="AP58">SUM(Model!tauY/(1+Model!tauY)*AP3:AQ3*AP18:AQ18)/AP32</f>
        <v>8.9154201792049689E-3</v>
      </c>
      <c r="AR58" s="183">
        <f t="array" ref="AR58">SUM(Model!tauY/(1+Model!tauY)*AR3:AS3*AR18:AS18)/AR32</f>
        <v>8.8213175988589975E-3</v>
      </c>
      <c r="AT58" s="183">
        <f t="array" ref="AT58">SUM(Model!tauY/(1+Model!tauY)*AT3:AU3*AT18:AU18)/AT32</f>
        <v>8.6838483245785508E-3</v>
      </c>
      <c r="AV58" s="183">
        <f t="array" ref="AV58">SUM(Model!tauY/(1+Model!tauY)*AV3:AW3*AV18:AW18)/AV32</f>
        <v>8.4279190564695312E-3</v>
      </c>
      <c r="XFD58" s="183"/>
    </row>
    <row r="59" spans="1:48 16321:16384" x14ac:dyDescent="0.2">
      <c r="A59" t="s">
        <v>157</v>
      </c>
      <c r="B59" s="183">
        <f>(B2*C5*C20)/B32</f>
        <v>5.5174232040962052E-4</v>
      </c>
      <c r="D59" s="183">
        <f>(D2*E5*E20)/D32</f>
        <v>3.5566383894424197E-3</v>
      </c>
      <c r="F59" s="183">
        <f>(F2*G5*G20)/F32</f>
        <v>6.5983420903788555E-3</v>
      </c>
      <c r="H59" s="183">
        <f>(H2*I5*I20)/H32</f>
        <v>9.6817049931422639E-3</v>
      </c>
      <c r="J59" s="183">
        <f>(J2*K5*K20)/J32</f>
        <v>1.2811994663277123E-2</v>
      </c>
      <c r="L59" s="183">
        <f>(L2*M5*M20)/L32</f>
        <v>1.5994863251664718E-2</v>
      </c>
      <c r="N59" s="183">
        <f>(N2*O5*O20)/N32</f>
        <v>1.9236165049198208E-2</v>
      </c>
      <c r="P59" s="183">
        <f>(P2*Q5*Q20)/P32</f>
        <v>2.2541669918935591E-2</v>
      </c>
      <c r="R59" s="183">
        <f>(R2*S5*S20)/R32</f>
        <v>2.5916486042703555E-2</v>
      </c>
      <c r="T59" s="183">
        <f>(T2*U5*U20)/T32</f>
        <v>2.9364077776901625E-2</v>
      </c>
      <c r="V59" s="183">
        <f>(V2*W5*W20)/V32</f>
        <v>3.288480033831212E-2</v>
      </c>
      <c r="X59" s="183">
        <f>(X2*Y5*Y20)/X32</f>
        <v>3.6473878813465706E-2</v>
      </c>
      <c r="Z59" s="183">
        <f>(Z2*AA5*AA20)/Z32</f>
        <v>4.0120248649696835E-2</v>
      </c>
      <c r="AB59" s="183">
        <f>(AB2*AC5*AC20)/AB32</f>
        <v>4.3811383437727183E-2</v>
      </c>
      <c r="AD59" s="183">
        <f>(AD2*AE5*AE20)/AD32</f>
        <v>4.7562354152719297E-2</v>
      </c>
      <c r="AF59" s="183">
        <f>(AF2*AG5*AG20)/AF32</f>
        <v>5.1521831534743753E-2</v>
      </c>
      <c r="AH59" s="183">
        <f>(AH2*AI5*AI20)/AH32</f>
        <v>5.6280272330670594E-2</v>
      </c>
      <c r="AJ59" s="183">
        <f>(AJ2*AK5*AK20)/AJ32</f>
        <v>6.3616041036196849E-2</v>
      </c>
      <c r="AL59" s="183">
        <f>(AL2*AM5*AM20)/AL32</f>
        <v>7.8139075578367856E-2</v>
      </c>
      <c r="AN59" s="183">
        <f>(AN2*AO5*AO20)/AN32</f>
        <v>0.11080925288667436</v>
      </c>
      <c r="AP59" s="183">
        <f>(AP2*AQ5*AQ20)/AP32</f>
        <v>0.12193999415346023</v>
      </c>
      <c r="AR59" s="183">
        <f>(AR2*AS5*AS20)/AR32</f>
        <v>0.13641008566838111</v>
      </c>
      <c r="AT59" s="183">
        <f>(AT2*AU5*AU20)/AT32</f>
        <v>0.15704403143664888</v>
      </c>
      <c r="AV59" s="183">
        <f>(AV2*AW5*AW20)/AV32</f>
        <v>0.19305840435623911</v>
      </c>
      <c r="XFD59" s="183"/>
    </row>
    <row r="60" spans="1:48 16321:16384" x14ac:dyDescent="0.2">
      <c r="A60" t="s">
        <v>158</v>
      </c>
      <c r="B60" s="183">
        <f>Model!$C$52*B5*B20/B32</f>
        <v>2.8669464423930927E-2</v>
      </c>
      <c r="D60" s="183">
        <f>Model!$C$52*D5*D20/D32</f>
        <v>2.863618824223424E-2</v>
      </c>
      <c r="F60" s="183">
        <f>Model!$C$52*F5*F20/F32</f>
        <v>2.8606120659096151E-2</v>
      </c>
      <c r="H60" s="183">
        <f>Model!$C$52*H5*H20/H32</f>
        <v>2.8579917086191602E-2</v>
      </c>
      <c r="J60" s="183">
        <f>Model!$C$52*J5*J20/J32</f>
        <v>2.855843958551911E-2</v>
      </c>
      <c r="L60" s="183">
        <f>Model!$C$52*L5*L20/L32</f>
        <v>2.8542830021660925E-2</v>
      </c>
      <c r="N60" s="183">
        <f>Model!$C$52*N5*N20/N32</f>
        <v>2.85346391675791E-2</v>
      </c>
      <c r="P60" s="183">
        <f>Model!$C$52*P5*P20/P32</f>
        <v>2.853600536725422E-2</v>
      </c>
      <c r="R60" s="183">
        <f>Model!$C$52*R5*R20/R32</f>
        <v>2.85499427923562E-2</v>
      </c>
      <c r="T60" s="183">
        <f>Model!$C$52*T5*T20/T32</f>
        <v>2.8580792919784975E-2</v>
      </c>
      <c r="V60" s="183">
        <f>Model!$C$52*V5*V20/V32</f>
        <v>2.8634942628471372E-2</v>
      </c>
      <c r="X60" s="183">
        <f>Model!$C$52*X5*X20/X32</f>
        <v>2.8721980682474491E-2</v>
      </c>
      <c r="Z60" s="183">
        <f>Model!$C$52*Z5*Z20/Z32</f>
        <v>2.8856500916587886E-2</v>
      </c>
      <c r="AB60" s="183">
        <f>Model!$C$52*AB5*AB20/AB32</f>
        <v>2.9060734800667617E-2</v>
      </c>
      <c r="AD60" s="183">
        <f>Model!$C$52*AD5*AD20/AD32</f>
        <v>2.9367562557144882E-2</v>
      </c>
      <c r="AF60" s="183">
        <f>Model!$C$52*AF5*AF20/AF32</f>
        <v>2.9821367495635544E-2</v>
      </c>
      <c r="AH60" s="183">
        <f>Model!$C$52*AH5*AH20/AH32</f>
        <v>3.0469424340158195E-2</v>
      </c>
      <c r="AJ60" s="183">
        <f>Model!$C$52*AJ5*AJ20/AJ32</f>
        <v>3.1338902269640236E-2</v>
      </c>
      <c r="AL60" s="183">
        <f>Model!$C$52*AL5*AL20/AL32</f>
        <v>3.2439250168078623E-2</v>
      </c>
      <c r="AN60" s="183">
        <f>Model!$C$52*AN5*AN20/AN32</f>
        <v>3.4093445387918232E-2</v>
      </c>
      <c r="AP60" s="183">
        <f>Model!$C$52*AP5*AP20/AP32</f>
        <v>3.4674353875201021E-2</v>
      </c>
      <c r="AR60" s="183">
        <f>Model!$C$52*AR5*AR20/AR32</f>
        <v>3.5510598867141648E-2</v>
      </c>
      <c r="AT60" s="183">
        <f>Model!$C$52*AT5*AT20/AT32</f>
        <v>3.6900790932970051E-2</v>
      </c>
      <c r="AV60" s="183">
        <f>Model!$C$52*AV5*AV20/AV32</f>
        <v>3.9988169814944796E-2</v>
      </c>
      <c r="XFD60" s="183"/>
    </row>
    <row r="62" spans="1:48 16321:16384" x14ac:dyDescent="0.2">
      <c r="A62" t="s">
        <v>159</v>
      </c>
      <c r="B62">
        <f>B13/B15</f>
        <v>1</v>
      </c>
      <c r="D62">
        <f>D13/D15</f>
        <v>0.99641427041844433</v>
      </c>
      <c r="F62">
        <f>F13/F15</f>
        <v>0.99251550568155655</v>
      </c>
      <c r="H62">
        <f>H13/H15</f>
        <v>0.98826299715926902</v>
      </c>
      <c r="J62">
        <f>J13/J15</f>
        <v>0.98360942489324088</v>
      </c>
      <c r="L62">
        <f>L13/L15</f>
        <v>0.97849976874516531</v>
      </c>
      <c r="N62">
        <f>N13/N15</f>
        <v>0.972870152398707</v>
      </c>
      <c r="P62">
        <f>P13/P15</f>
        <v>0.96664687300142427</v>
      </c>
      <c r="R62">
        <f>R13/R15</f>
        <v>0.95974602922748165</v>
      </c>
      <c r="T62">
        <f>T13/T15</f>
        <v>0.95207473501297057</v>
      </c>
      <c r="V62">
        <f>V13/V15</f>
        <v>0.94353577760231866</v>
      </c>
      <c r="X62">
        <f>X13/X15</f>
        <v>0.93403996733963646</v>
      </c>
      <c r="Z62">
        <f>Z13/Z15</f>
        <v>0.92353382252893679</v>
      </c>
      <c r="AB62">
        <f>AB13/AB15</f>
        <v>0.91205826357600939</v>
      </c>
      <c r="AD62">
        <f>AD13/AD15</f>
        <v>0.89986715428319963</v>
      </c>
      <c r="AF62">
        <f>AF13/AF15</f>
        <v>0.88765966167521593</v>
      </c>
      <c r="AH62">
        <f>AH13/AH15</f>
        <v>0.87701721644729669</v>
      </c>
      <c r="AJ62">
        <f>AJ13/AJ15</f>
        <v>0.87130369494199722</v>
      </c>
      <c r="AL62">
        <f>AL13/AL15</f>
        <v>0.87897359503282813</v>
      </c>
      <c r="AN62">
        <f>AN13/AN15</f>
        <v>0.93570892946063466</v>
      </c>
      <c r="AP62">
        <f>AP13/AP15</f>
        <v>0.966452889447737</v>
      </c>
      <c r="AR62">
        <f>AR13/AR15</f>
        <v>1.016098577492712</v>
      </c>
      <c r="AT62">
        <f>AT13/AT15</f>
        <v>1.1073554007950797</v>
      </c>
      <c r="AV62">
        <f>AV13/AV15</f>
        <v>1.3312104536247684</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0.99867426341621712</v>
      </c>
      <c r="E65" s="181"/>
      <c r="F65" s="181">
        <f t="array" ref="F65">SQRT((F9:G9*$B$22:$C$22+F10:G10*$B$23:$C$23+F11:G11*$B$24:$C$24+F4:G4*($B$25:$C$25-$B$19:$C$19))/($B$9:$C$9*$B$22:$C$22+$B$10:$C$10*$B$23:$C$23+$B$11:$C$11*$B$24:$C$24+$B$4:$C$4*($B$25:$C$25-$B$19:$C$19))*(F9:G9*F22:G22+F10:G10*F23:G23+F11:G11*F24:G24+F4:G4*(F25:G25-F19:G19))/($B$9:$C$9*F22:G22+$B$10:$C$10*F23:G23+$B$11:$C$11*F24:G24+$B$4:$C$4*(F25:G25-F19:G19)))</f>
        <v>0.99751563735665472</v>
      </c>
      <c r="G65" s="181"/>
      <c r="H65" s="181">
        <f t="array" ref="H65">SQRT((H9:I9*$B$22:$C$22+H10:I10*$B$23:$C$23+H11:I11*$B$24:$C$24+H4:I4*($B$25:$C$25-$B$19:$C$19))/($B$9:$C$9*$B$22:$C$22+$B$10:$C$10*$B$23:$C$23+$B$11:$C$11*$B$24:$C$24+$B$4:$C$4*($B$25:$C$25-$B$19:$C$19))*(H9:I9*H22:I22+H10:I10*H23:I23+H11:I11*H24:I24+H4:I4*(H25:I25-H19:I19))/($B$9:$C$9*H22:I22+$B$10:$C$10*H23:I23+$B$11:$C$11*H24:I24+$B$4:$C$4*(H25:I25-H19:I19)))</f>
        <v>0.99656167439211885</v>
      </c>
      <c r="I65" s="181"/>
      <c r="J65" s="181">
        <f t="array" ref="J65">SQRT((J9:K9*$B$22:$C$22+J10:K10*$B$23:$C$23+J11:K11*$B$24:$C$24+J4:K4*($B$25:$C$25-$B$19:$C$19))/($B$9:$C$9*$B$22:$C$22+$B$10:$C$10*$B$23:$C$23+$B$11:$C$11*$B$24:$C$24+$B$4:$C$4*($B$25:$C$25-$B$19:$C$19))*(J9:K9*J22:K22+J10:K10*J23:K23+J11:K11*J24:K24+J4:K4*(J25:K25-J19:K19))/($B$9:$C$9*J22:K22+$B$10:$C$10*J23:K23+$B$11:$C$11*J24:K24+$B$4:$C$4*(J25:K25-J19:K19)))</f>
        <v>0.99586310049217108</v>
      </c>
      <c r="K65" s="181"/>
      <c r="L65" s="181">
        <f t="array" ref="L65">SQRT((L9:M9*$B$22:$C$22+L10:M10*$B$23:$C$23+L11:M11*$B$24:$C$24+L4:M4*($B$25:$C$25-$B$19:$C$19))/($B$9:$C$9*$B$22:$C$22+$B$10:$C$10*$B$23:$C$23+$B$11:$C$11*$B$24:$C$24+$B$4:$C$4*($B$25:$C$25-$B$19:$C$19))*(L9:M9*L22:M22+L10:M10*L23:M23+L11:M11*L24:M24+L4:M4*(L25:M25-L19:M19))/($B$9:$C$9*L22:M22+$B$10:$C$10*L23:M23+$B$11:$C$11*L24:M24+$B$4:$C$4*(L25:M25-L19:M19)))</f>
        <v>0.99548916593488657</v>
      </c>
      <c r="M65" s="181"/>
      <c r="N65" s="181">
        <f t="array" ref="N65">SQRT((N9:O9*$B$22:$C$22+N10:O10*$B$23:$C$23+N11:O11*$B$24:$C$24+N4:O4*($B$25:$C$25-$B$19:$C$19))/($B$9:$C$9*$B$22:$C$22+$B$10:$C$10*$B$23:$C$23+$B$11:$C$11*$B$24:$C$24+$B$4:$C$4*($B$25:$C$25-$B$19:$C$19))*(N9:O9*N22:O22+N10:O10*N23:O23+N11:O11*N24:O24+N4:O4*(N25:O25-N19:O19))/($B$9:$C$9*N22:O22+$B$10:$C$10*N23:O23+$B$11:$C$11*N24:O24+$B$4:$C$4*(N25:O25-N19:O19)))</f>
        <v>0.99553703026163332</v>
      </c>
      <c r="O65" s="181"/>
      <c r="P65" s="181">
        <f t="array" ref="P65">SQRT((P9:Q9*$B$22:$C$22+P10:Q10*$B$23:$C$23+P11:Q11*$B$24:$C$24+P4:Q4*($B$25:$C$25-$B$19:$C$19))/($B$9:$C$9*$B$22:$C$22+$B$10:$C$10*$B$23:$C$23+$B$11:$C$11*$B$24:$C$24+$B$4:$C$4*($B$25:$C$25-$B$19:$C$19))*(P9:Q9*P22:Q22+P10:Q10*P23:Q23+P11:Q11*P24:Q24+P4:Q4*(P25:Q25-P19:Q19))/($B$9:$C$9*P22:Q22+$B$10:$C$10*P23:Q23+$B$11:$C$11*P24:Q24+$B$4:$C$4*(P25:Q25-P19:Q19)))</f>
        <v>0.99614572762421194</v>
      </c>
      <c r="Q65" s="181"/>
      <c r="R65" s="181">
        <f t="array" ref="R65">SQRT((R9:S9*$B$22:$C$22+R10:S10*$B$23:$C$23+R11:S11*$B$24:$C$24+R4:S4*($B$25:$C$25-$B$19:$C$19))/($B$9:$C$9*$B$22:$C$22+$B$10:$C$10*$B$23:$C$23+$B$11:$C$11*$B$24:$C$24+$B$4:$C$4*($B$25:$C$25-$B$19:$C$19))*(R9:S9*R22:S22+R10:S10*R23:S23+R11:S11*R24:S24+R4:S4*(R25:S25-R19:S19))/($B$9:$C$9*R22:S22+$B$10:$C$10*R23:S23+$B$11:$C$11*R24:S24+$B$4:$C$4*(R25:S25-R19:S19)))</f>
        <v>0.99751960734739631</v>
      </c>
      <c r="S65" s="181"/>
      <c r="T65" s="181">
        <f t="array" ref="T65">SQRT((T9:U9*$B$22:$C$22+T10:U10*$B$23:$C$23+T11:U11*$B$24:$C$24+T4:U4*($B$25:$C$25-$B$19:$C$19))/($B$9:$C$9*$B$22:$C$22+$B$10:$C$10*$B$23:$C$23+$B$11:$C$11*$B$24:$C$24+$B$4:$C$4*($B$25:$C$25-$B$19:$C$19))*(T9:U9*T22:U22+T10:U10*T23:U23+T11:U11*T24:U24+T4:U4*(T25:U25-T19:U19))/($B$9:$C$9*T22:U22+$B$10:$C$10*T23:U23+$B$11:$C$11*T24:U24+$B$4:$C$4*(T25:U25-T19:U19)))</f>
        <v>0.99996765587882797</v>
      </c>
      <c r="U65" s="181"/>
      <c r="V65" s="181">
        <f t="array" ref="V65">SQRT((V9:W9*$B$22:$C$22+V10:W10*$B$23:$C$23+V11:W11*$B$24:$C$24+V4:W4*($B$25:$C$25-$B$19:$C$19))/($B$9:$C$9*$B$22:$C$22+$B$10:$C$10*$B$23:$C$23+$B$11:$C$11*$B$24:$C$24+$B$4:$C$4*($B$25:$C$25-$B$19:$C$19))*(V9:W9*V22:W22+V10:W10*V23:W23+V11:W11*V24:W24+V4:W4*(V25:W25-V19:W19))/($B$9:$C$9*V22:W22+$B$10:$C$10*V23:W23+$B$11:$C$11*V24:W24+$B$4:$C$4*(V25:W25-V19:W19)))</f>
        <v>1.0039716047932787</v>
      </c>
      <c r="W65" s="181"/>
      <c r="X65" s="181">
        <f t="array" ref="X65">SQRT((X9:Y9*$B$22:$C$22+X10:Y10*$B$23:$C$23+X11:Y11*$B$24:$C$24+X4:Y4*($B$25:$C$25-$B$19:$C$19))/($B$9:$C$9*$B$22:$C$22+$B$10:$C$10*$B$23:$C$23+$B$11:$C$11*$B$24:$C$24+$B$4:$C$4*($B$25:$C$25-$B$19:$C$19))*(X9:Y9*X22:Y22+X10:Y10*X23:Y23+X11:Y11*X24:Y24+X4:Y4*(X25:Y25-X19:Y19))/($B$9:$C$9*X22:Y22+$B$10:$C$10*X23:Y23+$B$11:$C$11*X24:Y24+$B$4:$C$4*(X25:Y25-X19:Y19)))</f>
        <v>1.0103090998552748</v>
      </c>
      <c r="Y65" s="181"/>
      <c r="Z65" s="181">
        <f t="array" ref="Z65">SQRT((Z9:AA9*$B$22:$C$22+Z10:AA10*$B$23:$C$23+Z11:AA11*$B$24:$C$24+Z4:AA4*($B$25:$C$25-$B$19:$C$19))/($B$9:$C$9*$B$22:$C$22+$B$10:$C$10*$B$23:$C$23+$B$11:$C$11*$B$24:$C$24+$B$4:$C$4*($B$25:$C$25-$B$19:$C$19))*(Z9:AA9*Z22:AA22+Z10:AA10*Z23:AA23+Z11:AA11*Z24:AA24+Z4:AA4*(Z25:AA25-Z19:AA19))/($B$9:$C$9*Z22:AA22+$B$10:$C$10*Z23:AA23+$B$11:$C$11*Z24:AA24+$B$4:$C$4*(Z25:AA25-Z19:AA19)))</f>
        <v>1.0202823869693065</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1.0361601728903713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1.0620566535773657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1.1057526630791259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1.1827559052785352</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1.3279396378351449</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1.6480744891345414</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2.822586832884328</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3.6799220239965043</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6.9002574683028435</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0.99854223250435414</v>
      </c>
      <c r="E66" s="181"/>
      <c r="F66" s="181">
        <f t="array" ref="F66">SQRT((F9:G9*$B$22:$C$22)/($B$9:$C$9*$B$22:$C$22)*(F9:G9*F22:G22)/($B$9:$C$9*F22:G22))</f>
        <v>0.99726701348930391</v>
      </c>
      <c r="G66" s="181"/>
      <c r="H66" s="181">
        <f t="array" ref="H66">SQRT((H9:I9*$B$22:$C$22)/($B$9:$C$9*$B$22:$C$22)*(H9:I9*H22:I22)/($B$9:$C$9*H22:I22))</f>
        <v>0.99621625948164982</v>
      </c>
      <c r="I66" s="181"/>
      <c r="J66" s="181">
        <f t="array" ref="J66">SQRT((J9:K9*$B$22:$C$22)/($B$9:$C$9*$B$22:$C$22)*(J9:K9*J22:K22)/($B$9:$C$9*J22:K22))</f>
        <v>0.99544643414513012</v>
      </c>
      <c r="K66" s="181"/>
      <c r="L66" s="181">
        <f t="array" ref="L66">SQRT((L9:M9*$B$22:$C$22)/($B$9:$C$9*$B$22:$C$22)*(L9:M9*L22:M22)/($B$9:$C$9*L22:M22))</f>
        <v>0.99503438711859771</v>
      </c>
      <c r="M66" s="181"/>
      <c r="N66" s="181">
        <f t="array" ref="N66">SQRT((N9:O9*$B$22:$C$22)/($B$9:$C$9*$B$22:$C$22)*(N9:O9*N22:O22)/($B$9:$C$9*N22:O22))</f>
        <v>0.99508755456757814</v>
      </c>
      <c r="O66" s="181"/>
      <c r="P66" s="181">
        <f t="array" ref="P66">SQRT((P9:Q9*$B$22:$C$22)/($B$9:$C$9*$B$22:$C$22)*(P9:Q9*P22:Q22)/($B$9:$C$9*P22:Q22))</f>
        <v>0.995759021049063</v>
      </c>
      <c r="Q66" s="181"/>
      <c r="R66" s="181">
        <f t="array" ref="R66">SQRT((R9:S9*$B$22:$C$22)/($B$9:$C$9*$B$22:$C$22)*(R9:S9*R22:S22)/($B$9:$C$9*R22:S22))</f>
        <v>0.99727260438343179</v>
      </c>
      <c r="S66" s="181"/>
      <c r="T66" s="181">
        <f t="array" ref="T66">SQRT((T9:U9*$B$22:$C$22)/($B$9:$C$9*$B$22:$C$22)*(T9:U9*T22:U22)/($B$9:$C$9*T22:U22))</f>
        <v>0.99996447576719549</v>
      </c>
      <c r="U66" s="181"/>
      <c r="V66" s="181">
        <f t="array" ref="V66">SQRT((V9:W9*$B$22:$C$22)/($B$9:$C$9*$B$22:$C$22)*(V9:W9*V22:W22)/($B$9:$C$9*V22:W22))</f>
        <v>1.00435420628244</v>
      </c>
      <c r="W66" s="181"/>
      <c r="X66" s="181">
        <f t="array" ref="X66">SQRT((X9:Y9*$B$22:$C$22)/($B$9:$C$9*$B$22:$C$22)*(X9:Y9*X22:Y22)/($B$9:$C$9*X22:Y22))</f>
        <v>1.0112708239680486</v>
      </c>
      <c r="Y66" s="181"/>
      <c r="Z66" s="181">
        <f t="array" ref="Z66">SQRT((Z9:AA9*$B$22:$C$22)/($B$9:$C$9*$B$22:$C$22)*(Z9:AA9*Z22:AA22)/($B$9:$C$9*Z22:AA22))</f>
        <v>1.0220805912258035</v>
      </c>
      <c r="AA66" s="181"/>
      <c r="AB66" s="181">
        <f t="array" ref="AB66">SQRT((AB9:AC9*$B$22:$C$22)/($B$9:$C$9*$B$22:$C$22)*(AB9:AC9*AB22:AC22)/($B$9:$C$9*AB22:AC22))</f>
        <v>1.0391106426794368</v>
      </c>
      <c r="AC66" s="181"/>
      <c r="AD66" s="181">
        <f t="array" ref="AD66">SQRT((AD9:AE9*$B$22:$C$22)/($B$9:$C$9*$B$22:$C$22)*(AD9:AE9*AD22:AE22)/($B$9:$C$9*AD22:AE22))</f>
        <v>1.0664453094551196</v>
      </c>
      <c r="AE66" s="181"/>
      <c r="AF66" s="181">
        <f t="array" ref="AF66">SQRT((AF9:AG9*$B$22:$C$22)/($B$9:$C$9*$B$22:$C$22)*(AF9:AG9*AF22:AG22)/($B$9:$C$9*AF22:AG22))</f>
        <v>1.1114429419232084</v>
      </c>
      <c r="AG66" s="181"/>
      <c r="AH66" s="181">
        <f t="array" ref="AH66">SQRT((AH9:AI9*$B$22:$C$22)/($B$9:$C$9*$B$22:$C$22)*(AH9:AI9*AH22:AI22)/($B$9:$C$9*AH22:AI22))</f>
        <v>1.187730859958342</v>
      </c>
      <c r="AI66" s="181"/>
      <c r="AJ66" s="181">
        <f t="array" ref="AJ66">SQRT((AJ9:AK9*$B$22:$C$22)/($B$9:$C$9*$B$22:$C$22)*(AJ9:AK9*AJ22:AK22)/($B$9:$C$9*AJ22:AK22))</f>
        <v>1.3227382082637871</v>
      </c>
      <c r="AK66" s="181"/>
      <c r="AL66" s="181">
        <f t="array" ref="AL66">SQRT((AL9:AM9*$B$22:$C$22)/($B$9:$C$9*$B$22:$C$22)*(AL9:AM9*AL22:AM22)/($B$9:$C$9*AL22:AM22))</f>
        <v>1.5863705045174288</v>
      </c>
      <c r="AM66" s="181"/>
      <c r="AN66" s="181">
        <f t="array" ref="AN66">SQRT((AN9:AO9*$B$22:$C$22)/($B$9:$C$9*$B$22:$C$22)*(AN9:AO9*AN22:AO22)/($B$9:$C$9*AN22:AO22))</f>
        <v>2.2365256837847065</v>
      </c>
      <c r="AO66" s="181"/>
      <c r="AP66" s="181">
        <f t="array" ref="AP66">SQRT((AP9:AQ9*$B$22:$C$22)/($B$9:$C$9*$B$22:$C$22)*(AP9:AQ9*AP22:AQ22)/($B$9:$C$9*AP22:AQ22))</f>
        <v>2.4949964097865842</v>
      </c>
      <c r="AQ66" s="181"/>
      <c r="AR66" s="181">
        <f t="array" ref="AR66">SQRT((AR9:AS9*$B$22:$C$22)/($B$9:$C$9*$B$22:$C$22)*(AR9:AS9*AR22:AS22)/($B$9:$C$9*AR22:AS22))</f>
        <v>2.8605555222072176</v>
      </c>
      <c r="AS66" s="181"/>
      <c r="AT66" s="181">
        <f t="array" ref="AT66">SQRT((AT9:AU9*$B$22:$C$22)/($B$9:$C$9*$B$22:$C$22)*(AT9:AU9*AT22:AU22)/($B$9:$C$9*AT22:AU22))</f>
        <v>3.4322267995162719</v>
      </c>
      <c r="AU66" s="181"/>
      <c r="AV66" s="181">
        <f t="array" ref="AV66">SQRT((AV9:AW9*$B$22:$C$22)/($B$9:$C$9*$B$22:$C$22)*(AV9:AW9*AV22:AW22)/($B$9:$C$9*AV22:AW22))</f>
        <v>4.5318887275888207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0.99854223250435414</v>
      </c>
      <c r="E68" s="181"/>
      <c r="F68" s="181">
        <f>F66/F67</f>
        <v>0.99726701348930391</v>
      </c>
      <c r="G68" s="181"/>
      <c r="H68" s="181">
        <f>H66/H67</f>
        <v>0.99621625948164982</v>
      </c>
      <c r="I68" s="181"/>
      <c r="J68" s="181">
        <f>J66/J67</f>
        <v>0.99544643414513012</v>
      </c>
      <c r="K68" s="181"/>
      <c r="L68" s="181">
        <f>L66/L67</f>
        <v>0.99503438711859771</v>
      </c>
      <c r="M68" s="181"/>
      <c r="N68" s="181">
        <f>N66/N67</f>
        <v>0.99508755456757814</v>
      </c>
      <c r="O68" s="181"/>
      <c r="P68" s="181">
        <f>P66/P67</f>
        <v>0.995759021049063</v>
      </c>
      <c r="Q68" s="181"/>
      <c r="R68" s="181">
        <f>R66/R67</f>
        <v>0.99727260438343179</v>
      </c>
      <c r="S68" s="181"/>
      <c r="T68" s="181">
        <f>T66/T67</f>
        <v>0.99996447576719549</v>
      </c>
      <c r="U68" s="181"/>
      <c r="V68" s="181">
        <f>V66/V67</f>
        <v>1.00435420628244</v>
      </c>
      <c r="W68" s="181"/>
      <c r="X68" s="181">
        <f>X66/X67</f>
        <v>1.0112708239680486</v>
      </c>
      <c r="Y68" s="181"/>
      <c r="Z68" s="181">
        <f>Z66/Z67</f>
        <v>1.0220805912258035</v>
      </c>
      <c r="AA68" s="181"/>
      <c r="AB68" s="181">
        <f>AB66/AB67</f>
        <v>1.0391106426794368</v>
      </c>
      <c r="AC68" s="181"/>
      <c r="AD68" s="181">
        <f>AD66/AD67</f>
        <v>1.0664453094551196</v>
      </c>
      <c r="AE68" s="181"/>
      <c r="AF68" s="181">
        <f>AF66/AF67</f>
        <v>1.1114429419232084</v>
      </c>
      <c r="AG68" s="181"/>
      <c r="AH68" s="181">
        <f>AH66/AH67</f>
        <v>1.187730859958342</v>
      </c>
      <c r="AI68" s="181"/>
      <c r="AJ68" s="181">
        <f>AJ66/AJ67</f>
        <v>1.3227382082637871</v>
      </c>
      <c r="AK68" s="181"/>
      <c r="AL68" s="181">
        <f>AL66/AL67</f>
        <v>1.5863705045174288</v>
      </c>
      <c r="AM68" s="181"/>
      <c r="AN68" s="181">
        <f>AN66/AN67</f>
        <v>2.2365256837847065</v>
      </c>
      <c r="AO68" s="181"/>
      <c r="AP68" s="181">
        <f>AP66/AP67</f>
        <v>2.4949964097865842</v>
      </c>
      <c r="AQ68" s="181"/>
      <c r="AR68" s="181">
        <f>AR66/AR67</f>
        <v>2.8605555222072176</v>
      </c>
      <c r="AS68" s="181"/>
      <c r="AT68" s="181">
        <f>AT66/AT67</f>
        <v>3.4322267995162719</v>
      </c>
      <c r="AU68" s="181"/>
      <c r="AV68" s="181">
        <f>AV66/AV67</f>
        <v>4.5318887275888207</v>
      </c>
      <c r="XFD68" s="181"/>
    </row>
    <row r="69" spans="1:48 16384:16384" x14ac:dyDescent="0.2">
      <c r="A69" t="s">
        <v>161</v>
      </c>
      <c r="B69" s="181">
        <f>B32/B65/($B$32)</f>
        <v>1</v>
      </c>
      <c r="C69" s="181"/>
      <c r="D69" s="181">
        <f>D32/D65/($B$32)</f>
        <v>0.99570301593730881</v>
      </c>
      <c r="E69" s="181"/>
      <c r="F69" s="181">
        <f>F32/F65/($B$32)</f>
        <v>0.99067453166194008</v>
      </c>
      <c r="G69" s="181"/>
      <c r="H69" s="181">
        <f>H32/H65/($B$32)</f>
        <v>0.98476988552436706</v>
      </c>
      <c r="I69" s="181"/>
      <c r="J69" s="181">
        <f>J32/J65/($B$32)</f>
        <v>0.97780401848146115</v>
      </c>
      <c r="K69" s="181"/>
      <c r="L69" s="181">
        <f>L32/L65/($B$32)</f>
        <v>0.96953892510393147</v>
      </c>
      <c r="M69" s="181"/>
      <c r="N69" s="181">
        <f>N32/N65/($B$32)</f>
        <v>0.95966313408249648</v>
      </c>
      <c r="O69" s="181"/>
      <c r="P69" s="181">
        <f>P32/P65/($B$32)</f>
        <v>0.94776532695719196</v>
      </c>
      <c r="Q69" s="181"/>
      <c r="R69" s="181">
        <f>R32/R65/($B$32)</f>
        <v>0.9332958813614336</v>
      </c>
      <c r="S69" s="181"/>
      <c r="T69" s="181">
        <f>T32/T65/($B$32)</f>
        <v>0.91551450896740483</v>
      </c>
      <c r="U69" s="181"/>
      <c r="V69" s="181">
        <f>V32/V65/($B$32)</f>
        <v>0.89342241222821572</v>
      </c>
      <c r="W69" s="181"/>
      <c r="X69" s="181">
        <f>X32/X65/($B$32)</f>
        <v>0.86568376311065076</v>
      </c>
      <c r="Y69" s="181"/>
      <c r="Z69" s="181">
        <f>Z32/Z65/($B$32)</f>
        <v>0.83056782108257132</v>
      </c>
      <c r="AA69" s="181"/>
      <c r="AB69" s="181">
        <f>AB32/AB65/($B$32)</f>
        <v>0.78599848546317186</v>
      </c>
      <c r="AC69" s="181"/>
      <c r="AD69" s="181">
        <f>AD32/AD65/($B$32)</f>
        <v>0.72991116633845521</v>
      </c>
      <c r="AE69" s="181"/>
      <c r="AF69" s="181">
        <f>AF32/AF65/($B$32)</f>
        <v>0.6611972918822161</v>
      </c>
      <c r="AG69" s="181"/>
      <c r="AH69" s="181">
        <f>AH32/AH65/($B$32)</f>
        <v>0.58111993936675888</v>
      </c>
      <c r="AI69" s="181"/>
      <c r="AJ69" s="181">
        <f>AJ32/AJ65/($B$32)</f>
        <v>0.4931846747092028</v>
      </c>
      <c r="AK69" s="181"/>
      <c r="AL69" s="181">
        <f>AL32/AL65/($B$32)</f>
        <v>0.39632552092090217</v>
      </c>
      <c r="AM69" s="181"/>
      <c r="AN69" s="181">
        <f>AN32/AN65/($B$32)</f>
        <v>0.253141483126822</v>
      </c>
      <c r="AO69" s="181"/>
      <c r="AP69" s="181">
        <f>AP32/AP65/($B$32)</f>
        <v>0.20059104696387919</v>
      </c>
      <c r="AQ69" s="181"/>
      <c r="AR69" s="181">
        <f>AR32/AR65/($B$32)</f>
        <v>0.11104008080406128</v>
      </c>
      <c r="AS69" s="181"/>
      <c r="AT69" s="181" t="e">
        <f>AT32/AT65/($B$32)</f>
        <v>#NUM!</v>
      </c>
      <c r="AU69" s="181"/>
      <c r="AV69" s="181" t="e">
        <f>AV32/AV65/($B$32)</f>
        <v>#NUM!</v>
      </c>
    </row>
    <row r="70" spans="1:48 16384:16384" x14ac:dyDescent="0.2">
      <c r="A70" t="s">
        <v>162</v>
      </c>
      <c r="B70" s="129">
        <f>B18/$B$18</f>
        <v>1</v>
      </c>
      <c r="C70" s="129"/>
      <c r="D70" s="129">
        <f>D18/$B$18</f>
        <v>0.99525984983972804</v>
      </c>
      <c r="E70" s="129"/>
      <c r="F70" s="129">
        <f>F18/$B$18</f>
        <v>0.9898167815749217</v>
      </c>
      <c r="G70" s="129"/>
      <c r="H70" s="129">
        <f>H18/$B$18</f>
        <v>0.98352804182093323</v>
      </c>
      <c r="I70" s="129"/>
      <c r="J70" s="129">
        <f>J18/$B$18</f>
        <v>0.97621057315993653</v>
      </c>
      <c r="K70" s="129"/>
      <c r="L70" s="129">
        <f>L18/$B$18</f>
        <v>0.96762829091192382</v>
      </c>
      <c r="M70" s="129"/>
      <c r="N70" s="129">
        <f>N18/$B$18</f>
        <v>0.95747139644079993</v>
      </c>
      <c r="O70" s="129"/>
      <c r="P70" s="129">
        <f>P18/$B$18</f>
        <v>0.94532957423875119</v>
      </c>
      <c r="Q70" s="129"/>
      <c r="R70" s="129">
        <f>R18/$B$18</f>
        <v>0.93065294590855552</v>
      </c>
      <c r="S70" s="129"/>
      <c r="T70" s="129">
        <f>T18/$B$18</f>
        <v>0.91269879507669271</v>
      </c>
      <c r="U70" s="129"/>
      <c r="V70" s="129">
        <f>V18/$B$18</f>
        <v>0.89046250575382457</v>
      </c>
      <c r="W70" s="129"/>
      <c r="X70" s="129">
        <f>X18/$B$18</f>
        <v>0.862597816581819</v>
      </c>
      <c r="Y70" s="129"/>
      <c r="Z70" s="129">
        <f>Z18/$B$18</f>
        <v>0.82735890578003823</v>
      </c>
      <c r="AA70" s="129"/>
      <c r="AB70" s="129">
        <f>AB18/$B$18</f>
        <v>0.78265473437069888</v>
      </c>
      <c r="AC70" s="129"/>
      <c r="AD70" s="129">
        <f>AD18/$B$18</f>
        <v>0.72642317788745903</v>
      </c>
      <c r="AE70" s="129"/>
      <c r="AF70" s="129">
        <f>AF18/$B$18</f>
        <v>0.65762140149454862</v>
      </c>
      <c r="AG70" s="129"/>
      <c r="AH70" s="129">
        <f>AH18/$B$18</f>
        <v>0.57774066832110971</v>
      </c>
      <c r="AI70" s="129"/>
      <c r="AJ70" s="129">
        <f>AJ18/$B$18</f>
        <v>0.49097000317271577</v>
      </c>
      <c r="AK70" s="129"/>
      <c r="AL70" s="129">
        <f>AL18/$B$18</f>
        <v>0.39922684225744504</v>
      </c>
      <c r="AM70" s="129"/>
      <c r="AN70" s="129">
        <f>AN18/$B$18</f>
        <v>0.28879736907221443</v>
      </c>
      <c r="AO70" s="129"/>
      <c r="AP70" s="129">
        <f>AP18/$B$18</f>
        <v>0.25977219327287016</v>
      </c>
      <c r="AQ70" s="129"/>
      <c r="AR70" s="129">
        <f>AR18/$B$18</f>
        <v>0.22554223870309642</v>
      </c>
      <c r="AS70" s="129"/>
      <c r="AT70" s="129">
        <f>AT18/$B$18</f>
        <v>0.18286674419133872</v>
      </c>
      <c r="AU70" s="129"/>
      <c r="AV70" s="129">
        <f>AV18/$B$18</f>
        <v>0.1242121174016667</v>
      </c>
    </row>
    <row r="71" spans="1:48 16384:16384" x14ac:dyDescent="0.2">
      <c r="A71" t="s">
        <v>163</v>
      </c>
      <c r="B71" s="129">
        <f>C18/$C$18</f>
        <v>1</v>
      </c>
      <c r="D71" s="129">
        <f>E18/$C$18</f>
        <v>0.93615578086614348</v>
      </c>
      <c r="E71" s="129"/>
      <c r="F71" s="129">
        <f>G18/$C$18</f>
        <v>0.8724352158398434</v>
      </c>
      <c r="G71" s="129"/>
      <c r="H71" s="129">
        <f>I18/$C$18</f>
        <v>0.80887755741930512</v>
      </c>
      <c r="I71" s="129"/>
      <c r="J71" s="129">
        <f>K18/$C$18</f>
        <v>0.74553349060842156</v>
      </c>
      <c r="K71" s="129"/>
      <c r="L71" s="129">
        <f>M18/$C$18</f>
        <v>0.6824664432432046</v>
      </c>
      <c r="M71" s="129"/>
      <c r="N71" s="129">
        <f>O18/$C$18</f>
        <v>0.61976083528798731</v>
      </c>
      <c r="O71" s="129"/>
      <c r="P71" s="129">
        <f>Q18/$C$18</f>
        <v>0.55752802332232032</v>
      </c>
      <c r="Q71" s="129"/>
      <c r="R71" s="129">
        <f>S18/$C$18</f>
        <v>0.49591776652580777</v>
      </c>
      <c r="S71" s="129"/>
      <c r="T71" s="129">
        <f>U18/$C$18</f>
        <v>0.43513192853101307</v>
      </c>
      <c r="U71" s="129"/>
      <c r="V71" s="129">
        <f>W18/$C$18</f>
        <v>0.37544268636303502</v>
      </c>
      <c r="W71" s="129"/>
      <c r="X71" s="129">
        <f>Y18/$C$18</f>
        <v>0.31720896473205357</v>
      </c>
      <c r="Y71" s="129"/>
      <c r="Z71" s="129">
        <f>AA18/$C$18</f>
        <v>0.26088681808649378</v>
      </c>
      <c r="AA71" s="129"/>
      <c r="AB71" s="129">
        <f>AC18/$C$18</f>
        <v>0.20701363971737313</v>
      </c>
      <c r="AC71" s="129"/>
      <c r="AD71" s="129">
        <f>AE18/$C$18</f>
        <v>0.15614659908505515</v>
      </c>
      <c r="AE71" s="129"/>
      <c r="AF71" s="129">
        <f>AG18/$C$18</f>
        <v>0.10880081732132815</v>
      </c>
      <c r="AG71" s="129"/>
      <c r="AH71" s="129">
        <f>AI18/$C$18</f>
        <v>6.5725730135839544E-2</v>
      </c>
      <c r="AI71" s="129"/>
      <c r="AJ71" s="129">
        <f>AK18/$C$18</f>
        <v>2.9388109999203507E-2</v>
      </c>
      <c r="AK71" s="129"/>
      <c r="AL71" s="129">
        <f>AM18/$C$18</f>
        <v>6.2850520166018824E-3</v>
      </c>
      <c r="AM71" s="129"/>
      <c r="AN71" s="129">
        <f>AO18/$C$18</f>
        <v>1.735609310586355E-4</v>
      </c>
      <c r="AO71" s="129"/>
      <c r="AP71" s="129">
        <f>AQ18/$C$18</f>
        <v>4.8309346572528591E-5</v>
      </c>
      <c r="AQ71" s="129"/>
      <c r="AR71" s="129">
        <f>AS18/$C$18</f>
        <v>9.0518578126391621E-6</v>
      </c>
      <c r="AS71" s="129"/>
      <c r="AT71" s="129">
        <f>AU18/$C$18</f>
        <v>8.4899087777629054E-7</v>
      </c>
      <c r="AU71" s="129"/>
      <c r="AV71" s="129">
        <f>AW18/$C$18</f>
        <v>1.5938826398776033E-8</v>
      </c>
      <c r="XFD71" s="129"/>
    </row>
    <row r="72" spans="1:48 16384:16384" x14ac:dyDescent="0.2">
      <c r="A72" t="s">
        <v>164</v>
      </c>
      <c r="B72" s="129">
        <f>C19/$C$19</f>
        <v>1</v>
      </c>
      <c r="D72" s="129">
        <f>E19/$C$19</f>
        <v>1.0012395976245143</v>
      </c>
      <c r="E72" s="129"/>
      <c r="F72" s="129">
        <f>G19/$C$19</f>
        <v>1.0038067557883541</v>
      </c>
      <c r="G72" s="129"/>
      <c r="H72" s="129">
        <f>I19/$C$19</f>
        <v>1.0077759807191993</v>
      </c>
      <c r="I72" s="129"/>
      <c r="J72" s="129">
        <f>K19/$C$19</f>
        <v>1.0132081636689583</v>
      </c>
      <c r="K72" s="129"/>
      <c r="L72" s="129">
        <f>M19/$C$19</f>
        <v>1.0201346438050605</v>
      </c>
      <c r="M72" s="129"/>
      <c r="N72" s="129">
        <f>O19/$C$19</f>
        <v>1.0285344604497659</v>
      </c>
      <c r="O72" s="129"/>
      <c r="P72" s="129">
        <f>Q19/$C$19</f>
        <v>1.038296081614662</v>
      </c>
      <c r="Q72" s="129"/>
      <c r="R72" s="129">
        <f>S19/$C$19</f>
        <v>1.049159681254255</v>
      </c>
      <c r="S72" s="129"/>
      <c r="T72" s="129">
        <f>U19/$C$19</f>
        <v>1.0606304942720817</v>
      </c>
      <c r="U72" s="129"/>
      <c r="V72" s="129">
        <f>W19/$C$19</f>
        <v>1.0718589896671196</v>
      </c>
      <c r="W72" s="129"/>
      <c r="X72" s="129">
        <f>Y19/$C$19</f>
        <v>1.0814913230709515</v>
      </c>
      <c r="Y72" s="129"/>
      <c r="Z72" s="129">
        <f>AA19/$C$19</f>
        <v>1.0875396635205747</v>
      </c>
      <c r="AA72" s="129"/>
      <c r="AB72" s="129">
        <f>AC19/$C$19</f>
        <v>1.0874050382883935</v>
      </c>
      <c r="AC72" s="129"/>
      <c r="AD72" s="129">
        <f>AE19/$C$19</f>
        <v>1.0782942986801667</v>
      </c>
      <c r="AE72" s="129"/>
      <c r="AF72" s="129">
        <f>AG19/$C$19</f>
        <v>1.0580366895553266</v>
      </c>
      <c r="AG72" s="129"/>
      <c r="AH72" s="129">
        <f>AI19/$C$19</f>
        <v>1.0241483948889682</v>
      </c>
      <c r="AI72" s="129"/>
      <c r="AJ72" s="129">
        <f>AK19/$C$19</f>
        <v>0.9619874711613885</v>
      </c>
      <c r="AK72" s="129"/>
      <c r="AL72" s="129">
        <f>AM19/$C$19</f>
        <v>0.80789881331405888</v>
      </c>
      <c r="AM72" s="129"/>
      <c r="AN72" s="129">
        <f>AO19/$C$19</f>
        <v>0.4614775710762643</v>
      </c>
      <c r="AO72" s="129"/>
      <c r="AP72" s="129">
        <f>AQ19/$C$19</f>
        <v>0.37247910592078304</v>
      </c>
      <c r="AQ72" s="129"/>
      <c r="AR72" s="129">
        <f>AS19/$C$19</f>
        <v>0.28068600887357398</v>
      </c>
      <c r="AS72" s="129"/>
      <c r="AT72" s="129">
        <f>AU19/$C$19</f>
        <v>0.18749664715233902</v>
      </c>
      <c r="AU72" s="129"/>
      <c r="AV72" s="129">
        <f>AW19/$C$19</f>
        <v>9.3799166109561585E-2</v>
      </c>
      <c r="XFD72" s="129"/>
    </row>
    <row r="73" spans="1:48 16384:16384" x14ac:dyDescent="0.2">
      <c r="A73" t="s">
        <v>168</v>
      </c>
      <c r="B73" s="183">
        <f t="array" ref="B73">SUM(B9:C9*B22:C22)/B32</f>
        <v>0.47641153352875021</v>
      </c>
      <c r="D73" s="183">
        <f t="array" ref="D73">SUM(D9:E9*D22:E22)/D32</f>
        <v>0.47501649338473317</v>
      </c>
      <c r="E73" s="129"/>
      <c r="F73" s="183">
        <f t="array" ref="F73">SUM(F9:G9*F22:G22)/F32</f>
        <v>0.47361143466001726</v>
      </c>
      <c r="G73" s="129"/>
      <c r="H73" s="183">
        <f t="array" ref="H73">SUM(H9:I9*H22:I22)/H32</f>
        <v>0.4721949438124497</v>
      </c>
      <c r="I73" s="129"/>
      <c r="J73" s="183">
        <f t="array" ref="J73">SUM(J9:K9*J22:K22)/J32</f>
        <v>0.47076557140019631</v>
      </c>
      <c r="K73" s="129"/>
      <c r="L73" s="183">
        <f t="array" ref="L73">SUM(L9:M9*L22:M22)/L32</f>
        <v>0.46932176045539936</v>
      </c>
      <c r="M73" s="129"/>
      <c r="N73" s="183">
        <f t="array" ref="N73">SUM(N9:O9*N22:O22)/N32</f>
        <v>0.46786201503756653</v>
      </c>
      <c r="O73" s="129"/>
      <c r="P73" s="183">
        <f t="array" ref="P73">SUM(P9:Q9*P22:Q22)/P32</f>
        <v>0.46638493895482974</v>
      </c>
      <c r="Q73" s="129"/>
      <c r="R73" s="183">
        <f t="array" ref="R73">SUM(R9:S9*R22:S22)/R32</f>
        <v>0.4648894419584863</v>
      </c>
      <c r="S73" s="129"/>
      <c r="T73" s="183">
        <f t="array" ref="T73">SUM(T9:U9*T22:U22)/T32</f>
        <v>0.46337501152228516</v>
      </c>
      <c r="U73" s="129"/>
      <c r="V73" s="183">
        <f t="array" ref="V73">SUM(V9:W9*V22:W22)/V32</f>
        <v>0.46184192195319501</v>
      </c>
      <c r="W73" s="129"/>
      <c r="X73" s="183">
        <f t="array" ref="X73">SUM(X9:Y9*X22:Y22)/X32</f>
        <v>0.46029139296363514</v>
      </c>
      <c r="Y73" s="129"/>
      <c r="Z73" s="183">
        <f t="array" ref="Z73">SUM(Z9:AA9*Z22:AA22)/Z32</f>
        <v>0.4587243304725977</v>
      </c>
      <c r="AA73" s="129"/>
      <c r="AB73" s="183">
        <f t="array" ref="AB73">SUM(AB9:AC9*AB22:AC22)/AB32</f>
        <v>0.45713587082851481</v>
      </c>
      <c r="AC73" s="129"/>
      <c r="AD73" s="183">
        <f t="array" ref="AD73">SUM(AD9:AE9*AD22:AE22)/AD32</f>
        <v>0.45549465955038854</v>
      </c>
      <c r="AE73" s="129"/>
      <c r="AF73" s="183">
        <f t="array" ref="AF73">SUM(AF9:AG9*AF22:AG22)/AF32</f>
        <v>0.4536827918399593</v>
      </c>
      <c r="AG73" s="129"/>
      <c r="AH73" s="183">
        <f t="array" ref="AH73">SUM(AH9:AI9*AH22:AI22)/AH32</f>
        <v>0.45133025994274989</v>
      </c>
      <c r="AI73" s="129"/>
      <c r="AJ73" s="183">
        <f t="array" ref="AJ73">SUM(AJ9:AK9*AJ22:AK22)/AJ32</f>
        <v>0.44742698032575262</v>
      </c>
      <c r="AK73" s="129"/>
      <c r="AL73" s="183">
        <f t="array" ref="AL73">SUM(AL9:AM9*AL22:AM22)/AL32</f>
        <v>0.43940783393568289</v>
      </c>
      <c r="AM73" s="129"/>
      <c r="AN73" s="183">
        <f t="array" ref="AN73">SUM(AN9:AO9*AN22:AO22)/AN32</f>
        <v>0.42065371325314443</v>
      </c>
      <c r="AO73" s="129"/>
      <c r="AP73" s="183">
        <f t="array" ref="AP73">SUM(AP9:AQ9*AP22:AQ22)/AP32</f>
        <v>0.41398869253338105</v>
      </c>
      <c r="AQ73" s="129"/>
      <c r="AR73" s="183">
        <f t="array" ref="AR73">SUM(AR9:AS9*AR22:AS22)/AR32</f>
        <v>0.40510794956639679</v>
      </c>
      <c r="AS73" s="129"/>
      <c r="AT73" s="183">
        <f t="array" ref="AT73">SUM(AT9:AU9*AT22:AU22)/AT32</f>
        <v>0.39206490994323323</v>
      </c>
      <c r="AU73" s="129"/>
      <c r="AV73" s="183">
        <f t="array" ref="AV73">SUM(AV9:AW9*AV22:AW22)/AV32</f>
        <v>0.3684907075906807</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0.22604620456442487</v>
      </c>
      <c r="AK74" s="129"/>
      <c r="AL74" s="183">
        <f t="array" ref="AL74">SUM(AL10:AM10*AL23:AM23)/AL32</f>
        <v>0.22604620456442481</v>
      </c>
      <c r="AM74" s="129"/>
      <c r="AN74" s="183">
        <f t="array" ref="AN74">SUM(AN10:AO10*AN23:AO23)/AN32</f>
        <v>0.22604620456442484</v>
      </c>
      <c r="AO74" s="129"/>
      <c r="AP74" s="183">
        <f t="array" ref="AP74">SUM(AP10:AQ10*AP23:AQ23)/AP32</f>
        <v>0.22604620456442484</v>
      </c>
      <c r="AQ74" s="129"/>
      <c r="AR74" s="183">
        <f t="array" ref="AR74">SUM(AR10:AS10*AR23:AS23)/AR32</f>
        <v>0.22604620456442487</v>
      </c>
      <c r="AS74" s="129"/>
      <c r="AT74" s="183">
        <f t="array" ref="AT74">SUM(AT10:AU10*AT23:AU23)/AT32</f>
        <v>0.22604620456442484</v>
      </c>
      <c r="AU74" s="129"/>
      <c r="AV74" s="183">
        <f t="array" ref="AV74">SUM(AV10:AW10*AV23:AW23)/AV32</f>
        <v>0.22604620456442487</v>
      </c>
      <c r="XFD74" s="183"/>
    </row>
    <row r="75" spans="1:48 16384:16384" x14ac:dyDescent="0.2">
      <c r="A75" t="s">
        <v>170</v>
      </c>
      <c r="B75" s="183">
        <f t="array" ref="B75">SUM(B11:C11*B24:C24)/B32</f>
        <v>0.22038438833194082</v>
      </c>
      <c r="D75" s="183">
        <f t="array" ref="D75">SUM(D11:E11*D24:E24)/D32</f>
        <v>0.22130620137356799</v>
      </c>
      <c r="E75" s="129"/>
      <c r="F75" s="183">
        <f t="array" ref="F75">SUM(F11:G11*F24:G24)/F32</f>
        <v>0.22240347561890941</v>
      </c>
      <c r="G75" s="129"/>
      <c r="H75" s="183">
        <f t="array" ref="H75">SUM(H11:I11*H24:I24)/H32</f>
        <v>0.22371520989244528</v>
      </c>
      <c r="I75" s="129"/>
      <c r="J75" s="183">
        <f t="array" ref="J75">SUM(J11:K11*J24:K24)/J32</f>
        <v>0.22529277437406095</v>
      </c>
      <c r="K75" s="129"/>
      <c r="L75" s="183">
        <f t="array" ref="L75">SUM(L11:M11*L24:M24)/L32</f>
        <v>0.22720460450304325</v>
      </c>
      <c r="M75" s="129"/>
      <c r="N75" s="183">
        <f t="array" ref="N75">SUM(N11:O11*N24:O24)/N32</f>
        <v>0.22954397122326567</v>
      </c>
      <c r="O75" s="129"/>
      <c r="P75" s="183">
        <f t="array" ref="P75">SUM(P11:Q11*P24:Q24)/P32</f>
        <v>0.23244027632808884</v>
      </c>
      <c r="Q75" s="129"/>
      <c r="R75" s="183">
        <f t="array" ref="R75">SUM(R11:S11*R24:S24)/R32</f>
        <v>0.23607713456960008</v>
      </c>
      <c r="S75" s="129"/>
      <c r="T75" s="183">
        <f t="array" ref="T75">SUM(T11:U11*T24:U24)/T32</f>
        <v>0.24072113036295006</v>
      </c>
      <c r="U75" s="129"/>
      <c r="V75" s="183">
        <f t="array" ref="V75">SUM(V11:W11*V24:W24)/V32</f>
        <v>0.24676834960822183</v>
      </c>
      <c r="W75" s="129"/>
      <c r="X75" s="183">
        <f t="array" ref="X75">SUM(X11:Y11*X24:Y24)/X32</f>
        <v>0.25482073709224556</v>
      </c>
      <c r="Y75" s="129"/>
      <c r="Z75" s="183">
        <f t="array" ref="Z75">SUM(Z11:AA11*Z24:AA24)/Z32</f>
        <v>0.26580948698826035</v>
      </c>
      <c r="AA75" s="129"/>
      <c r="AB75" s="183">
        <f t="array" ref="AB75">SUM(AB11:AC11*AB24:AC24)/AB32</f>
        <v>0.28118620805452932</v>
      </c>
      <c r="AC75" s="129"/>
      <c r="AD75" s="183">
        <f t="array" ref="AD75">SUM(AD11:AE11*AD24:AE24)/AD32</f>
        <v>0.30318082003974639</v>
      </c>
      <c r="AE75" s="129"/>
      <c r="AF75" s="183">
        <f t="array" ref="AF75">SUM(AF11:AG11*AF24:AG24)/AF32</f>
        <v>0.33502632903905544</v>
      </c>
      <c r="AG75" s="129"/>
      <c r="AH75" s="183">
        <f t="array" ref="AH75">SUM(AH11:AI11*AH24:AI24)/AH32</f>
        <v>0.38083597356155729</v>
      </c>
      <c r="AI75" s="129"/>
      <c r="AJ75" s="183">
        <f t="array" ref="AJ75">SUM(AJ11:AK11*AJ24:AK24)/AJ32</f>
        <v>0.44510945330203</v>
      </c>
      <c r="AK75" s="129"/>
      <c r="AL75" s="183">
        <f t="array" ref="AL75">SUM(AL11:AM11*AL24:AM24)/AL32</f>
        <v>0.53524987795695333</v>
      </c>
      <c r="AM75" s="129"/>
      <c r="AN75" s="183">
        <f t="array" ref="AN75">SUM(AN11:AO11*AN24:AO24)/AN32</f>
        <v>0.68983318865545618</v>
      </c>
      <c r="AO75" s="129"/>
      <c r="AP75" s="183">
        <f t="array" ref="AP75">SUM(AP11:AQ11*AP24:AQ24)/AP32</f>
        <v>0.74490448684366706</v>
      </c>
      <c r="AQ75" s="129"/>
      <c r="AR75" s="183">
        <f t="array" ref="AR75">SUM(AR11:AS11*AR24:AS24)/AR32</f>
        <v>0.82278457883458933</v>
      </c>
      <c r="AS75" s="129"/>
      <c r="AT75" s="183">
        <f t="array" ref="AT75">SUM(AT11:AU11*AT24:AU24)/AT32</f>
        <v>0.94862771220910813</v>
      </c>
      <c r="AU75" s="129"/>
      <c r="AV75" s="183">
        <f t="array" ref="AV75">SUM(AV11:AW11*AV24:AW24)/AV32</f>
        <v>1.2158399815805665</v>
      </c>
      <c r="XFD75" s="183"/>
    </row>
    <row r="76" spans="1:48 16384:16384" x14ac:dyDescent="0.2">
      <c r="A76" t="s">
        <v>171</v>
      </c>
      <c r="B76" s="183">
        <f t="array" ref="B76">SUM(B12:C12*B25:C25)/B32</f>
        <v>0.22301874374724867</v>
      </c>
      <c r="D76" s="183">
        <f t="array" ref="D76">SUM(D12:E12*D25:E25)/D32</f>
        <v>0.22327993528557244</v>
      </c>
      <c r="E76" s="129"/>
      <c r="F76" s="183">
        <f t="array" ref="F76">SUM(F12:G12*F25:G25)/F32</f>
        <v>0.22344919145633485</v>
      </c>
      <c r="G76" s="129"/>
      <c r="H76" s="183">
        <f t="array" ref="H76">SUM(H12:I12*H25:I25)/H32</f>
        <v>0.22350135389491899</v>
      </c>
      <c r="I76" s="129"/>
      <c r="J76" s="183">
        <f t="array" ref="J76">SUM(J12:K12*J25:K25)/J32</f>
        <v>0.22340234311933302</v>
      </c>
      <c r="K76" s="129"/>
      <c r="L76" s="183">
        <f t="array" ref="L76">SUM(L12:M12*L25:M25)/L32</f>
        <v>0.22310563478437603</v>
      </c>
      <c r="M76" s="129"/>
      <c r="N76" s="183">
        <f t="array" ref="N76">SUM(N12:O12*N25:O25)/N32</f>
        <v>0.22254627329996385</v>
      </c>
      <c r="O76" s="129"/>
      <c r="P76" s="183">
        <f t="array" ref="P76">SUM(P12:Q12*P25:Q25)/P32</f>
        <v>0.22163223765422185</v>
      </c>
      <c r="Q76" s="129"/>
      <c r="R76" s="183">
        <f t="array" ref="R76">SUM(R12:S12*R25:S25)/R32</f>
        <v>0.22023059144916593</v>
      </c>
      <c r="S76" s="129"/>
      <c r="T76" s="183">
        <f t="array" ref="T76">SUM(T12:U12*T25:U25)/T32</f>
        <v>0.21814564949538445</v>
      </c>
      <c r="U76" s="129"/>
      <c r="V76" s="183">
        <f t="array" ref="V76">SUM(V12:W12*V25:W25)/V32</f>
        <v>0.21508439535910379</v>
      </c>
      <c r="W76" s="129"/>
      <c r="X76" s="183">
        <f t="array" ref="X76">SUM(X12:Y12*X25:Y25)/X32</f>
        <v>0.21060138073020715</v>
      </c>
      <c r="Y76" s="129"/>
      <c r="Z76" s="183">
        <f t="array" ref="Z76">SUM(Z12:AA12*Z25:AA25)/Z32</f>
        <v>0.20401515514136365</v>
      </c>
      <c r="AA76" s="129"/>
      <c r="AB76" s="183">
        <f t="array" ref="AB76">SUM(AB12:AC12*AB25:AC25)/AB32</f>
        <v>0.19429340791356314</v>
      </c>
      <c r="AC76" s="129"/>
      <c r="AD76" s="183">
        <f t="array" ref="AD76">SUM(AD12:AE12*AD25:AE25)/AD32</f>
        <v>0.17994347449479794</v>
      </c>
      <c r="AE76" s="129"/>
      <c r="AF76" s="183">
        <f t="array" ref="AF76">SUM(AF12:AG12*AF25:AG25)/AF32</f>
        <v>0.15906506708313237</v>
      </c>
      <c r="AG76" s="129"/>
      <c r="AH76" s="183">
        <f t="array" ref="AH76">SUM(AH12:AI12*AH25:AI25)/AH32</f>
        <v>0.12996974725649132</v>
      </c>
      <c r="AI76" s="129"/>
      <c r="AJ76" s="183">
        <f t="array" ref="AJ76">SUM(AJ12:AK12*AJ25:AK25)/AJ32</f>
        <v>9.2727081568249936E-2</v>
      </c>
      <c r="AK76" s="129"/>
      <c r="AL76" s="183">
        <f t="array" ref="AL76">SUM(AL12:AM12*AL25:AM25)/AL32</f>
        <v>5.1157825371503665E-2</v>
      </c>
      <c r="AM76" s="129"/>
      <c r="AN76" s="183">
        <f t="array" ref="AN76">SUM(AN12:AO12*AN25:AO25)/AN32</f>
        <v>1.549067907571011E-2</v>
      </c>
      <c r="AO76" s="129"/>
      <c r="AP76" s="183">
        <f t="array" ref="AP76">SUM(AP12:AQ12*AP25:AQ25)/AP32</f>
        <v>1.0388824704860664E-2</v>
      </c>
      <c r="AQ76" s="129"/>
      <c r="AR76" s="183">
        <f t="array" ref="AR76">SUM(AR12:AS12*AR25:AS25)/AR32</f>
        <v>6.2093185771213309E-3</v>
      </c>
      <c r="AS76" s="129"/>
      <c r="AT76" s="183">
        <f t="array" ref="AT76">SUM(AT12:AU12*AT25:AU25)/AT32</f>
        <v>3.0299910408921435E-3</v>
      </c>
      <c r="AU76" s="129"/>
      <c r="AV76" s="183">
        <f t="array" ref="AV76">SUM(AV12:AW12*AV25:AW25)/AV32</f>
        <v>9.220232113447258E-4</v>
      </c>
      <c r="XFD76" s="183"/>
    </row>
    <row r="77" spans="1:48 16384:16384" x14ac:dyDescent="0.2">
      <c r="A77" t="s">
        <v>172</v>
      </c>
      <c r="B77" s="183">
        <f t="array" ref="B77">SUM(B4:C4*B19:C19)/B32</f>
        <v>0.14586087017236485</v>
      </c>
      <c r="D77" s="183">
        <f t="array" ref="D77">SUM(D4:E4*D19:E19)/D32</f>
        <v>0.14564883460829944</v>
      </c>
      <c r="E77" s="129"/>
      <c r="F77" s="183">
        <f t="array" ref="F77">SUM(F4:G4*F19:G19)/F32</f>
        <v>0.14551030629968695</v>
      </c>
      <c r="G77" s="129"/>
      <c r="H77" s="183">
        <f t="array" ref="H77">SUM(H4:I4*H19:I19)/H32</f>
        <v>0.14545771216423944</v>
      </c>
      <c r="I77" s="129"/>
      <c r="J77" s="183">
        <f t="array" ref="J77">SUM(J4:K4*J19:K19)/J32</f>
        <v>0.14550689345801521</v>
      </c>
      <c r="K77" s="129"/>
      <c r="L77" s="183">
        <f t="array" ref="L77">SUM(L4:M4*L19:M19)/L32</f>
        <v>0.14567820430724338</v>
      </c>
      <c r="M77" s="129"/>
      <c r="N77" s="183">
        <f t="array" ref="N77">SUM(N4:O4*N19:O19)/N32</f>
        <v>0.14599846412522169</v>
      </c>
      <c r="O77" s="129"/>
      <c r="P77" s="183">
        <f t="array" ref="P77">SUM(P4:Q4*P19:Q19)/P32</f>
        <v>0.14650365750156497</v>
      </c>
      <c r="Q77" s="129"/>
      <c r="R77" s="183">
        <f t="array" ref="R77">SUM(R4:S4*R19:S19)/R32</f>
        <v>0.14724337254167819</v>
      </c>
      <c r="S77" s="129"/>
      <c r="T77" s="183">
        <f t="array" ref="T77">SUM(T4:U4*T19:U19)/T32</f>
        <v>0.14828799594504394</v>
      </c>
      <c r="U77" s="129"/>
      <c r="V77" s="183">
        <f t="array" ref="V77">SUM(V4:W4*V19:W19)/V32</f>
        <v>0.14974087148494605</v>
      </c>
      <c r="W77" s="129"/>
      <c r="X77" s="183">
        <f t="array" ref="X77">SUM(X4:Y4*X19:Y19)/X32</f>
        <v>0.15175971535051261</v>
      </c>
      <c r="Y77" s="129"/>
      <c r="Z77" s="183">
        <f t="array" ref="Z77">SUM(Z4:AA4*Z19:AA19)/Z32</f>
        <v>0.1545951771666467</v>
      </c>
      <c r="AA77" s="129"/>
      <c r="AB77" s="183">
        <f t="array" ref="AB77">SUM(AB4:AC4*AB19:AC19)/AB32</f>
        <v>0.1586616913610322</v>
      </c>
      <c r="AC77" s="129"/>
      <c r="AD77" s="183">
        <f t="array" ref="AD77">SUM(AD4:AE4*AD19:AE19)/AD32</f>
        <v>0.16466515864935774</v>
      </c>
      <c r="AE77" s="129"/>
      <c r="AF77" s="183">
        <f t="array" ref="AF77">SUM(AF4:AG4*AF19:AG19)/AF32</f>
        <v>0.17382039252657155</v>
      </c>
      <c r="AG77" s="129"/>
      <c r="AH77" s="183">
        <f t="array" ref="AH77">SUM(AH4:AI4*AH19:AI19)/AH32</f>
        <v>0.18818218532522291</v>
      </c>
      <c r="AI77" s="129"/>
      <c r="AJ77" s="183">
        <f t="array" ref="AJ77">SUM(AJ4:AK4*AJ19:AK19)/AJ32</f>
        <v>0.21130971976045748</v>
      </c>
      <c r="AK77" s="129"/>
      <c r="AL77" s="183">
        <f t="array" ref="AL77">SUM(AL4:AM4*AL19:AM19)/AL32</f>
        <v>0.25186174182856536</v>
      </c>
      <c r="AM77" s="129"/>
      <c r="AN77" s="183">
        <f t="array" ref="AN77">SUM(AN4:AO4*AN19:AO19)/AN32</f>
        <v>0.35202378554873515</v>
      </c>
      <c r="AO77" s="129"/>
      <c r="AP77" s="183">
        <f t="array" ref="AP77">SUM(AP4:AQ4*AP19:AQ19)/AP32</f>
        <v>0.39532820864633372</v>
      </c>
      <c r="AQ77" s="129"/>
      <c r="AR77" s="183">
        <f t="array" ref="AR77">SUM(AR4:AS4*AR19:AS19)/AR32</f>
        <v>0.46014805154253224</v>
      </c>
      <c r="AS77" s="129"/>
      <c r="AT77" s="183">
        <f t="array" ref="AT77">SUM(AT4:AU4*AT19:AU19)/AT32</f>
        <v>0.56976881775765831</v>
      </c>
      <c r="AU77" s="129"/>
      <c r="AV77" s="183">
        <f t="array" ref="AV77">SUM(AV4:AW4*AV19:AW19)/AV32</f>
        <v>0.81129891694701717</v>
      </c>
      <c r="XFD77" s="183"/>
    </row>
    <row r="78" spans="1:48 16384:16384" x14ac:dyDescent="0.2">
      <c r="A78" t="s">
        <v>173</v>
      </c>
      <c r="B78" s="183">
        <f t="array" ref="B78">SUM(B13:C13*B26:C26)/B32</f>
        <v>0.346887593115773</v>
      </c>
      <c r="D78" s="183">
        <f t="array" ref="D78">SUM(D13:E13*D26:E26)/D32</f>
        <v>0.34566739633998028</v>
      </c>
      <c r="E78" s="129"/>
      <c r="F78" s="183">
        <f t="array" ref="F78">SUM(F13:G13*F26:G26)/F32</f>
        <v>0.34439695839546908</v>
      </c>
      <c r="G78" s="129"/>
      <c r="H78" s="183">
        <f t="array" ref="H78">SUM(H13:I13*H26:I26)/H32</f>
        <v>0.34306946592002541</v>
      </c>
      <c r="I78" s="129"/>
      <c r="J78" s="183">
        <f t="array" ref="J78">SUM(J13:K13*J26:K26)/J32</f>
        <v>0.3416770529125171</v>
      </c>
      <c r="K78" s="129"/>
      <c r="L78" s="183">
        <f t="array" ref="L78">SUM(L13:M13*L26:M26)/L32</f>
        <v>0.34021060753336307</v>
      </c>
      <c r="M78" s="129"/>
      <c r="N78" s="183">
        <f t="array" ref="N78">SUM(N13:O13*N26:O26)/N32</f>
        <v>0.33865963449776498</v>
      </c>
      <c r="O78" s="129"/>
      <c r="P78" s="183">
        <f t="array" ref="P78">SUM(P13:Q13*P26:Q26)/P32</f>
        <v>0.33701210021922356</v>
      </c>
      <c r="Q78" s="129"/>
      <c r="R78" s="183">
        <f t="array" ref="R78">SUM(R13:S13*R26:S26)/R32</f>
        <v>0.33525441363814018</v>
      </c>
      <c r="S78" s="129"/>
      <c r="T78" s="183">
        <f t="array" ref="T78">SUM(T13:U13*T26:U26)/T32</f>
        <v>0.33337164413109516</v>
      </c>
      <c r="U78" s="129"/>
      <c r="V78" s="183">
        <f t="array" ref="V78">SUM(V13:W13*V26:W26)/V32</f>
        <v>0.33134823098545052</v>
      </c>
      <c r="W78" s="129"/>
      <c r="X78" s="183">
        <f t="array" ref="X78">SUM(X13:Y13*X26:Y26)/X32</f>
        <v>0.32916966509197665</v>
      </c>
      <c r="Y78" s="129"/>
      <c r="Z78" s="183">
        <f t="array" ref="Z78">SUM(Z13:AA13*Z26:AA26)/Z32</f>
        <v>0.32682569726595356</v>
      </c>
      <c r="AA78" s="129"/>
      <c r="AB78" s="183">
        <f t="array" ref="AB78">SUM(AB13:AC13*AB26:AC26)/AB32</f>
        <v>0.32431552417074572</v>
      </c>
      <c r="AC78" s="129"/>
      <c r="AD78" s="183">
        <f t="array" ref="AD78">SUM(AD13:AE13*AD26:AE26)/AD32</f>
        <v>0.32165285121275239</v>
      </c>
      <c r="AE78" s="129"/>
      <c r="AF78" s="183">
        <f t="array" ref="AF78">SUM(AF13:AG13*AF26:AG26)/AF32</f>
        <v>0.31886156749229883</v>
      </c>
      <c r="AG78" s="129"/>
      <c r="AH78" s="183">
        <f t="array" ref="AH78">SUM(AH13:AI13*AH26:AI26)/AH32</f>
        <v>0.31592956285944951</v>
      </c>
      <c r="AI78" s="129"/>
      <c r="AJ78" s="183">
        <f t="array" ref="AJ78">SUM(AJ13:AK13*AJ26:AK26)/AJ32</f>
        <v>0.31265585792769041</v>
      </c>
      <c r="AK78" s="129"/>
      <c r="AL78" s="183">
        <f t="array" ref="AL78">SUM(AL13:AM13*AL26:AM26)/AL32</f>
        <v>0.30839740191865161</v>
      </c>
      <c r="AM78" s="129"/>
      <c r="AN78" s="183">
        <f t="array" ref="AN78">SUM(AN13:AO13*AN26:AO26)/AN32</f>
        <v>0.30287892965784169</v>
      </c>
      <c r="AO78" s="129"/>
      <c r="AP78" s="183">
        <f t="array" ref="AP78">SUM(AP13:AQ13*AP26:AQ26)/AP32</f>
        <v>0.30194707569901075</v>
      </c>
      <c r="AQ78" s="129"/>
      <c r="AR78" s="183">
        <f t="array" ref="AR78">SUM(AR13:AS13*AR26:AS26)/AR32</f>
        <v>0.30135277410087619</v>
      </c>
      <c r="AS78" s="129"/>
      <c r="AT78" s="183">
        <f t="array" ref="AT78">SUM(AT13:AU13*AT26:AU26)/AT32</f>
        <v>0.30147632716333872</v>
      </c>
      <c r="AU78" s="129"/>
      <c r="AV78" s="183">
        <f t="array" ref="AV78">SUM(AV13:AW13*AV26:AW26)/AV32</f>
        <v>0.30325869644081777</v>
      </c>
      <c r="XFD78" s="183"/>
    </row>
    <row r="79" spans="1:48 16384:16384" x14ac:dyDescent="0.2">
      <c r="A79" t="s">
        <v>174</v>
      </c>
      <c r="B79" s="183">
        <f t="array" ref="B79">SUM(B15:C15*B27:C27)/B32</f>
        <v>0.45460968782440875</v>
      </c>
      <c r="D79" s="183">
        <f t="array" ref="D79">SUM(D15:E15*D27:E27)/D32</f>
        <v>0.45348291765899168</v>
      </c>
      <c r="F79" s="183">
        <f t="array" ref="F79">SUM(F15:G15*F27:G27)/F32</f>
        <v>0.45238953406549842</v>
      </c>
      <c r="H79" s="183">
        <f t="array" ref="H79">SUM(H15:I15*H27:I27)/H32</f>
        <v>0.45133397660474445</v>
      </c>
      <c r="J79" s="183">
        <f t="array" ref="J79">SUM(J15:K15*J27:K27)/J32</f>
        <v>0.45032166550249636</v>
      </c>
      <c r="L79" s="183">
        <f t="array" ref="L79">SUM(L15:M15*L27:M27)/L32</f>
        <v>0.44935909425133191</v>
      </c>
      <c r="N79" s="183">
        <f t="array" ref="N79">SUM(N15:O15*N27:O27)/N32</f>
        <v>0.44845424179565929</v>
      </c>
      <c r="P79" s="183">
        <f t="array" ref="P79">SUM(P15:Q15*P27:Q27)/P32</f>
        <v>0.44761679693645035</v>
      </c>
      <c r="R79" s="183">
        <f t="array" ref="R79">SUM(R15:S15*R27:S27)/R32</f>
        <v>0.44685852317743913</v>
      </c>
      <c r="T79" s="183">
        <f t="array" ref="T79">SUM(T15:U15*T27:U27)/T32</f>
        <v>0.44619345754722611</v>
      </c>
      <c r="V79" s="183">
        <f t="array" ref="V79">SUM(V15:W15*V27:W27)/V32</f>
        <v>0.44563767194209675</v>
      </c>
      <c r="X79" s="183">
        <f t="array" ref="X79">SUM(X15:Y15*X27:Y27)/X32</f>
        <v>0.44520768602524663</v>
      </c>
      <c r="Z79" s="183">
        <f t="array" ref="Z79">SUM(Z15:AA15*Z27:AA27)/Z32</f>
        <v>0.44491527701794625</v>
      </c>
      <c r="AB79" s="183">
        <f t="array" ref="AB79">SUM(AB15:AC15*AB27:AC27)/AB32</f>
        <v>0.44475291855100024</v>
      </c>
      <c r="AD79" s="183">
        <f t="array" ref="AD79">SUM(AD15:AE15*AD27:AE27)/AD32</f>
        <v>0.44465461626723551</v>
      </c>
      <c r="AF79" s="183">
        <f t="array" ref="AF79">SUM(AF15:AG15*AF27:AG27)/AF32</f>
        <v>0.44439768262617568</v>
      </c>
      <c r="AH79" s="183">
        <f t="array" ref="AH79">SUM(AH15:AI15*AH27:AI27)/AH32</f>
        <v>0.44337189537518013</v>
      </c>
      <c r="AJ79" s="183">
        <f t="array" ref="AJ79">SUM(AJ15:AK15*AJ27:AK27)/AJ32</f>
        <v>0.44007887053709871</v>
      </c>
      <c r="AL79" s="183">
        <f t="array" ref="AL79">SUM(AL15:AM15*AL27:AM27)/AL32</f>
        <v>0.43084621237207843</v>
      </c>
      <c r="AN79" s="183">
        <f t="array" ref="AN79">SUM(AN15:AO15*AN27:AO27)/AN32</f>
        <v>0.40481344039611777</v>
      </c>
      <c r="AP79" s="183">
        <f t="array" ref="AP79">SUM(AP15:AQ15*AP27:AQ27)/AP32</f>
        <v>0.39453230830826302</v>
      </c>
      <c r="AR79" s="183">
        <f t="array" ref="AR79">SUM(AR15:AS15*AR27:AS27)/AR32</f>
        <v>0.38018597383730673</v>
      </c>
      <c r="AT79" s="183">
        <f t="array" ref="AT79">SUM(AT15:AU15*AT27:AU27)/AT32</f>
        <v>0.35811928922537511</v>
      </c>
      <c r="AV79" s="183">
        <f t="array" ref="AV79">SUM(AV15:AW15*AV27:AW27)/AV32</f>
        <v>0.31667654735483897</v>
      </c>
      <c r="XFD79" s="183"/>
    </row>
    <row r="80" spans="1:48 16384:16384" x14ac:dyDescent="0.2">
      <c r="A80" t="s">
        <v>153</v>
      </c>
      <c r="B80" s="195">
        <f>B55</f>
        <v>0.19850271905982084</v>
      </c>
      <c r="D80" s="195">
        <f>D55</f>
        <v>0.20084969114018617</v>
      </c>
      <c r="F80" s="195">
        <f>F55</f>
        <v>0.20321351939952081</v>
      </c>
      <c r="H80" s="195">
        <f>H55</f>
        <v>0.20559655579133732</v>
      </c>
      <c r="J80" s="195">
        <f>J55</f>
        <v>0.2080012898338085</v>
      </c>
      <c r="L80" s="195">
        <f>L55</f>
        <v>0.21043029531703092</v>
      </c>
      <c r="N80" s="195">
        <f>N55</f>
        <v>0.2128861194513782</v>
      </c>
      <c r="P80" s="195">
        <f>P55</f>
        <v>0.21537109911666386</v>
      </c>
      <c r="R80" s="195">
        <f>R55</f>
        <v>0.21788706320060472</v>
      </c>
      <c r="T80" s="195">
        <f>T55</f>
        <v>0.2204348958683697</v>
      </c>
      <c r="V80" s="195">
        <f>V55</f>
        <v>0.22301410062984947</v>
      </c>
      <c r="X80" s="195">
        <f>X55</f>
        <v>0.225622659264061</v>
      </c>
      <c r="Z80" s="195">
        <f>Z55</f>
        <v>0.22825902348758215</v>
      </c>
      <c r="AB80" s="195">
        <f>AB55</f>
        <v>0.23093163448073981</v>
      </c>
      <c r="AD80" s="195">
        <f>AD55</f>
        <v>0.23369254636519732</v>
      </c>
      <c r="AF80" s="195">
        <f>AF55</f>
        <v>0.23674075618030835</v>
      </c>
      <c r="AH80" s="195">
        <f>AH55</f>
        <v>0.24069854445201813</v>
      </c>
      <c r="AJ80" s="195">
        <f>AJ55</f>
        <v>0.24726527332622672</v>
      </c>
      <c r="AL80" s="195">
        <f>AL55</f>
        <v>0.26075638553646902</v>
      </c>
      <c r="AN80" s="195">
        <f>AN55</f>
        <v>0.29230763175148589</v>
      </c>
      <c r="AP80" s="195">
        <f>AP55</f>
        <v>0.30352061601498875</v>
      </c>
      <c r="AR80" s="195">
        <f>AR55</f>
        <v>0.31846125207558734</v>
      </c>
      <c r="AT80" s="195">
        <f>AT55</f>
        <v>0.34040438480813562</v>
      </c>
      <c r="AV80" s="195">
        <f>AV55</f>
        <v>0.38006475620627361</v>
      </c>
      <c r="XFD80" s="195"/>
    </row>
    <row r="81" spans="1:48 16384:16384" x14ac:dyDescent="0.2">
      <c r="A81" t="s">
        <v>175</v>
      </c>
      <c r="B81" s="195">
        <f>B51/B$32</f>
        <v>-2.7543485504603994E-2</v>
      </c>
      <c r="D81" s="195">
        <f>D51/D$32</f>
        <v>-2.5196513424238679E-2</v>
      </c>
      <c r="F81" s="195">
        <f>F51/F$32</f>
        <v>-2.2832685164904033E-2</v>
      </c>
      <c r="H81" s="195">
        <f>H51/H$32</f>
        <v>-2.0449648773087515E-2</v>
      </c>
      <c r="J81" s="195">
        <f>J51/J$32</f>
        <v>-1.8044914730616344E-2</v>
      </c>
      <c r="L81" s="195">
        <f>L51/L$32</f>
        <v>-1.5615909247393917E-2</v>
      </c>
      <c r="N81" s="195">
        <f>N51/N$32</f>
        <v>-1.3160085113046642E-2</v>
      </c>
      <c r="P81" s="195">
        <f>P51/P$32</f>
        <v>-1.0675105447760963E-2</v>
      </c>
      <c r="R81" s="195">
        <f>R51/R$32</f>
        <v>-8.1591413638201198E-3</v>
      </c>
      <c r="T81" s="195">
        <f>T51/T$32</f>
        <v>-5.6113086960551378E-3</v>
      </c>
      <c r="V81" s="195">
        <f>V51/V$32</f>
        <v>-3.032103934575381E-3</v>
      </c>
      <c r="X81" s="195">
        <f>X51/X$32</f>
        <v>-4.2354530036384463E-4</v>
      </c>
      <c r="Z81" s="195">
        <f>Z51/Z$32</f>
        <v>2.2128189231572998E-3</v>
      </c>
      <c r="AB81" s="195">
        <f>AB51/AB$32</f>
        <v>4.8854299163149728E-3</v>
      </c>
      <c r="AD81" s="195">
        <f>AD51/AD$32</f>
        <v>7.6463418007724875E-3</v>
      </c>
      <c r="AF81" s="195">
        <f>AF51/AF$32</f>
        <v>1.0694551615883504E-2</v>
      </c>
      <c r="AH81" s="195">
        <f>AH51/AH$32</f>
        <v>1.4652339887593306E-2</v>
      </c>
      <c r="AJ81" s="195">
        <f>AJ51/AJ$32</f>
        <v>2.1219068761801858E-2</v>
      </c>
      <c r="AL81" s="195">
        <f>AL51/AL$32</f>
        <v>3.4710180972044168E-2</v>
      </c>
      <c r="AN81" s="195">
        <f>AN51/AN$32</f>
        <v>6.6261427187061073E-2</v>
      </c>
      <c r="AP81" s="195">
        <f>AP51/AP$32</f>
        <v>7.7474411450563885E-2</v>
      </c>
      <c r="AR81" s="195">
        <f>AR51/AR$32</f>
        <v>9.241504751116246E-2</v>
      </c>
      <c r="AT81" s="195">
        <f>AT51/AT$32</f>
        <v>0.11435818024371079</v>
      </c>
      <c r="AV81" s="195">
        <f>AV51/AV$32</f>
        <v>0.15401855164184874</v>
      </c>
      <c r="XFD81" s="195"/>
    </row>
    <row r="82" spans="1:48 16384:16384" x14ac:dyDescent="0.2">
      <c r="A82" t="s">
        <v>176</v>
      </c>
      <c r="B82" s="195">
        <f>B52/B$32</f>
        <v>0.14069693704202227</v>
      </c>
      <c r="D82" s="195">
        <f>D52/D$32</f>
        <v>0.14020202758907654</v>
      </c>
      <c r="F82" s="195">
        <f>F52/F$32</f>
        <v>0.13968674041524259</v>
      </c>
      <c r="H82" s="195">
        <f>H52/H$32</f>
        <v>0.13914831203398043</v>
      </c>
      <c r="J82" s="195">
        <f>J52/J$32</f>
        <v>0.13858355201044015</v>
      </c>
      <c r="L82" s="195">
        <f>L52/L$32</f>
        <v>0.13798876460010592</v>
      </c>
      <c r="N82" s="195">
        <f>N52/N$32</f>
        <v>0.13735969293575676</v>
      </c>
      <c r="P82" s="195">
        <f>P52/P$32</f>
        <v>0.1366914562179761</v>
      </c>
      <c r="R82" s="195">
        <f>R52/R$32</f>
        <v>0.13597854193926978</v>
      </c>
      <c r="T82" s="195">
        <f>T52/T$32</f>
        <v>0.13521489426764799</v>
      </c>
      <c r="V82" s="195">
        <f>V52/V$32</f>
        <v>0.1343942018081522</v>
      </c>
      <c r="X82" s="195">
        <f>X52/X$32</f>
        <v>0.13351057969413302</v>
      </c>
      <c r="Z82" s="195">
        <f>Z52/Z$32</f>
        <v>0.13255987087608534</v>
      </c>
      <c r="AB82" s="195">
        <f>AB52/AB$32</f>
        <v>0.13154174952222311</v>
      </c>
      <c r="AD82" s="195">
        <f>AD52/AD$32</f>
        <v>0.13046177451888175</v>
      </c>
      <c r="AF82" s="195">
        <f>AF52/AF$32</f>
        <v>0.12932963523896232</v>
      </c>
      <c r="AH82" s="195">
        <f>AH52/AH$32</f>
        <v>0.1281404198290666</v>
      </c>
      <c r="AJ82" s="195">
        <f>AJ52/AJ$32</f>
        <v>0.12681261143862887</v>
      </c>
      <c r="AL82" s="195">
        <f>AL52/AL$32</f>
        <v>0.12508538991531543</v>
      </c>
      <c r="AN82" s="195">
        <f>AN52/AN$32</f>
        <v>0.12284710823659255</v>
      </c>
      <c r="AP82" s="195">
        <f>AP52/AP$32</f>
        <v>0.12246915007268025</v>
      </c>
      <c r="AR82" s="195">
        <f>AR52/AR$32</f>
        <v>0.12222810249359083</v>
      </c>
      <c r="AT82" s="195">
        <f>AT52/AT$32</f>
        <v>0.12227821537682916</v>
      </c>
      <c r="AV82" s="195">
        <f>AV52/AV$32</f>
        <v>0.12300114090946823</v>
      </c>
    </row>
    <row r="83" spans="1:48 16384:16384" x14ac:dyDescent="0.2">
      <c r="A83" t="s">
        <v>177</v>
      </c>
      <c r="B83" s="195">
        <f>B53/B$32</f>
        <v>0.18438881036940691</v>
      </c>
      <c r="D83" s="195">
        <f>D53/D$32</f>
        <v>0.1839317945689842</v>
      </c>
      <c r="F83" s="195">
        <f>F53/F$32</f>
        <v>0.18348832029757903</v>
      </c>
      <c r="H83" s="195">
        <f>H53/H$32</f>
        <v>0.18306018823247411</v>
      </c>
      <c r="J83" s="195">
        <f>J53/J$32</f>
        <v>0.18264959680675999</v>
      </c>
      <c r="L83" s="195">
        <f>L53/L$32</f>
        <v>0.18225917976847075</v>
      </c>
      <c r="N83" s="195">
        <f>N53/N$32</f>
        <v>0.18189217336203059</v>
      </c>
      <c r="P83" s="195">
        <f>P53/P$32</f>
        <v>0.18155250734637993</v>
      </c>
      <c r="R83" s="195">
        <f>R53/R$32</f>
        <v>0.18124495297588789</v>
      </c>
      <c r="T83" s="195">
        <f>T53/T$32</f>
        <v>0.18097520364221353</v>
      </c>
      <c r="V83" s="195">
        <f>V53/V$32</f>
        <v>0.18074977807541429</v>
      </c>
      <c r="X83" s="195">
        <f>X53/X$32</f>
        <v>0.18057537661894066</v>
      </c>
      <c r="Z83" s="195">
        <f>Z53/Z$32</f>
        <v>0.18045677609096808</v>
      </c>
      <c r="AB83" s="195">
        <f>AB53/AB$32</f>
        <v>0.18039092381070357</v>
      </c>
      <c r="AD83" s="195">
        <f>AD53/AD$32</f>
        <v>0.18035105259448131</v>
      </c>
      <c r="AF83" s="195">
        <f>AF53/AF$32</f>
        <v>0.18024684080646239</v>
      </c>
      <c r="AH83" s="195">
        <f>AH53/AH$32</f>
        <v>0.1798307834808732</v>
      </c>
      <c r="AJ83" s="195">
        <f>AJ53/AJ$32</f>
        <v>0.17849513897378722</v>
      </c>
      <c r="AL83" s="195">
        <f>AL53/AL$32</f>
        <v>0.17475039067389392</v>
      </c>
      <c r="AN83" s="195">
        <f>AN53/AN$32</f>
        <v>0.16419154869620278</v>
      </c>
      <c r="AP83" s="195">
        <f>AP53/AP$32</f>
        <v>0.1600215414004883</v>
      </c>
      <c r="AR83" s="195">
        <f>AR53/AR$32</f>
        <v>0.15420269587847429</v>
      </c>
      <c r="AT83" s="195">
        <f>AT53/AT$32</f>
        <v>0.14525249126699108</v>
      </c>
      <c r="AV83" s="195">
        <f>AV53/AV$32</f>
        <v>0.12844339529606205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topLeftCell="I1" workbookViewId="0">
      <selection activeCell="T6" sqref="T6"/>
    </sheetView>
  </sheetViews>
  <sheetFormatPr baseColWidth="10" defaultRowHeight="10" x14ac:dyDescent="0.2"/>
  <cols>
    <col min="1" max="1" width="19.6640625" customWidth="1"/>
    <col min="26" max="26" width="12"/>
  </cols>
  <sheetData>
    <row r="1" spans="1:26" ht="10.5" x14ac:dyDescent="0.25">
      <c r="A1" s="92" t="s">
        <v>182</v>
      </c>
    </row>
    <row r="2" spans="1:26" x14ac:dyDescent="0.2">
      <c r="A2" t="s">
        <v>181</v>
      </c>
      <c r="B2" s="202">
        <v>0</v>
      </c>
      <c r="C2" s="202">
        <v>0.05</v>
      </c>
      <c r="D2" s="202">
        <v>0.1</v>
      </c>
      <c r="E2" s="202">
        <v>0.15000000000000002</v>
      </c>
      <c r="F2" s="202">
        <v>0.2</v>
      </c>
      <c r="G2" s="202">
        <v>0.25</v>
      </c>
      <c r="H2" s="202">
        <v>0.3</v>
      </c>
      <c r="I2" s="202">
        <v>0.35</v>
      </c>
      <c r="J2" s="202">
        <v>0.39999999999999997</v>
      </c>
      <c r="K2" s="202">
        <v>0.44999999999999996</v>
      </c>
      <c r="L2" s="202">
        <v>0.49999999999999994</v>
      </c>
      <c r="M2" s="202">
        <v>0.54999999999999993</v>
      </c>
      <c r="N2" s="202">
        <v>0.6</v>
      </c>
      <c r="O2" s="202">
        <v>0.65</v>
      </c>
      <c r="P2" s="202">
        <v>0.70000000000000007</v>
      </c>
      <c r="Q2" s="202">
        <v>0.75000000000000011</v>
      </c>
      <c r="R2" s="202">
        <v>0.80000000000000016</v>
      </c>
      <c r="S2" s="202">
        <v>0.8500000000000002</v>
      </c>
      <c r="T2" s="202">
        <v>0.90000000000000024</v>
      </c>
      <c r="U2" s="202">
        <v>0.95000000000000029</v>
      </c>
      <c r="V2" s="202">
        <v>0.9600000000000003</v>
      </c>
      <c r="W2" s="202">
        <v>0.97000000000000031</v>
      </c>
      <c r="X2" s="202">
        <v>0.98000000000000032</v>
      </c>
      <c r="Y2" s="202">
        <v>0.99000000000000032</v>
      </c>
    </row>
    <row r="3" spans="1:26" x14ac:dyDescent="0.2">
      <c r="A3" t="s">
        <v>89</v>
      </c>
      <c r="B3" s="129">
        <f>NeoClassical!B$31</f>
        <v>0.999999999999998</v>
      </c>
      <c r="C3" s="129">
        <f>NeoClassical!D$31</f>
        <v>0.99447366321308817</v>
      </c>
      <c r="D3" s="129">
        <f>NeoClassical!F$31</f>
        <v>0.98863928504590737</v>
      </c>
      <c r="E3" s="129">
        <f>NeoClassical!H$31</f>
        <v>0.98245688081395566</v>
      </c>
      <c r="F3" s="129">
        <f>NeoClassical!J$31</f>
        <v>0.97587843989315792</v>
      </c>
      <c r="G3" s="129">
        <f>NeoClassical!L$31</f>
        <v>0.96884556612811923</v>
      </c>
      <c r="H3" s="129">
        <f>NeoClassical!N$31</f>
        <v>0.96128625221827102</v>
      </c>
      <c r="I3" s="129">
        <f>NeoClassical!P$31</f>
        <v>0.95311020392413792</v>
      </c>
      <c r="J3" s="129">
        <f>NeoClassical!R$31</f>
        <v>0.94420189994090609</v>
      </c>
      <c r="K3" s="129">
        <f>NeoClassical!T$31</f>
        <v>0.93441002521948868</v>
      </c>
      <c r="L3" s="129">
        <f>NeoClassical!V$31</f>
        <v>0.92353040490247773</v>
      </c>
      <c r="M3" s="129">
        <f>NeoClassical!X$31</f>
        <v>0.91127759590876967</v>
      </c>
      <c r="N3" s="129">
        <f>NeoClassical!Z$31</f>
        <v>0.89723447698612024</v>
      </c>
      <c r="O3" s="129">
        <f>NeoClassical!AB$31</f>
        <v>0.88075727069610521</v>
      </c>
      <c r="P3" s="129">
        <f>NeoClassical!AD$31</f>
        <v>0.86078286098416468</v>
      </c>
      <c r="Q3" s="129">
        <f>NeoClassical!AF$31</f>
        <v>0.83540672831308249</v>
      </c>
      <c r="R3" s="129">
        <f>NeoClassical!AH$31</f>
        <v>0.80088968718164022</v>
      </c>
      <c r="S3" s="129">
        <f>NeoClassical!AJ$31</f>
        <v>0.74922519457143255</v>
      </c>
      <c r="T3" s="129">
        <f>NeoClassical!AL$31</f>
        <v>0.66168618979955951</v>
      </c>
      <c r="U3" s="129">
        <f>NeoClassical!AN$31</f>
        <v>0.48115050034150508</v>
      </c>
      <c r="V3" s="129">
        <f>NeoClassical!AP$31</f>
        <v>0.41884379296672114</v>
      </c>
      <c r="W3" s="129">
        <f>NeoClassical!AR$31</f>
        <v>0.33954779553593528</v>
      </c>
      <c r="X3" s="129">
        <f>NeoClassical!AT$31</f>
        <v>0.23670255085740946</v>
      </c>
      <c r="Y3" s="129">
        <f>NeoClassical!AV$31</f>
        <v>0.10629968998270858</v>
      </c>
    </row>
    <row r="4" spans="1:26" x14ac:dyDescent="0.2">
      <c r="A4" t="s">
        <v>147</v>
      </c>
      <c r="B4" s="129">
        <f>Kaldorian!B$31</f>
        <v>0.999999999999998</v>
      </c>
      <c r="C4" s="129">
        <f>Kaldorian!D$31</f>
        <v>0.99835648065559235</v>
      </c>
      <c r="D4" s="129">
        <f>Kaldorian!F$31</f>
        <v>0.99644386002287533</v>
      </c>
      <c r="E4" s="129">
        <f>Kaldorian!H$31</f>
        <v>0.99422987977990096</v>
      </c>
      <c r="F4" s="129">
        <f>Kaldorian!J$31</f>
        <v>0.99167601842830733</v>
      </c>
      <c r="G4" s="129">
        <f>Kaldorian!L$31</f>
        <v>0.98873573442210272</v>
      </c>
      <c r="H4" s="129">
        <f>Kaldorian!N$31</f>
        <v>0.98535203747214894</v>
      </c>
      <c r="I4" s="129">
        <f>Kaldorian!P$31</f>
        <v>0.98145408692084268</v>
      </c>
      <c r="J4" s="129">
        <f>Kaldorian!R$31</f>
        <v>0.97695220846554376</v>
      </c>
      <c r="K4" s="129">
        <f>Kaldorian!T$31</f>
        <v>0.97173048069340684</v>
      </c>
      <c r="L4" s="129">
        <f>Kaldorian!V$31</f>
        <v>0.96563512810459218</v>
      </c>
      <c r="M4" s="129">
        <f>Kaldorian!X$31</f>
        <v>0.95845575448092235</v>
      </c>
      <c r="N4" s="129">
        <f>Kaldorian!Z$31</f>
        <v>0.94989322453788028</v>
      </c>
      <c r="O4" s="129">
        <f>Kaldorian!AB$31</f>
        <v>0.93950154949027298</v>
      </c>
      <c r="P4" s="129">
        <f>Kaldorian!AD$31</f>
        <v>0.92657394632115708</v>
      </c>
      <c r="Q4" s="129">
        <f>Kaldorian!AF$31</f>
        <v>0.90990064006772187</v>
      </c>
      <c r="R4" s="129">
        <f>Kaldorian!AH$31</f>
        <v>0.88719783788471018</v>
      </c>
      <c r="S4" s="129">
        <f>Kaldorian!AJ$31</f>
        <v>0.85359227795184478</v>
      </c>
      <c r="T4" s="129">
        <f>Kaldorian!AL$31</f>
        <v>0.79673069981310629</v>
      </c>
      <c r="U4" s="129">
        <f>Kaldorian!AN$31</f>
        <v>0</v>
      </c>
      <c r="V4" s="129">
        <f>Kaldorian!AP$31</f>
        <v>0</v>
      </c>
      <c r="W4" s="129">
        <f>Kaldorian!AR$31</f>
        <v>0</v>
      </c>
      <c r="X4" s="129">
        <f>Kaldorian!AT$31</f>
        <v>0</v>
      </c>
      <c r="Y4" s="129">
        <f>Kaldorian!AV$31</f>
        <v>0</v>
      </c>
    </row>
    <row r="5" spans="1:26" x14ac:dyDescent="0.2">
      <c r="A5" t="s">
        <v>90</v>
      </c>
      <c r="B5" s="129">
        <f>Johansen!B$31</f>
        <v>1</v>
      </c>
      <c r="C5" s="129">
        <f>Johansen!D$31</f>
        <v>0.99789423855811932</v>
      </c>
      <c r="D5" s="129">
        <f>Johansen!F$31</f>
        <v>0.99537296485269977</v>
      </c>
      <c r="E5" s="129">
        <f>Johansen!H$31</f>
        <v>0.99237958567328621</v>
      </c>
      <c r="F5" s="129">
        <f>Johansen!J$31</f>
        <v>0.98884592823561812</v>
      </c>
      <c r="G5" s="129">
        <f>Johansen!L$31</f>
        <v>0.98468892393764018</v>
      </c>
      <c r="H5" s="129">
        <f>Johansen!N$31</f>
        <v>0.97980579842137949</v>
      </c>
      <c r="I5" s="129">
        <f>Johansen!P$31</f>
        <v>0.97406732611841051</v>
      </c>
      <c r="J5" s="129">
        <f>Johansen!R$31</f>
        <v>0.96730777633696396</v>
      </c>
      <c r="K5" s="129">
        <f>Johansen!T$31</f>
        <v>0.95930941199306152</v>
      </c>
      <c r="L5" s="129">
        <f>Johansen!V$31</f>
        <v>0.94977784258756459</v>
      </c>
      <c r="M5" s="129">
        <f>Johansen!X$31</f>
        <v>0.93830113707549367</v>
      </c>
      <c r="N5" s="129">
        <f>Johansen!Z$31</f>
        <v>0.92427860103316728</v>
      </c>
      <c r="O5" s="129">
        <f>Johansen!AB$31</f>
        <v>0.90679055884660875</v>
      </c>
      <c r="P5" s="129">
        <f>Johansen!AD$31</f>
        <v>0.88434963265085353</v>
      </c>
      <c r="Q5" s="129">
        <f>Johansen!AF$31</f>
        <v>0.85441295093365555</v>
      </c>
      <c r="R5" s="129">
        <f>Johansen!AH$31</f>
        <v>0.81243162705890126</v>
      </c>
      <c r="S5" s="129">
        <f>Johansen!AJ$31</f>
        <v>0.74994186017707209</v>
      </c>
      <c r="T5" s="129">
        <f>Johansen!AL$31</f>
        <v>0.64948099060639797</v>
      </c>
      <c r="U5" s="129">
        <f>Johansen!AN$31</f>
        <v>0.46476536716926015</v>
      </c>
      <c r="V5" s="129">
        <f>Johansen!AP$31</f>
        <v>0.40734468798779588</v>
      </c>
      <c r="W5" s="129">
        <f>Johansen!AR$31</f>
        <v>0.3379880894319785</v>
      </c>
      <c r="X5" s="129">
        <f>Johansen!AT$31</f>
        <v>0.25229610600956093</v>
      </c>
      <c r="Y5" s="129">
        <f>Johansen!AV$31</f>
        <v>0.14335126240857823</v>
      </c>
    </row>
    <row r="6" spans="1:26" x14ac:dyDescent="0.2">
      <c r="A6" t="s">
        <v>130</v>
      </c>
      <c r="B6" s="129">
        <f>'Keynes-M'!B$31</f>
        <v>0.999999999999998</v>
      </c>
      <c r="C6" s="129">
        <f>'Keynes-M'!D$31</f>
        <v>1.0083973575718683</v>
      </c>
      <c r="D6" s="129">
        <f>'Keynes-M'!F$31</f>
        <v>1.0165240976770251</v>
      </c>
      <c r="E6" s="129">
        <f>'Keynes-M'!H$31</f>
        <v>1.0243718203389249</v>
      </c>
      <c r="F6" s="129">
        <f>'Keynes-M'!J$31</f>
        <v>1.031929604618355</v>
      </c>
      <c r="G6" s="129">
        <f>'Keynes-M'!L$31</f>
        <v>1.0391840422896437</v>
      </c>
      <c r="H6" s="129">
        <f>'Keynes-M'!N$31</f>
        <v>1.0461190861437148</v>
      </c>
      <c r="I6" s="129">
        <f>'Keynes-M'!P$31</f>
        <v>1.052716744320259</v>
      </c>
      <c r="J6" s="129">
        <f>'Keynes-M'!R$31</f>
        <v>1.0589581534167491</v>
      </c>
      <c r="K6" s="129">
        <f>'Keynes-M'!T$31</f>
        <v>1.0648265795374336</v>
      </c>
      <c r="L6" s="129">
        <f>'Keynes-M'!V$31</f>
        <v>1.0703138944057373</v>
      </c>
      <c r="M6" s="129">
        <f>'Keynes-M'!X$31</f>
        <v>1.0754350717029195</v>
      </c>
      <c r="N6" s="129">
        <f>'Keynes-M'!Z$31</f>
        <v>1.0802594842197486</v>
      </c>
      <c r="O6" s="129">
        <f>'Keynes-M'!AB$31</f>
        <v>1.0849801054637678</v>
      </c>
      <c r="P6" s="129">
        <f>'Keynes-M'!AD$31</f>
        <v>1.0900629657006373</v>
      </c>
      <c r="Q6" s="129">
        <f>'Keynes-M'!AF$31</f>
        <v>1.0965291674760924</v>
      </c>
      <c r="R6" s="129">
        <f>'Keynes-M'!AH$31</f>
        <v>1.1061908746498113</v>
      </c>
      <c r="S6" s="129">
        <f>'Keynes-M'!AJ$31</f>
        <v>1.1204318088706291</v>
      </c>
      <c r="T6" s="129">
        <f>'Keynes-M'!AL$31</f>
        <v>0</v>
      </c>
      <c r="U6" s="129"/>
      <c r="V6" s="129"/>
      <c r="W6" s="129"/>
      <c r="X6" s="129"/>
      <c r="Y6" s="129"/>
    </row>
    <row r="7" spans="1:26" x14ac:dyDescent="0.2">
      <c r="A7" t="s">
        <v>146</v>
      </c>
      <c r="B7" s="129">
        <f>Keynesian!B$31</f>
        <v>0.999999999999998</v>
      </c>
      <c r="C7" s="129">
        <f>Keynesian!D$31</f>
        <v>0.981245836919176</v>
      </c>
      <c r="D7" s="129">
        <f>Keynesian!F$31</f>
        <v>0.96068509562756665</v>
      </c>
      <c r="E7" s="129">
        <f>Keynesian!H$31</f>
        <v>0.93810431788065163</v>
      </c>
      <c r="F7" s="129">
        <f>Keynesian!J$31</f>
        <v>0.9132617949501457</v>
      </c>
      <c r="G7" s="129">
        <f>Keynesian!L$31</f>
        <v>0.88588574292466138</v>
      </c>
      <c r="H7" s="129">
        <f>Keynesian!N$31</f>
        <v>0.85567537356793655</v>
      </c>
      <c r="I7" s="129">
        <f>Keynesian!P$31</f>
        <v>0.82230837797779677</v>
      </c>
      <c r="J7" s="129">
        <f>Keynesian!R$31</f>
        <v>0.78545781314432739</v>
      </c>
      <c r="K7" s="129">
        <f>Keynesian!T$31</f>
        <v>0.74483206969972804</v>
      </c>
      <c r="L7" s="129">
        <f>Keynesian!V$31</f>
        <v>0.70026424964188705</v>
      </c>
      <c r="M7" s="129">
        <f>Keynesian!X$31</f>
        <v>0.65192888505381763</v>
      </c>
      <c r="N7" s="129">
        <f>Keynesian!Z$31</f>
        <v>0.60099529144620667</v>
      </c>
      <c r="O7" s="129">
        <f>Keynesian!AB$31</f>
        <v>0</v>
      </c>
      <c r="P7" s="129"/>
      <c r="Q7" s="129"/>
      <c r="R7" s="129"/>
      <c r="S7" s="129"/>
      <c r="T7" s="129"/>
      <c r="U7" s="129"/>
      <c r="V7" s="129"/>
      <c r="W7" s="129"/>
      <c r="X7" s="129"/>
      <c r="Y7" s="129"/>
    </row>
    <row r="8" spans="1:26" x14ac:dyDescent="0.2">
      <c r="A8" t="s">
        <v>131</v>
      </c>
      <c r="B8" s="129">
        <f>'Keynes-K'!B$31</f>
        <v>0.999999999999998</v>
      </c>
      <c r="C8" s="129">
        <f>'Keynes-K'!D$31</f>
        <v>1.0019901929943549</v>
      </c>
      <c r="D8" s="129">
        <f>'Keynes-K'!F$31</f>
        <v>1.0033441965017904</v>
      </c>
      <c r="E8" s="129">
        <f>'Keynes-K'!H$31</f>
        <v>1.0040091687830333</v>
      </c>
      <c r="F8" s="129">
        <f>'Keynes-K'!J$31</f>
        <v>1.0039169608094913</v>
      </c>
      <c r="G8" s="129">
        <f>'Keynes-K'!L$31</f>
        <v>1.0029799752186124</v>
      </c>
      <c r="H8" s="129">
        <f>'Keynes-K'!N$31</f>
        <v>1.0010853821225667</v>
      </c>
      <c r="I8" s="129">
        <f>'Keynes-K'!P$31</f>
        <v>0.99808670530081389</v>
      </c>
      <c r="J8" s="129">
        <f>'Keynes-K'!R$31</f>
        <v>0.99379142023970168</v>
      </c>
      <c r="K8" s="129">
        <f>'Keynes-K'!T$31</f>
        <v>0.98794213725547986</v>
      </c>
      <c r="L8" s="129">
        <f>'Keynes-K'!V$31</f>
        <v>0.9801871154991717</v>
      </c>
      <c r="M8" s="129">
        <f>'Keynes-K'!X$31</f>
        <v>0.97003207882758635</v>
      </c>
      <c r="N8" s="129">
        <f>'Keynes-K'!Z$31</f>
        <v>0.95675718341925275</v>
      </c>
      <c r="O8" s="129">
        <f>'Keynes-K'!AB$31</f>
        <v>0.93926621283722722</v>
      </c>
      <c r="P8" s="129">
        <f>'Keynes-K'!AD$31</f>
        <v>0.91579020472582329</v>
      </c>
      <c r="Q8" s="129">
        <f>'Keynes-K'!AF$31</f>
        <v>0.8832559389983119</v>
      </c>
      <c r="R8" s="129">
        <f>'Keynes-K'!AH$31</f>
        <v>0.83580934881462554</v>
      </c>
      <c r="S8" s="129">
        <f>'Keynes-K'!AJ$31</f>
        <v>0.76108914831555985</v>
      </c>
      <c r="T8" s="129">
        <f>'Keynes-K'!AL$31</f>
        <v>0.63095501580394109</v>
      </c>
      <c r="U8" s="129"/>
      <c r="V8" s="129"/>
      <c r="W8" s="129"/>
      <c r="X8" s="129"/>
      <c r="Y8" s="129"/>
    </row>
    <row r="9" spans="1:26" x14ac:dyDescent="0.2">
      <c r="A9" t="s">
        <v>142</v>
      </c>
      <c r="B9" s="129">
        <f>'Neo-K1'!B$31</f>
        <v>0.999999999999998</v>
      </c>
      <c r="C9" s="129">
        <f>'Neo-K1'!D$31</f>
        <v>0.99140039521925905</v>
      </c>
      <c r="D9" s="129">
        <f>'Neo-K1'!F$31</f>
        <v>0.98217927498423141</v>
      </c>
      <c r="E9" s="129">
        <f>'Neo-K1'!H$31</f>
        <v>0.97223855897960954</v>
      </c>
      <c r="F9" s="129">
        <f>'Neo-K1'!J$31</f>
        <v>0.96145667236898635</v>
      </c>
      <c r="G9" s="129">
        <f>'Neo-K1'!L$31</f>
        <v>0.94968137950459874</v>
      </c>
      <c r="H9" s="129">
        <f>'Neo-K1'!N$31</f>
        <v>0.93671886642287672</v>
      </c>
      <c r="I9" s="129">
        <f>'Neo-K1'!P$31</f>
        <v>0.92231874503094657</v>
      </c>
      <c r="J9" s="129">
        <f>'Neo-K1'!R$31</f>
        <v>0.90615171650176596</v>
      </c>
      <c r="K9" s="129">
        <f>'Neo-K1'!T$31</f>
        <v>0.88777642695936043</v>
      </c>
      <c r="L9" s="129">
        <f>'Neo-K1'!V$31</f>
        <v>0.86658926649098023</v>
      </c>
      <c r="M9" s="129">
        <f>'Neo-K1'!X$31</f>
        <v>0.84174648287509546</v>
      </c>
      <c r="N9" s="129">
        <f>'Neo-K1'!Z$31</f>
        <v>0.81204430452636944</v>
      </c>
      <c r="O9" s="129">
        <f>'Neo-K1'!AB$31</f>
        <v>0.7757336457248214</v>
      </c>
      <c r="P9" s="129">
        <f>'Neo-K1'!AD$31</f>
        <v>0.73024950184020987</v>
      </c>
      <c r="Q9" s="129">
        <f>'Neo-K1'!AF$31</f>
        <v>0.67186569141357211</v>
      </c>
      <c r="R9" s="129">
        <f>'Neo-K1'!AH$31</f>
        <v>0.59542332071595427</v>
      </c>
      <c r="S9" s="129">
        <f>'Neo-K1'!AJ$31</f>
        <v>0.49458455733621587</v>
      </c>
      <c r="T9" s="129">
        <f>'Neo-K1'!AL$31</f>
        <v>0.36327460523545752</v>
      </c>
      <c r="U9" s="129">
        <f>'Neo-K1'!AN$31</f>
        <v>0.19813066266240398</v>
      </c>
      <c r="V9" s="129">
        <f>'Neo-K1'!AP$31</f>
        <v>0.16104579571141847</v>
      </c>
      <c r="W9" s="129">
        <f>'Neo-K1'!AR$31</f>
        <v>0.12265717387870916</v>
      </c>
      <c r="X9" s="129">
        <f>'Neo-K1'!AT$31</f>
        <v>8.29960696265402E-2</v>
      </c>
      <c r="Y9" s="129">
        <f>'Neo-K1'!AV$31</f>
        <v>4.2097619679436871E-2</v>
      </c>
    </row>
    <row r="10" spans="1:26" x14ac:dyDescent="0.2">
      <c r="A10" t="s">
        <v>141</v>
      </c>
      <c r="B10" s="129">
        <f>'Neo-K2'!B$31</f>
        <v>0.999999999999998</v>
      </c>
      <c r="C10" s="129">
        <f>'Neo-K2'!D$31</f>
        <v>0.99041683689647653</v>
      </c>
      <c r="D10" s="129">
        <f>'Neo-K2'!F$31</f>
        <v>0.98003933355201367</v>
      </c>
      <c r="E10" s="129">
        <f>'Neo-K2'!H$31</f>
        <v>0.96872705258166925</v>
      </c>
      <c r="F10" s="129">
        <f>'Neo-K2'!J$31</f>
        <v>0.95630301674708107</v>
      </c>
      <c r="G10" s="129">
        <f>'Neo-K2'!L$31</f>
        <v>0.94254274599272103</v>
      </c>
      <c r="H10" s="129">
        <f>'Neo-K2'!N$31</f>
        <v>0.92715670383282989</v>
      </c>
      <c r="I10" s="129">
        <f>'Neo-K2'!P$31</f>
        <v>0.90976786863890913</v>
      </c>
      <c r="J10" s="129">
        <f>'Neo-K2'!R$31</f>
        <v>0.88987956996681827</v>
      </c>
      <c r="K10" s="129">
        <f>'Neo-K2'!T$31</f>
        <v>0.86683254052946146</v>
      </c>
      <c r="L10" s="129">
        <f>'Neo-K2'!V$31</f>
        <v>0.83975070474116031</v>
      </c>
      <c r="M10" s="129">
        <f>'Neo-K2'!X$31</f>
        <v>0.80748234120879492</v>
      </c>
      <c r="N10" s="129">
        <f>'Neo-K2'!Z$31</f>
        <v>0.76856623237725619</v>
      </c>
      <c r="O10" s="129">
        <f>'Neo-K2'!AB$31</f>
        <v>0.7213031606995971</v>
      </c>
      <c r="P10" s="129">
        <f>'Neo-K2'!AD$31</f>
        <v>0.66410714125562453</v>
      </c>
      <c r="Q10" s="129">
        <f>'Neo-K2'!AF$31</f>
        <v>0.59637832936067359</v>
      </c>
      <c r="R10" s="129">
        <f>'Neo-K2'!AH$31</f>
        <v>0.51977669614987954</v>
      </c>
      <c r="S10" s="129">
        <f>'Neo-K2'!AJ$31</f>
        <v>0.43827736395726002</v>
      </c>
      <c r="T10" s="129">
        <f>'Neo-K2'!AL$31</f>
        <v>0.35397456545479883</v>
      </c>
      <c r="U10" s="129">
        <f>'Neo-K2'!AN$31</f>
        <v>0.25675115660235215</v>
      </c>
      <c r="V10" s="129">
        <f>'Neo-K2'!AP$31</f>
        <v>0.23222310151628486</v>
      </c>
      <c r="W10" s="129">
        <f>'Neo-K2'!AR$31</f>
        <v>0.20380828104289822</v>
      </c>
      <c r="X10" s="129">
        <f>'Neo-K2'!AT$31</f>
        <v>0.16899465190055271</v>
      </c>
      <c r="Y10" s="129">
        <f>'Neo-K2'!AV$31</f>
        <v>0.12166363668124569</v>
      </c>
    </row>
    <row r="12" spans="1:26" ht="10.5" x14ac:dyDescent="0.25">
      <c r="A12" s="92" t="s">
        <v>183</v>
      </c>
    </row>
    <row r="13" spans="1:26" x14ac:dyDescent="0.2">
      <c r="A13" t="s">
        <v>181</v>
      </c>
      <c r="B13" s="202">
        <v>0</v>
      </c>
      <c r="C13" s="202">
        <v>0.05</v>
      </c>
      <c r="D13" s="202">
        <v>0.1</v>
      </c>
      <c r="E13" s="202">
        <v>0.15000000000000002</v>
      </c>
      <c r="F13" s="202">
        <v>0.2</v>
      </c>
      <c r="G13" s="202">
        <v>0.25</v>
      </c>
      <c r="H13" s="202">
        <v>0.3</v>
      </c>
      <c r="I13" s="202">
        <v>0.35</v>
      </c>
      <c r="J13" s="202">
        <v>0.39999999999999997</v>
      </c>
      <c r="K13" s="202">
        <v>0.44999999999999996</v>
      </c>
      <c r="L13" s="202">
        <v>0.49999999999999994</v>
      </c>
      <c r="M13" s="202">
        <v>0.54999999999999993</v>
      </c>
      <c r="N13" s="202">
        <v>0.6</v>
      </c>
      <c r="O13" s="202">
        <v>0.65</v>
      </c>
      <c r="P13" s="202">
        <v>0.70000000000000007</v>
      </c>
      <c r="Q13" s="202">
        <v>0.75000000000000011</v>
      </c>
      <c r="R13" s="202">
        <v>0.80000000000000016</v>
      </c>
      <c r="S13" s="202">
        <v>0.8500000000000002</v>
      </c>
      <c r="T13" s="202">
        <v>0.90000000000000024</v>
      </c>
      <c r="U13" s="202">
        <v>0.95000000000000029</v>
      </c>
      <c r="V13" s="202">
        <v>0.9600000000000003</v>
      </c>
      <c r="W13" s="202">
        <v>0.97000000000000031</v>
      </c>
      <c r="X13" s="202">
        <v>0.98000000000000032</v>
      </c>
      <c r="Y13" s="202">
        <v>0.99000000000000032</v>
      </c>
      <c r="Z13" s="130"/>
    </row>
    <row r="14" spans="1:26" x14ac:dyDescent="0.2">
      <c r="A14" t="s">
        <v>89</v>
      </c>
      <c r="B14" s="129">
        <f>NeoClassical!B2</f>
        <v>5.7716594496607888E-3</v>
      </c>
      <c r="C14" s="129">
        <f>NeoClassical!D2</f>
        <v>4.2804577648347795E-2</v>
      </c>
      <c r="D14" s="129">
        <f>NeoClassical!F2</f>
        <v>8.3342102831293022E-2</v>
      </c>
      <c r="E14" s="129">
        <f>NeoClassical!H2</f>
        <v>0.12795703565120103</v>
      </c>
      <c r="F14" s="129">
        <f>NeoClassical!J2</f>
        <v>0.17736411382330258</v>
      </c>
      <c r="G14" s="129">
        <f>NeoClassical!L2</f>
        <v>0.23246766553234077</v>
      </c>
      <c r="H14" s="129">
        <f>NeoClassical!N2</f>
        <v>0.29443517211798176</v>
      </c>
      <c r="I14" s="129">
        <f>NeoClassical!P2</f>
        <v>0.3648062370424589</v>
      </c>
      <c r="J14" s="129">
        <f>NeoClassical!R2</f>
        <v>0.44566493052258627</v>
      </c>
      <c r="K14" s="129">
        <f>NeoClassical!T2</f>
        <v>0.53992106346696778</v>
      </c>
      <c r="L14" s="129">
        <f>NeoClassical!V2</f>
        <v>0.65179258536205542</v>
      </c>
      <c r="M14" s="129">
        <f>NeoClassical!X2</f>
        <v>0.78767926175228897</v>
      </c>
      <c r="N14" s="129">
        <f>NeoClassical!Z2</f>
        <v>0.95785351428430521</v>
      </c>
      <c r="O14" s="129">
        <f>NeoClassical!AB2</f>
        <v>1.1800052950839341</v>
      </c>
      <c r="P14" s="129">
        <f>NeoClassical!AD2</f>
        <v>1.4874210775012866</v>
      </c>
      <c r="Q14" s="129">
        <f>NeoClassical!AF2</f>
        <v>1.9502138890305662</v>
      </c>
      <c r="R14" s="129">
        <f>NeoClassical!AH2</f>
        <v>2.7385963094319736</v>
      </c>
      <c r="S14" s="129">
        <f>NeoClassical!AJ2</f>
        <v>4.3430696226282688</v>
      </c>
      <c r="T14" s="129">
        <f>NeoClassical!AL2</f>
        <v>8.5198105663695998</v>
      </c>
      <c r="U14" s="129">
        <f>NeoClassical!AN2</f>
        <v>25.113983030193388</v>
      </c>
      <c r="V14" s="129">
        <f>NeoClassical!AP2</f>
        <v>34.297001763448897</v>
      </c>
      <c r="W14" s="129">
        <f>NeoClassical!AR2</f>
        <v>49.656911200709729</v>
      </c>
      <c r="X14" s="129">
        <f>NeoClassical!AT2</f>
        <v>78.32468847610906</v>
      </c>
      <c r="Y14" s="129">
        <f>NeoClassical!AV2</f>
        <v>141.75178397083008</v>
      </c>
      <c r="Z14" s="129"/>
    </row>
    <row r="15" spans="1:26" x14ac:dyDescent="0.2">
      <c r="A15" t="s">
        <v>147</v>
      </c>
      <c r="B15" s="129">
        <f>Kaldorian!B2</f>
        <v>5.7716594496607888E-3</v>
      </c>
      <c r="C15" s="129">
        <f>Kaldorian!D2</f>
        <v>4.498793784335528E-2</v>
      </c>
      <c r="D15" s="129">
        <f>Kaldorian!F2</f>
        <v>8.7818080562676079E-2</v>
      </c>
      <c r="E15" s="129">
        <f>Kaldorian!H2</f>
        <v>0.13484765708944241</v>
      </c>
      <c r="F15" s="129">
        <f>Kaldorian!J2</f>
        <v>0.18680577333457396</v>
      </c>
      <c r="G15" s="129">
        <f>Kaldorian!L2</f>
        <v>0.24461633968937727</v>
      </c>
      <c r="H15" s="129">
        <f>Kaldorian!N2</f>
        <v>0.30947005059658883</v>
      </c>
      <c r="I15" s="129">
        <f>Kaldorian!P2</f>
        <v>0.38293696094941704</v>
      </c>
      <c r="J15" s="129">
        <f>Kaldorian!R2</f>
        <v>0.46714208506171412</v>
      </c>
      <c r="K15" s="129">
        <f>Kaldorian!T2</f>
        <v>0.56505260217226272</v>
      </c>
      <c r="L15" s="129">
        <f>Kaldorian!V2</f>
        <v>0.68097132057171106</v>
      </c>
      <c r="M15" s="129">
        <f>Kaldorian!X2</f>
        <v>0.82143071478519458</v>
      </c>
      <c r="N15" s="129">
        <f>Kaldorian!Z2</f>
        <v>0.99692492903366947</v>
      </c>
      <c r="O15" s="129">
        <f>Kaldorian!AB2</f>
        <v>1.2255431635882315</v>
      </c>
      <c r="P15" s="129">
        <f>Kaldorian!AD2</f>
        <v>1.5413513899213398</v>
      </c>
      <c r="Q15" s="129">
        <f>Kaldorian!AF2</f>
        <v>2.0161408729758517</v>
      </c>
      <c r="R15" s="129">
        <f>Kaldorian!AH2</f>
        <v>2.8241427328223887</v>
      </c>
      <c r="S15" s="129">
        <f>Kaldorian!AJ2</f>
        <v>4.4664716371485191</v>
      </c>
      <c r="T15" s="129">
        <f>Kaldorian!AL2</f>
        <v>8.7296555757122718</v>
      </c>
      <c r="U15" s="129"/>
      <c r="V15" s="129"/>
      <c r="W15" s="129"/>
      <c r="X15" s="129"/>
      <c r="Y15" s="129"/>
      <c r="Z15" s="129"/>
    </row>
    <row r="16" spans="1:26" x14ac:dyDescent="0.2">
      <c r="A16" t="s">
        <v>90</v>
      </c>
      <c r="B16" s="129">
        <f>Johansen!B2</f>
        <v>5.7716594496607888E-3</v>
      </c>
      <c r="C16" s="129">
        <f>Johansen!D2</f>
        <v>5.5014439997918968E-2</v>
      </c>
      <c r="D16" s="129">
        <f>Johansen!F2</f>
        <v>0.10906958458026007</v>
      </c>
      <c r="E16" s="129">
        <f>Johansen!H2</f>
        <v>0.16872438292690839</v>
      </c>
      <c r="F16" s="129">
        <f>Johansen!J2</f>
        <v>0.23496769938343354</v>
      </c>
      <c r="G16" s="129">
        <f>Johansen!L2</f>
        <v>0.30906615374944901</v>
      </c>
      <c r="H16" s="129">
        <f>Johansen!N2</f>
        <v>0.3926801580131119</v>
      </c>
      <c r="I16" s="129">
        <f>Johansen!P2</f>
        <v>0.48804509618252229</v>
      </c>
      <c r="J16" s="129">
        <f>Johansen!R2</f>
        <v>0.59826652270557557</v>
      </c>
      <c r="K16" s="129">
        <f>Johansen!T2</f>
        <v>0.72782096900058313</v>
      </c>
      <c r="L16" s="129">
        <f>Johansen!V2</f>
        <v>0.88344313079603487</v>
      </c>
      <c r="M16" s="129">
        <f>Johansen!X2</f>
        <v>1.0757925162930242</v>
      </c>
      <c r="N16" s="129">
        <f>Johansen!Z2</f>
        <v>1.3227809634877583</v>
      </c>
      <c r="O16" s="129">
        <f>Johansen!AB2</f>
        <v>1.6567067892971499</v>
      </c>
      <c r="P16" s="129">
        <f>Johansen!AD2</f>
        <v>2.1407933646851998</v>
      </c>
      <c r="Q16" s="129">
        <f>Johansen!AF2</f>
        <v>2.9104917708887981</v>
      </c>
      <c r="R16" s="129">
        <f>Johansen!AH2</f>
        <v>4.2833747151355865</v>
      </c>
      <c r="S16" s="129">
        <f>Johansen!AJ2</f>
        <v>7.0803307977105927</v>
      </c>
      <c r="T16" s="129">
        <f>Johansen!AL2</f>
        <v>13.877653156371668</v>
      </c>
      <c r="U16" s="129">
        <f>Johansen!AN2</f>
        <v>37.473069560641029</v>
      </c>
      <c r="V16" s="129">
        <f>Johansen!AP2</f>
        <v>49.321891324375379</v>
      </c>
      <c r="W16" s="129">
        <f>Johansen!AR2</f>
        <v>67.974409258132326</v>
      </c>
      <c r="X16" s="129">
        <f>Johansen!AT2</f>
        <v>100.12194069275338</v>
      </c>
      <c r="Y16" s="129">
        <f>Johansen!AV2</f>
        <v>163.76263899729508</v>
      </c>
      <c r="Z16" s="129"/>
    </row>
    <row r="17" spans="1:26" x14ac:dyDescent="0.2">
      <c r="A17" t="s">
        <v>130</v>
      </c>
      <c r="B17" s="129">
        <f>'Keynes-M'!B2</f>
        <v>5.7716594496607888E-3</v>
      </c>
      <c r="C17" s="129">
        <f>'Keynes-M'!D2</f>
        <v>4.6056242055600119E-2</v>
      </c>
      <c r="D17" s="129">
        <f>'Keynes-M'!F2</f>
        <v>9.0355773714879517E-2</v>
      </c>
      <c r="E17" s="129">
        <f>'Keynes-M'!H2</f>
        <v>0.13938216944410842</v>
      </c>
      <c r="F17" s="129">
        <f>'Keynes-M'!J2</f>
        <v>0.19403846164078747</v>
      </c>
      <c r="G17" s="129">
        <f>'Keynes-M'!L2</f>
        <v>0.25549231806966299</v>
      </c>
      <c r="H17" s="129">
        <f>'Keynes-M'!N2</f>
        <v>0.32528761759660207</v>
      </c>
      <c r="I17" s="129">
        <f>'Keynes-M'!P2</f>
        <v>0.40552011199900906</v>
      </c>
      <c r="J17" s="129">
        <f>'Keynes-M'!R2</f>
        <v>0.49912119956363959</v>
      </c>
      <c r="K17" s="129">
        <f>'Keynes-M'!T2</f>
        <v>0.6103488658813806</v>
      </c>
      <c r="L17" s="129">
        <f>'Keynes-M'!V2</f>
        <v>0.74565865537671006</v>
      </c>
      <c r="M17" s="129">
        <f>'Keynes-M'!X2</f>
        <v>0.91538559960952104</v>
      </c>
      <c r="N17" s="129">
        <f>'Keynes-M'!Z2</f>
        <v>1.1371926020304564</v>
      </c>
      <c r="O17" s="129">
        <f>'Keynes-M'!AB2</f>
        <v>1.4438394408782182</v>
      </c>
      <c r="P17" s="129">
        <f>'Keynes-M'!AD2</f>
        <v>1.9025515393831385</v>
      </c>
      <c r="Q17" s="129">
        <f>'Keynes-M'!AF2</f>
        <v>2.6690574956140756</v>
      </c>
      <c r="R17" s="129"/>
      <c r="S17" s="129"/>
      <c r="T17" s="129"/>
      <c r="U17" s="129"/>
      <c r="V17" s="129"/>
      <c r="W17" s="129"/>
      <c r="X17" s="129"/>
      <c r="Y17" s="129"/>
      <c r="Z17" s="129"/>
    </row>
    <row r="18" spans="1:26" x14ac:dyDescent="0.2">
      <c r="A18" t="s">
        <v>146</v>
      </c>
      <c r="B18" s="129">
        <f>Keynesian!B2</f>
        <v>5.7716594496607888E-3</v>
      </c>
      <c r="C18" s="129">
        <f>Keynesian!D2</f>
        <v>3.0883928244494003E-2</v>
      </c>
      <c r="D18" s="129">
        <f>Keynesian!F2</f>
        <v>5.734226788759738E-2</v>
      </c>
      <c r="E18" s="129">
        <f>Keynesian!H2</f>
        <v>8.5196393665276468E-2</v>
      </c>
      <c r="F18" s="129">
        <f>Keynesian!J2</f>
        <v>0.11447773295340509</v>
      </c>
      <c r="G18" s="129">
        <f>Keynesian!L2</f>
        <v>0.14518813678405584</v>
      </c>
      <c r="H18" s="129">
        <f>Keynesian!N2</f>
        <v>0.17728353598760505</v>
      </c>
      <c r="I18" s="129">
        <f>Keynesian!P2</f>
        <v>0.21065196964339525</v>
      </c>
      <c r="J18" s="129">
        <f>Keynesian!R2</f>
        <v>0.245080412692806</v>
      </c>
      <c r="K18" s="129">
        <f>Keynesian!T2</f>
        <v>0.28020701842999696</v>
      </c>
      <c r="L18" s="129">
        <f>Keynesian!V2</f>
        <v>0.31544438569309446</v>
      </c>
      <c r="M18" s="129">
        <f>Keynesian!X2</f>
        <v>0.34982572018994967</v>
      </c>
      <c r="N18" s="129">
        <f>Keynesian!Z2</f>
        <v>0.38157990129323077</v>
      </c>
      <c r="O18" s="129">
        <f>Keynesian!AB2</f>
        <v>0</v>
      </c>
      <c r="P18" s="129"/>
      <c r="Q18" s="129"/>
      <c r="R18" s="129"/>
      <c r="S18" s="129"/>
      <c r="T18" s="129"/>
      <c r="U18" s="129"/>
      <c r="V18" s="129"/>
      <c r="W18" s="129"/>
      <c r="X18" s="129"/>
      <c r="Y18" s="129"/>
      <c r="Z18" s="129"/>
    </row>
    <row r="19" spans="1:26" x14ac:dyDescent="0.2">
      <c r="A19" t="s">
        <v>131</v>
      </c>
      <c r="B19" s="129">
        <f>'Keynes-K'!B2</f>
        <v>5.7716594496607888E-3</v>
      </c>
      <c r="C19" s="129">
        <f>'Keynes-K'!D2</f>
        <v>4.7277520300705055E-2</v>
      </c>
      <c r="D19" s="129">
        <f>'Keynes-K'!F2</f>
        <v>9.2395738800707256E-2</v>
      </c>
      <c r="E19" s="129">
        <f>'Keynes-K'!H2</f>
        <v>0.14170320786651835</v>
      </c>
      <c r="F19" s="129">
        <f>'Keynes-K'!J2</f>
        <v>0.19591217686843618</v>
      </c>
      <c r="G19" s="129">
        <f>'Keynes-K'!L2</f>
        <v>0.25591744332239286</v>
      </c>
      <c r="H19" s="129">
        <f>'Keynes-K'!N2</f>
        <v>0.32286132689618297</v>
      </c>
      <c r="I19" s="129">
        <f>'Keynes-K'!P2</f>
        <v>0.39823377496238943</v>
      </c>
      <c r="J19" s="129">
        <f>'Keynes-K'!R2</f>
        <v>0.48402562006860533</v>
      </c>
      <c r="K19" s="129">
        <f>'Keynes-K'!T2</f>
        <v>0.58297296222676409</v>
      </c>
      <c r="L19" s="129">
        <f>'Keynes-K'!V2</f>
        <v>0.69896495450229268</v>
      </c>
      <c r="M19" s="129">
        <f>'Keynes-K'!X2</f>
        <v>0.83775184300514982</v>
      </c>
      <c r="N19" s="129">
        <f>'Keynes-K'!Z2</f>
        <v>1.0082482314391579</v>
      </c>
      <c r="O19" s="129">
        <f>'Keynes-K'!AB2</f>
        <v>1.225072281475436</v>
      </c>
      <c r="P19" s="129">
        <f>'Keynes-K'!AD2</f>
        <v>1.5138304836060432</v>
      </c>
      <c r="Q19" s="129">
        <f>'Keynes-K'!AF2</f>
        <v>1.9228675519694312</v>
      </c>
      <c r="R19" s="129">
        <f>'Keynes-K'!AH2</f>
        <v>2.5504948050101985</v>
      </c>
      <c r="S19" s="129">
        <f>'Keynes-K'!AJ2</f>
        <v>3.6041131059727207</v>
      </c>
      <c r="T19" s="129">
        <f>'Keynes-K'!AL2</f>
        <v>5.4653836467725379</v>
      </c>
      <c r="U19" s="129"/>
      <c r="V19" s="129"/>
      <c r="W19" s="129"/>
      <c r="X19" s="129"/>
      <c r="Y19" s="129"/>
      <c r="Z19" s="129"/>
    </row>
    <row r="20" spans="1:26" x14ac:dyDescent="0.2">
      <c r="A20" t="s">
        <v>141</v>
      </c>
      <c r="B20" s="129">
        <f>'Neo-K2'!B$2</f>
        <v>5.7716594496607888E-3</v>
      </c>
      <c r="C20" s="129">
        <f>'Neo-K2'!D$2</f>
        <v>3.8435328054305065E-2</v>
      </c>
      <c r="D20" s="129">
        <f>'Neo-K2'!F$2</f>
        <v>7.3748899408382529E-2</v>
      </c>
      <c r="E20" s="129">
        <f>'Neo-K2'!H$2</f>
        <v>0.1120598390453192</v>
      </c>
      <c r="F20" s="129">
        <f>'Neo-K2'!J$2</f>
        <v>0.153776671470743</v>
      </c>
      <c r="G20" s="129">
        <f>'Neo-K2'!L$2</f>
        <v>0.19938220935562889</v>
      </c>
      <c r="H20" s="129">
        <f>'Neo-K2'!N$2</f>
        <v>0.24944849825071935</v>
      </c>
      <c r="I20" s="129">
        <f>'Neo-K2'!P$2</f>
        <v>0.30465539205764075</v>
      </c>
      <c r="J20" s="129">
        <f>'Neo-K2'!R$2</f>
        <v>0.36581159899488963</v>
      </c>
      <c r="K20" s="129">
        <f>'Neo-K2'!T$2</f>
        <v>0.43387929034989597</v>
      </c>
      <c r="L20" s="129">
        <f>'Neo-K2'!V$2</f>
        <v>0.51000678959503221</v>
      </c>
      <c r="M20" s="129">
        <f>'Neo-K2'!X$2</f>
        <v>0.59558632520820309</v>
      </c>
      <c r="N20" s="129">
        <f>'Neo-K2'!Z$2</f>
        <v>0.69241624785819667</v>
      </c>
      <c r="O20" s="129">
        <f>'Neo-K2'!AB$2</f>
        <v>0.80325094597796975</v>
      </c>
      <c r="P20" s="129">
        <f>'Neo-K2'!AD$2</f>
        <v>0.93372753018750365</v>
      </c>
      <c r="Q20" s="129">
        <f>'Neo-K2'!AF$2</f>
        <v>1.098916298120477</v>
      </c>
      <c r="R20" s="129">
        <f>'Neo-K2'!AH$2</f>
        <v>1.3449877227712368</v>
      </c>
      <c r="S20" s="129">
        <f>'Neo-K2'!AJ$2</f>
        <v>1.8258208718609898</v>
      </c>
      <c r="T20" s="129">
        <f>'Neo-K2'!AL$2</f>
        <v>3.16681223693665</v>
      </c>
      <c r="U20" s="129">
        <f>'Neo-K2'!AN$2</f>
        <v>9.5035508869806389</v>
      </c>
      <c r="V20" s="129">
        <f>'Neo-K2'!AP$2</f>
        <v>13.475356377908708</v>
      </c>
      <c r="W20" s="129">
        <f>'Neo-K2'!AR$2</f>
        <v>20.838181447802533</v>
      </c>
      <c r="X20" s="129">
        <f>'Neo-K2'!AT$2</f>
        <v>37.430528592974014</v>
      </c>
      <c r="Y20" s="129">
        <f>'Neo-K2'!AV$2</f>
        <v>94.795345351745638</v>
      </c>
      <c r="Z20" s="129"/>
    </row>
    <row r="21" spans="1:26" x14ac:dyDescent="0.2">
      <c r="A21" t="s">
        <v>142</v>
      </c>
      <c r="B21" s="129">
        <f>'Neo-K1'!B$2</f>
        <v>5.7716594496607888E-3</v>
      </c>
      <c r="C21" s="129">
        <f>'Neo-K1'!D$2</f>
        <v>3.9580833161691011E-2</v>
      </c>
      <c r="D21" s="129">
        <f>'Neo-K1'!F$2</f>
        <v>7.6344237872326859E-2</v>
      </c>
      <c r="E21" s="129">
        <f>'Neo-K1'!H$2</f>
        <v>0.11649269626001767</v>
      </c>
      <c r="F21" s="129">
        <f>'Neo-K1'!J$2</f>
        <v>0.1605483641619512</v>
      </c>
      <c r="G21" s="129">
        <f>'Neo-K1'!L$2</f>
        <v>0.20914992403627541</v>
      </c>
      <c r="H21" s="129">
        <f>'Neo-K1'!N$2</f>
        <v>0.2630883664821233</v>
      </c>
      <c r="I21" s="129">
        <f>'Neo-K1'!P$2</f>
        <v>0.32335535558258921</v>
      </c>
      <c r="J21" s="129">
        <f>'Neo-K1'!R$2</f>
        <v>0.39121154023071875</v>
      </c>
      <c r="K21" s="129">
        <f>'Neo-K1'!T$2</f>
        <v>0.4682829471858333</v>
      </c>
      <c r="L21" s="129">
        <f>'Neo-K1'!V$2</f>
        <v>0.55669902453785669</v>
      </c>
      <c r="M21" s="129">
        <f>'Neo-K1'!X$2</f>
        <v>0.65928798502492991</v>
      </c>
      <c r="N21" s="129">
        <f>'Neo-K1'!Z$2</f>
        <v>0.77984884859241632</v>
      </c>
      <c r="O21" s="129">
        <f>'Neo-K1'!AB$2</f>
        <v>0.92350025665234559</v>
      </c>
      <c r="P21" s="129">
        <f>'Neo-K1'!AD$2</f>
        <v>1.0970385343435798</v>
      </c>
      <c r="Q21" s="129">
        <f>'Neo-K1'!AF$2</f>
        <v>1.3090260800753812</v>
      </c>
      <c r="R21" s="129">
        <f>'Neo-K1'!AH$2</f>
        <v>1.5688463204017444</v>
      </c>
      <c r="S21" s="129">
        <f>'Neo-K1'!AJ$2</f>
        <v>1.8834906266024611</v>
      </c>
      <c r="T21" s="129">
        <f>'Neo-K1'!AL$2</f>
        <v>2.2518838266430499</v>
      </c>
      <c r="U21" s="129">
        <f>'Neo-K1'!AN$2</f>
        <v>2.6608439425400672</v>
      </c>
      <c r="V21" s="129">
        <f>'Neo-K1'!AP$2</f>
        <v>2.7456435919112412</v>
      </c>
      <c r="W21" s="129">
        <f>'Neo-K1'!AR$2</f>
        <v>2.8310080457366782</v>
      </c>
      <c r="X21" s="129">
        <f>'Neo-K1'!AT$2</f>
        <v>2.9167553320251627</v>
      </c>
      <c r="Y21" s="129">
        <f>'Neo-K1'!AV$2</f>
        <v>3.002711543661388</v>
      </c>
    </row>
    <row r="23" spans="1:26" ht="10.5" x14ac:dyDescent="0.25">
      <c r="A23" s="92" t="s">
        <v>161</v>
      </c>
    </row>
    <row r="24" spans="1:26" x14ac:dyDescent="0.2">
      <c r="A24" t="s">
        <v>181</v>
      </c>
      <c r="B24" s="202">
        <v>0</v>
      </c>
      <c r="C24" s="202">
        <v>0.05</v>
      </c>
      <c r="D24" s="202">
        <v>0.1</v>
      </c>
      <c r="E24" s="202">
        <v>0.15000000000000002</v>
      </c>
      <c r="F24" s="202">
        <v>0.2</v>
      </c>
      <c r="G24" s="202">
        <v>0.25</v>
      </c>
      <c r="H24" s="202">
        <v>0.3</v>
      </c>
      <c r="I24" s="202">
        <v>0.35</v>
      </c>
      <c r="J24" s="202">
        <v>0.39999999999999997</v>
      </c>
      <c r="K24" s="202">
        <v>0.44999999999999996</v>
      </c>
      <c r="L24" s="202">
        <v>0.49999999999999994</v>
      </c>
      <c r="M24" s="202">
        <v>0.54999999999999993</v>
      </c>
      <c r="N24" s="202">
        <v>0.6</v>
      </c>
      <c r="O24" s="202">
        <v>0.65</v>
      </c>
      <c r="P24" s="202">
        <v>0.70000000000000007</v>
      </c>
      <c r="Q24" s="202">
        <v>0.75000000000000011</v>
      </c>
      <c r="R24" s="202">
        <v>0.80000000000000016</v>
      </c>
      <c r="S24" s="202">
        <v>0.8500000000000002</v>
      </c>
      <c r="T24" s="202">
        <v>0.90000000000000024</v>
      </c>
      <c r="U24" s="202">
        <v>0.95000000000000029</v>
      </c>
      <c r="V24" s="202">
        <v>0.9600000000000003</v>
      </c>
      <c r="W24" s="202">
        <v>0.97000000000000031</v>
      </c>
      <c r="X24" s="202">
        <v>0.98000000000000032</v>
      </c>
      <c r="Y24" s="202">
        <v>0.99000000000000032</v>
      </c>
    </row>
    <row r="25" spans="1:26" x14ac:dyDescent="0.2">
      <c r="A25" t="s">
        <v>89</v>
      </c>
      <c r="B25" s="129">
        <f>NeoClassical!B$69</f>
        <v>1</v>
      </c>
      <c r="C25" s="129">
        <f>NeoClassical!D$69</f>
        <v>1.0011202207686523</v>
      </c>
      <c r="D25" s="129">
        <f>NeoClassical!F$69</f>
        <v>1.0021050480053799</v>
      </c>
      <c r="E25" s="129">
        <f>NeoClassical!H$69</f>
        <v>1.0029343661414605</v>
      </c>
      <c r="F25" s="129">
        <f>NeoClassical!J$69</f>
        <v>1.0035834775126973</v>
      </c>
      <c r="G25" s="129">
        <f>NeoClassical!L$69</f>
        <v>1.0040219547518312</v>
      </c>
      <c r="H25" s="129">
        <f>NeoClassical!N$69</f>
        <v>1.0042116569527084</v>
      </c>
      <c r="I25" s="129">
        <f>NeoClassical!P$69</f>
        <v>1.0041041789052152</v>
      </c>
      <c r="J25" s="129">
        <f>NeoClassical!R$69</f>
        <v>1.0036370109886228</v>
      </c>
      <c r="K25" s="129">
        <f>NeoClassical!T$69</f>
        <v>1.002727890762892</v>
      </c>
      <c r="L25" s="129">
        <f>NeoClassical!V$69</f>
        <v>1.0012659360272032</v>
      </c>
      <c r="M25" s="129">
        <f>NeoClassical!X$69</f>
        <v>0.99909741348072645</v>
      </c>
      <c r="N25" s="129">
        <f>NeoClassical!Z$69</f>
        <v>0.99600135612425333</v>
      </c>
      <c r="O25" s="129">
        <f>NeoClassical!AB$69</f>
        <v>0.9916449752197446</v>
      </c>
      <c r="P25" s="129">
        <f>NeoClassical!AD$69</f>
        <v>0.98549441000327087</v>
      </c>
      <c r="Q25" s="129">
        <f>NeoClassical!AF$69</f>
        <v>0.97661439069104206</v>
      </c>
      <c r="R25" s="129">
        <f>NeoClassical!AH$69</f>
        <v>0.96314718067665384</v>
      </c>
      <c r="S25" s="129">
        <f>NeoClassical!AJ$69</f>
        <v>0.94070528289420829</v>
      </c>
      <c r="T25" s="129">
        <f>NeoClassical!AL$69</f>
        <v>0.89645994996596146</v>
      </c>
      <c r="U25" s="129">
        <f>NeoClassical!AN$69</f>
        <v>0.77903133142074443</v>
      </c>
      <c r="V25" s="129">
        <f>NeoClassical!AP$69</f>
        <v>0.73007708960898132</v>
      </c>
      <c r="W25" s="129">
        <f>NeoClassical!AR$69</f>
        <v>0.66045450235211578</v>
      </c>
      <c r="X25" s="129">
        <f>NeoClassical!AT$69</f>
        <v>0.55422866868298515</v>
      </c>
      <c r="Y25" s="129">
        <f>NeoClassical!AV$69</f>
        <v>0.37344284323352112</v>
      </c>
    </row>
    <row r="26" spans="1:26" x14ac:dyDescent="0.2">
      <c r="A26" t="s">
        <v>147</v>
      </c>
      <c r="B26" s="129">
        <f>Kaldorian!B$69</f>
        <v>1</v>
      </c>
      <c r="C26" s="129">
        <f>Kaldorian!D$69</f>
        <v>1.0011649703796801</v>
      </c>
      <c r="D26" s="129">
        <f>Kaldorian!F$69</f>
        <v>1.0021927077530772</v>
      </c>
      <c r="E26" s="129">
        <f>Kaldorian!H$69</f>
        <v>1.0030629101434045</v>
      </c>
      <c r="F26" s="129">
        <f>Kaldorian!J$69</f>
        <v>1.003750789022972</v>
      </c>
      <c r="G26" s="129">
        <f>Kaldorian!L$69</f>
        <v>1.0042256649559307</v>
      </c>
      <c r="H26" s="129">
        <f>Kaldorian!N$69</f>
        <v>1.0044491881336675</v>
      </c>
      <c r="I26" s="129">
        <f>Kaldorian!P$69</f>
        <v>1.0043726786980134</v>
      </c>
      <c r="J26" s="129">
        <f>Kaldorian!R$69</f>
        <v>1.0039332964741086</v>
      </c>
      <c r="K26" s="129">
        <f>Kaldorian!T$69</f>
        <v>1.0030483756949644</v>
      </c>
      <c r="L26" s="129">
        <f>Kaldorian!V$69</f>
        <v>1.0016065477840919</v>
      </c>
      <c r="M26" s="129">
        <f>Kaldorian!X$69</f>
        <v>0.9994534833481723</v>
      </c>
      <c r="N26" s="129">
        <f>Kaldorian!Z$69</f>
        <v>0.9963674686834969</v>
      </c>
      <c r="O26" s="129">
        <f>Kaldorian!AB$69</f>
        <v>0.99201483854812966</v>
      </c>
      <c r="P26" s="129">
        <f>Kaldorian!AD$69</f>
        <v>0.98586048989755981</v>
      </c>
      <c r="Q26" s="129">
        <f>Kaldorian!AF$69</f>
        <v>0.97696725887186142</v>
      </c>
      <c r="R26" s="129">
        <f>Kaldorian!AH$69</f>
        <v>0.96347382306882812</v>
      </c>
      <c r="S26" s="129">
        <f>Kaldorian!AJ$69</f>
        <v>0.94098387098392544</v>
      </c>
      <c r="T26" s="129">
        <f>Kaldorian!AL$69</f>
        <v>0.89664951557727834</v>
      </c>
      <c r="U26" s="129"/>
      <c r="V26" s="129"/>
      <c r="W26" s="129"/>
      <c r="X26" s="129"/>
      <c r="Y26" s="129"/>
    </row>
    <row r="27" spans="1:26" x14ac:dyDescent="0.2">
      <c r="A27" t="s">
        <v>90</v>
      </c>
      <c r="B27" s="129">
        <f>Johansen!B$69</f>
        <v>1</v>
      </c>
      <c r="C27" s="129">
        <f>Johansen!D$69</f>
        <v>1.0015289785555348</v>
      </c>
      <c r="D27" s="129">
        <f>Johansen!F$69</f>
        <v>1.0029389599012843</v>
      </c>
      <c r="E27" s="129">
        <f>Johansen!H$69</f>
        <v>1.0042107820083273</v>
      </c>
      <c r="F27" s="129">
        <f>Johansen!J$69</f>
        <v>1.005320929829697</v>
      </c>
      <c r="G27" s="129">
        <f>Johansen!L$69</f>
        <v>1.0062403481049549</v>
      </c>
      <c r="H27" s="129">
        <f>Johansen!N$69</f>
        <v>1.0069326964785943</v>
      </c>
      <c r="I27" s="129">
        <f>Johansen!P$69</f>
        <v>1.0073521228780264</v>
      </c>
      <c r="J27" s="129">
        <f>Johansen!R$69</f>
        <v>1.0074401053094406</v>
      </c>
      <c r="K27" s="129">
        <f>Johansen!T$69</f>
        <v>1.0071208201288337</v>
      </c>
      <c r="L27" s="129">
        <f>Johansen!V$69</f>
        <v>1.0062943564966955</v>
      </c>
      <c r="M27" s="129">
        <f>Johansen!X$69</f>
        <v>1.0048261036197557</v>
      </c>
      <c r="N27" s="129">
        <f>Johansen!Z$69</f>
        <v>1.002528917129883</v>
      </c>
      <c r="O27" s="129">
        <f>Johansen!AB$69</f>
        <v>0.99912972284624169</v>
      </c>
      <c r="P27" s="129">
        <f>Johansen!AD$69</f>
        <v>0.99419645669163381</v>
      </c>
      <c r="Q27" s="129">
        <f>Johansen!AF$69</f>
        <v>0.98694420254539583</v>
      </c>
      <c r="R27" s="129">
        <f>Johansen!AH$69</f>
        <v>0.97563262694565345</v>
      </c>
      <c r="S27" s="129">
        <f>Johansen!AJ$69</f>
        <v>0.9556288099469229</v>
      </c>
      <c r="T27" s="129">
        <f>Johansen!AL$69</f>
        <v>0.91310199365386224</v>
      </c>
      <c r="U27" s="129">
        <f>Johansen!AN$69</f>
        <v>0.79407417329659269</v>
      </c>
      <c r="V27" s="129">
        <f>Johansen!AP$69</f>
        <v>0.74364475154977905</v>
      </c>
      <c r="W27" s="129">
        <f>Johansen!AR$69</f>
        <v>0.6716949648070919</v>
      </c>
      <c r="X27" s="129">
        <f>Johansen!AT$69</f>
        <v>0.56190796753386985</v>
      </c>
      <c r="Y27" s="129">
        <f>Johansen!AV$69</f>
        <v>0.3761608095396004</v>
      </c>
    </row>
    <row r="28" spans="1:26" x14ac:dyDescent="0.2">
      <c r="A28" t="s">
        <v>130</v>
      </c>
      <c r="B28" s="129">
        <f>'Keynes-M'!B$69</f>
        <v>1</v>
      </c>
      <c r="C28" s="129">
        <f>'Keynes-M'!D$69</f>
        <v>1.0116634064365475</v>
      </c>
      <c r="D28" s="129">
        <f>'Keynes-M'!F$69</f>
        <v>1.0232554364830282</v>
      </c>
      <c r="E28" s="129">
        <f>'Keynes-M'!H$69</f>
        <v>1.0347855401939408</v>
      </c>
      <c r="F28" s="129">
        <f>'Keynes-M'!J$69</f>
        <v>1.0462639389310624</v>
      </c>
      <c r="G28" s="129">
        <f>'Keynes-M'!L$69</f>
        <v>1.0577026651786023</v>
      </c>
      <c r="H28" s="129">
        <f>'Keynes-M'!N$69</f>
        <v>1.069116855701951</v>
      </c>
      <c r="I28" s="129">
        <f>'Keynes-M'!P$69</f>
        <v>1.0805276077256971</v>
      </c>
      <c r="J28" s="129">
        <f>'Keynes-M'!R$69</f>
        <v>1.0919665242856109</v>
      </c>
      <c r="K28" s="129">
        <f>'Keynes-M'!T$69</f>
        <v>1.1034839825272735</v>
      </c>
      <c r="L28" s="129">
        <f>'Keynes-M'!V$69</f>
        <v>1.1151648536912042</v>
      </c>
      <c r="M28" s="129">
        <f>'Keynes-M'!X$69</f>
        <v>1.1271588617602393</v>
      </c>
      <c r="N28" s="129">
        <f>'Keynes-M'!Z$69</f>
        <v>1.1397410063291953</v>
      </c>
      <c r="O28" s="129">
        <f>'Keynes-M'!AB$69</f>
        <v>1.153436459201876</v>
      </c>
      <c r="P28" s="129">
        <f>'Keynes-M'!AD$69</f>
        <v>1.169278465554932</v>
      </c>
      <c r="Q28" s="129">
        <f>'Keynes-M'!AF$69</f>
        <v>1.1892891236902055</v>
      </c>
      <c r="R28" s="129"/>
      <c r="S28" s="129"/>
      <c r="T28" s="129"/>
      <c r="U28" s="129"/>
      <c r="V28" s="129"/>
      <c r="W28" s="129"/>
      <c r="X28" s="129"/>
      <c r="Y28" s="129"/>
    </row>
    <row r="29" spans="1:26" x14ac:dyDescent="0.2">
      <c r="A29" t="s">
        <v>146</v>
      </c>
      <c r="B29" s="129">
        <f>Keynesian!B$69</f>
        <v>1</v>
      </c>
      <c r="C29" s="129">
        <f>Keynesian!D$69</f>
        <v>0.98303926401700381</v>
      </c>
      <c r="D29" s="129">
        <f>Keynesian!F$69</f>
        <v>0.96423187300267066</v>
      </c>
      <c r="E29" s="129">
        <f>Keynesian!H$69</f>
        <v>0.94334844256411921</v>
      </c>
      <c r="F29" s="129">
        <f>Keynesian!J$69</f>
        <v>0.92012817291364302</v>
      </c>
      <c r="G29" s="129">
        <f>Keynesian!L$69</f>
        <v>0.89427655387987659</v>
      </c>
      <c r="H29" s="129">
        <f>Keynesian!N$69</f>
        <v>0.86546611193740752</v>
      </c>
      <c r="I29" s="129">
        <f>Keynesian!P$69</f>
        <v>0.83334391560603838</v>
      </c>
      <c r="J29" s="129">
        <f>Keynesian!R$69</f>
        <v>0.79754913123003601</v>
      </c>
      <c r="K29" s="129">
        <f>Keynesian!T$69</f>
        <v>0.75775521021391024</v>
      </c>
      <c r="L29" s="129">
        <f>Keynesian!V$69</f>
        <v>0.71376485302380688</v>
      </c>
      <c r="M29" s="129">
        <f>Keynesian!X$69</f>
        <v>0.66574067952197147</v>
      </c>
      <c r="N29" s="129">
        <f>Keynesian!Z$69</f>
        <v>0.61489994418477911</v>
      </c>
      <c r="O29" s="129" t="e">
        <f>Keynesian!AB$69</f>
        <v>#DIV/0!</v>
      </c>
      <c r="P29" s="129"/>
      <c r="Q29" s="129"/>
      <c r="R29" s="129"/>
      <c r="S29" s="129"/>
      <c r="T29" s="129"/>
      <c r="U29" s="129"/>
      <c r="V29" s="129"/>
      <c r="W29" s="129"/>
      <c r="X29" s="129"/>
      <c r="Y29" s="129"/>
    </row>
    <row r="30" spans="1:26" x14ac:dyDescent="0.2">
      <c r="A30" t="s">
        <v>131</v>
      </c>
      <c r="B30" s="129">
        <f>'Keynes-K'!B$69</f>
        <v>1</v>
      </c>
      <c r="C30" s="129">
        <f>'Keynes-K'!D$69</f>
        <v>1.0050023481701593</v>
      </c>
      <c r="D30" s="129">
        <f>'Keynes-K'!F$69</f>
        <v>1.0095017054422775</v>
      </c>
      <c r="E30" s="129">
        <f>'Keynes-K'!H$69</f>
        <v>1.0134537335053648</v>
      </c>
      <c r="F30" s="129">
        <f>'Keynes-K'!J$69</f>
        <v>1.0167995944714432</v>
      </c>
      <c r="G30" s="129">
        <f>'Keynes-K'!L$69</f>
        <v>1.0194617842590565</v>
      </c>
      <c r="H30" s="129">
        <f>'Keynes-K'!N$69</f>
        <v>1.0213384630264348</v>
      </c>
      <c r="I30" s="129">
        <f>'Keynes-K'!P$69</f>
        <v>1.0222949933725141</v>
      </c>
      <c r="J30" s="129">
        <f>'Keynes-K'!R$69</f>
        <v>1.0221514668386666</v>
      </c>
      <c r="K30" s="129">
        <f>'Keynes-K'!T$69</f>
        <v>1.0206636764125923</v>
      </c>
      <c r="L30" s="129">
        <f>'Keynes-K'!V$69</f>
        <v>1.0174930785011438</v>
      </c>
      <c r="M30" s="129">
        <f>'Keynes-K'!X$69</f>
        <v>1.0121573697827635</v>
      </c>
      <c r="N30" s="129">
        <f>'Keynes-K'!Z$69</f>
        <v>1.0039443587797772</v>
      </c>
      <c r="O30" s="129">
        <f>'Keynes-K'!AB$69</f>
        <v>0.99175328292738729</v>
      </c>
      <c r="P30" s="129">
        <f>'Keynes-K'!AD$69</f>
        <v>0.97377689246867927</v>
      </c>
      <c r="Q30" s="129">
        <f>'Keynes-K'!AF$69</f>
        <v>0.94680564887799867</v>
      </c>
      <c r="R30" s="129">
        <f>'Keynes-K'!AH$69</f>
        <v>0.90454402580796134</v>
      </c>
      <c r="S30" s="129">
        <f>'Keynes-K'!AJ$69</f>
        <v>0.83318787458860577</v>
      </c>
      <c r="T30" s="129">
        <f>'Keynes-K'!AL$69</f>
        <v>0.7000018997689379</v>
      </c>
      <c r="U30" s="129"/>
      <c r="V30" s="129"/>
      <c r="W30" s="129"/>
      <c r="X30" s="129"/>
      <c r="Y30" s="129"/>
    </row>
    <row r="31" spans="1:26" x14ac:dyDescent="0.2">
      <c r="A31" t="s">
        <v>142</v>
      </c>
      <c r="B31" s="129">
        <f>'Neo-K1'!B$69</f>
        <v>1</v>
      </c>
      <c r="C31" s="129">
        <f>'Neo-K1'!D$69</f>
        <v>0.99713651088389199</v>
      </c>
      <c r="D31" s="129">
        <f>'Neo-K1'!F$69</f>
        <v>0.99374829863727465</v>
      </c>
      <c r="E31" s="129">
        <f>'Neo-K1'!H$69</f>
        <v>0.98974049080632565</v>
      </c>
      <c r="F31" s="129">
        <f>'Neo-K1'!J$69</f>
        <v>0.98499339828259502</v>
      </c>
      <c r="G31" s="129">
        <f>'Neo-K1'!L$69</f>
        <v>0.97935468095412936</v>
      </c>
      <c r="H31" s="129">
        <f>'Neo-K1'!N$69</f>
        <v>0.97262699869303615</v>
      </c>
      <c r="I31" s="129">
        <f>'Neo-K1'!P$69</f>
        <v>0.96455100407590055</v>
      </c>
      <c r="J31" s="129">
        <f>'Neo-K1'!R$69</f>
        <v>0.95477961426141478</v>
      </c>
      <c r="K31" s="129">
        <f>'Neo-K1'!T$69</f>
        <v>0.94283932429564887</v>
      </c>
      <c r="L31" s="129">
        <f>'Neo-K1'!V$69</f>
        <v>0.92807068036610985</v>
      </c>
      <c r="M31" s="129">
        <f>'Neo-K1'!X$69</f>
        <v>0.90953425085239481</v>
      </c>
      <c r="N31" s="129">
        <f>'Neo-K1'!Z$69</f>
        <v>0.88586233259484781</v>
      </c>
      <c r="O31" s="129">
        <f>'Neo-K1'!AB$69</f>
        <v>0.85502300106921603</v>
      </c>
      <c r="P31" s="129">
        <f>'Neo-K1'!AD$69</f>
        <v>0.81395979103441718</v>
      </c>
      <c r="Q31" s="129">
        <f>'Neo-K1'!AF$69</f>
        <v>0.75809506765097023</v>
      </c>
      <c r="R31" s="129">
        <f>'Neo-K1'!AH$69</f>
        <v>0.68084171630028278</v>
      </c>
      <c r="S31" s="129">
        <f>'Neo-K1'!AJ$69</f>
        <v>0.57366542588873481</v>
      </c>
      <c r="T31" s="129">
        <f>'Neo-K1'!AL$69</f>
        <v>0.42765229894041124</v>
      </c>
      <c r="U31" s="129">
        <f>'Neo-K1'!AN$69</f>
        <v>0.23669664623251183</v>
      </c>
      <c r="V31" s="129">
        <f>'Neo-K1'!AP$69</f>
        <v>0.19294467296100135</v>
      </c>
      <c r="W31" s="129">
        <f>'Neo-K1'!AR$69</f>
        <v>0.14736793411479004</v>
      </c>
      <c r="X31" s="129">
        <f>'Neo-K1'!AT$69</f>
        <v>9.9994498543603191E-2</v>
      </c>
      <c r="Y31" s="129">
        <f>'Neo-K1'!AV$69</f>
        <v>5.0858674613091646E-2</v>
      </c>
    </row>
    <row r="32" spans="1:26" x14ac:dyDescent="0.2">
      <c r="A32" t="s">
        <v>141</v>
      </c>
      <c r="B32" s="129">
        <f>'Neo-K2'!B$69</f>
        <v>1</v>
      </c>
      <c r="C32" s="129">
        <f>'Neo-K2'!D$69</f>
        <v>0.99570301593730881</v>
      </c>
      <c r="D32" s="129">
        <f>'Neo-K2'!F$69</f>
        <v>0.99067453166194008</v>
      </c>
      <c r="E32" s="129">
        <f>'Neo-K2'!H$69</f>
        <v>0.98476988552436706</v>
      </c>
      <c r="F32" s="129">
        <f>'Neo-K2'!J$69</f>
        <v>0.97780401848146115</v>
      </c>
      <c r="G32" s="129">
        <f>'Neo-K2'!L$69</f>
        <v>0.96953892510393147</v>
      </c>
      <c r="H32" s="129">
        <f>'Neo-K2'!N$69</f>
        <v>0.95966313408249648</v>
      </c>
      <c r="I32" s="129">
        <f>'Neo-K2'!P$69</f>
        <v>0.94776532695719196</v>
      </c>
      <c r="J32" s="129">
        <f>'Neo-K2'!R$69</f>
        <v>0.9332958813614336</v>
      </c>
      <c r="K32" s="129">
        <f>'Neo-K2'!T$69</f>
        <v>0.91551450896740483</v>
      </c>
      <c r="L32" s="129">
        <f>'Neo-K2'!V$69</f>
        <v>0.89342241222821572</v>
      </c>
      <c r="M32" s="129">
        <f>'Neo-K2'!X$69</f>
        <v>0.86568376311065076</v>
      </c>
      <c r="N32" s="129">
        <f>'Neo-K2'!Z$69</f>
        <v>0.83056782108257132</v>
      </c>
      <c r="O32" s="129">
        <f>'Neo-K2'!AB$69</f>
        <v>0.78599848546317186</v>
      </c>
      <c r="P32" s="129">
        <f>'Neo-K2'!AD$69</f>
        <v>0.72991116633845521</v>
      </c>
      <c r="Q32" s="129">
        <f>'Neo-K2'!AF$69</f>
        <v>0.6611972918822161</v>
      </c>
      <c r="R32" s="129">
        <f>'Neo-K2'!AH$69</f>
        <v>0.58111993936675888</v>
      </c>
      <c r="S32" s="129">
        <f>'Neo-K2'!AJ$69</f>
        <v>0.4931846747092028</v>
      </c>
      <c r="T32" s="129">
        <f>'Neo-K2'!AL$69</f>
        <v>0.39632552092090217</v>
      </c>
      <c r="U32" s="129">
        <f>'Neo-K2'!AN$69</f>
        <v>0.253141483126822</v>
      </c>
      <c r="V32" s="129">
        <f>'Neo-K2'!AP$69</f>
        <v>0.20059104696387919</v>
      </c>
      <c r="W32" s="129"/>
      <c r="X32" s="129"/>
      <c r="Y32" s="129"/>
    </row>
    <row r="34" spans="1:26" ht="10.5" x14ac:dyDescent="0.25">
      <c r="A34" s="92" t="s">
        <v>184</v>
      </c>
    </row>
    <row r="35" spans="1:26" x14ac:dyDescent="0.2">
      <c r="A35" t="s">
        <v>181</v>
      </c>
      <c r="B35" s="202">
        <v>0</v>
      </c>
      <c r="C35" s="202">
        <v>0.05</v>
      </c>
      <c r="D35" s="202">
        <v>0.1</v>
      </c>
      <c r="E35" s="202">
        <v>0.15000000000000002</v>
      </c>
      <c r="F35" s="202">
        <v>0.2</v>
      </c>
      <c r="G35" s="202">
        <v>0.25</v>
      </c>
      <c r="H35" s="202">
        <v>0.3</v>
      </c>
      <c r="I35" s="202">
        <v>0.35</v>
      </c>
      <c r="J35" s="202">
        <v>0.39999999999999997</v>
      </c>
      <c r="K35" s="202">
        <v>0.44999999999999996</v>
      </c>
      <c r="L35" s="202">
        <v>0.49999999999999994</v>
      </c>
      <c r="M35" s="202">
        <v>0.54999999999999993</v>
      </c>
      <c r="N35" s="202">
        <v>0.6</v>
      </c>
      <c r="O35" s="202">
        <v>0.65</v>
      </c>
      <c r="P35" s="202">
        <v>0.70000000000000007</v>
      </c>
      <c r="Q35" s="202">
        <v>0.75000000000000011</v>
      </c>
      <c r="R35" s="202">
        <v>0.80000000000000016</v>
      </c>
      <c r="S35" s="202">
        <v>0.8500000000000002</v>
      </c>
      <c r="T35" s="202">
        <v>0.90000000000000024</v>
      </c>
      <c r="U35" s="202">
        <v>0.95000000000000029</v>
      </c>
      <c r="V35" s="202">
        <v>0.9600000000000003</v>
      </c>
      <c r="W35" s="202">
        <v>0.97000000000000031</v>
      </c>
      <c r="X35" s="202">
        <v>0.98000000000000032</v>
      </c>
      <c r="Y35" s="202">
        <v>0.99000000000000032</v>
      </c>
      <c r="Z35" s="130"/>
    </row>
    <row r="36" spans="1:26" x14ac:dyDescent="0.2">
      <c r="A36" t="s">
        <v>89</v>
      </c>
      <c r="B36" s="167">
        <f>NeoClassical!B$43</f>
        <v>0.56058995943839207</v>
      </c>
      <c r="C36" s="167">
        <f>NeoClassical!D$43</f>
        <v>0.56583351571019114</v>
      </c>
      <c r="D36" s="167">
        <f>NeoClassical!F$43</f>
        <v>0.56446534025797324</v>
      </c>
      <c r="E36" s="167">
        <f>NeoClassical!H$43</f>
        <v>0.56309573285012893</v>
      </c>
      <c r="F36" s="167">
        <f>NeoClassical!J$43</f>
        <v>0.56172446233977058</v>
      </c>
      <c r="G36" s="167">
        <f>NeoClassical!L$43</f>
        <v>0.56035125534017094</v>
      </c>
      <c r="H36" s="167">
        <f>NeoClassical!N$43</f>
        <v>0.55897592496734549</v>
      </c>
      <c r="I36" s="167">
        <f>NeoClassical!P$43</f>
        <v>0.55759842228121637</v>
      </c>
      <c r="J36" s="167">
        <f>NeoClassical!R$43</f>
        <v>0.55621902277013557</v>
      </c>
      <c r="K36" s="167">
        <f>NeoClassical!T$43</f>
        <v>0.55483860839203991</v>
      </c>
      <c r="L36" s="167">
        <f>NeoClassical!V$43</f>
        <v>0.55345923658819651</v>
      </c>
      <c r="M36" s="167">
        <f>NeoClassical!X$43</f>
        <v>0.55208511394106374</v>
      </c>
      <c r="N36" s="167">
        <f>NeoClassical!Z$43</f>
        <v>0.55072441661310667</v>
      </c>
      <c r="O36" s="167">
        <f>NeoClassical!AB$43</f>
        <v>0.54939264958775502</v>
      </c>
      <c r="P36" s="167">
        <f>NeoClassical!AD$43</f>
        <v>0.54811888686417864</v>
      </c>
      <c r="Q36" s="167">
        <f>NeoClassical!AF$43</f>
        <v>0.54695674011625361</v>
      </c>
      <c r="R36" s="167">
        <f>NeoClassical!AH$43</f>
        <v>0.54599911316804284</v>
      </c>
      <c r="S36" s="167">
        <f>NeoClassical!AJ$43</f>
        <v>0.54537189010895037</v>
      </c>
      <c r="T36" s="167">
        <f>NeoClassical!AL$43</f>
        <v>0.54512322430637417</v>
      </c>
      <c r="U36" s="167">
        <f>NeoClassical!AN$43</f>
        <v>0.54508618439241274</v>
      </c>
      <c r="V36" s="167">
        <f>NeoClassical!AP$43</f>
        <v>0.54508562283738093</v>
      </c>
      <c r="W36" s="167">
        <f>NeoClassical!AR$43</f>
        <v>0.54508543940786147</v>
      </c>
      <c r="X36" s="167">
        <f>NeoClassical!AT$43</f>
        <v>0.54508539405790113</v>
      </c>
      <c r="Y36" s="167">
        <f>NeoClassical!AV$43</f>
        <v>0.5450853867198282</v>
      </c>
      <c r="Z36" s="129"/>
    </row>
    <row r="37" spans="1:26" x14ac:dyDescent="0.2">
      <c r="A37" t="s">
        <v>147</v>
      </c>
      <c r="B37" s="167">
        <f>Kaldorian!B$43</f>
        <v>0.56058995943839207</v>
      </c>
      <c r="C37" s="167">
        <f>Kaldorian!D$43</f>
        <v>0.5627605959256502</v>
      </c>
      <c r="D37" s="167">
        <f>Kaldorian!F$43</f>
        <v>0.55821361421737137</v>
      </c>
      <c r="E37" s="167">
        <f>Kaldorian!H$43</f>
        <v>0.55354197950092121</v>
      </c>
      <c r="F37" s="167">
        <f>Kaldorian!J$43</f>
        <v>0.54872394215565556</v>
      </c>
      <c r="G37" s="167">
        <f>Kaldorian!L$43</f>
        <v>0.54373224296730671</v>
      </c>
      <c r="H37" s="167">
        <f>Kaldorian!N$43</f>
        <v>0.53853207906960709</v>
      </c>
      <c r="I37" s="167">
        <f>Kaldorian!P$43</f>
        <v>0.53307808188570116</v>
      </c>
      <c r="J37" s="167">
        <f>Kaldorian!R$43</f>
        <v>0.52730955296064852</v>
      </c>
      <c r="K37" s="167">
        <f>Kaldorian!T$43</f>
        <v>0.52114277516932206</v>
      </c>
      <c r="L37" s="167">
        <f>Kaldorian!V$43</f>
        <v>0.51445775757259538</v>
      </c>
      <c r="M37" s="167">
        <f>Kaldorian!X$43</f>
        <v>0.50707451959375316</v>
      </c>
      <c r="N37" s="167">
        <f>Kaldorian!Z$43</f>
        <v>0.49870761776858991</v>
      </c>
      <c r="O37" s="167">
        <f>Kaldorian!AB$43</f>
        <v>0.48887275828055732</v>
      </c>
      <c r="P37" s="167">
        <f>Kaldorian!AD$43</f>
        <v>0.47667860991872518</v>
      </c>
      <c r="Q37" s="167">
        <f>Kaldorian!AF$43</f>
        <v>0.46031807345988879</v>
      </c>
      <c r="R37" s="167">
        <f>Kaldorian!AH$43</f>
        <v>0.43569707699162485</v>
      </c>
      <c r="S37" s="167">
        <f>Kaldorian!AJ$43</f>
        <v>0.39235472842692298</v>
      </c>
      <c r="T37" s="167">
        <f>Kaldorian!AL$43</f>
        <v>0.29836405249786796</v>
      </c>
      <c r="U37" s="167"/>
      <c r="V37" s="167"/>
      <c r="W37" s="167"/>
      <c r="X37" s="167"/>
      <c r="Y37" s="167"/>
      <c r="Z37" s="129"/>
    </row>
    <row r="38" spans="1:26" x14ac:dyDescent="0.2">
      <c r="A38" t="s">
        <v>90</v>
      </c>
      <c r="B38" s="167">
        <f>Johansen!B$43</f>
        <v>0.56058995943839207</v>
      </c>
      <c r="C38" s="167">
        <f>Johansen!D$43</f>
        <v>0.56575140399704549</v>
      </c>
      <c r="D38" s="167">
        <f>Johansen!F$43</f>
        <v>0.56429789774285555</v>
      </c>
      <c r="E38" s="167">
        <f>Johansen!H$43</f>
        <v>0.56283942528978304</v>
      </c>
      <c r="F38" s="167">
        <f>Johansen!J$43</f>
        <v>0.56137544875401135</v>
      </c>
      <c r="G38" s="167">
        <f>Johansen!L$43</f>
        <v>0.55990556859423146</v>
      </c>
      <c r="H38" s="167">
        <f>Johansen!N$43</f>
        <v>0.55842975568364195</v>
      </c>
      <c r="I38" s="167">
        <f>Johansen!P$43</f>
        <v>0.55694863061421596</v>
      </c>
      <c r="J38" s="167">
        <f>Johansen!R$43</f>
        <v>0.55546396227914641</v>
      </c>
      <c r="K38" s="167">
        <f>Johansen!T$43</f>
        <v>0.55397953599429961</v>
      </c>
      <c r="L38" s="167">
        <f>Johansen!V$43</f>
        <v>0.55250252180668813</v>
      </c>
      <c r="M38" s="167">
        <f>Johansen!X$43</f>
        <v>0.55104573013733149</v>
      </c>
      <c r="N38" s="167">
        <f>Johansen!Z$43</f>
        <v>0.54963129304834102</v>
      </c>
      <c r="O38" s="167">
        <f>Johansen!AB$43</f>
        <v>0.54829641954130037</v>
      </c>
      <c r="P38" s="167">
        <f>Johansen!AD$43</f>
        <v>0.54710111204737799</v>
      </c>
      <c r="Q38" s="167">
        <f>Johansen!AF$43</f>
        <v>0.54613266562770335</v>
      </c>
      <c r="R38" s="167">
        <f>Johansen!AH$43</f>
        <v>0.5454848102941362</v>
      </c>
      <c r="S38" s="167">
        <f>Johansen!AJ$43</f>
        <v>0.54517827513390593</v>
      </c>
      <c r="T38" s="167">
        <f>Johansen!AL$43</f>
        <v>0.54509518430626702</v>
      </c>
      <c r="U38" s="167">
        <f>Johansen!AN$43</f>
        <v>0.54508561050959248</v>
      </c>
      <c r="V38" s="167">
        <f>Johansen!AP$43</f>
        <v>0.5450854594504333</v>
      </c>
      <c r="W38" s="167">
        <f>Johansen!AR$43</f>
        <v>0.54508540528681482</v>
      </c>
      <c r="X38" s="167">
        <f>Johansen!AT$43</f>
        <v>0.54508538972013176</v>
      </c>
      <c r="Y38" s="167">
        <f>Johansen!AV$43</f>
        <v>0.54508538652703453</v>
      </c>
      <c r="Z38" s="129"/>
    </row>
    <row r="39" spans="1:26" x14ac:dyDescent="0.2">
      <c r="A39" t="s">
        <v>130</v>
      </c>
      <c r="B39" s="167">
        <f>'Keynes-M'!B$43</f>
        <v>0.56058995943839207</v>
      </c>
      <c r="C39" s="167">
        <f>'Keynes-M'!D$43</f>
        <v>0.57691007007322948</v>
      </c>
      <c r="D39" s="167">
        <f>'Keynes-M'!F$43</f>
        <v>0.58677154766559436</v>
      </c>
      <c r="E39" s="167">
        <f>'Keynes-M'!H$43</f>
        <v>0.5968268130282296</v>
      </c>
      <c r="F39" s="167">
        <f>'Keynes-M'!J$43</f>
        <v>0.60712663246472731</v>
      </c>
      <c r="G39" s="167">
        <f>'Keynes-M'!L$43</f>
        <v>0.61773420939206225</v>
      </c>
      <c r="H39" s="167">
        <f>'Keynes-M'!N$43</f>
        <v>0.62873058388889103</v>
      </c>
      <c r="I39" s="167">
        <f>'Keynes-M'!P$43</f>
        <v>0.64022270900410805</v>
      </c>
      <c r="J39" s="167">
        <f>'Keynes-M'!R$43</f>
        <v>0.65235696137099841</v>
      </c>
      <c r="K39" s="167">
        <f>'Keynes-M'!T$43</f>
        <v>0.66534094737369731</v>
      </c>
      <c r="L39" s="167">
        <f>'Keynes-M'!V$43</f>
        <v>0.67948239107481778</v>
      </c>
      <c r="M39" s="167">
        <f>'Keynes-M'!X$43</f>
        <v>0.69526053858175008</v>
      </c>
      <c r="N39" s="167">
        <f>'Keynes-M'!Z$43</f>
        <v>0.71346458106980992</v>
      </c>
      <c r="O39" s="167">
        <f>'Keynes-M'!AB$43</f>
        <v>0.73548054548157915</v>
      </c>
      <c r="P39" s="167">
        <f>'Keynes-M'!AD$43</f>
        <v>0.76391936006344219</v>
      </c>
      <c r="Q39" s="167">
        <f>'Keynes-M'!AF$43</f>
        <v>0.80403893720438113</v>
      </c>
      <c r="R39" s="167"/>
      <c r="S39" s="167"/>
      <c r="T39" s="167"/>
      <c r="U39" s="167"/>
      <c r="V39" s="167"/>
      <c r="W39" s="167"/>
      <c r="X39" s="167"/>
      <c r="Y39" s="167"/>
    </row>
    <row r="40" spans="1:26" x14ac:dyDescent="0.2">
      <c r="A40" t="s">
        <v>146</v>
      </c>
      <c r="B40" s="167">
        <f>Keynesian!B$43</f>
        <v>0.56058995943839207</v>
      </c>
      <c r="C40" s="167">
        <f>Keynesian!D$43</f>
        <v>0.57336821404259863</v>
      </c>
      <c r="D40" s="167">
        <f>Keynesian!F$43</f>
        <v>0.57956235938619738</v>
      </c>
      <c r="E40" s="167">
        <f>Keynesian!H$43</f>
        <v>0.58577463778990924</v>
      </c>
      <c r="F40" s="167">
        <f>Keynesian!J$43</f>
        <v>0.59199376900357537</v>
      </c>
      <c r="G40" s="167">
        <f>Keynesian!L$43</f>
        <v>0.59820371234875247</v>
      </c>
      <c r="H40" s="167">
        <f>Keynesian!N$43</f>
        <v>0.60438152652237842</v>
      </c>
      <c r="I40" s="167">
        <f>Keynesian!P$43</f>
        <v>0.61049623863722247</v>
      </c>
      <c r="J40" s="167">
        <f>Keynesian!R$43</f>
        <v>0.61650441954595725</v>
      </c>
      <c r="K40" s="167">
        <f>Keynesian!T$43</f>
        <v>0.62234502611434261</v>
      </c>
      <c r="L40" s="167">
        <f>Keynesian!V$43</f>
        <v>0.62792964332527457</v>
      </c>
      <c r="M40" s="167">
        <f>Keynesian!X$43</f>
        <v>0.6331152250500649</v>
      </c>
      <c r="N40" s="167">
        <f>Keynesian!Z$43</f>
        <v>0.6376307152276719</v>
      </c>
      <c r="O40" s="167" t="e">
        <f>Keynesian!AB$43</f>
        <v>#DIV/0!</v>
      </c>
      <c r="P40" s="167"/>
      <c r="Q40" s="167"/>
      <c r="R40" s="167"/>
      <c r="S40" s="167"/>
      <c r="T40" s="167"/>
      <c r="U40" s="167"/>
      <c r="V40" s="167"/>
      <c r="W40" s="167"/>
      <c r="X40" s="167"/>
      <c r="Y40" s="167"/>
    </row>
    <row r="41" spans="1:26" x14ac:dyDescent="0.2">
      <c r="A41" t="s">
        <v>131</v>
      </c>
      <c r="B41" s="167">
        <f>'Keynes-K'!B$43</f>
        <v>0.56058995943839207</v>
      </c>
      <c r="C41" s="167">
        <f>'Keynes-K'!D$43</f>
        <v>0.5625119912743447</v>
      </c>
      <c r="D41" s="167">
        <f>'Keynes-K'!F$43</f>
        <v>0.55774972964741787</v>
      </c>
      <c r="E41" s="167">
        <f>'Keynes-K'!H$43</f>
        <v>0.55289479600082436</v>
      </c>
      <c r="F41" s="167">
        <f>'Keynes-K'!J$43</f>
        <v>0.54792464737222824</v>
      </c>
      <c r="G41" s="167">
        <f>'Keynes-K'!L$43</f>
        <v>0.54281193413252316</v>
      </c>
      <c r="H41" s="167">
        <f>'Keynes-K'!N$43</f>
        <v>0.53752263412050316</v>
      </c>
      <c r="I41" s="167">
        <f>'Keynes-K'!P$43</f>
        <v>0.53201342580598687</v>
      </c>
      <c r="J41" s="167">
        <f>'Keynes-K'!R$43</f>
        <v>0.52622759361541838</v>
      </c>
      <c r="K41" s="167">
        <f>'Keynes-K'!T$43</f>
        <v>0.52008859220346493</v>
      </c>
      <c r="L41" s="167">
        <f>'Keynes-K'!V$43</f>
        <v>0.51348929286545453</v>
      </c>
      <c r="M41" s="167">
        <f>'Keynes-K'!X$43</f>
        <v>0.50627352846232032</v>
      </c>
      <c r="N41" s="167">
        <f>'Keynes-K'!Z$43</f>
        <v>0.49820264354904087</v>
      </c>
      <c r="O41" s="167">
        <f>'Keynes-K'!AB$43</f>
        <v>0.48889177382079585</v>
      </c>
      <c r="P41" s="167">
        <f>'Keynes-K'!AD$43</f>
        <v>0.47768214095328793</v>
      </c>
      <c r="Q41" s="167">
        <f>'Keynes-K'!AF$43</f>
        <v>0.46337516670594192</v>
      </c>
      <c r="R41" s="167">
        <f>'Keynes-K'!AH$43</f>
        <v>0.44368201393202789</v>
      </c>
      <c r="S41" s="167">
        <f>'Keynes-K'!AJ$43</f>
        <v>0.4142730306659887</v>
      </c>
      <c r="T41" s="167">
        <f>'Keynes-K'!AL$43</f>
        <v>0.36861383293276201</v>
      </c>
      <c r="U41" s="167"/>
      <c r="V41" s="167"/>
      <c r="W41" s="167"/>
      <c r="X41" s="167"/>
      <c r="Y41" s="167"/>
    </row>
    <row r="42" spans="1:26" x14ac:dyDescent="0.2">
      <c r="A42" t="s">
        <v>142</v>
      </c>
      <c r="B42" s="167">
        <f>'Neo-K1'!B$43</f>
        <v>0.56058995943839207</v>
      </c>
      <c r="C42" s="167">
        <f>'Neo-K1'!D$43</f>
        <v>0.56686772061502388</v>
      </c>
      <c r="D42" s="167">
        <f>'Neo-K1'!F$43</f>
        <v>0.56655035634357431</v>
      </c>
      <c r="E42" s="167">
        <f>'Neo-K1'!H$43</f>
        <v>0.56624919389762673</v>
      </c>
      <c r="F42" s="167">
        <f>'Neo-K1'!J$43</f>
        <v>0.56596485076564507</v>
      </c>
      <c r="G42" s="167">
        <f>'Neo-K1'!L$43</f>
        <v>0.56569766661152998</v>
      </c>
      <c r="H42" s="167">
        <f>'Neo-K1'!N$43</f>
        <v>0.56544754098446182</v>
      </c>
      <c r="I42" s="167">
        <f>'Neo-K1'!P$43</f>
        <v>0.56521362571256761</v>
      </c>
      <c r="J42" s="167">
        <f>'Neo-K1'!R$43</f>
        <v>0.56499387212667695</v>
      </c>
      <c r="K42" s="167">
        <f>'Neo-K1'!T$43</f>
        <v>0.56478430210948505</v>
      </c>
      <c r="L42" s="167">
        <f>'Neo-K1'!V$43</f>
        <v>0.56457786973632174</v>
      </c>
      <c r="M42" s="167">
        <f>'Neo-K1'!X$43</f>
        <v>0.56436268150323843</v>
      </c>
      <c r="N42" s="167">
        <f>'Neo-K1'!Z$43</f>
        <v>0.56411918218804502</v>
      </c>
      <c r="O42" s="167">
        <f>'Neo-K1'!AB$43</f>
        <v>0.56381607681821777</v>
      </c>
      <c r="P42" s="167">
        <f>'Neo-K1'!AD$43</f>
        <v>0.56340487252854687</v>
      </c>
      <c r="Q42" s="167">
        <f>'Neo-K1'!AF$43</f>
        <v>0.56281473239987156</v>
      </c>
      <c r="R42" s="167">
        <f>'Neo-K1'!AH$43</f>
        <v>0.56195384882686128</v>
      </c>
      <c r="S42" s="167">
        <f>'Neo-K1'!AJ$43</f>
        <v>0.5607301898598287</v>
      </c>
      <c r="T42" s="167">
        <f>'Neo-K1'!AL$43</f>
        <v>0.55910040744637401</v>
      </c>
      <c r="U42" s="167">
        <f>'Neo-K1'!AN$43</f>
        <v>0.55711840964748816</v>
      </c>
      <c r="V42" s="167">
        <f>'Neo-K1'!AP$43</f>
        <v>0.55669127203879476</v>
      </c>
      <c r="W42" s="167">
        <f>'Neo-K1'!AR$43</f>
        <v>0.55625694249101931</v>
      </c>
      <c r="X42" s="167">
        <f>'Neo-K1'!AT$43</f>
        <v>0.55581676323203622</v>
      </c>
      <c r="Y42" s="167">
        <f>'Neo-K1'!AV$43</f>
        <v>0.55537204626344583</v>
      </c>
    </row>
    <row r="43" spans="1:26" x14ac:dyDescent="0.2">
      <c r="A43" t="s">
        <v>141</v>
      </c>
      <c r="B43" s="167">
        <f>'Neo-K2'!B$43</f>
        <v>0.56058995943839207</v>
      </c>
      <c r="C43" s="167">
        <f>'Neo-K2'!D$43</f>
        <v>0.56745634671623879</v>
      </c>
      <c r="D43" s="167">
        <f>'Neo-K2'!F$43</f>
        <v>0.56776757430744196</v>
      </c>
      <c r="E43" s="167">
        <f>'Neo-K2'!H$43</f>
        <v>0.5681420200928593</v>
      </c>
      <c r="F43" s="167">
        <f>'Neo-K2'!J$43</f>
        <v>0.56858888156246279</v>
      </c>
      <c r="G43" s="167">
        <f>'Neo-K2'!L$43</f>
        <v>0.56911896851617805</v>
      </c>
      <c r="H43" s="167">
        <f>'Neo-K2'!N$43</f>
        <v>0.5697450588820292</v>
      </c>
      <c r="I43" s="167">
        <f>'Neo-K2'!P$43</f>
        <v>0.57048217132849377</v>
      </c>
      <c r="J43" s="167">
        <f>'Neo-K2'!R$43</f>
        <v>0.57134782221714808</v>
      </c>
      <c r="K43" s="167">
        <f>'Neo-K2'!T$43</f>
        <v>0.57236202157666982</v>
      </c>
      <c r="L43" s="167">
        <f>'Neo-K2'!V$43</f>
        <v>0.57354666315439162</v>
      </c>
      <c r="M43" s="167">
        <f>'Neo-K2'!X$43</f>
        <v>0.57492343414089886</v>
      </c>
      <c r="N43" s="167">
        <f>'Neo-K2'!Z$43</f>
        <v>0.57650855901591103</v>
      </c>
      <c r="O43" s="167">
        <f>'Neo-K2'!AB$43</f>
        <v>0.57830082973761388</v>
      </c>
      <c r="P43" s="167">
        <f>'Neo-K2'!AD$43</f>
        <v>0.58025614408990178</v>
      </c>
      <c r="Q43" s="167">
        <f>'Neo-K2'!AF$43</f>
        <v>0.58223687764962617</v>
      </c>
      <c r="R43" s="167">
        <f>'Neo-K2'!AH$43</f>
        <v>0.58392077424165179</v>
      </c>
      <c r="S43" s="167">
        <f>'Neo-K2'!AJ$43</f>
        <v>0.58464005166155208</v>
      </c>
      <c r="T43" s="167">
        <f>'Neo-K2'!AL$43</f>
        <v>0.58282033695408442</v>
      </c>
      <c r="U43" s="167">
        <f>'Neo-K2'!AN$43</f>
        <v>0.57201894145792742</v>
      </c>
      <c r="V43" s="167">
        <f>'Neo-K2'!AP$43</f>
        <v>0.56646659953992651</v>
      </c>
      <c r="W43" s="167">
        <f>'Neo-K2'!AR$43</f>
        <v>0.55783471590934464</v>
      </c>
      <c r="X43" s="167">
        <f>'Neo-K2'!AT$43</f>
        <v>0.54293764289410884</v>
      </c>
      <c r="Y43" s="167">
        <f>'Neo-K2'!AV$43</f>
        <v>0.51082197781809291</v>
      </c>
    </row>
    <row r="44" spans="1:26" x14ac:dyDescent="0.2">
      <c r="B44" s="203"/>
      <c r="C44" s="203"/>
      <c r="D44" s="203"/>
      <c r="E44" s="203"/>
      <c r="F44" s="203"/>
      <c r="G44" s="203"/>
      <c r="H44" s="203"/>
      <c r="I44" s="203"/>
      <c r="J44" s="203"/>
      <c r="K44" s="203"/>
      <c r="L44" s="203"/>
      <c r="M44" s="203"/>
      <c r="N44" s="203"/>
      <c r="O44" s="203"/>
      <c r="P44" s="203"/>
      <c r="Q44" s="203"/>
      <c r="R44" s="203"/>
      <c r="S44" s="203"/>
      <c r="T44" s="203"/>
      <c r="U44" s="203"/>
      <c r="V44" s="203"/>
    </row>
    <row r="45" spans="1:26" ht="10.5" x14ac:dyDescent="0.25">
      <c r="A45" s="92" t="s">
        <v>149</v>
      </c>
    </row>
    <row r="46" spans="1:26" x14ac:dyDescent="0.2">
      <c r="A46" t="s">
        <v>132</v>
      </c>
      <c r="B46" s="202">
        <v>0</v>
      </c>
      <c r="C46" s="202">
        <v>0.05</v>
      </c>
      <c r="D46" s="202">
        <v>0.1</v>
      </c>
      <c r="E46" s="202">
        <v>0.15000000000000002</v>
      </c>
      <c r="F46" s="202">
        <v>0.2</v>
      </c>
      <c r="G46" s="202">
        <v>0.25</v>
      </c>
      <c r="H46" s="202">
        <v>0.3</v>
      </c>
      <c r="I46" s="202">
        <v>0.35</v>
      </c>
      <c r="J46" s="202">
        <v>0.39999999999999997</v>
      </c>
      <c r="K46" s="202">
        <v>0.44999999999999996</v>
      </c>
      <c r="L46" s="202">
        <v>0.49999999999999994</v>
      </c>
      <c r="M46" s="202">
        <v>0.54999999999999993</v>
      </c>
      <c r="N46" s="202">
        <v>0.6</v>
      </c>
      <c r="O46" s="202">
        <v>0.65</v>
      </c>
      <c r="P46" s="202">
        <v>0.70000000000000007</v>
      </c>
      <c r="Q46" s="202">
        <v>0.75000000000000011</v>
      </c>
      <c r="R46" s="202">
        <v>0.80000000000000016</v>
      </c>
      <c r="S46" s="202">
        <v>0.8500000000000002</v>
      </c>
      <c r="T46" s="202">
        <v>0.90000000000000024</v>
      </c>
      <c r="U46" s="202">
        <v>0.95000000000000029</v>
      </c>
      <c r="V46" s="202">
        <v>0.9600000000000003</v>
      </c>
      <c r="W46" s="202">
        <v>0.97000000000000031</v>
      </c>
      <c r="X46" s="202">
        <v>0.98000000000000032</v>
      </c>
      <c r="Y46" s="202">
        <v>0.99000000000000032</v>
      </c>
    </row>
    <row r="47" spans="1:26" x14ac:dyDescent="0.2">
      <c r="A47" t="s">
        <v>89</v>
      </c>
      <c r="B47" s="129">
        <f>NeoClassical!B$48</f>
        <v>1</v>
      </c>
      <c r="C47" s="129">
        <f>NeoClassical!D$48</f>
        <v>1.0097410602858694</v>
      </c>
      <c r="D47" s="129">
        <f>NeoClassical!F$48</f>
        <v>1.0194796882863471</v>
      </c>
      <c r="E47" s="129">
        <f>NeoClassical!H$48</f>
        <v>1.0292176502363632</v>
      </c>
      <c r="F47" s="129">
        <f>NeoClassical!J$48</f>
        <v>1.0389568072002655</v>
      </c>
      <c r="G47" s="129">
        <f>NeoClassical!L$48</f>
        <v>1.0486997863550314</v>
      </c>
      <c r="H47" s="129">
        <f>NeoClassical!N$48</f>
        <v>1.0584499889322421</v>
      </c>
      <c r="I47" s="129">
        <f>NeoClassical!P$48</f>
        <v>1.068212404614119</v>
      </c>
      <c r="J47" s="129">
        <f>NeoClassical!R$48</f>
        <v>1.0779948165717239</v>
      </c>
      <c r="K47" s="129">
        <f>NeoClassical!T$48</f>
        <v>1.087810251046289</v>
      </c>
      <c r="L47" s="129">
        <f>NeoClassical!V$48</f>
        <v>1.097681935603299</v>
      </c>
      <c r="M47" s="129">
        <f>NeoClassical!X$48</f>
        <v>1.1076534196926404</v>
      </c>
      <c r="N47" s="129">
        <f>NeoClassical!Z$48</f>
        <v>1.1178101258000339</v>
      </c>
      <c r="O47" s="129">
        <f>NeoClassical!AB$48</f>
        <v>1.1283268369675055</v>
      </c>
      <c r="P47" s="129">
        <f>NeoClassical!AD$48</f>
        <v>1.1395762886247516</v>
      </c>
      <c r="Q47" s="129">
        <f>NeoClassical!AF$48</f>
        <v>1.1523829501845595</v>
      </c>
      <c r="R47" s="129">
        <f>NeoClassical!AH$48</f>
        <v>1.1685874892807371</v>
      </c>
      <c r="S47" s="129">
        <f>NeoClassical!AJ$48</f>
        <v>1.1919027599987571</v>
      </c>
      <c r="T47" s="129">
        <f>NeoClassical!AL$48</f>
        <v>1.2266697362713932</v>
      </c>
      <c r="U47" s="129">
        <f>NeoClassical!AN$48</f>
        <v>1.257744587157559</v>
      </c>
      <c r="V47" s="129">
        <f>NeoClassical!AP$48</f>
        <v>1.2506441926854894</v>
      </c>
      <c r="W47" s="129">
        <f>NeoClassical!AR$48</f>
        <v>1.222998132074546</v>
      </c>
      <c r="X47" s="129">
        <f>NeoClassical!AT$48</f>
        <v>1.1428481203473646</v>
      </c>
      <c r="Y47" s="129">
        <f>NeoClassical!AV$48</f>
        <v>0.903418811592821</v>
      </c>
    </row>
    <row r="48" spans="1:26" x14ac:dyDescent="0.2">
      <c r="A48" t="s">
        <v>147</v>
      </c>
      <c r="B48" s="129">
        <f>Kaldorian!B$48</f>
        <v>1</v>
      </c>
      <c r="C48" s="129">
        <f>Kaldorian!D$48</f>
        <v>1.0012487336899223</v>
      </c>
      <c r="D48" s="129">
        <f>Kaldorian!F$48</f>
        <v>1.0023630545112978</v>
      </c>
      <c r="E48" s="129">
        <f>Kaldorian!H$48</f>
        <v>1.003323009644489</v>
      </c>
      <c r="F48" s="129">
        <f>Kaldorian!J$48</f>
        <v>1.0041042322584395</v>
      </c>
      <c r="G48" s="129">
        <f>Kaldorian!L$48</f>
        <v>1.0046765460755411</v>
      </c>
      <c r="H48" s="129">
        <f>Kaldorian!N$48</f>
        <v>1.005002192744626</v>
      </c>
      <c r="I48" s="129">
        <f>Kaldorian!P$48</f>
        <v>1.0050331659937652</v>
      </c>
      <c r="J48" s="129">
        <f>Kaldorian!R$48</f>
        <v>1.0047073508165449</v>
      </c>
      <c r="K48" s="129">
        <f>Kaldorian!T$48</f>
        <v>1.0039427732446569</v>
      </c>
      <c r="L48" s="129">
        <f>Kaldorian!V$48</f>
        <v>1.0026285226058056</v>
      </c>
      <c r="M48" s="129">
        <f>Kaldorian!X$48</f>
        <v>1.0006100497380228</v>
      </c>
      <c r="N48" s="129">
        <f>Kaldorian!Z$48</f>
        <v>0.99766377922589278</v>
      </c>
      <c r="O48" s="129">
        <f>Kaldorian!AB$48</f>
        <v>0.99345044428976625</v>
      </c>
      <c r="P48" s="129">
        <f>Kaldorian!AD$48</f>
        <v>0.98742103181264895</v>
      </c>
      <c r="Q48" s="129">
        <f>Kaldorian!AF$48</f>
        <v>0.97860638838810987</v>
      </c>
      <c r="R48" s="129">
        <f>Kaldorian!AH$48</f>
        <v>0.96507700767396176</v>
      </c>
      <c r="S48" s="129">
        <f>Kaldorian!AJ$48</f>
        <v>0.94231929627708011</v>
      </c>
      <c r="T48" s="129">
        <f>Kaldorian!AL$48</f>
        <v>0.89740239952844292</v>
      </c>
      <c r="U48" s="129"/>
      <c r="V48" s="129"/>
      <c r="W48" s="129"/>
      <c r="X48" s="129"/>
      <c r="Y48" s="129"/>
    </row>
    <row r="49" spans="1:25" x14ac:dyDescent="0.2">
      <c r="A49" t="s">
        <v>90</v>
      </c>
      <c r="B49" s="129">
        <f>Johansen!B$48</f>
        <v>1</v>
      </c>
      <c r="C49" s="129">
        <f>Johansen!D$48</f>
        <v>1.0016696703784878</v>
      </c>
      <c r="D49" s="129">
        <f>Johansen!F$48</f>
        <v>1.003227325599463</v>
      </c>
      <c r="E49" s="129">
        <f>Johansen!H$48</f>
        <v>1.0046547738442992</v>
      </c>
      <c r="F49" s="129">
        <f>Johansen!J$48</f>
        <v>1.0059296301849405</v>
      </c>
      <c r="G49" s="129">
        <f>Johansen!L$48</f>
        <v>1.0070241297520577</v>
      </c>
      <c r="H49" s="129">
        <f>Johansen!N$48</f>
        <v>1.007903360239548</v>
      </c>
      <c r="I49" s="129">
        <f>Johansen!P$48</f>
        <v>1.008522959650302</v>
      </c>
      <c r="J49" s="129">
        <f>Johansen!R$48</f>
        <v>1.0088257838743031</v>
      </c>
      <c r="K49" s="129">
        <f>Johansen!T$48</f>
        <v>1.0087369102696522</v>
      </c>
      <c r="L49" s="129">
        <f>Johansen!V$48</f>
        <v>1.0081561175381224</v>
      </c>
      <c r="M49" s="129">
        <f>Johansen!X$48</f>
        <v>1.0069458224227694</v>
      </c>
      <c r="N49" s="129">
        <f>Johansen!Z$48</f>
        <v>1.004910412719064</v>
      </c>
      <c r="O49" s="129">
        <f>Johansen!AB$48</f>
        <v>1.001757435100985</v>
      </c>
      <c r="P49" s="129">
        <f>Johansen!AD$48</f>
        <v>0.99701493398214069</v>
      </c>
      <c r="Q49" s="129">
        <f>Johansen!AF$48</f>
        <v>0.98982488539256075</v>
      </c>
      <c r="R49" s="129">
        <f>Johansen!AH$48</f>
        <v>0.97834314152452817</v>
      </c>
      <c r="S49" s="129">
        <f>Johansen!AJ$48</f>
        <v>0.95787304582997901</v>
      </c>
      <c r="T49" s="129">
        <f>Johansen!AL$48</f>
        <v>0.91468133373009763</v>
      </c>
      <c r="U49" s="129">
        <f>Johansen!AN$48</f>
        <v>0.79501412143295125</v>
      </c>
      <c r="V49" s="129">
        <f>Johansen!AP$48</f>
        <v>0.74447685652761386</v>
      </c>
      <c r="W49" s="129">
        <f>Johansen!AR$48</f>
        <v>0.67242380127460877</v>
      </c>
      <c r="X49" s="129">
        <f>Johansen!AT$48</f>
        <v>0.562525295682481</v>
      </c>
      <c r="Y49" s="129">
        <f>Johansen!AV$48</f>
        <v>0.37660948934676486</v>
      </c>
    </row>
    <row r="50" spans="1:25" x14ac:dyDescent="0.2">
      <c r="A50" t="s">
        <v>130</v>
      </c>
      <c r="B50" s="129">
        <f>'Keynes-M'!B$48</f>
        <v>1</v>
      </c>
      <c r="C50" s="129">
        <f>'Keynes-M'!D$48</f>
        <v>1.0118083285823238</v>
      </c>
      <c r="D50" s="129">
        <f>'Keynes-M'!F$48</f>
        <v>1.0235479676224959</v>
      </c>
      <c r="E50" s="129">
        <f>'Keynes-M'!H$48</f>
        <v>1.0352288987444618</v>
      </c>
      <c r="F50" s="129">
        <f>'Keynes-M'!J$48</f>
        <v>1.0468619490806164</v>
      </c>
      <c r="G50" s="129">
        <f>'Keynes-M'!L$48</f>
        <v>1.0584598142642792</v>
      </c>
      <c r="H50" s="129">
        <f>'Keynes-M'!N$48</f>
        <v>1.0700383112070857</v>
      </c>
      <c r="I50" s="129">
        <f>'Keynes-M'!P$48</f>
        <v>1.0816191472253367</v>
      </c>
      <c r="J50" s="129">
        <f>'Keynes-M'!R$48</f>
        <v>1.093234300535205</v>
      </c>
      <c r="K50" s="129">
        <f>'Keynes-M'!T$48</f>
        <v>1.1049339583329549</v>
      </c>
      <c r="L50" s="129">
        <f>'Keynes-M'!V$48</f>
        <v>1.1168015972207941</v>
      </c>
      <c r="M50" s="129">
        <f>'Keynes-M'!X$48</f>
        <v>1.1289831040263743</v>
      </c>
      <c r="N50" s="129">
        <f>'Keynes-M'!Z$48</f>
        <v>1.141744704648918</v>
      </c>
      <c r="O50" s="129">
        <f>'Keynes-M'!AB$48</f>
        <v>1.1555928675529747</v>
      </c>
      <c r="P50" s="129">
        <f>'Keynes-M'!AD$48</f>
        <v>1.1715223976988676</v>
      </c>
      <c r="Q50" s="129">
        <f>'Keynes-M'!AF$48</f>
        <v>1.1914810551793544</v>
      </c>
      <c r="R50" s="129"/>
      <c r="S50" s="129"/>
      <c r="T50" s="129"/>
      <c r="U50" s="129"/>
      <c r="V50" s="129"/>
      <c r="W50" s="129"/>
      <c r="X50" s="129"/>
      <c r="Y50" s="129"/>
    </row>
    <row r="51" spans="1:25" x14ac:dyDescent="0.2">
      <c r="A51" t="s">
        <v>146</v>
      </c>
      <c r="B51" s="129">
        <f>Keynesian!B$48</f>
        <v>1</v>
      </c>
      <c r="C51" s="129">
        <f>Keynesian!D$48</f>
        <v>0.9830947571641907</v>
      </c>
      <c r="D51" s="129">
        <f>Keynesian!F$48</f>
        <v>0.96433923583551173</v>
      </c>
      <c r="E51" s="129">
        <f>Keynesian!H$48</f>
        <v>0.94350368830463327</v>
      </c>
      <c r="F51" s="129">
        <f>Keynesian!J$48</f>
        <v>0.92032690948357665</v>
      </c>
      <c r="G51" s="129">
        <f>Keynesian!L$48</f>
        <v>0.89451396373038516</v>
      </c>
      <c r="H51" s="129">
        <f>Keynesian!N$48</f>
        <v>0.86573696365206598</v>
      </c>
      <c r="I51" s="129">
        <f>Keynesian!P$48</f>
        <v>0.83364262713717974</v>
      </c>
      <c r="J51" s="129">
        <f>Keynesian!R$48</f>
        <v>0.79786997368627488</v>
      </c>
      <c r="K51" s="129">
        <f>Keynesian!T$48</f>
        <v>0.7580927840692091</v>
      </c>
      <c r="L51" s="129">
        <f>Keynesian!V$48</f>
        <v>0.71411519139567159</v>
      </c>
      <c r="M51" s="129">
        <f>Keynesian!X$48</f>
        <v>0.6661040135448375</v>
      </c>
      <c r="N51" s="129">
        <f>Keynesian!Z$48</f>
        <v>0.61528886410058847</v>
      </c>
      <c r="O51" s="129">
        <f>Keynesian!AB$48</f>
        <v>0</v>
      </c>
      <c r="P51" s="129"/>
      <c r="Q51" s="129"/>
      <c r="R51" s="129"/>
      <c r="S51" s="129"/>
      <c r="T51" s="129"/>
      <c r="U51" s="129"/>
      <c r="V51" s="129"/>
      <c r="W51" s="129"/>
      <c r="X51" s="129"/>
      <c r="Y51" s="129"/>
    </row>
    <row r="52" spans="1:25" x14ac:dyDescent="0.2">
      <c r="A52" t="s">
        <v>131</v>
      </c>
      <c r="B52" s="129">
        <f>'Keynes-K'!B$48</f>
        <v>1</v>
      </c>
      <c r="C52" s="129">
        <f>'Keynes-K'!D$48</f>
        <v>1.0050964411638714</v>
      </c>
      <c r="D52" s="129">
        <f>'Keynes-K'!F$48</f>
        <v>1.0096918425617862</v>
      </c>
      <c r="E52" s="129">
        <f>'Keynes-K'!H$48</f>
        <v>1.0137421748316955</v>
      </c>
      <c r="F52" s="129">
        <f>'Keynes-K'!J$48</f>
        <v>1.0171889493910742</v>
      </c>
      <c r="G52" s="129">
        <f>'Keynes-K'!L$48</f>
        <v>1.0199550448157586</v>
      </c>
      <c r="H52" s="129">
        <f>'Keynes-K'!N$48</f>
        <v>1.0219390248677012</v>
      </c>
      <c r="I52" s="129">
        <f>'Keynes-K'!P$48</f>
        <v>1.023006640249321</v>
      </c>
      <c r="J52" s="129">
        <f>'Keynes-K'!R$48</f>
        <v>1.022978283093493</v>
      </c>
      <c r="K52" s="129">
        <f>'Keynes-K'!T$48</f>
        <v>1.0216098193639542</v>
      </c>
      <c r="L52" s="129">
        <f>'Keynes-K'!V$48</f>
        <v>1.0185622814138744</v>
      </c>
      <c r="M52" s="129">
        <f>'Keynes-K'!X$48</f>
        <v>1.0133519379818823</v>
      </c>
      <c r="N52" s="129">
        <f>'Keynes-K'!Z$48</f>
        <v>1.0052632036260527</v>
      </c>
      <c r="O52" s="129">
        <f>'Keynes-K'!AB$48</f>
        <v>0.99318813347794077</v>
      </c>
      <c r="P52" s="129">
        <f>'Keynes-K'!AD$48</f>
        <v>0.97530511111384532</v>
      </c>
      <c r="Q52" s="129">
        <f>'Keynes-K'!AF$48</f>
        <v>0.94837711185796381</v>
      </c>
      <c r="R52" s="129">
        <f>'Keynes-K'!AH$48</f>
        <v>0.90606013417424147</v>
      </c>
      <c r="S52" s="129">
        <f>'Keynes-K'!AJ$48</f>
        <v>0.83448271261590934</v>
      </c>
      <c r="T52" s="129">
        <f>'Keynes-K'!AL$48</f>
        <v>0.70087923318072098</v>
      </c>
      <c r="U52" s="129"/>
      <c r="V52" s="129"/>
      <c r="W52" s="129"/>
      <c r="X52" s="129"/>
      <c r="Y52" s="129"/>
    </row>
    <row r="53" spans="1:25" x14ac:dyDescent="0.2">
      <c r="A53" t="s">
        <v>142</v>
      </c>
      <c r="B53" s="129">
        <f>'Neo-K1'!B$48</f>
        <v>1</v>
      </c>
      <c r="C53" s="129">
        <f>'Neo-K1'!D$48</f>
        <v>1.004249870878213</v>
      </c>
      <c r="D53" s="129">
        <f>'Neo-K1'!F$48</f>
        <v>1.0080230647762718</v>
      </c>
      <c r="E53" s="129">
        <f>'Neo-K1'!H$48</f>
        <v>1.0112273995118763</v>
      </c>
      <c r="F53" s="129">
        <f>'Neo-K1'!J$48</f>
        <v>1.0137449932188762</v>
      </c>
      <c r="G53" s="129">
        <f>'Neo-K1'!L$48</f>
        <v>1.0154239668590439</v>
      </c>
      <c r="H53" s="129">
        <f>'Neo-K1'!N$48</f>
        <v>1.0160648715771121</v>
      </c>
      <c r="I53" s="129">
        <f>'Neo-K1'!P$48</f>
        <v>1.0154019581618965</v>
      </c>
      <c r="J53" s="129">
        <f>'Neo-K1'!R$48</f>
        <v>1.0130743915967448</v>
      </c>
      <c r="K53" s="129">
        <f>'Neo-K1'!T$48</f>
        <v>1.0085823566528165</v>
      </c>
      <c r="L53" s="129">
        <f>'Neo-K1'!V$48</f>
        <v>1.0012184684206971</v>
      </c>
      <c r="M53" s="129">
        <f>'Neo-K1'!X$48</f>
        <v>0.98995729266618993</v>
      </c>
      <c r="N53" s="129">
        <f>'Neo-K1'!Z$48</f>
        <v>0.97327681830946478</v>
      </c>
      <c r="O53" s="129">
        <f>'Neo-K1'!AB$48</f>
        <v>0.94886597612207624</v>
      </c>
      <c r="P53" s="129">
        <f>'Neo-K1'!AD$48</f>
        <v>0.91315845010011965</v>
      </c>
      <c r="Q53" s="129">
        <f>'Neo-K1'!AF$48</f>
        <v>0.86064510479281042</v>
      </c>
      <c r="R53" s="129">
        <f>'Neo-K1'!AH$48</f>
        <v>0.78308443651369419</v>
      </c>
      <c r="S53" s="129">
        <f>'Neo-K1'!AJ$48</f>
        <v>0.66923381535936666</v>
      </c>
      <c r="T53" s="129">
        <f>'Neo-K1'!AL$48</f>
        <v>0.50641930477983665</v>
      </c>
      <c r="U53" s="129">
        <f>'Neo-K1'!AN$48</f>
        <v>0.28454998951164151</v>
      </c>
      <c r="V53" s="129">
        <f>'Neo-K1'!AP$48</f>
        <v>0.23263983018000656</v>
      </c>
      <c r="W53" s="129">
        <f>'Neo-K1'!AR$48</f>
        <v>0.17820712885765266</v>
      </c>
      <c r="X53" s="129">
        <f>'Neo-K1'!AT$48</f>
        <v>0.12126985806362932</v>
      </c>
      <c r="Y53" s="129">
        <f>'Neo-K1'!AV$48</f>
        <v>6.1855526709774837E-2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2">
        <v>0</v>
      </c>
      <c r="C57" s="202">
        <v>0.05</v>
      </c>
      <c r="D57" s="202">
        <v>0.1</v>
      </c>
      <c r="E57" s="202">
        <v>0.15000000000000002</v>
      </c>
      <c r="F57" s="202">
        <v>0.2</v>
      </c>
      <c r="G57" s="202">
        <v>0.25</v>
      </c>
      <c r="H57" s="202">
        <v>0.3</v>
      </c>
      <c r="I57" s="202">
        <v>0.35</v>
      </c>
      <c r="J57" s="202">
        <v>0.39999999999999997</v>
      </c>
      <c r="K57" s="202">
        <v>0.44999999999999996</v>
      </c>
      <c r="L57" s="202">
        <v>0.49999999999999994</v>
      </c>
      <c r="M57" s="202">
        <v>0.54999999999999993</v>
      </c>
      <c r="N57" s="202">
        <v>0.6</v>
      </c>
      <c r="O57" s="202">
        <v>0.65</v>
      </c>
      <c r="P57" s="202">
        <v>0.70000000000000007</v>
      </c>
      <c r="Q57" s="202">
        <v>0.75000000000000011</v>
      </c>
      <c r="R57" s="202">
        <v>0.80000000000000016</v>
      </c>
      <c r="S57" s="202">
        <v>0.8500000000000002</v>
      </c>
      <c r="T57" s="202">
        <v>0.90000000000000024</v>
      </c>
      <c r="U57" s="202">
        <v>0.95000000000000029</v>
      </c>
      <c r="V57" s="202">
        <v>0.9600000000000003</v>
      </c>
      <c r="W57" s="202">
        <v>0.97000000000000031</v>
      </c>
      <c r="X57" s="202">
        <v>0.98000000000000032</v>
      </c>
      <c r="Y57" s="202">
        <v>0.99000000000000032</v>
      </c>
    </row>
    <row r="58" spans="1:25" x14ac:dyDescent="0.2">
      <c r="A58" t="s">
        <v>89</v>
      </c>
      <c r="B58" s="129">
        <f>NeoClassical!B$42</f>
        <v>6.0999999999999999E-2</v>
      </c>
      <c r="C58" s="129">
        <f>NeoClassical!D$42</f>
        <v>6.1000000000000311E-2</v>
      </c>
      <c r="D58" s="129">
        <f>NeoClassical!F$42</f>
        <v>6.1000000000001144E-2</v>
      </c>
      <c r="E58" s="129">
        <f>NeoClassical!H$42</f>
        <v>6.0999999999999999E-2</v>
      </c>
      <c r="F58" s="129">
        <f>NeoClassical!J$42</f>
        <v>6.0999999999999582E-2</v>
      </c>
      <c r="G58" s="129">
        <f>NeoClassical!L$42</f>
        <v>6.0999999999999999E-2</v>
      </c>
      <c r="H58" s="129">
        <f>NeoClassical!N$42</f>
        <v>6.0999999999999791E-2</v>
      </c>
      <c r="I58" s="129">
        <f>NeoClassical!P$42</f>
        <v>6.1000000000000519E-2</v>
      </c>
      <c r="J58" s="129">
        <f>NeoClassical!R$42</f>
        <v>6.0999999999999791E-2</v>
      </c>
      <c r="K58" s="129">
        <f>NeoClassical!T$42</f>
        <v>6.1000000000000207E-2</v>
      </c>
      <c r="L58" s="129">
        <f>NeoClassical!V$42</f>
        <v>6.1000000000000207E-2</v>
      </c>
      <c r="M58" s="129">
        <f>NeoClassical!X$42</f>
        <v>6.0999999999999582E-2</v>
      </c>
      <c r="N58" s="129">
        <f>NeoClassical!Z$42</f>
        <v>6.0999999999999791E-2</v>
      </c>
      <c r="O58" s="129">
        <f>NeoClassical!AB$42</f>
        <v>6.0999999999999999E-2</v>
      </c>
      <c r="P58" s="129">
        <f>NeoClassical!AD$42</f>
        <v>6.1000000000000519E-2</v>
      </c>
      <c r="Q58" s="129">
        <f>NeoClassical!AF$42</f>
        <v>6.0999999999999999E-2</v>
      </c>
      <c r="R58" s="129">
        <f>NeoClassical!AH$42</f>
        <v>6.0999999999998958E-2</v>
      </c>
      <c r="S58" s="129">
        <f>NeoClassical!AJ$42</f>
        <v>6.0999999999999582E-2</v>
      </c>
      <c r="T58" s="129">
        <f>NeoClassical!AL$42</f>
        <v>6.0999999999999582E-2</v>
      </c>
      <c r="U58" s="129">
        <f>NeoClassical!AN$42</f>
        <v>6.0999999999999582E-2</v>
      </c>
      <c r="V58" s="129">
        <f>NeoClassical!AP$42</f>
        <v>6.0999999999999582E-2</v>
      </c>
      <c r="W58" s="129">
        <f>NeoClassical!AR$42</f>
        <v>6.1000000000000207E-2</v>
      </c>
      <c r="X58" s="129">
        <f>NeoClassical!AT$42</f>
        <v>6.1000000000000207E-2</v>
      </c>
      <c r="Y58" s="129">
        <f>NeoClassical!AV$42</f>
        <v>6.0999999999999791E-2</v>
      </c>
    </row>
    <row r="59" spans="1:25" x14ac:dyDescent="0.2">
      <c r="A59" t="s">
        <v>147</v>
      </c>
      <c r="B59" s="129">
        <f>Kaldorian!B$42</f>
        <v>6.0999999999999999E-2</v>
      </c>
      <c r="C59" s="129">
        <f>Kaldorian!D$42</f>
        <v>6.1000000000000519E-2</v>
      </c>
      <c r="D59" s="129">
        <f>Kaldorian!F$42</f>
        <v>6.0999999999997917E-2</v>
      </c>
      <c r="E59" s="129">
        <f>Kaldorian!H$42</f>
        <v>6.1000000000004169E-2</v>
      </c>
      <c r="F59" s="129">
        <f>Kaldorian!J$42</f>
        <v>6.0999999999999582E-2</v>
      </c>
      <c r="G59" s="129">
        <f>Kaldorian!L$42</f>
        <v>6.0999999999999791E-2</v>
      </c>
      <c r="H59" s="129">
        <f>Kaldorian!N$42</f>
        <v>6.1000000000000207E-2</v>
      </c>
      <c r="I59" s="129">
        <f>Kaldorian!P$42</f>
        <v>6.1000000000000519E-2</v>
      </c>
      <c r="J59" s="129">
        <f>Kaldorian!R$42</f>
        <v>6.0999999999999582E-2</v>
      </c>
      <c r="K59" s="129">
        <f>Kaldorian!T$42</f>
        <v>6.0999999999999999E-2</v>
      </c>
      <c r="L59" s="129">
        <f>Kaldorian!V$42</f>
        <v>6.0999999999998958E-2</v>
      </c>
      <c r="M59" s="129">
        <f>Kaldorian!X$42</f>
        <v>6.0999999999999999E-2</v>
      </c>
      <c r="N59" s="129">
        <f>Kaldorian!Z$42</f>
        <v>6.1000000000000519E-2</v>
      </c>
      <c r="O59" s="129">
        <f>Kaldorian!AB$42</f>
        <v>6.0999999999999999E-2</v>
      </c>
      <c r="P59" s="129">
        <f>Kaldorian!AD$42</f>
        <v>6.1000000000000311E-2</v>
      </c>
      <c r="Q59" s="129">
        <f>Kaldorian!AF$42</f>
        <v>6.0999999999999582E-2</v>
      </c>
      <c r="R59" s="129">
        <f>Kaldorian!AH$42</f>
        <v>6.1000000000000311E-2</v>
      </c>
      <c r="S59" s="129">
        <f>Kaldorian!AJ$42</f>
        <v>6.0999999999999999E-2</v>
      </c>
      <c r="T59" s="129">
        <f>Kaldorian!AL$42</f>
        <v>6.0999999999999999E-2</v>
      </c>
      <c r="U59" s="129"/>
      <c r="V59" s="129"/>
      <c r="W59" s="129"/>
      <c r="X59" s="129"/>
      <c r="Y59" s="129"/>
    </row>
    <row r="60" spans="1:25" x14ac:dyDescent="0.2">
      <c r="A60" t="s">
        <v>90</v>
      </c>
      <c r="B60" s="129">
        <f>Johansen!B$42</f>
        <v>6.0999999999999999E-2</v>
      </c>
      <c r="C60" s="129">
        <f>Johansen!D$42</f>
        <v>6.1000000000000311E-2</v>
      </c>
      <c r="D60" s="129">
        <f>Johansen!F$42</f>
        <v>6.099999999999875E-2</v>
      </c>
      <c r="E60" s="129">
        <f>Johansen!H$42</f>
        <v>6.1000000000000207E-2</v>
      </c>
      <c r="F60" s="129">
        <f>Johansen!J$42</f>
        <v>6.1000000000000207E-2</v>
      </c>
      <c r="G60" s="129">
        <f>Johansen!L$42</f>
        <v>6.0999999999999582E-2</v>
      </c>
      <c r="H60" s="129">
        <f>Johansen!N$42</f>
        <v>6.0999999999999999E-2</v>
      </c>
      <c r="I60" s="129">
        <f>Johansen!P$42</f>
        <v>6.1000000000000519E-2</v>
      </c>
      <c r="J60" s="129">
        <f>Johansen!R$42</f>
        <v>6.0999999999999791E-2</v>
      </c>
      <c r="K60" s="129">
        <f>Johansen!T$42</f>
        <v>6.0999999999999582E-2</v>
      </c>
      <c r="L60" s="129">
        <f>Johansen!V$42</f>
        <v>6.1000000000000831E-2</v>
      </c>
      <c r="M60" s="129">
        <f>Johansen!X$42</f>
        <v>6.1000000000000207E-2</v>
      </c>
      <c r="N60" s="129">
        <f>Johansen!Z$42</f>
        <v>6.0999999999999791E-2</v>
      </c>
      <c r="O60" s="129">
        <f>Johansen!AB$42</f>
        <v>6.0999999999999374E-2</v>
      </c>
      <c r="P60" s="129">
        <f>Johansen!AD$42</f>
        <v>6.0999999999999582E-2</v>
      </c>
      <c r="Q60" s="129">
        <f>Johansen!AF$42</f>
        <v>6.0999999999999999E-2</v>
      </c>
      <c r="R60" s="129">
        <f>Johansen!AH$42</f>
        <v>6.1000000000000207E-2</v>
      </c>
      <c r="S60" s="129">
        <f>Johansen!AJ$42</f>
        <v>6.1000000000000207E-2</v>
      </c>
      <c r="T60" s="129">
        <f>Johansen!AL$42</f>
        <v>6.0999999999999999E-2</v>
      </c>
      <c r="U60" s="129">
        <f>Johansen!AN$42</f>
        <v>6.0999999999999166E-2</v>
      </c>
      <c r="V60" s="129">
        <f>Johansen!AP$42</f>
        <v>6.0999999999999791E-2</v>
      </c>
      <c r="W60" s="129">
        <f>Johansen!AR$42</f>
        <v>6.0999999999998333E-2</v>
      </c>
      <c r="X60" s="129">
        <f>Johansen!AT$42</f>
        <v>6.0999999999999374E-2</v>
      </c>
      <c r="Y60" s="129">
        <f>Johansen!AV$42</f>
        <v>6.0999999999999999E-2</v>
      </c>
    </row>
    <row r="61" spans="1:25" x14ac:dyDescent="0.2">
      <c r="A61" t="s">
        <v>130</v>
      </c>
      <c r="B61" s="129">
        <f>'Keynes-M'!B$42</f>
        <v>6.0999999999999999E-2</v>
      </c>
      <c r="C61" s="129">
        <f>'Keynes-M'!D$42</f>
        <v>4.2349553003800777E-2</v>
      </c>
      <c r="D61" s="129">
        <f>'Keynes-M'!F$42</f>
        <v>2.2979156518510978E-2</v>
      </c>
      <c r="E61" s="129">
        <f>'Keynes-M'!H$42</f>
        <v>2.7640305738619239E-3</v>
      </c>
      <c r="F61" s="129">
        <f>'Keynes-M'!J$42</f>
        <v>-1.8451120849606442E-2</v>
      </c>
      <c r="G61" s="129">
        <f>'Keynes-M'!L$42</f>
        <v>-4.0864132379434023E-2</v>
      </c>
      <c r="H61" s="129">
        <f>'Keynes-M'!N$42</f>
        <v>-6.4733551544939205E-2</v>
      </c>
      <c r="I61" s="129">
        <f>'Keynes-M'!P$42</f>
        <v>-9.040763683507283E-2</v>
      </c>
      <c r="J61" s="129">
        <f>'Keynes-M'!R$42</f>
        <v>-0.11837254372755157</v>
      </c>
      <c r="K61" s="129">
        <f>'Keynes-M'!T$42</f>
        <v>-0.14933567641810999</v>
      </c>
      <c r="L61" s="129">
        <f>'Keynes-M'!V$42</f>
        <v>-0.18437923103679016</v>
      </c>
      <c r="M61" s="129">
        <f>'Keynes-M'!X$42</f>
        <v>-0.22526517675326846</v>
      </c>
      <c r="N61" s="129">
        <f>'Keynes-M'!Z$42</f>
        <v>-0.27508737387808113</v>
      </c>
      <c r="O61" s="129">
        <f>'Keynes-M'!AB$42</f>
        <v>-0.33983470799570525</v>
      </c>
      <c r="P61" s="129">
        <f>'Keynes-M'!AD$42</f>
        <v>-0.43270243766573574</v>
      </c>
      <c r="Q61" s="129">
        <f>'Keynes-M'!AF$42</f>
        <v>-0.58875962391755832</v>
      </c>
      <c r="R61" s="129"/>
      <c r="S61" s="129"/>
      <c r="T61" s="129"/>
      <c r="U61" s="129"/>
      <c r="V61" s="129"/>
      <c r="W61" s="129"/>
      <c r="X61" s="129"/>
      <c r="Y61" s="129"/>
    </row>
    <row r="62" spans="1:25" x14ac:dyDescent="0.2">
      <c r="A62" t="s">
        <v>146</v>
      </c>
      <c r="B62" s="129">
        <f>Keynesian!B$42</f>
        <v>6.0999999999999999E-2</v>
      </c>
      <c r="C62" s="129">
        <f>Keynesian!D$42</f>
        <v>9.1741039642638064E-2</v>
      </c>
      <c r="D62" s="129">
        <f>Keynesian!F$42</f>
        <v>0.12368554033120313</v>
      </c>
      <c r="E62" s="129">
        <f>Keynesian!H$42</f>
        <v>0.15693448564510393</v>
      </c>
      <c r="F62" s="129">
        <f>Keynesian!J$42</f>
        <v>0.19159680233819568</v>
      </c>
      <c r="G62" s="129">
        <f>Keynesian!L$42</f>
        <v>0.22778745500089259</v>
      </c>
      <c r="H62" s="129">
        <f>Keynesian!N$42</f>
        <v>0.2656229897663398</v>
      </c>
      <c r="I62" s="129">
        <f>Keynesian!P$42</f>
        <v>0.30521298538780839</v>
      </c>
      <c r="J62" s="129">
        <f>Keynesian!R$42</f>
        <v>0.34664301795020924</v>
      </c>
      <c r="K62" s="129">
        <f>Keynesian!T$42</f>
        <v>0.38994093400214341</v>
      </c>
      <c r="L62" s="129">
        <f>Keynesian!V$42</f>
        <v>0.4350044704374616</v>
      </c>
      <c r="M62" s="129">
        <f>Keynesian!X$42</f>
        <v>0.48142280514610131</v>
      </c>
      <c r="N62" s="129">
        <f>Keynesian!Z$42</f>
        <v>0.52792323838878175</v>
      </c>
      <c r="O62" s="129">
        <f>Keynesian!AB$42</f>
        <v>1</v>
      </c>
      <c r="P62" s="129"/>
      <c r="Q62" s="129"/>
      <c r="R62" s="129"/>
      <c r="S62" s="129"/>
      <c r="T62" s="129"/>
      <c r="U62" s="129"/>
      <c r="V62" s="129"/>
      <c r="W62" s="129"/>
      <c r="X62" s="129"/>
      <c r="Y62" s="129"/>
    </row>
    <row r="63" spans="1:25" x14ac:dyDescent="0.2">
      <c r="A63" t="s">
        <v>131</v>
      </c>
      <c r="B63" s="129">
        <f>'Keynes-K'!B$42</f>
        <v>6.0999999999999999E-2</v>
      </c>
      <c r="C63" s="129">
        <f>'Keynes-K'!D$42</f>
        <v>5.427485542500729E-2</v>
      </c>
      <c r="D63" s="129">
        <f>'Keynes-K'!F$42</f>
        <v>4.8124783032899285E-2</v>
      </c>
      <c r="E63" s="129">
        <f>'Keynes-K'!H$42</f>
        <v>4.2607148245947468E-2</v>
      </c>
      <c r="F63" s="129">
        <f>'Keynes-K'!J$42</f>
        <v>3.7797388739149271E-2</v>
      </c>
      <c r="G63" s="129">
        <f>'Keynes-K'!L$42</f>
        <v>3.3794302647459272E-2</v>
      </c>
      <c r="H63" s="129">
        <f>'Keynes-K'!N$42</f>
        <v>3.072730340543885E-2</v>
      </c>
      <c r="I63" s="129">
        <f>'Keynes-K'!P$42</f>
        <v>2.8767093943071316E-2</v>
      </c>
      <c r="J63" s="129">
        <f>'Keynes-K'!R$42</f>
        <v>2.8141204698652215E-2</v>
      </c>
      <c r="K63" s="129">
        <f>'Keynes-K'!T$42</f>
        <v>2.9157546909233445E-2</v>
      </c>
      <c r="L63" s="129">
        <f>'Keynes-K'!V$42</f>
        <v>3.2240902071912977E-2</v>
      </c>
      <c r="M63" s="129">
        <f>'Keynes-K'!X$42</f>
        <v>3.7992218433340691E-2</v>
      </c>
      <c r="N63" s="129">
        <f>'Keynes-K'!Z$42</f>
        <v>4.7289840690448746E-2</v>
      </c>
      <c r="O63" s="129">
        <f>'Keynes-K'!AB$42</f>
        <v>6.1471997819311883E-2</v>
      </c>
      <c r="P63" s="129">
        <f>'Keynes-K'!AD$42</f>
        <v>8.2690994053023339E-2</v>
      </c>
      <c r="Q63" s="129">
        <f>'Keynes-K'!AF$42</f>
        <v>0.11465592853962438</v>
      </c>
      <c r="R63" s="129">
        <f>'Keynes-K'!AH$42</f>
        <v>0.16430689590737668</v>
      </c>
      <c r="S63" s="129">
        <f>'Keynes-K'!AJ$42</f>
        <v>0.24567023458644521</v>
      </c>
      <c r="T63" s="129">
        <f>'Keynes-K'!AL$42</f>
        <v>0.38735727200631809</v>
      </c>
      <c r="U63" s="129"/>
      <c r="V63" s="129"/>
      <c r="W63" s="129"/>
      <c r="X63" s="129"/>
      <c r="Y63" s="129"/>
    </row>
    <row r="64" spans="1:25" x14ac:dyDescent="0.2">
      <c r="A64" t="s">
        <v>142</v>
      </c>
      <c r="B64" s="129">
        <f>'Neo-K1'!B$42</f>
        <v>6.0999999999999999E-2</v>
      </c>
      <c r="C64" s="129">
        <f>'Neo-K1'!D$42</f>
        <v>6.3949949727450092E-2</v>
      </c>
      <c r="D64" s="129">
        <f>'Neo-K1'!F$42</f>
        <v>6.727235986394467E-2</v>
      </c>
      <c r="E64" s="129">
        <f>'Neo-K1'!H$42</f>
        <v>7.1042513438592622E-2</v>
      </c>
      <c r="F64" s="129">
        <f>'Neo-K1'!J$42</f>
        <v>7.5357001597851414E-2</v>
      </c>
      <c r="G64" s="129">
        <f>'Neo-K1'!L$42</f>
        <v>8.0340917568231529E-2</v>
      </c>
      <c r="H64" s="129">
        <f>'Neo-K1'!N$42</f>
        <v>8.6159228787313108E-2</v>
      </c>
      <c r="I64" s="129">
        <f>'Neo-K1'!P$42</f>
        <v>9.3032778697653445E-2</v>
      </c>
      <c r="J64" s="129">
        <f>'Neo-K1'!R$42</f>
        <v>0.10126276651618378</v>
      </c>
      <c r="K64" s="129">
        <f>'Neo-K1'!T$42</f>
        <v>0.11126812967786792</v>
      </c>
      <c r="L64" s="129">
        <f>'Neo-K1'!V$42</f>
        <v>0.1236439047330939</v>
      </c>
      <c r="M64" s="129">
        <f>'Neo-K1'!X$42</f>
        <v>0.13925466333437886</v>
      </c>
      <c r="N64" s="129">
        <f>'Neo-K1'!Z$42</f>
        <v>0.15938443913032552</v>
      </c>
      <c r="O64" s="129">
        <f>'Neo-K1'!AB$42</f>
        <v>0.18597876083465484</v>
      </c>
      <c r="P64" s="129">
        <f>'Neo-K1'!AD$42</f>
        <v>0.22202157971256184</v>
      </c>
      <c r="Q64" s="129">
        <f>'Neo-K1'!AF$42</f>
        <v>0.27206876964407806</v>
      </c>
      <c r="R64" s="129">
        <f>'Neo-K1'!AH$42</f>
        <v>0.34280405977701872</v>
      </c>
      <c r="S64" s="129">
        <f>'Neo-K1'!AJ$42</f>
        <v>0.44306952842096675</v>
      </c>
      <c r="T64" s="129">
        <f>'Neo-K1'!AL$42</f>
        <v>0.58235212865771979</v>
      </c>
      <c r="U64" s="129">
        <f>'Neo-K1'!AN$42</f>
        <v>0.76750256129979966</v>
      </c>
      <c r="V64" s="129">
        <f>'Neo-K1'!AP$42</f>
        <v>0.81026825809136538</v>
      </c>
      <c r="W64" s="129">
        <f>'Neo-K1'!AR$42</f>
        <v>0.85492826054179649</v>
      </c>
      <c r="X64" s="129">
        <f>'Neo-K1'!AT$42</f>
        <v>0.90145842189357639</v>
      </c>
      <c r="Y64" s="129">
        <f>'Neo-K1'!AV$42</f>
        <v>0.94982786566474964</v>
      </c>
    </row>
    <row r="65" spans="1:25" x14ac:dyDescent="0.2">
      <c r="A65" t="s">
        <v>141</v>
      </c>
      <c r="B65" s="129">
        <f>'Neo-K2'!B$42</f>
        <v>6.0999999999999999E-2</v>
      </c>
      <c r="C65" s="129">
        <f>'Neo-K2'!D$42</f>
        <v>6.4847266416408381E-2</v>
      </c>
      <c r="D65" s="129">
        <f>'Neo-K2'!F$42</f>
        <v>6.9239190086590602E-2</v>
      </c>
      <c r="E65" s="129">
        <f>'Neo-K2'!H$42</f>
        <v>7.4296998780117404E-2</v>
      </c>
      <c r="F65" s="129">
        <f>'Neo-K2'!J$42</f>
        <v>8.0178578271892939E-2</v>
      </c>
      <c r="G65" s="129">
        <f>'Neo-K2'!L$42</f>
        <v>8.7090668241367603E-2</v>
      </c>
      <c r="H65" s="129">
        <f>'Neo-K2'!N$42</f>
        <v>9.5308902344599378E-2</v>
      </c>
      <c r="I65" s="129">
        <f>'Neo-K2'!P$42</f>
        <v>0.10520425013275722</v>
      </c>
      <c r="J65" s="129">
        <f>'Neo-K2'!R$42</f>
        <v>0.11728215430044134</v>
      </c>
      <c r="K65" s="129">
        <f>'Neo-K2'!T$42</f>
        <v>0.13223714877192339</v>
      </c>
      <c r="L65" s="129">
        <f>'Neo-K2'!V$42</f>
        <v>0.15102582636173495</v>
      </c>
      <c r="M65" s="129">
        <f>'Neo-K2'!X$42</f>
        <v>0.17495577293556558</v>
      </c>
      <c r="N65" s="129">
        <f>'Neo-K2'!Z$42</f>
        <v>0.20576217580103137</v>
      </c>
      <c r="O65" s="129">
        <f>'Neo-K2'!AB$42</f>
        <v>0.24558764553279702</v>
      </c>
      <c r="P65" s="129">
        <f>'Neo-K2'!AD$42</f>
        <v>0.29666062061199178</v>
      </c>
      <c r="Q65" s="129">
        <f>'Neo-K2'!AF$42</f>
        <v>0.3603617810292164</v>
      </c>
      <c r="R65" s="129">
        <f>'Neo-K2'!AH$42</f>
        <v>0.43571067496926313</v>
      </c>
      <c r="S65" s="129">
        <f>'Neo-K2'!AJ$42</f>
        <v>0.51906337860918716</v>
      </c>
      <c r="T65" s="129">
        <f>'Neo-K2'!AL$42</f>
        <v>0.60894669850457217</v>
      </c>
      <c r="U65" s="129">
        <f>'Neo-K2'!AN$42</f>
        <v>0.72007489177573802</v>
      </c>
      <c r="V65" s="129">
        <f>'Neo-K2'!AP$42</f>
        <v>0.7497885379072784</v>
      </c>
      <c r="W65" s="129">
        <f>'Neo-K2'!AR$42</f>
        <v>0.78496415547758169</v>
      </c>
      <c r="X65" s="129">
        <f>'Neo-K2'!AT$42</f>
        <v>0.82879043184179313</v>
      </c>
      <c r="Y65" s="129">
        <f>'Neo-K2'!AV$42</f>
        <v>0.88822420287749004</v>
      </c>
    </row>
    <row r="68" spans="1:25" ht="10.5" x14ac:dyDescent="0.25">
      <c r="A68" s="92" t="s">
        <v>185</v>
      </c>
      <c r="B68" s="202">
        <v>0</v>
      </c>
      <c r="C68" s="202">
        <v>0.05</v>
      </c>
      <c r="D68" s="202">
        <v>0.1</v>
      </c>
      <c r="E68" s="202">
        <v>0.15000000000000002</v>
      </c>
      <c r="F68" s="202">
        <v>0.2</v>
      </c>
      <c r="G68" s="202">
        <v>0.25</v>
      </c>
      <c r="H68" s="202">
        <v>0.3</v>
      </c>
      <c r="I68" s="202">
        <v>0.35</v>
      </c>
      <c r="J68" s="202">
        <v>0.39999999999999997</v>
      </c>
      <c r="K68" s="202">
        <v>0.44999999999999996</v>
      </c>
      <c r="L68" s="202">
        <v>0.49999999999999994</v>
      </c>
      <c r="M68" s="202">
        <v>0.54999999999999993</v>
      </c>
      <c r="N68" s="202">
        <v>0.6</v>
      </c>
      <c r="O68" s="202">
        <v>0.65</v>
      </c>
      <c r="P68" s="204"/>
    </row>
    <row r="69" spans="1:25" x14ac:dyDescent="0.2">
      <c r="A69" t="s">
        <v>12</v>
      </c>
      <c r="B69" s="27" t="e">
        <f>HLOOKUP(B$68,Results!$A$1:$AW$39,MATCH('Diagnosis Indicators'!$A69,Results!$A$1:$A$39,0),FALSE)</f>
        <v>#N/A</v>
      </c>
      <c r="C69" s="27" t="e">
        <f>HLOOKUP(C$68,Results!$A$1:$AW$39,MATCH('Diagnosis Indicators'!$A69,Results!$A$1:$A$39,0),FALSE)</f>
        <v>#N/A</v>
      </c>
      <c r="D69" s="27" t="e">
        <f>HLOOKUP(D$68,Results!$A$1:$AW$39,MATCH('Diagnosis Indicators'!$A69,Results!$A$1:$A$39,0),FALSE)</f>
        <v>#N/A</v>
      </c>
      <c r="E69" s="27" t="e">
        <f>HLOOKUP(E$68,Results!$A$1:$AW$39,MATCH('Diagnosis Indicators'!$A69,Results!$A$1:$A$39,0),FALSE)</f>
        <v>#N/A</v>
      </c>
      <c r="F69" s="27" t="e">
        <f>HLOOKUP(F$68,Results!$A$1:$AW$39,MATCH('Diagnosis Indicators'!$A69,Results!$A$1:$A$39,0),FALSE)</f>
        <v>#N/A</v>
      </c>
      <c r="G69" s="27" t="e">
        <f>HLOOKUP(G$68,Results!$A$1:$AW$39,MATCH('Diagnosis Indicators'!$A69,Results!$A$1:$A$39,0),FALSE)</f>
        <v>#N/A</v>
      </c>
      <c r="H69" s="27" t="e">
        <f>HLOOKUP(H$68,Results!$A$1:$AW$39,MATCH('Diagnosis Indicators'!$A69,Results!$A$1:$A$39,0),FALSE)</f>
        <v>#N/A</v>
      </c>
      <c r="I69" s="27" t="e">
        <f>HLOOKUP(I$68,Results!$A$1:$AW$39,MATCH('Diagnosis Indicators'!$A69,Results!$A$1:$A$39,0),FALSE)</f>
        <v>#N/A</v>
      </c>
      <c r="J69" s="27" t="e">
        <f>HLOOKUP(J$68,Results!$A$1:$AW$39,MATCH('Diagnosis Indicators'!$A69,Results!$A$1:$A$39,0),FALSE)</f>
        <v>#N/A</v>
      </c>
      <c r="K69" s="27" t="e">
        <f>HLOOKUP(K$68,Results!$A$1:$AW$39,MATCH('Diagnosis Indicators'!$A69,Results!$A$1:$A$39,0),FALSE)</f>
        <v>#N/A</v>
      </c>
      <c r="L69" s="27" t="e">
        <f>HLOOKUP(L$68,Results!$A$1:$AW$39,MATCH('Diagnosis Indicators'!$A69,Results!$A$1:$A$39,0),FALSE)</f>
        <v>#N/A</v>
      </c>
      <c r="M69" s="27" t="e">
        <f>HLOOKUP(M$68,Results!$A$1:$AW$39,MATCH('Diagnosis Indicators'!$A69,Results!$A$1:$A$39,0),FALSE)</f>
        <v>#N/A</v>
      </c>
      <c r="N69" s="27" t="e">
        <f>HLOOKUP(N$68,Results!$A$1:$AW$39,MATCH('Diagnosis Indicators'!$A69,Results!$A$1:$A$39,0),FALSE)</f>
        <v>#N/A</v>
      </c>
      <c r="O69" s="27" t="e">
        <f>HLOOKUP(O$68,Results!$A$1:$AW$39,MATCH('Diagnosis Indicators'!$A69,Results!$A$1:$A$39,0),FALSE)</f>
        <v>#N/A</v>
      </c>
    </row>
    <row r="70" spans="1:25" x14ac:dyDescent="0.2">
      <c r="A70" t="s">
        <v>115</v>
      </c>
      <c r="B70" s="27" t="e">
        <f>HLOOKUP(B$68,Results!$A$1:$AW$39,MATCH('Diagnosis Indicators'!$A70,Results!$A$1:$A$39,0),FALSE)</f>
        <v>#N/A</v>
      </c>
      <c r="C70" s="27" t="e">
        <f>HLOOKUP(C$68,Results!$A$1:$AW$39,MATCH('Diagnosis Indicators'!$A70,Results!$A$1:$A$39,0),FALSE)</f>
        <v>#N/A</v>
      </c>
      <c r="D70" s="27" t="e">
        <f>HLOOKUP(D$68,Results!$A$1:$AW$39,MATCH('Diagnosis Indicators'!$A70,Results!$A$1:$A$39,0),FALSE)</f>
        <v>#N/A</v>
      </c>
      <c r="E70" s="27" t="e">
        <f>HLOOKUP(E$68,Results!$A$1:$AW$39,MATCH('Diagnosis Indicators'!$A70,Results!$A$1:$A$39,0),FALSE)</f>
        <v>#N/A</v>
      </c>
      <c r="F70" s="27" t="e">
        <f>HLOOKUP(F$68,Results!$A$1:$AW$39,MATCH('Diagnosis Indicators'!$A70,Results!$A$1:$A$39,0),FALSE)</f>
        <v>#N/A</v>
      </c>
      <c r="G70" s="27" t="e">
        <f>HLOOKUP(G$68,Results!$A$1:$AW$39,MATCH('Diagnosis Indicators'!$A70,Results!$A$1:$A$39,0),FALSE)</f>
        <v>#N/A</v>
      </c>
      <c r="H70" s="27" t="e">
        <f>HLOOKUP(H$68,Results!$A$1:$AW$39,MATCH('Diagnosis Indicators'!$A70,Results!$A$1:$A$39,0),FALSE)</f>
        <v>#N/A</v>
      </c>
      <c r="I70" s="27" t="e">
        <f>HLOOKUP(I$68,Results!$A$1:$AW$39,MATCH('Diagnosis Indicators'!$A70,Results!$A$1:$A$39,0),FALSE)</f>
        <v>#N/A</v>
      </c>
      <c r="J70" s="27" t="e">
        <f>HLOOKUP(J$68,Results!$A$1:$AW$39,MATCH('Diagnosis Indicators'!$A70,Results!$A$1:$A$39,0),FALSE)</f>
        <v>#N/A</v>
      </c>
      <c r="K70" s="27" t="e">
        <f>HLOOKUP(K$68,Results!$A$1:$AW$39,MATCH('Diagnosis Indicators'!$A70,Results!$A$1:$A$39,0),FALSE)</f>
        <v>#N/A</v>
      </c>
      <c r="L70" s="27" t="e">
        <f>HLOOKUP(L$68,Results!$A$1:$AW$39,MATCH('Diagnosis Indicators'!$A70,Results!$A$1:$A$39,0),FALSE)</f>
        <v>#N/A</v>
      </c>
      <c r="M70" s="27" t="e">
        <f>HLOOKUP(M$68,Results!$A$1:$AW$39,MATCH('Diagnosis Indicators'!$A70,Results!$A$1:$A$39,0),FALSE)</f>
        <v>#N/A</v>
      </c>
      <c r="N70" s="27" t="e">
        <f>HLOOKUP(N$68,Results!$A$1:$AW$39,MATCH('Diagnosis Indicators'!$A70,Results!$A$1:$A$39,0),FALSE)</f>
        <v>#N/A</v>
      </c>
      <c r="O70" s="27" t="e">
        <f>HLOOKUP(O$68,Results!$A$1:$AW$39,MATCH('Diagnosis Indicators'!$A70,Results!$A$1:$A$39,0),FALSE)</f>
        <v>#N/A</v>
      </c>
    </row>
    <row r="71" spans="1:25" x14ac:dyDescent="0.2">
      <c r="A71" t="s">
        <v>17</v>
      </c>
      <c r="B71" s="27" t="e">
        <f>HLOOKUP(B$68,Results!$A$1:$AW$39,MATCH('Diagnosis Indicators'!$A71,Results!$A$1:$A$39,0),FALSE)</f>
        <v>#N/A</v>
      </c>
      <c r="C71" s="27" t="e">
        <f>HLOOKUP(C$68,Results!$A$1:$AW$39,MATCH('Diagnosis Indicators'!$A71,Results!$A$1:$A$39,0),FALSE)</f>
        <v>#N/A</v>
      </c>
      <c r="D71" s="27" t="e">
        <f>HLOOKUP(D$68,Results!$A$1:$AW$39,MATCH('Diagnosis Indicators'!$A71,Results!$A$1:$A$39,0),FALSE)</f>
        <v>#N/A</v>
      </c>
      <c r="E71" s="27" t="e">
        <f>HLOOKUP(E$68,Results!$A$1:$AW$39,MATCH('Diagnosis Indicators'!$A71,Results!$A$1:$A$39,0),FALSE)</f>
        <v>#N/A</v>
      </c>
      <c r="F71" s="27" t="e">
        <f>HLOOKUP(F$68,Results!$A$1:$AW$39,MATCH('Diagnosis Indicators'!$A71,Results!$A$1:$A$39,0),FALSE)</f>
        <v>#N/A</v>
      </c>
      <c r="G71" s="27" t="e">
        <f>HLOOKUP(G$68,Results!$A$1:$AW$39,MATCH('Diagnosis Indicators'!$A71,Results!$A$1:$A$39,0),FALSE)</f>
        <v>#N/A</v>
      </c>
      <c r="H71" s="27" t="e">
        <f>HLOOKUP(H$68,Results!$A$1:$AW$39,MATCH('Diagnosis Indicators'!$A71,Results!$A$1:$A$39,0),FALSE)</f>
        <v>#N/A</v>
      </c>
      <c r="I71" s="27" t="e">
        <f>HLOOKUP(I$68,Results!$A$1:$AW$39,MATCH('Diagnosis Indicators'!$A71,Results!$A$1:$A$39,0),FALSE)</f>
        <v>#N/A</v>
      </c>
      <c r="J71" s="27" t="e">
        <f>HLOOKUP(J$68,Results!$A$1:$AW$39,MATCH('Diagnosis Indicators'!$A71,Results!$A$1:$A$39,0),FALSE)</f>
        <v>#N/A</v>
      </c>
      <c r="K71" s="27" t="e">
        <f>HLOOKUP(K$68,Results!$A$1:$AW$39,MATCH('Diagnosis Indicators'!$A71,Results!$A$1:$A$39,0),FALSE)</f>
        <v>#N/A</v>
      </c>
      <c r="L71" s="27" t="e">
        <f>HLOOKUP(L$68,Results!$A$1:$AW$39,MATCH('Diagnosis Indicators'!$A71,Results!$A$1:$A$39,0),FALSE)</f>
        <v>#N/A</v>
      </c>
      <c r="M71" s="27" t="e">
        <f>HLOOKUP(M$68,Results!$A$1:$AW$39,MATCH('Diagnosis Indicators'!$A71,Results!$A$1:$A$39,0),FALSE)</f>
        <v>#N/A</v>
      </c>
      <c r="N71" s="27" t="e">
        <f>HLOOKUP(N$68,Results!$A$1:$AW$39,MATCH('Diagnosis Indicators'!$A71,Results!$A$1:$A$39,0),FALSE)</f>
        <v>#N/A</v>
      </c>
      <c r="O71" s="27" t="e">
        <f>HLOOKUP(O$68,Results!$A$1:$AW$39,MATCH('Diagnosis Indicators'!$A71,Results!$A$1:$A$39,0),FALSE)</f>
        <v>#N/A</v>
      </c>
    </row>
    <row r="72" spans="1:25" x14ac:dyDescent="0.2">
      <c r="A72" t="s">
        <v>18</v>
      </c>
      <c r="B72" s="27" t="e">
        <f>HLOOKUP(B$68,Results!$A$1:$AW$39,MATCH('Diagnosis Indicators'!$A72,Results!$A$1:$A$39,0),FALSE)</f>
        <v>#N/A</v>
      </c>
      <c r="C72" s="27" t="e">
        <f>HLOOKUP(C$68,Results!$A$1:$AW$39,MATCH('Diagnosis Indicators'!$A72,Results!$A$1:$A$39,0),FALSE)</f>
        <v>#N/A</v>
      </c>
      <c r="D72" s="27" t="e">
        <f>HLOOKUP(D$68,Results!$A$1:$AW$39,MATCH('Diagnosis Indicators'!$A72,Results!$A$1:$A$39,0),FALSE)</f>
        <v>#N/A</v>
      </c>
      <c r="E72" s="27" t="e">
        <f>HLOOKUP(E$68,Results!$A$1:$AW$39,MATCH('Diagnosis Indicators'!$A72,Results!$A$1:$A$39,0),FALSE)</f>
        <v>#N/A</v>
      </c>
      <c r="F72" s="27" t="e">
        <f>HLOOKUP(F$68,Results!$A$1:$AW$39,MATCH('Diagnosis Indicators'!$A72,Results!$A$1:$A$39,0),FALSE)</f>
        <v>#N/A</v>
      </c>
      <c r="G72" s="27" t="e">
        <f>HLOOKUP(G$68,Results!$A$1:$AW$39,MATCH('Diagnosis Indicators'!$A72,Results!$A$1:$A$39,0),FALSE)</f>
        <v>#N/A</v>
      </c>
      <c r="H72" s="27" t="e">
        <f>HLOOKUP(H$68,Results!$A$1:$AW$39,MATCH('Diagnosis Indicators'!$A72,Results!$A$1:$A$39,0),FALSE)</f>
        <v>#N/A</v>
      </c>
      <c r="I72" s="27" t="e">
        <f>HLOOKUP(I$68,Results!$A$1:$AW$39,MATCH('Diagnosis Indicators'!$A72,Results!$A$1:$A$39,0),FALSE)</f>
        <v>#N/A</v>
      </c>
      <c r="J72" s="27" t="e">
        <f>HLOOKUP(J$68,Results!$A$1:$AW$39,MATCH('Diagnosis Indicators'!$A72,Results!$A$1:$A$39,0),FALSE)</f>
        <v>#N/A</v>
      </c>
      <c r="K72" s="27" t="e">
        <f>HLOOKUP(K$68,Results!$A$1:$AW$39,MATCH('Diagnosis Indicators'!$A72,Results!$A$1:$A$39,0),FALSE)</f>
        <v>#N/A</v>
      </c>
      <c r="L72" s="27" t="e">
        <f>HLOOKUP(L$68,Results!$A$1:$AW$39,MATCH('Diagnosis Indicators'!$A72,Results!$A$1:$A$39,0),FALSE)</f>
        <v>#N/A</v>
      </c>
      <c r="M72" s="27" t="e">
        <f>HLOOKUP(M$68,Results!$A$1:$AW$39,MATCH('Diagnosis Indicators'!$A72,Results!$A$1:$A$39,0),FALSE)</f>
        <v>#N/A</v>
      </c>
      <c r="N72" s="27" t="e">
        <f>HLOOKUP(N$68,Results!$A$1:$AW$39,MATCH('Diagnosis Indicators'!$A72,Results!$A$1:$A$39,0),FALSE)</f>
        <v>#N/A</v>
      </c>
      <c r="O72" s="27" t="e">
        <f>HLOOKUP(O$68,Results!$A$1:$AW$39,MATCH('Diagnosis Indicators'!$A72,Results!$A$1:$A$39,0),FALSE)</f>
        <v>#N/A</v>
      </c>
    </row>
    <row r="73" spans="1:25" x14ac:dyDescent="0.2">
      <c r="A73" t="s">
        <v>61</v>
      </c>
      <c r="B73" s="27" t="e">
        <f>HLOOKUP(B$68,Results!$A$1:$AW$39,MATCH('Diagnosis Indicators'!$A73,Results!$A$1:$A$39,0),FALSE)</f>
        <v>#N/A</v>
      </c>
      <c r="C73" s="27" t="e">
        <f>HLOOKUP(C$68,Results!$A$1:$AW$39,MATCH('Diagnosis Indicators'!$A73,Results!$A$1:$A$39,0),FALSE)</f>
        <v>#N/A</v>
      </c>
      <c r="D73" s="27" t="e">
        <f>HLOOKUP(D$68,Results!$A$1:$AW$39,MATCH('Diagnosis Indicators'!$A73,Results!$A$1:$A$39,0),FALSE)</f>
        <v>#N/A</v>
      </c>
      <c r="E73" s="27" t="e">
        <f>HLOOKUP(E$68,Results!$A$1:$AW$39,MATCH('Diagnosis Indicators'!$A73,Results!$A$1:$A$39,0),FALSE)</f>
        <v>#N/A</v>
      </c>
      <c r="F73" s="27" t="e">
        <f>HLOOKUP(F$68,Results!$A$1:$AW$39,MATCH('Diagnosis Indicators'!$A73,Results!$A$1:$A$39,0),FALSE)</f>
        <v>#N/A</v>
      </c>
      <c r="G73" s="27" t="e">
        <f>HLOOKUP(G$68,Results!$A$1:$AW$39,MATCH('Diagnosis Indicators'!$A73,Results!$A$1:$A$39,0),FALSE)</f>
        <v>#N/A</v>
      </c>
      <c r="H73" s="27" t="e">
        <f>HLOOKUP(H$68,Results!$A$1:$AW$39,MATCH('Diagnosis Indicators'!$A73,Results!$A$1:$A$39,0),FALSE)</f>
        <v>#N/A</v>
      </c>
      <c r="I73" s="27" t="e">
        <f>HLOOKUP(I$68,Results!$A$1:$AW$39,MATCH('Diagnosis Indicators'!$A73,Results!$A$1:$A$39,0),FALSE)</f>
        <v>#N/A</v>
      </c>
      <c r="J73" s="27" t="e">
        <f>HLOOKUP(J$68,Results!$A$1:$AW$39,MATCH('Diagnosis Indicators'!$A73,Results!$A$1:$A$39,0),FALSE)</f>
        <v>#N/A</v>
      </c>
      <c r="K73" s="27" t="e">
        <f>HLOOKUP(K$68,Results!$A$1:$AW$39,MATCH('Diagnosis Indicators'!$A73,Results!$A$1:$A$39,0),FALSE)</f>
        <v>#N/A</v>
      </c>
      <c r="L73" s="27" t="e">
        <f>HLOOKUP(L$68,Results!$A$1:$AW$39,MATCH('Diagnosis Indicators'!$A73,Results!$A$1:$A$39,0),FALSE)</f>
        <v>#N/A</v>
      </c>
      <c r="M73" s="27" t="e">
        <f>HLOOKUP(M$68,Results!$A$1:$AW$39,MATCH('Diagnosis Indicators'!$A73,Results!$A$1:$A$39,0),FALSE)</f>
        <v>#N/A</v>
      </c>
      <c r="N73" s="27" t="e">
        <f>HLOOKUP(N$68,Results!$A$1:$AW$39,MATCH('Diagnosis Indicators'!$A73,Results!$A$1:$A$39,0),FALSE)</f>
        <v>#N/A</v>
      </c>
      <c r="O73" s="27" t="e">
        <f>HLOOKUP(O$68,Results!$A$1:$AW$39,MATCH('Diagnosis Indicators'!$A73,Results!$A$1:$A$39,0),FALSE)</f>
        <v>#N/A</v>
      </c>
    </row>
    <row r="74" spans="1:25" x14ac:dyDescent="0.2">
      <c r="A74" t="s">
        <v>114</v>
      </c>
      <c r="B74" s="27" t="e">
        <f>HLOOKUP(B$68,Results!$A$1:$AW$39,MATCH('Diagnosis Indicators'!$A74,Results!$A$1:$A$39,0),FALSE)</f>
        <v>#N/A</v>
      </c>
      <c r="C74" s="27" t="e">
        <f>HLOOKUP(C$68,Results!$A$1:$AW$39,MATCH('Diagnosis Indicators'!$A74,Results!$A$1:$A$39,0),FALSE)</f>
        <v>#N/A</v>
      </c>
      <c r="D74" s="27" t="e">
        <f>HLOOKUP(D$68,Results!$A$1:$AW$39,MATCH('Diagnosis Indicators'!$A74,Results!$A$1:$A$39,0),FALSE)</f>
        <v>#N/A</v>
      </c>
      <c r="E74" s="27" t="e">
        <f>HLOOKUP(E$68,Results!$A$1:$AW$39,MATCH('Diagnosis Indicators'!$A74,Results!$A$1:$A$39,0),FALSE)</f>
        <v>#N/A</v>
      </c>
      <c r="F74" s="27" t="e">
        <f>HLOOKUP(F$68,Results!$A$1:$AW$39,MATCH('Diagnosis Indicators'!$A74,Results!$A$1:$A$39,0),FALSE)</f>
        <v>#N/A</v>
      </c>
      <c r="G74" s="27" t="e">
        <f>HLOOKUP(G$68,Results!$A$1:$AW$39,MATCH('Diagnosis Indicators'!$A74,Results!$A$1:$A$39,0),FALSE)</f>
        <v>#N/A</v>
      </c>
      <c r="H74" s="27" t="e">
        <f>HLOOKUP(H$68,Results!$A$1:$AW$39,MATCH('Diagnosis Indicators'!$A74,Results!$A$1:$A$39,0),FALSE)</f>
        <v>#N/A</v>
      </c>
      <c r="I74" s="27" t="e">
        <f>HLOOKUP(I$68,Results!$A$1:$AW$39,MATCH('Diagnosis Indicators'!$A74,Results!$A$1:$A$39,0),FALSE)</f>
        <v>#N/A</v>
      </c>
      <c r="J74" s="27" t="e">
        <f>HLOOKUP(J$68,Results!$A$1:$AW$39,MATCH('Diagnosis Indicators'!$A74,Results!$A$1:$A$39,0),FALSE)</f>
        <v>#N/A</v>
      </c>
      <c r="K74" s="27" t="e">
        <f>HLOOKUP(K$68,Results!$A$1:$AW$39,MATCH('Diagnosis Indicators'!$A74,Results!$A$1:$A$39,0),FALSE)</f>
        <v>#N/A</v>
      </c>
      <c r="L74" s="27" t="e">
        <f>HLOOKUP(L$68,Results!$A$1:$AW$39,MATCH('Diagnosis Indicators'!$A74,Results!$A$1:$A$39,0),FALSE)</f>
        <v>#N/A</v>
      </c>
      <c r="M74" s="27" t="e">
        <f>HLOOKUP(M$68,Results!$A$1:$AW$39,MATCH('Diagnosis Indicators'!$A74,Results!$A$1:$A$39,0),FALSE)</f>
        <v>#N/A</v>
      </c>
      <c r="N74" s="27" t="e">
        <f>HLOOKUP(N$68,Results!$A$1:$AW$39,MATCH('Diagnosis Indicators'!$A74,Results!$A$1:$A$39,0),FALSE)</f>
        <v>#N/A</v>
      </c>
      <c r="O74" s="27" t="e">
        <f>HLOOKUP(O$68,Results!$A$1:$AW$39,MATCH('Diagnosis Indicators'!$A74,Results!$A$1:$A$39,0),FALSE)</f>
        <v>#N/A</v>
      </c>
    </row>
    <row r="75" spans="1:25" x14ac:dyDescent="0.2">
      <c r="A75" t="s">
        <v>8</v>
      </c>
      <c r="B75" s="27" t="e">
        <f>HLOOKUP(B$68,Results!$A$1:$AW$39,MATCH('Diagnosis Indicators'!$A75,Results!$A$1:$A$39,0),FALSE)</f>
        <v>#N/A</v>
      </c>
      <c r="C75" s="27" t="e">
        <f>HLOOKUP(C$68,Results!$A$1:$AW$39,MATCH('Diagnosis Indicators'!$A75,Results!$A$1:$A$39,0),FALSE)</f>
        <v>#N/A</v>
      </c>
      <c r="D75" s="27" t="e">
        <f>HLOOKUP(D$68,Results!$A$1:$AW$39,MATCH('Diagnosis Indicators'!$A75,Results!$A$1:$A$39,0),FALSE)</f>
        <v>#N/A</v>
      </c>
      <c r="E75" s="27" t="e">
        <f>HLOOKUP(E$68,Results!$A$1:$AW$39,MATCH('Diagnosis Indicators'!$A75,Results!$A$1:$A$39,0),FALSE)</f>
        <v>#N/A</v>
      </c>
      <c r="F75" s="27" t="e">
        <f>HLOOKUP(F$68,Results!$A$1:$AW$39,MATCH('Diagnosis Indicators'!$A75,Results!$A$1:$A$39,0),FALSE)</f>
        <v>#N/A</v>
      </c>
      <c r="G75" s="27" t="e">
        <f>HLOOKUP(G$68,Results!$A$1:$AW$39,MATCH('Diagnosis Indicators'!$A75,Results!$A$1:$A$39,0),FALSE)</f>
        <v>#N/A</v>
      </c>
      <c r="H75" s="27" t="e">
        <f>HLOOKUP(H$68,Results!$A$1:$AW$39,MATCH('Diagnosis Indicators'!$A75,Results!$A$1:$A$39,0),FALSE)</f>
        <v>#N/A</v>
      </c>
      <c r="I75" s="27" t="e">
        <f>HLOOKUP(I$68,Results!$A$1:$AW$39,MATCH('Diagnosis Indicators'!$A75,Results!$A$1:$A$39,0),FALSE)</f>
        <v>#N/A</v>
      </c>
      <c r="J75" s="27" t="e">
        <f>HLOOKUP(J$68,Results!$A$1:$AW$39,MATCH('Diagnosis Indicators'!$A75,Results!$A$1:$A$39,0),FALSE)</f>
        <v>#N/A</v>
      </c>
      <c r="K75" s="27" t="e">
        <f>HLOOKUP(K$68,Results!$A$1:$AW$39,MATCH('Diagnosis Indicators'!$A75,Results!$A$1:$A$39,0),FALSE)</f>
        <v>#N/A</v>
      </c>
      <c r="L75" s="27" t="e">
        <f>HLOOKUP(L$68,Results!$A$1:$AW$39,MATCH('Diagnosis Indicators'!$A75,Results!$A$1:$A$39,0),FALSE)</f>
        <v>#N/A</v>
      </c>
      <c r="M75" s="27" t="e">
        <f>HLOOKUP(M$68,Results!$A$1:$AW$39,MATCH('Diagnosis Indicators'!$A75,Results!$A$1:$A$39,0),FALSE)</f>
        <v>#N/A</v>
      </c>
      <c r="N75" s="27" t="e">
        <f>HLOOKUP(N$68,Results!$A$1:$AW$39,MATCH('Diagnosis Indicators'!$A75,Results!$A$1:$A$39,0),FALSE)</f>
        <v>#N/A</v>
      </c>
      <c r="O75" s="27" t="e">
        <f>HLOOKUP(O$68,Results!$A$1:$AW$39,MATCH('Diagnosis Indicators'!$A75,Results!$A$1:$A$39,0),FALSE)</f>
        <v>#N/A</v>
      </c>
    </row>
    <row r="76" spans="1:25" x14ac:dyDescent="0.2">
      <c r="A76" t="s">
        <v>64</v>
      </c>
      <c r="B76" s="27" t="e">
        <f>HLOOKUP(B$68,Results!$A$1:$AW$39,MATCH('Diagnosis Indicators'!$A76,Results!$A$1:$A$39,0),FALSE)</f>
        <v>#N/A</v>
      </c>
      <c r="C76" s="27" t="e">
        <f>HLOOKUP(C$68,Results!$A$1:$AW$39,MATCH('Diagnosis Indicators'!$A76,Results!$A$1:$A$39,0),FALSE)</f>
        <v>#N/A</v>
      </c>
      <c r="D76" s="27" t="e">
        <f>HLOOKUP(D$68,Results!$A$1:$AW$39,MATCH('Diagnosis Indicators'!$A76,Results!$A$1:$A$39,0),FALSE)</f>
        <v>#N/A</v>
      </c>
      <c r="E76" s="27" t="e">
        <f>HLOOKUP(E$68,Results!$A$1:$AW$39,MATCH('Diagnosis Indicators'!$A76,Results!$A$1:$A$39,0),FALSE)</f>
        <v>#N/A</v>
      </c>
      <c r="F76" s="27" t="e">
        <f>HLOOKUP(F$68,Results!$A$1:$AW$39,MATCH('Diagnosis Indicators'!$A76,Results!$A$1:$A$39,0),FALSE)</f>
        <v>#N/A</v>
      </c>
      <c r="G76" s="27" t="e">
        <f>HLOOKUP(G$68,Results!$A$1:$AW$39,MATCH('Diagnosis Indicators'!$A76,Results!$A$1:$A$39,0),FALSE)</f>
        <v>#N/A</v>
      </c>
      <c r="H76" s="27" t="e">
        <f>HLOOKUP(H$68,Results!$A$1:$AW$39,MATCH('Diagnosis Indicators'!$A76,Results!$A$1:$A$39,0),FALSE)</f>
        <v>#N/A</v>
      </c>
      <c r="I76" s="27" t="e">
        <f>HLOOKUP(I$68,Results!$A$1:$AW$39,MATCH('Diagnosis Indicators'!$A76,Results!$A$1:$A$39,0),FALSE)</f>
        <v>#N/A</v>
      </c>
      <c r="J76" s="27" t="e">
        <f>HLOOKUP(J$68,Results!$A$1:$AW$39,MATCH('Diagnosis Indicators'!$A76,Results!$A$1:$A$39,0),FALSE)</f>
        <v>#N/A</v>
      </c>
      <c r="K76" s="27" t="e">
        <f>HLOOKUP(K$68,Results!$A$1:$AW$39,MATCH('Diagnosis Indicators'!$A76,Results!$A$1:$A$39,0),FALSE)</f>
        <v>#N/A</v>
      </c>
      <c r="L76" s="27" t="e">
        <f>HLOOKUP(L$68,Results!$A$1:$AW$39,MATCH('Diagnosis Indicators'!$A76,Results!$A$1:$A$39,0),FALSE)</f>
        <v>#N/A</v>
      </c>
      <c r="M76" s="27" t="e">
        <f>HLOOKUP(M$68,Results!$A$1:$AW$39,MATCH('Diagnosis Indicators'!$A76,Results!$A$1:$A$39,0),FALSE)</f>
        <v>#N/A</v>
      </c>
      <c r="N76" s="27" t="e">
        <f>HLOOKUP(N$68,Results!$A$1:$AW$39,MATCH('Diagnosis Indicators'!$A76,Results!$A$1:$A$39,0),FALSE)</f>
        <v>#N/A</v>
      </c>
      <c r="O76" s="27" t="e">
        <f>HLOOKUP(O$68,Results!$A$1:$AW$39,MATCH('Diagnosis Indicators'!$A76,Results!$A$1:$A$39,0),FALSE)</f>
        <v>#N/A</v>
      </c>
    </row>
    <row r="77" spans="1:25" x14ac:dyDescent="0.2">
      <c r="A77" t="s">
        <v>27</v>
      </c>
      <c r="B77" s="27" t="e">
        <f>HLOOKUP(B$68,Results!$A$1:$AW$39,MATCH('Diagnosis Indicators'!$A77,Results!$A$1:$A$39,0),FALSE)</f>
        <v>#N/A</v>
      </c>
      <c r="C77" s="27" t="e">
        <f>HLOOKUP(C$68,Results!$A$1:$AW$39,MATCH('Diagnosis Indicators'!$A77,Results!$A$1:$A$39,0),FALSE)</f>
        <v>#N/A</v>
      </c>
      <c r="D77" s="27" t="e">
        <f>HLOOKUP(D$68,Results!$A$1:$AW$39,MATCH('Diagnosis Indicators'!$A77,Results!$A$1:$A$39,0),FALSE)</f>
        <v>#N/A</v>
      </c>
      <c r="E77" s="27" t="e">
        <f>HLOOKUP(E$68,Results!$A$1:$AW$39,MATCH('Diagnosis Indicators'!$A77,Results!$A$1:$A$39,0),FALSE)</f>
        <v>#N/A</v>
      </c>
      <c r="F77" s="27" t="e">
        <f>HLOOKUP(F$68,Results!$A$1:$AW$39,MATCH('Diagnosis Indicators'!$A77,Results!$A$1:$A$39,0),FALSE)</f>
        <v>#N/A</v>
      </c>
      <c r="G77" s="27" t="e">
        <f>HLOOKUP(G$68,Results!$A$1:$AW$39,MATCH('Diagnosis Indicators'!$A77,Results!$A$1:$A$39,0),FALSE)</f>
        <v>#N/A</v>
      </c>
      <c r="H77" s="27" t="e">
        <f>HLOOKUP(H$68,Results!$A$1:$AW$39,MATCH('Diagnosis Indicators'!$A77,Results!$A$1:$A$39,0),FALSE)</f>
        <v>#N/A</v>
      </c>
      <c r="I77" s="27" t="e">
        <f>HLOOKUP(I$68,Results!$A$1:$AW$39,MATCH('Diagnosis Indicators'!$A77,Results!$A$1:$A$39,0),FALSE)</f>
        <v>#N/A</v>
      </c>
      <c r="J77" s="27" t="e">
        <f>HLOOKUP(J$68,Results!$A$1:$AW$39,MATCH('Diagnosis Indicators'!$A77,Results!$A$1:$A$39,0),FALSE)</f>
        <v>#N/A</v>
      </c>
      <c r="K77" s="27" t="e">
        <f>HLOOKUP(K$68,Results!$A$1:$AW$39,MATCH('Diagnosis Indicators'!$A77,Results!$A$1:$A$39,0),FALSE)</f>
        <v>#N/A</v>
      </c>
      <c r="L77" s="27" t="e">
        <f>HLOOKUP(L$68,Results!$A$1:$AW$39,MATCH('Diagnosis Indicators'!$A77,Results!$A$1:$A$39,0),FALSE)</f>
        <v>#N/A</v>
      </c>
      <c r="M77" s="27" t="e">
        <f>HLOOKUP(M$68,Results!$A$1:$AW$39,MATCH('Diagnosis Indicators'!$A77,Results!$A$1:$A$39,0),FALSE)</f>
        <v>#N/A</v>
      </c>
      <c r="N77" s="27" t="e">
        <f>HLOOKUP(N$68,Results!$A$1:$AW$39,MATCH('Diagnosis Indicators'!$A77,Results!$A$1:$A$39,0),FALSE)</f>
        <v>#N/A</v>
      </c>
      <c r="O77" s="27" t="e">
        <f>HLOOKUP(O$68,Results!$A$1:$AW$39,MATCH('Diagnosis Indicators'!$A77,Results!$A$1:$A$39,0),FALSE)</f>
        <v>#N/A</v>
      </c>
    </row>
    <row r="78" spans="1:25" x14ac:dyDescent="0.2">
      <c r="A78" t="s">
        <v>19</v>
      </c>
      <c r="B78" s="27" t="e">
        <f>HLOOKUP(B$68,Results!$A$1:$AW$39,MATCH('Diagnosis Indicators'!$A78,Results!$A$1:$A$39,0),FALSE)</f>
        <v>#N/A</v>
      </c>
      <c r="C78" s="27" t="e">
        <f>HLOOKUP(C$68,Results!$A$1:$AW$39,MATCH('Diagnosis Indicators'!$A78,Results!$A$1:$A$39,0),FALSE)</f>
        <v>#N/A</v>
      </c>
      <c r="D78" s="27" t="e">
        <f>HLOOKUP(D$68,Results!$A$1:$AW$39,MATCH('Diagnosis Indicators'!$A78,Results!$A$1:$A$39,0),FALSE)</f>
        <v>#N/A</v>
      </c>
      <c r="E78" s="27" t="e">
        <f>HLOOKUP(E$68,Results!$A$1:$AW$39,MATCH('Diagnosis Indicators'!$A78,Results!$A$1:$A$39,0),FALSE)</f>
        <v>#N/A</v>
      </c>
      <c r="F78" s="27" t="e">
        <f>HLOOKUP(F$68,Results!$A$1:$AW$39,MATCH('Diagnosis Indicators'!$A78,Results!$A$1:$A$39,0),FALSE)</f>
        <v>#N/A</v>
      </c>
      <c r="G78" s="27" t="e">
        <f>HLOOKUP(G$68,Results!$A$1:$AW$39,MATCH('Diagnosis Indicators'!$A78,Results!$A$1:$A$39,0),FALSE)</f>
        <v>#N/A</v>
      </c>
      <c r="H78" s="27" t="e">
        <f>HLOOKUP(H$68,Results!$A$1:$AW$39,MATCH('Diagnosis Indicators'!$A78,Results!$A$1:$A$39,0),FALSE)</f>
        <v>#N/A</v>
      </c>
      <c r="I78" s="27" t="e">
        <f>HLOOKUP(I$68,Results!$A$1:$AW$39,MATCH('Diagnosis Indicators'!$A78,Results!$A$1:$A$39,0),FALSE)</f>
        <v>#N/A</v>
      </c>
      <c r="J78" s="27" t="e">
        <f>HLOOKUP(J$68,Results!$A$1:$AW$39,MATCH('Diagnosis Indicators'!$A78,Results!$A$1:$A$39,0),FALSE)</f>
        <v>#N/A</v>
      </c>
      <c r="K78" s="27" t="e">
        <f>HLOOKUP(K$68,Results!$A$1:$AW$39,MATCH('Diagnosis Indicators'!$A78,Results!$A$1:$A$39,0),FALSE)</f>
        <v>#N/A</v>
      </c>
      <c r="L78" s="27" t="e">
        <f>HLOOKUP(L$68,Results!$A$1:$AW$39,MATCH('Diagnosis Indicators'!$A78,Results!$A$1:$A$39,0),FALSE)</f>
        <v>#N/A</v>
      </c>
      <c r="M78" s="27" t="e">
        <f>HLOOKUP(M$68,Results!$A$1:$AW$39,MATCH('Diagnosis Indicators'!$A78,Results!$A$1:$A$39,0),FALSE)</f>
        <v>#N/A</v>
      </c>
      <c r="N78" s="27" t="e">
        <f>HLOOKUP(N$68,Results!$A$1:$AW$39,MATCH('Diagnosis Indicators'!$A78,Results!$A$1:$A$39,0),FALSE)</f>
        <v>#N/A</v>
      </c>
      <c r="O78" s="27" t="e">
        <f>HLOOKUP(O$68,Results!$A$1:$AW$39,MATCH('Diagnosis Indicators'!$A78,Results!$A$1:$A$39,0),FALSE)</f>
        <v>#N/A</v>
      </c>
    </row>
  </sheetData>
  <conditionalFormatting sqref="B3:Y3 B25:Y30 B48:Y54 B6:Y10">
    <cfRule type="cellIs" dxfId="8" priority="18" operator="equal">
      <formula>0</formula>
    </cfRule>
  </conditionalFormatting>
  <conditionalFormatting sqref="B36:Y43">
    <cfRule type="containsErrors" dxfId="7" priority="14">
      <formula>ISERROR(B36)</formula>
    </cfRule>
    <cfRule type="containsErrors" priority="16">
      <formula>ISERROR(B36)</formula>
    </cfRule>
  </conditionalFormatting>
  <conditionalFormatting sqref="B47:Y47">
    <cfRule type="cellIs" dxfId="6" priority="10" operator="equal">
      <formula>0</formula>
    </cfRule>
  </conditionalFormatting>
  <conditionalFormatting sqref="B5:Y5 U4:Y4">
    <cfRule type="cellIs" dxfId="5" priority="8" operator="equal">
      <formula>0</formula>
    </cfRule>
  </conditionalFormatting>
  <conditionalFormatting sqref="B4:T4">
    <cfRule type="cellIs" dxfId="4" priority="7" operator="equal">
      <formula>0</formula>
    </cfRule>
  </conditionalFormatting>
  <conditionalFormatting sqref="B31:Y32">
    <cfRule type="cellIs" dxfId="3" priority="4" operator="equal">
      <formula>0</formula>
    </cfRule>
  </conditionalFormatting>
  <conditionalFormatting sqref="B20:Y21">
    <cfRule type="cellIs" dxfId="2" priority="3" operator="equal">
      <formula>0</formula>
    </cfRule>
  </conditionalFormatting>
  <conditionalFormatting sqref="B59:Y65">
    <cfRule type="cellIs" dxfId="1" priority="2" operator="equal">
      <formula>0</formula>
    </cfRule>
  </conditionalFormatting>
  <conditionalFormatting sqref="B58:Y58">
    <cfRule type="cellIs" dxfId="0"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tabSelected="1" zoomScale="70" workbookViewId="0">
      <selection activeCell="U22" sqref="U22"/>
    </sheetView>
  </sheetViews>
  <sheetFormatPr baseColWidth="10" defaultRowHeight="10" x14ac:dyDescent="0.2"/>
  <sheetData>
    <row r="1" spans="1:25" x14ac:dyDescent="0.2">
      <c r="A1" t="s">
        <v>186</v>
      </c>
      <c r="B1" s="204">
        <f>'Diagnosis Indicators'!B2</f>
        <v>0</v>
      </c>
      <c r="C1" s="204">
        <f>'Diagnosis Indicators'!C2</f>
        <v>0.05</v>
      </c>
      <c r="D1" s="204">
        <f>'Diagnosis Indicators'!D2</f>
        <v>0.1</v>
      </c>
      <c r="E1" s="204">
        <f>'Diagnosis Indicators'!E2</f>
        <v>0.15000000000000002</v>
      </c>
      <c r="F1" s="204">
        <f>'Diagnosis Indicators'!F2</f>
        <v>0.2</v>
      </c>
      <c r="G1" s="204">
        <f>'Diagnosis Indicators'!G2</f>
        <v>0.25</v>
      </c>
      <c r="H1" s="204">
        <f>'Diagnosis Indicators'!H2</f>
        <v>0.3</v>
      </c>
      <c r="I1" s="204">
        <f>'Diagnosis Indicators'!I2</f>
        <v>0.35</v>
      </c>
      <c r="J1" s="204">
        <f>'Diagnosis Indicators'!J2</f>
        <v>0.39999999999999997</v>
      </c>
      <c r="K1" s="204">
        <f>'Diagnosis Indicators'!K2</f>
        <v>0.44999999999999996</v>
      </c>
      <c r="L1" s="204">
        <f>'Diagnosis Indicators'!L2</f>
        <v>0.49999999999999994</v>
      </c>
      <c r="M1" s="204">
        <f>'Diagnosis Indicators'!M2</f>
        <v>0.54999999999999993</v>
      </c>
      <c r="N1" s="204">
        <f>'Diagnosis Indicators'!N2</f>
        <v>0.6</v>
      </c>
      <c r="O1" s="204">
        <f>'Diagnosis Indicators'!O2</f>
        <v>0.65</v>
      </c>
      <c r="P1" s="204">
        <f>'Diagnosis Indicators'!P2</f>
        <v>0.70000000000000007</v>
      </c>
      <c r="Q1" s="204">
        <f>'Diagnosis Indicators'!Q2</f>
        <v>0.75000000000000011</v>
      </c>
      <c r="R1" s="204">
        <f>'Diagnosis Indicators'!R2</f>
        <v>0.80000000000000016</v>
      </c>
      <c r="S1" s="204">
        <f>'Diagnosis Indicators'!S2</f>
        <v>0.8500000000000002</v>
      </c>
      <c r="T1" s="204">
        <f>'Diagnosis Indicators'!T2</f>
        <v>0.90000000000000024</v>
      </c>
      <c r="U1" s="204">
        <f>'Diagnosis Indicators'!U2</f>
        <v>0.95000000000000029</v>
      </c>
      <c r="V1" s="204">
        <f>'Diagnosis Indicators'!V2</f>
        <v>0.9600000000000003</v>
      </c>
      <c r="W1" s="204">
        <f>'Diagnosis Indicators'!W2</f>
        <v>0.97000000000000031</v>
      </c>
      <c r="X1" s="204">
        <f>'Diagnosis Indicators'!X2</f>
        <v>0.98000000000000032</v>
      </c>
      <c r="Y1" s="204">
        <f>'Diagnosis Indicators'!Y2</f>
        <v>0.99000000000000032</v>
      </c>
    </row>
    <row r="2" spans="1:25" x14ac:dyDescent="0.2">
      <c r="A2" t="str">
        <f>'Diagnosis Indicators'!A3</f>
        <v>Neoclassical</v>
      </c>
      <c r="B2">
        <f>'Diagnosis Indicators'!B3</f>
        <v>0.999999999999998</v>
      </c>
      <c r="C2">
        <f>'Diagnosis Indicators'!C3</f>
        <v>0.99447366321308817</v>
      </c>
      <c r="D2">
        <f>'Diagnosis Indicators'!D3</f>
        <v>0.98863928504590737</v>
      </c>
      <c r="E2">
        <f>'Diagnosis Indicators'!E3</f>
        <v>0.98245688081395566</v>
      </c>
      <c r="F2">
        <f>'Diagnosis Indicators'!F3</f>
        <v>0.97587843989315792</v>
      </c>
      <c r="G2">
        <f>'Diagnosis Indicators'!G3</f>
        <v>0.96884556612811923</v>
      </c>
      <c r="H2">
        <f>'Diagnosis Indicators'!H3</f>
        <v>0.96128625221827102</v>
      </c>
      <c r="I2">
        <f>'Diagnosis Indicators'!I3</f>
        <v>0.95311020392413792</v>
      </c>
      <c r="J2">
        <f>'Diagnosis Indicators'!J3</f>
        <v>0.94420189994090609</v>
      </c>
      <c r="K2">
        <f>'Diagnosis Indicators'!K3</f>
        <v>0.93441002521948868</v>
      </c>
      <c r="L2">
        <f>'Diagnosis Indicators'!L3</f>
        <v>0.92353040490247773</v>
      </c>
      <c r="M2">
        <f>'Diagnosis Indicators'!M3</f>
        <v>0.91127759590876967</v>
      </c>
      <c r="N2">
        <f>'Diagnosis Indicators'!N3</f>
        <v>0.89723447698612024</v>
      </c>
      <c r="O2">
        <f>'Diagnosis Indicators'!O3</f>
        <v>0.88075727069610521</v>
      </c>
      <c r="P2">
        <f>'Diagnosis Indicators'!P3</f>
        <v>0.86078286098416468</v>
      </c>
      <c r="Q2">
        <f>'Diagnosis Indicators'!Q3</f>
        <v>0.83540672831308249</v>
      </c>
      <c r="R2">
        <f>'Diagnosis Indicators'!R3</f>
        <v>0.80088968718164022</v>
      </c>
      <c r="S2">
        <f>'Diagnosis Indicators'!S3</f>
        <v>0.74922519457143255</v>
      </c>
      <c r="T2">
        <f>'Diagnosis Indicators'!T3</f>
        <v>0.66168618979955951</v>
      </c>
      <c r="U2">
        <f>'Diagnosis Indicators'!U3</f>
        <v>0.48115050034150508</v>
      </c>
      <c r="V2">
        <f>'Diagnosis Indicators'!V3</f>
        <v>0.41884379296672114</v>
      </c>
      <c r="W2">
        <f>'Diagnosis Indicators'!W3</f>
        <v>0.33954779553593528</v>
      </c>
      <c r="X2">
        <f>'Diagnosis Indicators'!X3</f>
        <v>0.23670255085740946</v>
      </c>
      <c r="Y2">
        <f>'Diagnosis Indicators'!Y3</f>
        <v>0.10629968998270858</v>
      </c>
    </row>
    <row r="3" spans="1:25" x14ac:dyDescent="0.2">
      <c r="A3" t="str">
        <f>'Diagnosis Indicators'!A4</f>
        <v>Kaldorian</v>
      </c>
      <c r="B3">
        <f>'Diagnosis Indicators'!B4</f>
        <v>0.999999999999998</v>
      </c>
      <c r="C3">
        <f>'Diagnosis Indicators'!C4</f>
        <v>0.99835648065559235</v>
      </c>
      <c r="D3">
        <f>'Diagnosis Indicators'!D4</f>
        <v>0.99644386002287533</v>
      </c>
      <c r="E3">
        <f>'Diagnosis Indicators'!E4</f>
        <v>0.99422987977990096</v>
      </c>
      <c r="F3">
        <f>'Diagnosis Indicators'!F4</f>
        <v>0.99167601842830733</v>
      </c>
      <c r="G3">
        <f>'Diagnosis Indicators'!G4</f>
        <v>0.98873573442210272</v>
      </c>
      <c r="H3">
        <f>'Diagnosis Indicators'!H4</f>
        <v>0.98535203747214894</v>
      </c>
      <c r="I3">
        <f>'Diagnosis Indicators'!I4</f>
        <v>0.98145408692084268</v>
      </c>
      <c r="J3">
        <f>'Diagnosis Indicators'!J4</f>
        <v>0.97695220846554376</v>
      </c>
      <c r="K3">
        <f>'Diagnosis Indicators'!K4</f>
        <v>0.97173048069340684</v>
      </c>
      <c r="L3">
        <f>'Diagnosis Indicators'!L4</f>
        <v>0.96563512810459218</v>
      </c>
      <c r="M3">
        <f>'Diagnosis Indicators'!M4</f>
        <v>0.95845575448092235</v>
      </c>
      <c r="N3">
        <f>'Diagnosis Indicators'!N4</f>
        <v>0.94989322453788028</v>
      </c>
      <c r="O3">
        <f>'Diagnosis Indicators'!O4</f>
        <v>0.93950154949027298</v>
      </c>
      <c r="P3">
        <f>'Diagnosis Indicators'!P4</f>
        <v>0.92657394632115708</v>
      </c>
      <c r="Q3">
        <f>'Diagnosis Indicators'!Q4</f>
        <v>0.90990064006772187</v>
      </c>
      <c r="R3">
        <f>'Diagnosis Indicators'!R4</f>
        <v>0.88719783788471018</v>
      </c>
      <c r="S3">
        <f>'Diagnosis Indicators'!S4</f>
        <v>0.85359227795184478</v>
      </c>
      <c r="T3">
        <f>'Diagnosis Indicators'!T4</f>
        <v>0.79673069981310629</v>
      </c>
    </row>
    <row r="4" spans="1:25" x14ac:dyDescent="0.2">
      <c r="A4" t="str">
        <f>'Diagnosis Indicators'!A5</f>
        <v>Johansen</v>
      </c>
      <c r="B4">
        <f>'Diagnosis Indicators'!B5</f>
        <v>1</v>
      </c>
      <c r="C4">
        <f>'Diagnosis Indicators'!C5</f>
        <v>0.99789423855811932</v>
      </c>
      <c r="D4">
        <f>'Diagnosis Indicators'!D5</f>
        <v>0.99537296485269977</v>
      </c>
      <c r="E4">
        <f>'Diagnosis Indicators'!E5</f>
        <v>0.99237958567328621</v>
      </c>
      <c r="F4">
        <f>'Diagnosis Indicators'!F5</f>
        <v>0.98884592823561812</v>
      </c>
      <c r="G4">
        <f>'Diagnosis Indicators'!G5</f>
        <v>0.98468892393764018</v>
      </c>
      <c r="H4">
        <f>'Diagnosis Indicators'!H5</f>
        <v>0.97980579842137949</v>
      </c>
      <c r="I4">
        <f>'Diagnosis Indicators'!I5</f>
        <v>0.97406732611841051</v>
      </c>
      <c r="J4">
        <f>'Diagnosis Indicators'!J5</f>
        <v>0.96730777633696396</v>
      </c>
      <c r="K4">
        <f>'Diagnosis Indicators'!K5</f>
        <v>0.95930941199306152</v>
      </c>
      <c r="L4">
        <f>'Diagnosis Indicators'!L5</f>
        <v>0.94977784258756459</v>
      </c>
      <c r="M4">
        <f>'Diagnosis Indicators'!M5</f>
        <v>0.93830113707549367</v>
      </c>
      <c r="N4">
        <f>'Diagnosis Indicators'!N5</f>
        <v>0.92427860103316728</v>
      </c>
      <c r="O4">
        <f>'Diagnosis Indicators'!O5</f>
        <v>0.90679055884660875</v>
      </c>
      <c r="P4">
        <f>'Diagnosis Indicators'!P5</f>
        <v>0.88434963265085353</v>
      </c>
      <c r="Q4">
        <f>'Diagnosis Indicators'!Q5</f>
        <v>0.85441295093365555</v>
      </c>
      <c r="R4">
        <f>'Diagnosis Indicators'!R5</f>
        <v>0.81243162705890126</v>
      </c>
      <c r="S4">
        <f>'Diagnosis Indicators'!S5</f>
        <v>0.74994186017707209</v>
      </c>
      <c r="T4">
        <f>'Diagnosis Indicators'!T5</f>
        <v>0.64948099060639797</v>
      </c>
      <c r="U4">
        <f>'Diagnosis Indicators'!U5</f>
        <v>0.46476536716926015</v>
      </c>
      <c r="V4">
        <f>'Diagnosis Indicators'!V5</f>
        <v>0.40734468798779588</v>
      </c>
      <c r="W4">
        <f>'Diagnosis Indicators'!W5</f>
        <v>0.3379880894319785</v>
      </c>
      <c r="X4">
        <f>'Diagnosis Indicators'!X5</f>
        <v>0.25229610600956093</v>
      </c>
      <c r="Y4">
        <f>'Diagnosis Indicators'!Y5</f>
        <v>0.14335126240857823</v>
      </c>
    </row>
    <row r="5" spans="1:25" x14ac:dyDescent="0.2">
      <c r="A5" t="str">
        <f>'Diagnosis Indicators'!A6</f>
        <v>Keynes-Marshall</v>
      </c>
      <c r="B5">
        <f>'Diagnosis Indicators'!B6</f>
        <v>0.999999999999998</v>
      </c>
      <c r="C5">
        <f>'Diagnosis Indicators'!C6</f>
        <v>1.0083973575718683</v>
      </c>
      <c r="D5">
        <f>'Diagnosis Indicators'!D6</f>
        <v>1.0165240976770251</v>
      </c>
      <c r="E5">
        <f>'Diagnosis Indicators'!E6</f>
        <v>1.0243718203389249</v>
      </c>
      <c r="F5">
        <f>'Diagnosis Indicators'!F6</f>
        <v>1.031929604618355</v>
      </c>
      <c r="G5">
        <f>'Diagnosis Indicators'!G6</f>
        <v>1.0391840422896437</v>
      </c>
      <c r="H5">
        <f>'Diagnosis Indicators'!H6</f>
        <v>1.0461190861437148</v>
      </c>
      <c r="I5">
        <f>'Diagnosis Indicators'!I6</f>
        <v>1.052716744320259</v>
      </c>
      <c r="J5">
        <f>'Diagnosis Indicators'!J6</f>
        <v>1.0589581534167491</v>
      </c>
      <c r="K5">
        <f>'Diagnosis Indicators'!K6</f>
        <v>1.0648265795374336</v>
      </c>
      <c r="L5">
        <f>'Diagnosis Indicators'!L6</f>
        <v>1.0703138944057373</v>
      </c>
      <c r="M5">
        <f>'Diagnosis Indicators'!M6</f>
        <v>1.0754350717029195</v>
      </c>
      <c r="N5">
        <f>'Diagnosis Indicators'!N6</f>
        <v>1.0802594842197486</v>
      </c>
      <c r="O5">
        <f>'Diagnosis Indicators'!O6</f>
        <v>1.0849801054637678</v>
      </c>
      <c r="P5">
        <f>'Diagnosis Indicators'!P6</f>
        <v>1.0900629657006373</v>
      </c>
      <c r="Q5">
        <f>'Diagnosis Indicators'!Q6</f>
        <v>1.0965291674760924</v>
      </c>
      <c r="R5">
        <f>'Diagnosis Indicators'!R6</f>
        <v>1.1061908746498113</v>
      </c>
      <c r="S5">
        <f>'Diagnosis Indicators'!S6</f>
        <v>1.1204318088706291</v>
      </c>
    </row>
    <row r="6" spans="1:25" x14ac:dyDescent="0.2">
      <c r="A6" t="str">
        <f>'Diagnosis Indicators'!A7</f>
        <v>Keynesian</v>
      </c>
      <c r="B6">
        <f>'Diagnosis Indicators'!B7</f>
        <v>0.999999999999998</v>
      </c>
      <c r="C6">
        <f>'Diagnosis Indicators'!C7</f>
        <v>0.981245836919176</v>
      </c>
      <c r="D6">
        <f>'Diagnosis Indicators'!D7</f>
        <v>0.96068509562756665</v>
      </c>
      <c r="E6">
        <f>'Diagnosis Indicators'!E7</f>
        <v>0.93810431788065163</v>
      </c>
      <c r="F6">
        <f>'Diagnosis Indicators'!F7</f>
        <v>0.9132617949501457</v>
      </c>
      <c r="G6">
        <f>'Diagnosis Indicators'!G7</f>
        <v>0.88588574292466138</v>
      </c>
      <c r="H6">
        <f>'Diagnosis Indicators'!H7</f>
        <v>0.85567537356793655</v>
      </c>
      <c r="I6">
        <f>'Diagnosis Indicators'!I7</f>
        <v>0.82230837797779677</v>
      </c>
      <c r="J6">
        <f>'Diagnosis Indicators'!J7</f>
        <v>0.78545781314432739</v>
      </c>
      <c r="K6">
        <f>'Diagnosis Indicators'!K7</f>
        <v>0.74483206969972804</v>
      </c>
      <c r="L6">
        <f>'Diagnosis Indicators'!L7</f>
        <v>0.70026424964188705</v>
      </c>
      <c r="M6">
        <f>'Diagnosis Indicators'!M7</f>
        <v>0.65192888505381763</v>
      </c>
      <c r="N6">
        <f>'Diagnosis Indicators'!N7</f>
        <v>0.60099529144620667</v>
      </c>
    </row>
    <row r="7" spans="1:25" x14ac:dyDescent="0.2">
      <c r="A7" t="str">
        <f>'Diagnosis Indicators'!A8</f>
        <v>Keynes-Kaldor</v>
      </c>
      <c r="B7">
        <f>'Diagnosis Indicators'!B8</f>
        <v>0.999999999999998</v>
      </c>
      <c r="C7">
        <f>'Diagnosis Indicators'!C8</f>
        <v>1.0019901929943549</v>
      </c>
      <c r="D7">
        <f>'Diagnosis Indicators'!D8</f>
        <v>1.0033441965017904</v>
      </c>
      <c r="E7">
        <f>'Diagnosis Indicators'!E8</f>
        <v>1.0040091687830333</v>
      </c>
      <c r="F7">
        <f>'Diagnosis Indicators'!F8</f>
        <v>1.0039169608094913</v>
      </c>
      <c r="G7">
        <f>'Diagnosis Indicators'!G8</f>
        <v>1.0029799752186124</v>
      </c>
      <c r="H7">
        <f>'Diagnosis Indicators'!H8</f>
        <v>1.0010853821225667</v>
      </c>
      <c r="I7">
        <f>'Diagnosis Indicators'!I8</f>
        <v>0.99808670530081389</v>
      </c>
      <c r="J7">
        <f>'Diagnosis Indicators'!J8</f>
        <v>0.99379142023970168</v>
      </c>
      <c r="K7">
        <f>'Diagnosis Indicators'!K8</f>
        <v>0.98794213725547986</v>
      </c>
      <c r="L7">
        <f>'Diagnosis Indicators'!L8</f>
        <v>0.9801871154991717</v>
      </c>
      <c r="M7">
        <f>'Diagnosis Indicators'!M8</f>
        <v>0.97003207882758635</v>
      </c>
      <c r="N7">
        <f>'Diagnosis Indicators'!N8</f>
        <v>0.95675718341925275</v>
      </c>
      <c r="O7">
        <f>'Diagnosis Indicators'!O8</f>
        <v>0.93926621283722722</v>
      </c>
      <c r="P7">
        <f>'Diagnosis Indicators'!P8</f>
        <v>0.91579020472582329</v>
      </c>
      <c r="Q7">
        <f>'Diagnosis Indicators'!Q8</f>
        <v>0.8832559389983119</v>
      </c>
      <c r="R7">
        <f>'Diagnosis Indicators'!R8</f>
        <v>0.83580934881462554</v>
      </c>
      <c r="S7">
        <f>'Diagnosis Indicators'!S8</f>
        <v>0.76108914831555985</v>
      </c>
      <c r="T7">
        <f>'Diagnosis Indicators'!T8</f>
        <v>0.63095501580394109</v>
      </c>
    </row>
    <row r="8" spans="1:25" x14ac:dyDescent="0.2">
      <c r="A8" t="str">
        <f>'Diagnosis Indicators'!A9</f>
        <v>Neo-K1</v>
      </c>
      <c r="B8">
        <f>'Diagnosis Indicators'!B9</f>
        <v>0.999999999999998</v>
      </c>
      <c r="C8">
        <f>'Diagnosis Indicators'!C9</f>
        <v>0.99140039521925905</v>
      </c>
      <c r="D8">
        <f>'Diagnosis Indicators'!D9</f>
        <v>0.98217927498423141</v>
      </c>
      <c r="E8">
        <f>'Diagnosis Indicators'!E9</f>
        <v>0.97223855897960954</v>
      </c>
      <c r="F8">
        <f>'Diagnosis Indicators'!F9</f>
        <v>0.96145667236898635</v>
      </c>
      <c r="G8">
        <f>'Diagnosis Indicators'!G9</f>
        <v>0.94968137950459874</v>
      </c>
      <c r="H8">
        <f>'Diagnosis Indicators'!H9</f>
        <v>0.93671886642287672</v>
      </c>
      <c r="I8">
        <f>'Diagnosis Indicators'!I9</f>
        <v>0.92231874503094657</v>
      </c>
      <c r="J8">
        <f>'Diagnosis Indicators'!J9</f>
        <v>0.90615171650176596</v>
      </c>
      <c r="K8">
        <f>'Diagnosis Indicators'!K9</f>
        <v>0.88777642695936043</v>
      </c>
      <c r="L8">
        <f>'Diagnosis Indicators'!L9</f>
        <v>0.86658926649098023</v>
      </c>
      <c r="M8">
        <f>'Diagnosis Indicators'!M9</f>
        <v>0.84174648287509546</v>
      </c>
      <c r="N8">
        <f>'Diagnosis Indicators'!N9</f>
        <v>0.81204430452636944</v>
      </c>
      <c r="O8">
        <f>'Diagnosis Indicators'!O9</f>
        <v>0.7757336457248214</v>
      </c>
      <c r="P8">
        <f>'Diagnosis Indicators'!P9</f>
        <v>0.73024950184020987</v>
      </c>
      <c r="Q8">
        <f>'Diagnosis Indicators'!Q9</f>
        <v>0.67186569141357211</v>
      </c>
      <c r="R8">
        <f>'Diagnosis Indicators'!R9</f>
        <v>0.59542332071595427</v>
      </c>
      <c r="S8">
        <f>'Diagnosis Indicators'!S9</f>
        <v>0.49458455733621587</v>
      </c>
      <c r="T8">
        <f>'Diagnosis Indicators'!T9</f>
        <v>0.36327460523545752</v>
      </c>
      <c r="U8">
        <f>'Diagnosis Indicators'!U9</f>
        <v>0.19813066266240398</v>
      </c>
      <c r="V8">
        <f>'Diagnosis Indicators'!V9</f>
        <v>0.16104579571141847</v>
      </c>
      <c r="W8">
        <f>'Diagnosis Indicators'!W9</f>
        <v>0.12265717387870916</v>
      </c>
      <c r="X8">
        <f>'Diagnosis Indicators'!X9</f>
        <v>8.29960696265402E-2</v>
      </c>
      <c r="Y8">
        <f>'Diagnosis Indicators'!Y9</f>
        <v>4.2097619679436871E-2</v>
      </c>
    </row>
    <row r="9" spans="1:25" x14ac:dyDescent="0.2">
      <c r="A9" t="str">
        <f>'Diagnosis Indicators'!A10</f>
        <v>Neo-K2</v>
      </c>
      <c r="B9">
        <f>'Diagnosis Indicators'!B10</f>
        <v>0.999999999999998</v>
      </c>
      <c r="C9">
        <f>'Diagnosis Indicators'!C10</f>
        <v>0.99041683689647653</v>
      </c>
      <c r="D9">
        <f>'Diagnosis Indicators'!D10</f>
        <v>0.98003933355201367</v>
      </c>
      <c r="E9">
        <f>'Diagnosis Indicators'!E10</f>
        <v>0.96872705258166925</v>
      </c>
      <c r="F9">
        <f>'Diagnosis Indicators'!F10</f>
        <v>0.95630301674708107</v>
      </c>
      <c r="G9">
        <f>'Diagnosis Indicators'!G10</f>
        <v>0.94254274599272103</v>
      </c>
      <c r="H9">
        <f>'Diagnosis Indicators'!H10</f>
        <v>0.92715670383282989</v>
      </c>
      <c r="I9">
        <f>'Diagnosis Indicators'!I10</f>
        <v>0.90976786863890913</v>
      </c>
      <c r="J9">
        <f>'Diagnosis Indicators'!J10</f>
        <v>0.88987956996681827</v>
      </c>
      <c r="K9">
        <f>'Diagnosis Indicators'!K10</f>
        <v>0.86683254052946146</v>
      </c>
      <c r="L9">
        <f>'Diagnosis Indicators'!L10</f>
        <v>0.83975070474116031</v>
      </c>
      <c r="M9">
        <f>'Diagnosis Indicators'!M10</f>
        <v>0.80748234120879492</v>
      </c>
      <c r="N9">
        <f>'Diagnosis Indicators'!N10</f>
        <v>0.76856623237725619</v>
      </c>
      <c r="O9">
        <f>'Diagnosis Indicators'!O10</f>
        <v>0.7213031606995971</v>
      </c>
      <c r="P9">
        <f>'Diagnosis Indicators'!P10</f>
        <v>0.66410714125562453</v>
      </c>
      <c r="Q9">
        <f>'Diagnosis Indicators'!Q10</f>
        <v>0.59637832936067359</v>
      </c>
      <c r="R9">
        <f>'Diagnosis Indicators'!R10</f>
        <v>0.51977669614987954</v>
      </c>
      <c r="S9">
        <f>'Diagnosis Indicators'!S10</f>
        <v>0.43827736395726002</v>
      </c>
      <c r="T9">
        <f>'Diagnosis Indicators'!T10</f>
        <v>0.35397456545479883</v>
      </c>
      <c r="U9">
        <f>'Diagnosis Indicators'!U10</f>
        <v>0.25675115660235215</v>
      </c>
      <c r="V9">
        <f>'Diagnosis Indicators'!V10</f>
        <v>0.23222310151628486</v>
      </c>
      <c r="W9">
        <f>'Diagnosis Indicators'!W10</f>
        <v>0.20380828104289822</v>
      </c>
      <c r="X9">
        <f>'Diagnosis Indicators'!X10</f>
        <v>0.16899465190055271</v>
      </c>
      <c r="Y9">
        <f>'Diagnosis Indicators'!Y10</f>
        <v>0.12166363668124569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186</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0.56583351571019114</v>
      </c>
      <c r="D2">
        <f>'Diagnosis Indicators'!D36</f>
        <v>0.56446534025797324</v>
      </c>
      <c r="E2">
        <f>'Diagnosis Indicators'!E36</f>
        <v>0.56309573285012893</v>
      </c>
      <c r="F2">
        <f>'Diagnosis Indicators'!F36</f>
        <v>0.56172446233977058</v>
      </c>
      <c r="G2">
        <f>'Diagnosis Indicators'!G36</f>
        <v>0.56035125534017094</v>
      </c>
      <c r="H2">
        <f>'Diagnosis Indicators'!H36</f>
        <v>0.55897592496734549</v>
      </c>
      <c r="I2">
        <f>'Diagnosis Indicators'!I36</f>
        <v>0.55759842228121637</v>
      </c>
      <c r="J2">
        <f>'Diagnosis Indicators'!J36</f>
        <v>0.55621902277013557</v>
      </c>
      <c r="K2">
        <f>'Diagnosis Indicators'!K36</f>
        <v>0.55483860839203991</v>
      </c>
      <c r="L2">
        <f>'Diagnosis Indicators'!L36</f>
        <v>0.55345923658819651</v>
      </c>
      <c r="M2">
        <f>'Diagnosis Indicators'!M36</f>
        <v>0.55208511394106374</v>
      </c>
      <c r="N2">
        <f>'Diagnosis Indicators'!N36</f>
        <v>0.55072441661310667</v>
      </c>
      <c r="O2">
        <f>'Diagnosis Indicators'!O36</f>
        <v>0.54939264958775502</v>
      </c>
      <c r="P2">
        <f>'Diagnosis Indicators'!P36</f>
        <v>0.54811888686417864</v>
      </c>
      <c r="Q2">
        <f>'Diagnosis Indicators'!Q36</f>
        <v>0.54695674011625361</v>
      </c>
      <c r="R2">
        <f>'Diagnosis Indicators'!R36</f>
        <v>0.54599911316804284</v>
      </c>
      <c r="S2">
        <f>'Diagnosis Indicators'!S36</f>
        <v>0.54537189010895037</v>
      </c>
      <c r="T2">
        <f>'Diagnosis Indicators'!T36</f>
        <v>0.54512322430637417</v>
      </c>
      <c r="U2">
        <f>'Diagnosis Indicators'!U36</f>
        <v>0.54508618439241274</v>
      </c>
      <c r="V2">
        <f>'Diagnosis Indicators'!V36</f>
        <v>0.54508562283738093</v>
      </c>
      <c r="W2">
        <f>'Diagnosis Indicators'!W36</f>
        <v>0.54508543940786147</v>
      </c>
      <c r="X2">
        <f>'Diagnosis Indicators'!X36</f>
        <v>0.54508539405790113</v>
      </c>
      <c r="Y2">
        <f>'Diagnosis Indicators'!Y36</f>
        <v>0.5450853867198282</v>
      </c>
    </row>
    <row r="3" spans="1:25" x14ac:dyDescent="0.2">
      <c r="A3" t="str">
        <f>'[1]Diagnosis Indicators'!A64</f>
        <v>Kaldorian</v>
      </c>
      <c r="B3">
        <f>'Diagnosis Indicators'!B37</f>
        <v>0.56058995943839207</v>
      </c>
      <c r="C3">
        <f>'Diagnosis Indicators'!C37</f>
        <v>0.5627605959256502</v>
      </c>
      <c r="D3">
        <f>'Diagnosis Indicators'!D37</f>
        <v>0.55821361421737137</v>
      </c>
      <c r="E3">
        <f>'Diagnosis Indicators'!E37</f>
        <v>0.55354197950092121</v>
      </c>
      <c r="F3">
        <f>'Diagnosis Indicators'!F37</f>
        <v>0.54872394215565556</v>
      </c>
      <c r="G3">
        <f>'Diagnosis Indicators'!G37</f>
        <v>0.54373224296730671</v>
      </c>
      <c r="H3">
        <f>'Diagnosis Indicators'!H37</f>
        <v>0.53853207906960709</v>
      </c>
      <c r="I3">
        <f>'Diagnosis Indicators'!I37</f>
        <v>0.53307808188570116</v>
      </c>
      <c r="J3">
        <f>'Diagnosis Indicators'!J37</f>
        <v>0.52730955296064852</v>
      </c>
      <c r="K3">
        <f>'Diagnosis Indicators'!K37</f>
        <v>0.52114277516932206</v>
      </c>
      <c r="L3">
        <f>'Diagnosis Indicators'!L37</f>
        <v>0.51445775757259538</v>
      </c>
      <c r="M3">
        <f>'Diagnosis Indicators'!M37</f>
        <v>0.50707451959375316</v>
      </c>
      <c r="N3">
        <f>'Diagnosis Indicators'!N37</f>
        <v>0.49870761776858991</v>
      </c>
      <c r="O3">
        <f>'Diagnosis Indicators'!O37</f>
        <v>0.48887275828055732</v>
      </c>
      <c r="P3">
        <f>'Diagnosis Indicators'!P37</f>
        <v>0.47667860991872518</v>
      </c>
      <c r="Q3">
        <f>'Diagnosis Indicators'!Q37</f>
        <v>0.46031807345988879</v>
      </c>
      <c r="R3">
        <f>'Diagnosis Indicators'!R37</f>
        <v>0.43569707699162485</v>
      </c>
      <c r="S3">
        <f>'Diagnosis Indicators'!S37</f>
        <v>0.39235472842692298</v>
      </c>
      <c r="T3">
        <f>'Diagnosis Indicators'!T37</f>
        <v>0.29836405249786796</v>
      </c>
    </row>
    <row r="4" spans="1:25" x14ac:dyDescent="0.2">
      <c r="A4" t="str">
        <f>'[1]Diagnosis Indicators'!A65</f>
        <v>Johansen</v>
      </c>
      <c r="B4">
        <f>'Diagnosis Indicators'!B38</f>
        <v>0.56058995943839207</v>
      </c>
      <c r="C4">
        <f>'Diagnosis Indicators'!C38</f>
        <v>0.56575140399704549</v>
      </c>
      <c r="D4">
        <f>'Diagnosis Indicators'!D38</f>
        <v>0.56429789774285555</v>
      </c>
      <c r="E4">
        <f>'Diagnosis Indicators'!E38</f>
        <v>0.56283942528978304</v>
      </c>
      <c r="F4">
        <f>'Diagnosis Indicators'!F38</f>
        <v>0.56137544875401135</v>
      </c>
      <c r="G4">
        <f>'Diagnosis Indicators'!G38</f>
        <v>0.55990556859423146</v>
      </c>
      <c r="H4">
        <f>'Diagnosis Indicators'!H38</f>
        <v>0.55842975568364195</v>
      </c>
      <c r="I4">
        <f>'Diagnosis Indicators'!I38</f>
        <v>0.55694863061421596</v>
      </c>
      <c r="J4">
        <f>'Diagnosis Indicators'!J38</f>
        <v>0.55546396227914641</v>
      </c>
      <c r="K4">
        <f>'Diagnosis Indicators'!K38</f>
        <v>0.55397953599429961</v>
      </c>
      <c r="L4">
        <f>'Diagnosis Indicators'!L38</f>
        <v>0.55250252180668813</v>
      </c>
      <c r="M4">
        <f>'Diagnosis Indicators'!M38</f>
        <v>0.55104573013733149</v>
      </c>
      <c r="N4">
        <f>'Diagnosis Indicators'!N38</f>
        <v>0.54963129304834102</v>
      </c>
      <c r="O4">
        <f>'Diagnosis Indicators'!O38</f>
        <v>0.54829641954130037</v>
      </c>
      <c r="P4">
        <f>'Diagnosis Indicators'!P38</f>
        <v>0.54710111204737799</v>
      </c>
      <c r="Q4">
        <f>'Diagnosis Indicators'!Q38</f>
        <v>0.54613266562770335</v>
      </c>
      <c r="R4">
        <f>'Diagnosis Indicators'!R38</f>
        <v>0.5454848102941362</v>
      </c>
      <c r="S4">
        <f>'Diagnosis Indicators'!S38</f>
        <v>0.54517827513390593</v>
      </c>
      <c r="T4">
        <f>'Diagnosis Indicators'!T38</f>
        <v>0.54509518430626702</v>
      </c>
      <c r="U4">
        <f>'Diagnosis Indicators'!U38</f>
        <v>0.54508561050959248</v>
      </c>
      <c r="V4">
        <f>'Diagnosis Indicators'!V38</f>
        <v>0.5450854594504333</v>
      </c>
      <c r="W4">
        <f>'Diagnosis Indicators'!W38</f>
        <v>0.54508540528681482</v>
      </c>
      <c r="X4">
        <f>'Diagnosis Indicators'!X38</f>
        <v>0.54508538972013176</v>
      </c>
      <c r="Y4">
        <f>'Diagnosis Indicators'!Y38</f>
        <v>0.54508538652703453</v>
      </c>
    </row>
    <row r="5" spans="1:25" x14ac:dyDescent="0.2">
      <c r="A5" t="str">
        <f>'[1]Diagnosis Indicators'!A66</f>
        <v>Keynes-Kaldor</v>
      </c>
      <c r="B5">
        <f>'Diagnosis Indicators'!B39</f>
        <v>0.56058995943839207</v>
      </c>
      <c r="C5">
        <f>'Diagnosis Indicators'!C39</f>
        <v>0.57691007007322948</v>
      </c>
      <c r="D5">
        <f>'Diagnosis Indicators'!D39</f>
        <v>0.58677154766559436</v>
      </c>
      <c r="E5">
        <f>'Diagnosis Indicators'!E39</f>
        <v>0.5968268130282296</v>
      </c>
      <c r="F5">
        <f>'Diagnosis Indicators'!F39</f>
        <v>0.60712663246472731</v>
      </c>
      <c r="G5">
        <f>'Diagnosis Indicators'!G39</f>
        <v>0.61773420939206225</v>
      </c>
      <c r="H5">
        <f>'Diagnosis Indicators'!H39</f>
        <v>0.62873058388889103</v>
      </c>
      <c r="I5">
        <f>'Diagnosis Indicators'!I39</f>
        <v>0.64022270900410805</v>
      </c>
      <c r="J5">
        <f>'Diagnosis Indicators'!J39</f>
        <v>0.65235696137099841</v>
      </c>
      <c r="K5">
        <f>'Diagnosis Indicators'!K39</f>
        <v>0.66534094737369731</v>
      </c>
      <c r="L5">
        <f>'Diagnosis Indicators'!L39</f>
        <v>0.67948239107481778</v>
      </c>
      <c r="M5">
        <f>'Diagnosis Indicators'!M39</f>
        <v>0.69526053858175008</v>
      </c>
      <c r="N5">
        <f>'Diagnosis Indicators'!N39</f>
        <v>0.71346458106980992</v>
      </c>
      <c r="O5">
        <f>'Diagnosis Indicators'!O39</f>
        <v>0.73548054548157915</v>
      </c>
      <c r="P5">
        <f>'Diagnosis Indicators'!P39</f>
        <v>0.76391936006344219</v>
      </c>
      <c r="Q5">
        <f>'Diagnosis Indicators'!Q39</f>
        <v>0.80403893720438113</v>
      </c>
    </row>
    <row r="6" spans="1:25" x14ac:dyDescent="0.2">
      <c r="A6" t="str">
        <f>'[1]Diagnosis Indicators'!A67</f>
        <v>Keynes-Marshall</v>
      </c>
      <c r="B6">
        <f>'Diagnosis Indicators'!B40</f>
        <v>0.56058995943839207</v>
      </c>
      <c r="C6">
        <f>'Diagnosis Indicators'!C40</f>
        <v>0.57336821404259863</v>
      </c>
      <c r="D6">
        <f>'Diagnosis Indicators'!D40</f>
        <v>0.57956235938619738</v>
      </c>
      <c r="E6">
        <f>'Diagnosis Indicators'!E40</f>
        <v>0.58577463778990924</v>
      </c>
      <c r="F6">
        <f>'Diagnosis Indicators'!F40</f>
        <v>0.59199376900357537</v>
      </c>
      <c r="G6">
        <f>'Diagnosis Indicators'!G40</f>
        <v>0.59820371234875247</v>
      </c>
      <c r="H6">
        <f>'Diagnosis Indicators'!H40</f>
        <v>0.60438152652237842</v>
      </c>
      <c r="I6">
        <f>'Diagnosis Indicators'!I40</f>
        <v>0.61049623863722247</v>
      </c>
      <c r="J6">
        <f>'Diagnosis Indicators'!J40</f>
        <v>0.61650441954595725</v>
      </c>
      <c r="K6">
        <f>'Diagnosis Indicators'!K40</f>
        <v>0.62234502611434261</v>
      </c>
      <c r="L6">
        <f>'Diagnosis Indicators'!L40</f>
        <v>0.62792964332527457</v>
      </c>
      <c r="M6">
        <f>'Diagnosis Indicators'!M40</f>
        <v>0.6331152250500649</v>
      </c>
      <c r="N6">
        <f>'Diagnosis Indicators'!N40</f>
        <v>0.6376307152276719</v>
      </c>
      <c r="O6" t="e">
        <f>'Diagnosis Indicators'!O40</f>
        <v>#DIV/0!</v>
      </c>
    </row>
    <row r="7" spans="1:25" x14ac:dyDescent="0.2">
      <c r="A7" t="str">
        <f>'[1]Diagnosis Indicators'!A68</f>
        <v>Keynesian</v>
      </c>
      <c r="B7">
        <f>'Diagnosis Indicators'!B41</f>
        <v>0.56058995943839207</v>
      </c>
      <c r="C7">
        <f>'Diagnosis Indicators'!C41</f>
        <v>0.5625119912743447</v>
      </c>
      <c r="D7">
        <f>'Diagnosis Indicators'!D41</f>
        <v>0.55774972964741787</v>
      </c>
      <c r="E7">
        <f>'Diagnosis Indicators'!E41</f>
        <v>0.55289479600082436</v>
      </c>
      <c r="F7">
        <f>'Diagnosis Indicators'!F41</f>
        <v>0.54792464737222824</v>
      </c>
      <c r="G7">
        <f>'Diagnosis Indicators'!G41</f>
        <v>0.54281193413252316</v>
      </c>
      <c r="H7">
        <f>'Diagnosis Indicators'!H41</f>
        <v>0.53752263412050316</v>
      </c>
      <c r="I7">
        <f>'Diagnosis Indicators'!I41</f>
        <v>0.53201342580598687</v>
      </c>
      <c r="J7">
        <f>'Diagnosis Indicators'!J41</f>
        <v>0.52622759361541838</v>
      </c>
      <c r="K7">
        <f>'Diagnosis Indicators'!K41</f>
        <v>0.52008859220346493</v>
      </c>
      <c r="L7">
        <f>'Diagnosis Indicators'!L41</f>
        <v>0.51348929286545453</v>
      </c>
      <c r="M7">
        <f>'Diagnosis Indicators'!M41</f>
        <v>0.50627352846232032</v>
      </c>
      <c r="N7">
        <f>'Diagnosis Indicators'!N41</f>
        <v>0.49820264354904087</v>
      </c>
      <c r="O7">
        <f>'Diagnosis Indicators'!O41</f>
        <v>0.48889177382079585</v>
      </c>
      <c r="P7">
        <f>'Diagnosis Indicators'!P41</f>
        <v>0.47768214095328793</v>
      </c>
      <c r="Q7">
        <f>'Diagnosis Indicators'!Q41</f>
        <v>0.46337516670594192</v>
      </c>
      <c r="R7">
        <f>'Diagnosis Indicators'!R41</f>
        <v>0.44368201393202789</v>
      </c>
      <c r="S7">
        <f>'Diagnosis Indicators'!S41</f>
        <v>0.4142730306659887</v>
      </c>
      <c r="T7">
        <f>'Diagnosis Indicators'!T41</f>
        <v>0.36861383293276201</v>
      </c>
    </row>
    <row r="8" spans="1:25" x14ac:dyDescent="0.2">
      <c r="A8" t="str">
        <f>'[1]Diagnosis Indicators'!A69</f>
        <v>Neo-K1</v>
      </c>
      <c r="B8">
        <f>'Diagnosis Indicators'!B42</f>
        <v>0.56058995943839207</v>
      </c>
      <c r="C8">
        <f>'Diagnosis Indicators'!C42</f>
        <v>0.56686772061502388</v>
      </c>
      <c r="D8">
        <f>'Diagnosis Indicators'!D42</f>
        <v>0.56655035634357431</v>
      </c>
      <c r="E8">
        <f>'Diagnosis Indicators'!E42</f>
        <v>0.56624919389762673</v>
      </c>
      <c r="F8">
        <f>'Diagnosis Indicators'!F42</f>
        <v>0.56596485076564507</v>
      </c>
      <c r="G8">
        <f>'Diagnosis Indicators'!G42</f>
        <v>0.56569766661152998</v>
      </c>
      <c r="H8">
        <f>'Diagnosis Indicators'!H42</f>
        <v>0.56544754098446182</v>
      </c>
      <c r="I8">
        <f>'Diagnosis Indicators'!I42</f>
        <v>0.56521362571256761</v>
      </c>
      <c r="J8">
        <f>'Diagnosis Indicators'!J42</f>
        <v>0.56499387212667695</v>
      </c>
      <c r="K8">
        <f>'Diagnosis Indicators'!K42</f>
        <v>0.56478430210948505</v>
      </c>
      <c r="L8">
        <f>'Diagnosis Indicators'!L42</f>
        <v>0.56457786973632174</v>
      </c>
      <c r="M8">
        <f>'Diagnosis Indicators'!M42</f>
        <v>0.56436268150323843</v>
      </c>
      <c r="N8">
        <f>'Diagnosis Indicators'!N42</f>
        <v>0.56411918218804502</v>
      </c>
      <c r="O8">
        <f>'Diagnosis Indicators'!O42</f>
        <v>0.56381607681821777</v>
      </c>
      <c r="P8">
        <f>'Diagnosis Indicators'!P42</f>
        <v>0.56340487252854687</v>
      </c>
      <c r="Q8">
        <f>'Diagnosis Indicators'!Q42</f>
        <v>0.56281473239987156</v>
      </c>
      <c r="R8">
        <f>'Diagnosis Indicators'!R42</f>
        <v>0.56195384882686128</v>
      </c>
      <c r="S8">
        <f>'Diagnosis Indicators'!S42</f>
        <v>0.5607301898598287</v>
      </c>
      <c r="T8">
        <f>'Diagnosis Indicators'!T42</f>
        <v>0.55910040744637401</v>
      </c>
      <c r="U8">
        <f>'Diagnosis Indicators'!U42</f>
        <v>0.55711840964748816</v>
      </c>
      <c r="V8">
        <f>'Diagnosis Indicators'!V42</f>
        <v>0.55669127203879476</v>
      </c>
      <c r="W8">
        <f>'Diagnosis Indicators'!W42</f>
        <v>0.55625694249101931</v>
      </c>
      <c r="X8">
        <f>'Diagnosis Indicators'!X42</f>
        <v>0.55581676323203622</v>
      </c>
      <c r="Y8">
        <f>'Diagnosis Indicators'!Y42</f>
        <v>0.55537204626344583</v>
      </c>
    </row>
    <row r="9" spans="1:25" x14ac:dyDescent="0.2">
      <c r="A9" t="str">
        <f>'[1]Diagnosis Indicators'!A70</f>
        <v>Neo-K2</v>
      </c>
      <c r="B9">
        <f>'Diagnosis Indicators'!B43</f>
        <v>0.56058995943839207</v>
      </c>
      <c r="C9">
        <f>'Diagnosis Indicators'!C43</f>
        <v>0.56745634671623879</v>
      </c>
      <c r="D9">
        <f>'Diagnosis Indicators'!D43</f>
        <v>0.56776757430744196</v>
      </c>
      <c r="E9">
        <f>'Diagnosis Indicators'!E43</f>
        <v>0.5681420200928593</v>
      </c>
      <c r="F9">
        <f>'Diagnosis Indicators'!F43</f>
        <v>0.56858888156246279</v>
      </c>
      <c r="G9">
        <f>'Diagnosis Indicators'!G43</f>
        <v>0.56911896851617805</v>
      </c>
      <c r="H9">
        <f>'Diagnosis Indicators'!H43</f>
        <v>0.5697450588820292</v>
      </c>
      <c r="I9">
        <f>'Diagnosis Indicators'!I43</f>
        <v>0.57048217132849377</v>
      </c>
      <c r="J9">
        <f>'Diagnosis Indicators'!J43</f>
        <v>0.57134782221714808</v>
      </c>
      <c r="K9">
        <f>'Diagnosis Indicators'!K43</f>
        <v>0.57236202157666982</v>
      </c>
      <c r="L9">
        <f>'Diagnosis Indicators'!L43</f>
        <v>0.57354666315439162</v>
      </c>
      <c r="M9">
        <f>'Diagnosis Indicators'!M43</f>
        <v>0.57492343414089886</v>
      </c>
      <c r="N9">
        <f>'Diagnosis Indicators'!N43</f>
        <v>0.57650855901591103</v>
      </c>
      <c r="O9">
        <f>'Diagnosis Indicators'!O43</f>
        <v>0.57830082973761388</v>
      </c>
      <c r="P9">
        <f>'Diagnosis Indicators'!P43</f>
        <v>0.58025614408990178</v>
      </c>
      <c r="Q9">
        <f>'Diagnosis Indicators'!Q43</f>
        <v>0.58223687764962617</v>
      </c>
      <c r="R9">
        <f>'Diagnosis Indicators'!R43</f>
        <v>0.58392077424165179</v>
      </c>
      <c r="S9">
        <f>'Diagnosis Indicators'!S43</f>
        <v>0.58464005166155208</v>
      </c>
      <c r="T9">
        <f>'Diagnosis Indicators'!T43</f>
        <v>0.58282033695408442</v>
      </c>
      <c r="U9">
        <f>'Diagnosis Indicators'!U43</f>
        <v>0.57201894145792742</v>
      </c>
      <c r="V9">
        <f>'Diagnosis Indicators'!V43</f>
        <v>0.56646659953992651</v>
      </c>
      <c r="W9">
        <f>'Diagnosis Indicators'!W43</f>
        <v>0.55783471590934464</v>
      </c>
      <c r="X9">
        <f>'Diagnosis Indicators'!X43</f>
        <v>0.54293764289410884</v>
      </c>
      <c r="Y9">
        <f>'Diagnosis Indicators'!Y43</f>
        <v>0.51082197781809291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4.2804577648347795E-2</v>
      </c>
      <c r="D2">
        <f>'Diagnosis Indicators'!D14</f>
        <v>8.3342102831293022E-2</v>
      </c>
      <c r="E2">
        <f>'Diagnosis Indicators'!E14</f>
        <v>0.12795703565120103</v>
      </c>
      <c r="F2">
        <f>'Diagnosis Indicators'!F14</f>
        <v>0.17736411382330258</v>
      </c>
      <c r="G2">
        <f>'Diagnosis Indicators'!G14</f>
        <v>0.23246766553234077</v>
      </c>
      <c r="H2">
        <f>'Diagnosis Indicators'!H14</f>
        <v>0.29443517211798176</v>
      </c>
      <c r="I2">
        <f>'Diagnosis Indicators'!I14</f>
        <v>0.3648062370424589</v>
      </c>
      <c r="J2">
        <f>'Diagnosis Indicators'!J14</f>
        <v>0.44566493052258627</v>
      </c>
      <c r="K2">
        <f>'Diagnosis Indicators'!K14</f>
        <v>0.53992106346696778</v>
      </c>
      <c r="L2">
        <f>'Diagnosis Indicators'!L14</f>
        <v>0.65179258536205542</v>
      </c>
      <c r="M2">
        <f>'Diagnosis Indicators'!M14</f>
        <v>0.78767926175228897</v>
      </c>
      <c r="N2">
        <f>'Diagnosis Indicators'!N14</f>
        <v>0.95785351428430521</v>
      </c>
      <c r="O2">
        <f>'Diagnosis Indicators'!O14</f>
        <v>1.1800052950839341</v>
      </c>
      <c r="P2">
        <f>'Diagnosis Indicators'!P14</f>
        <v>1.4874210775012866</v>
      </c>
      <c r="Q2">
        <f>'Diagnosis Indicators'!Q14</f>
        <v>1.9502138890305662</v>
      </c>
      <c r="R2">
        <f>'Diagnosis Indicators'!R14</f>
        <v>2.7385963094319736</v>
      </c>
      <c r="S2">
        <f>'Diagnosis Indicators'!S14</f>
        <v>4.3430696226282688</v>
      </c>
      <c r="T2">
        <f>'Diagnosis Indicators'!T14</f>
        <v>8.5198105663695998</v>
      </c>
      <c r="U2">
        <f>'Diagnosis Indicators'!U14</f>
        <v>25.113983030193388</v>
      </c>
      <c r="V2">
        <f>'Diagnosis Indicators'!V14</f>
        <v>34.297001763448897</v>
      </c>
      <c r="W2">
        <f>'Diagnosis Indicators'!W14</f>
        <v>49.656911200709729</v>
      </c>
      <c r="X2">
        <f>'Diagnosis Indicators'!X14</f>
        <v>78.32468847610906</v>
      </c>
      <c r="Y2">
        <f>'Diagnosis Indicators'!Y14</f>
        <v>141.75178397083008</v>
      </c>
    </row>
    <row r="3" spans="1:25" x14ac:dyDescent="0.2">
      <c r="A3" t="s">
        <v>90</v>
      </c>
      <c r="B3">
        <f>'Diagnosis Indicators'!B16</f>
        <v>5.7716594496607888E-3</v>
      </c>
      <c r="C3">
        <f>'Diagnosis Indicators'!C16</f>
        <v>5.5014439997918968E-2</v>
      </c>
      <c r="D3">
        <f>'Diagnosis Indicators'!D16</f>
        <v>0.10906958458026007</v>
      </c>
      <c r="E3">
        <f>'Diagnosis Indicators'!E16</f>
        <v>0.16872438292690839</v>
      </c>
      <c r="F3">
        <f>'Diagnosis Indicators'!F16</f>
        <v>0.23496769938343354</v>
      </c>
      <c r="G3">
        <f>'Diagnosis Indicators'!G16</f>
        <v>0.30906615374944901</v>
      </c>
      <c r="H3">
        <f>'Diagnosis Indicators'!H16</f>
        <v>0.3926801580131119</v>
      </c>
      <c r="I3">
        <f>'Diagnosis Indicators'!I16</f>
        <v>0.48804509618252229</v>
      </c>
      <c r="J3">
        <f>'Diagnosis Indicators'!J16</f>
        <v>0.59826652270557557</v>
      </c>
      <c r="K3">
        <f>'Diagnosis Indicators'!K16</f>
        <v>0.72782096900058313</v>
      </c>
      <c r="L3">
        <f>'Diagnosis Indicators'!L16</f>
        <v>0.88344313079603487</v>
      </c>
      <c r="M3">
        <f>'Diagnosis Indicators'!M16</f>
        <v>1.0757925162930242</v>
      </c>
      <c r="N3">
        <f>'Diagnosis Indicators'!N16</f>
        <v>1.3227809634877583</v>
      </c>
      <c r="O3">
        <f>'Diagnosis Indicators'!O16</f>
        <v>1.6567067892971499</v>
      </c>
      <c r="P3">
        <f>'Diagnosis Indicators'!P16</f>
        <v>2.1407933646851998</v>
      </c>
      <c r="Q3">
        <f>'Diagnosis Indicators'!Q16</f>
        <v>2.9104917708887981</v>
      </c>
      <c r="R3">
        <f>'Diagnosis Indicators'!R16</f>
        <v>4.2833747151355865</v>
      </c>
      <c r="S3">
        <f>'Diagnosis Indicators'!S16</f>
        <v>7.0803307977105927</v>
      </c>
      <c r="T3">
        <f>'Diagnosis Indicators'!T16</f>
        <v>13.877653156371668</v>
      </c>
      <c r="U3">
        <f>'Diagnosis Indicators'!U16</f>
        <v>37.473069560641029</v>
      </c>
      <c r="V3">
        <f>'Diagnosis Indicators'!V16</f>
        <v>49.321891324375379</v>
      </c>
      <c r="W3">
        <f>'Diagnosis Indicators'!W16</f>
        <v>67.974409258132326</v>
      </c>
      <c r="X3">
        <f>'Diagnosis Indicators'!X16</f>
        <v>100.12194069275338</v>
      </c>
      <c r="Y3">
        <f>'Diagnosis Indicators'!Y16</f>
        <v>163.76263899729508</v>
      </c>
    </row>
    <row r="4" spans="1:25" x14ac:dyDescent="0.2">
      <c r="A4" t="s">
        <v>131</v>
      </c>
      <c r="B4">
        <f>'Diagnosis Indicators'!B17</f>
        <v>5.7716594496607888E-3</v>
      </c>
      <c r="C4">
        <f>'Diagnosis Indicators'!C17</f>
        <v>4.6056242055600119E-2</v>
      </c>
      <c r="D4">
        <f>'Diagnosis Indicators'!D17</f>
        <v>9.0355773714879517E-2</v>
      </c>
      <c r="E4">
        <f>'Diagnosis Indicators'!E17</f>
        <v>0.13938216944410842</v>
      </c>
      <c r="F4">
        <f>'Diagnosis Indicators'!F17</f>
        <v>0.19403846164078747</v>
      </c>
      <c r="G4">
        <f>'Diagnosis Indicators'!G17</f>
        <v>0.25549231806966299</v>
      </c>
      <c r="H4">
        <f>'Diagnosis Indicators'!H17</f>
        <v>0.32528761759660207</v>
      </c>
      <c r="I4">
        <f>'Diagnosis Indicators'!I17</f>
        <v>0.40552011199900906</v>
      </c>
      <c r="J4">
        <f>'Diagnosis Indicators'!J17</f>
        <v>0.49912119956363959</v>
      </c>
      <c r="K4">
        <f>'Diagnosis Indicators'!K17</f>
        <v>0.6103488658813806</v>
      </c>
      <c r="L4">
        <f>'Diagnosis Indicators'!L17</f>
        <v>0.74565865537671006</v>
      </c>
      <c r="M4">
        <f>'Diagnosis Indicators'!M17</f>
        <v>0.91538559960952104</v>
      </c>
      <c r="N4">
        <f>'Diagnosis Indicators'!N17</f>
        <v>1.1371926020304564</v>
      </c>
      <c r="O4">
        <f>'Diagnosis Indicators'!O17</f>
        <v>1.4438394408782182</v>
      </c>
      <c r="P4">
        <f>'Diagnosis Indicators'!P17</f>
        <v>1.9025515393831385</v>
      </c>
      <c r="Q4">
        <f>'Diagnosis Indicators'!Q17</f>
        <v>2.6690574956140756</v>
      </c>
    </row>
    <row r="5" spans="1:25" x14ac:dyDescent="0.2">
      <c r="A5" t="s">
        <v>130</v>
      </c>
      <c r="B5">
        <f>'Diagnosis Indicators'!B18</f>
        <v>5.7716594496607888E-3</v>
      </c>
      <c r="C5">
        <f>'Diagnosis Indicators'!C18</f>
        <v>3.0883928244494003E-2</v>
      </c>
      <c r="D5">
        <f>'Diagnosis Indicators'!D18</f>
        <v>5.734226788759738E-2</v>
      </c>
      <c r="E5">
        <f>'Diagnosis Indicators'!E18</f>
        <v>8.5196393665276468E-2</v>
      </c>
      <c r="F5">
        <f>'Diagnosis Indicators'!F18</f>
        <v>0.11447773295340509</v>
      </c>
      <c r="G5">
        <f>'Diagnosis Indicators'!G18</f>
        <v>0.14518813678405584</v>
      </c>
      <c r="H5">
        <f>'Diagnosis Indicators'!H18</f>
        <v>0.17728353598760505</v>
      </c>
      <c r="I5">
        <f>'Diagnosis Indicators'!I18</f>
        <v>0.21065196964339525</v>
      </c>
      <c r="J5">
        <f>'Diagnosis Indicators'!J18</f>
        <v>0.245080412692806</v>
      </c>
      <c r="K5">
        <f>'Diagnosis Indicators'!K18</f>
        <v>0.28020701842999696</v>
      </c>
      <c r="L5">
        <f>'Diagnosis Indicators'!L18</f>
        <v>0.31544438569309446</v>
      </c>
      <c r="M5">
        <f>'Diagnosis Indicators'!M18</f>
        <v>0.34982572018994967</v>
      </c>
      <c r="N5">
        <f>'Diagnosis Indicators'!N18</f>
        <v>0.38157990129323077</v>
      </c>
      <c r="O5">
        <f>'Diagnosis Indicators'!O18</f>
        <v>0</v>
      </c>
    </row>
    <row r="6" spans="1:25" x14ac:dyDescent="0.2">
      <c r="A6" t="s">
        <v>146</v>
      </c>
      <c r="B6">
        <f>'Diagnosis Indicators'!B19</f>
        <v>5.7716594496607888E-3</v>
      </c>
      <c r="C6">
        <f>'Diagnosis Indicators'!C19</f>
        <v>4.7277520300705055E-2</v>
      </c>
      <c r="D6">
        <f>'Diagnosis Indicators'!D19</f>
        <v>9.2395738800707256E-2</v>
      </c>
      <c r="E6">
        <f>'Diagnosis Indicators'!E19</f>
        <v>0.14170320786651835</v>
      </c>
      <c r="F6">
        <f>'Diagnosis Indicators'!F19</f>
        <v>0.19591217686843618</v>
      </c>
      <c r="G6">
        <f>'Diagnosis Indicators'!G19</f>
        <v>0.25591744332239286</v>
      </c>
      <c r="H6">
        <f>'Diagnosis Indicators'!H19</f>
        <v>0.32286132689618297</v>
      </c>
      <c r="I6">
        <f>'Diagnosis Indicators'!I19</f>
        <v>0.39823377496238943</v>
      </c>
      <c r="J6">
        <f>'Diagnosis Indicators'!J19</f>
        <v>0.48402562006860533</v>
      </c>
      <c r="K6">
        <f>'Diagnosis Indicators'!K19</f>
        <v>0.58297296222676409</v>
      </c>
      <c r="L6">
        <f>'Diagnosis Indicators'!L19</f>
        <v>0.69896495450229268</v>
      </c>
      <c r="M6">
        <f>'Diagnosis Indicators'!M19</f>
        <v>0.83775184300514982</v>
      </c>
      <c r="N6">
        <f>'Diagnosis Indicators'!N19</f>
        <v>1.0082482314391579</v>
      </c>
      <c r="O6">
        <f>'Diagnosis Indicators'!O19</f>
        <v>1.225072281475436</v>
      </c>
      <c r="P6">
        <f>'Diagnosis Indicators'!P19</f>
        <v>1.5138304836060432</v>
      </c>
      <c r="Q6">
        <f>'Diagnosis Indicators'!Q19</f>
        <v>1.9228675519694312</v>
      </c>
      <c r="R6">
        <f>'Diagnosis Indicators'!R19</f>
        <v>2.5504948050101985</v>
      </c>
      <c r="S6">
        <f>'Diagnosis Indicators'!S19</f>
        <v>3.6041131059727207</v>
      </c>
      <c r="T6">
        <f>'Diagnosis Indicators'!T19</f>
        <v>5.4653836467725379</v>
      </c>
    </row>
    <row r="7" spans="1:25" x14ac:dyDescent="0.2">
      <c r="A7" t="s">
        <v>141</v>
      </c>
      <c r="B7">
        <f>'Diagnosis Indicators'!B20</f>
        <v>5.7716594496607888E-3</v>
      </c>
      <c r="C7">
        <f>'Diagnosis Indicators'!C20</f>
        <v>3.8435328054305065E-2</v>
      </c>
      <c r="D7">
        <f>'Diagnosis Indicators'!D20</f>
        <v>7.3748899408382529E-2</v>
      </c>
      <c r="E7">
        <f>'Diagnosis Indicators'!E20</f>
        <v>0.1120598390453192</v>
      </c>
      <c r="F7">
        <f>'Diagnosis Indicators'!F20</f>
        <v>0.153776671470743</v>
      </c>
      <c r="G7">
        <f>'Diagnosis Indicators'!G20</f>
        <v>0.19938220935562889</v>
      </c>
      <c r="H7">
        <f>'Diagnosis Indicators'!H20</f>
        <v>0.24944849825071935</v>
      </c>
      <c r="I7">
        <f>'Diagnosis Indicators'!I20</f>
        <v>0.30465539205764075</v>
      </c>
      <c r="J7">
        <f>'Diagnosis Indicators'!J20</f>
        <v>0.36581159899488963</v>
      </c>
      <c r="K7">
        <f>'Diagnosis Indicators'!K20</f>
        <v>0.43387929034989597</v>
      </c>
      <c r="L7">
        <f>'Diagnosis Indicators'!L20</f>
        <v>0.51000678959503221</v>
      </c>
      <c r="M7">
        <f>'Diagnosis Indicators'!M20</f>
        <v>0.59558632520820309</v>
      </c>
      <c r="N7">
        <f>'Diagnosis Indicators'!N20</f>
        <v>0.69241624785819667</v>
      </c>
      <c r="O7">
        <f>'Diagnosis Indicators'!O20</f>
        <v>0.80325094597796975</v>
      </c>
      <c r="P7">
        <f>'Diagnosis Indicators'!P20</f>
        <v>0.93372753018750365</v>
      </c>
      <c r="Q7">
        <f>'Diagnosis Indicators'!Q20</f>
        <v>1.098916298120477</v>
      </c>
      <c r="R7">
        <f>'Diagnosis Indicators'!R20</f>
        <v>1.3449877227712368</v>
      </c>
      <c r="S7">
        <f>'Diagnosis Indicators'!S20</f>
        <v>1.8258208718609898</v>
      </c>
      <c r="T7">
        <f>'Diagnosis Indicators'!T20</f>
        <v>3.16681223693665</v>
      </c>
      <c r="U7">
        <f>'Diagnosis Indicators'!U20</f>
        <v>9.5035508869806389</v>
      </c>
      <c r="V7">
        <f>'Diagnosis Indicators'!V20</f>
        <v>13.475356377908708</v>
      </c>
      <c r="W7">
        <f>'Diagnosis Indicators'!W20</f>
        <v>20.838181447802533</v>
      </c>
      <c r="X7">
        <f>'Diagnosis Indicators'!X20</f>
        <v>37.430528592974014</v>
      </c>
      <c r="Y7">
        <f>'Diagnosis Indicators'!Y20</f>
        <v>94.795345351745638</v>
      </c>
    </row>
    <row r="8" spans="1:25" x14ac:dyDescent="0.2">
      <c r="A8" t="s">
        <v>142</v>
      </c>
      <c r="B8">
        <f>'Diagnosis Indicators'!B21</f>
        <v>5.7716594496607888E-3</v>
      </c>
      <c r="C8">
        <f>'Diagnosis Indicators'!C21</f>
        <v>3.9580833161691011E-2</v>
      </c>
      <c r="D8">
        <f>'Diagnosis Indicators'!D21</f>
        <v>7.6344237872326859E-2</v>
      </c>
      <c r="E8">
        <f>'Diagnosis Indicators'!E21</f>
        <v>0.11649269626001767</v>
      </c>
      <c r="F8">
        <f>'Diagnosis Indicators'!F21</f>
        <v>0.1605483641619512</v>
      </c>
      <c r="G8">
        <f>'Diagnosis Indicators'!G21</f>
        <v>0.20914992403627541</v>
      </c>
      <c r="H8">
        <f>'Diagnosis Indicators'!H21</f>
        <v>0.2630883664821233</v>
      </c>
      <c r="I8">
        <f>'Diagnosis Indicators'!I21</f>
        <v>0.32335535558258921</v>
      </c>
      <c r="J8">
        <f>'Diagnosis Indicators'!J21</f>
        <v>0.39121154023071875</v>
      </c>
      <c r="K8">
        <f>'Diagnosis Indicators'!K21</f>
        <v>0.4682829471858333</v>
      </c>
      <c r="L8">
        <f>'Diagnosis Indicators'!L21</f>
        <v>0.55669902453785669</v>
      </c>
      <c r="M8">
        <f>'Diagnosis Indicators'!M21</f>
        <v>0.65928798502492991</v>
      </c>
      <c r="N8">
        <f>'Diagnosis Indicators'!N21</f>
        <v>0.77984884859241632</v>
      </c>
      <c r="O8">
        <f>'Diagnosis Indicators'!O21</f>
        <v>0.92350025665234559</v>
      </c>
      <c r="P8">
        <f>'Diagnosis Indicators'!P21</f>
        <v>1.0970385343435798</v>
      </c>
      <c r="Q8">
        <f>'Diagnosis Indicators'!Q21</f>
        <v>1.3090260800753812</v>
      </c>
      <c r="R8">
        <f>'Diagnosis Indicators'!R21</f>
        <v>1.5688463204017444</v>
      </c>
      <c r="S8">
        <f>'Diagnosis Indicators'!S21</f>
        <v>1.8834906266024611</v>
      </c>
      <c r="T8">
        <f>'Diagnosis Indicators'!T21</f>
        <v>2.2518838266430499</v>
      </c>
      <c r="U8">
        <f>'Diagnosis Indicators'!U21</f>
        <v>2.6608439425400672</v>
      </c>
      <c r="V8">
        <f>'Diagnosis Indicators'!V21</f>
        <v>2.7456435919112412</v>
      </c>
      <c r="W8">
        <f>'Diagnosis Indicators'!W21</f>
        <v>2.8310080457366782</v>
      </c>
      <c r="X8">
        <f>'Diagnosis Indicators'!X21</f>
        <v>2.9167553320251627</v>
      </c>
      <c r="Y8">
        <f>'Diagnosis Indicators'!Y21</f>
        <v>3.002711543661388</v>
      </c>
    </row>
    <row r="9" spans="1:25" x14ac:dyDescent="0.2">
      <c r="A9" t="s">
        <v>147</v>
      </c>
      <c r="B9">
        <f>'Diagnosis Indicators'!B15</f>
        <v>5.7716594496607888E-3</v>
      </c>
      <c r="C9">
        <f>'Diagnosis Indicators'!C15</f>
        <v>4.498793784335528E-2</v>
      </c>
      <c r="D9">
        <f>'Diagnosis Indicators'!D15</f>
        <v>8.7818080562676079E-2</v>
      </c>
      <c r="E9">
        <f>'Diagnosis Indicators'!E15</f>
        <v>0.13484765708944241</v>
      </c>
      <c r="F9">
        <f>'Diagnosis Indicators'!F15</f>
        <v>0.18680577333457396</v>
      </c>
      <c r="G9">
        <f>'Diagnosis Indicators'!G15</f>
        <v>0.24461633968937727</v>
      </c>
      <c r="H9">
        <f>'Diagnosis Indicators'!H15</f>
        <v>0.30947005059658883</v>
      </c>
      <c r="I9">
        <f>'Diagnosis Indicators'!I15</f>
        <v>0.38293696094941704</v>
      </c>
      <c r="J9">
        <f>'Diagnosis Indicators'!J15</f>
        <v>0.46714208506171412</v>
      </c>
      <c r="K9">
        <f>'Diagnosis Indicators'!K15</f>
        <v>0.56505260217226272</v>
      </c>
      <c r="L9">
        <f>'Diagnosis Indicators'!L15</f>
        <v>0.68097132057171106</v>
      </c>
      <c r="M9">
        <f>'Diagnosis Indicators'!M15</f>
        <v>0.82143071478519458</v>
      </c>
      <c r="N9">
        <f>'Diagnosis Indicators'!N15</f>
        <v>0.99692492903366947</v>
      </c>
      <c r="O9">
        <f>'Diagnosis Indicators'!O15</f>
        <v>1.2255431635882315</v>
      </c>
      <c r="P9">
        <f>'Diagnosis Indicators'!P15</f>
        <v>1.5413513899213398</v>
      </c>
      <c r="Q9">
        <f>'Diagnosis Indicators'!Q15</f>
        <v>2.0161408729758517</v>
      </c>
      <c r="R9">
        <f>'Diagnosis Indicators'!R15</f>
        <v>2.8241427328223887</v>
      </c>
      <c r="S9">
        <f>'Diagnosis Indicators'!S15</f>
        <v>4.4664716371485191</v>
      </c>
      <c r="T9">
        <f>'Diagnosis Indicators'!T15</f>
        <v>8.7296555757122718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6</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Diagnosis Indicators</vt:lpstr>
      <vt:lpstr>Utility_Export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2025-07-03T15:32:23Z</dcterms:modified>
</cp:coreProperties>
</file>